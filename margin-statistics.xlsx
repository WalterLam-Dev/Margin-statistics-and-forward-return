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drawings/drawing2.xml" ContentType="application/vnd.openxmlformats-officedocument.drawing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7932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cwlam\Downloads\"/>
    </mc:Choice>
  </mc:AlternateContent>
  <xr:revisionPtr revIDLastSave="0" documentId="13_ncr:1_{F5F16D55-3D0E-438D-A19B-1B95F9C93849}" xr6:coauthVersionLast="47" xr6:coauthVersionMax="47" xr10:uidLastSave="{00000000-0000-0000-0000-000000000000}"/>
  <bookViews>
    <workbookView xWindow="28680" yWindow="-120" windowWidth="29040" windowHeight="15720" activeTab="2" xr2:uid="{00000000-000D-0000-FFFF-FFFF00000000}"/>
  </bookViews>
  <sheets>
    <sheet name="Customer Margin Balances" sheetId="1" r:id="rId1"/>
    <sheet name="SP500_Projection" sheetId="6" r:id="rId2"/>
    <sheet name="R-Sq" sheetId="5" r:id="rId3"/>
    <sheet name="USM2(NS)" sheetId="2" r:id="rId4"/>
    <sheet name="MMF" sheetId="3" r:id="rId5"/>
    <sheet name="SP500" sheetId="4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" i="6" l="1" a="1"/>
  <c r="A2" i="6" s="1"/>
  <c r="Z5" i="1"/>
  <c r="AO1" i="1" l="1"/>
  <c r="A1" i="5"/>
  <c r="AM1" i="1"/>
  <c r="AK1" i="1"/>
  <c r="T1" i="1"/>
  <c r="AN1" i="1" s="1"/>
  <c r="Q1" i="1"/>
  <c r="P1" i="1"/>
  <c r="G2" i="1" a="1"/>
  <c r="G2" i="1" s="1"/>
  <c r="B2" i="6" s="1" a="1"/>
  <c r="B2" i="6" s="1"/>
  <c r="G2" i="6" s="1" a="1"/>
  <c r="G2" i="6" s="1"/>
  <c r="H2" i="6" s="1" a="1"/>
  <c r="H2" i="6" s="1"/>
  <c r="K2" i="1" l="1" a="1"/>
  <c r="K2" i="1" s="1"/>
  <c r="O2" i="1" s="1" a="1"/>
  <c r="O2" i="1" s="1"/>
  <c r="Z4" i="1"/>
  <c r="AP1" i="1"/>
  <c r="L2" i="1" a="1"/>
  <c r="L2" i="1" s="1"/>
  <c r="B2" i="5"/>
  <c r="A3" i="5" a="1"/>
  <c r="A3" i="5" s="1"/>
  <c r="AL1" i="1"/>
  <c r="T2" i="1" a="1"/>
  <c r="T2" i="1" s="1"/>
  <c r="H1" i="1" a="1"/>
  <c r="B3" i="5" l="1" a="1"/>
  <c r="AP2" i="1" a="1"/>
  <c r="AP2" i="1" s="1"/>
  <c r="AL2" i="1" a="1"/>
  <c r="AL2" i="1" s="1"/>
  <c r="AN2" i="1" a="1"/>
  <c r="AN2" i="1" s="1"/>
  <c r="Q2" i="1" a="1"/>
  <c r="Q2" i="1" s="1"/>
  <c r="N2" i="1" a="1"/>
  <c r="N2" i="1" s="1"/>
  <c r="H1" i="1"/>
  <c r="B3" i="5" l="1"/>
  <c r="AC12" i="1" a="1"/>
  <c r="AC12" i="1" s="1"/>
  <c r="W2" i="1" s="1" a="1"/>
  <c r="W2" i="1" s="1"/>
  <c r="E3" i="5" a="1"/>
  <c r="E3" i="5" s="1"/>
  <c r="I3" i="5" s="1" a="1"/>
  <c r="AO2" i="1" a="1"/>
  <c r="AO2" i="1" s="1"/>
  <c r="P2" i="1" a="1"/>
  <c r="P2" i="1" s="1"/>
  <c r="M2" i="1" a="1"/>
  <c r="M2" i="1" s="1"/>
  <c r="Q3" i="5" l="1" a="1"/>
  <c r="Q3" i="5" s="1"/>
  <c r="M3" i="5" a="1"/>
  <c r="AC7" i="1" a="1"/>
  <c r="AC7" i="1" s="1"/>
  <c r="V2" i="1" s="1" a="1"/>
  <c r="V2" i="1" s="1"/>
  <c r="AH12" i="1" a="1"/>
  <c r="AH12" i="1" s="1"/>
  <c r="AI12" i="1" s="1" a="1"/>
  <c r="AI12" i="1" s="1"/>
  <c r="I3" i="5"/>
  <c r="AH21" i="1"/>
  <c r="AM2" i="1" a="1"/>
  <c r="AM2" i="1" s="1"/>
  <c r="D3" i="5" a="1"/>
  <c r="D3" i="5" s="1"/>
  <c r="R2" i="1" a="1"/>
  <c r="R2" i="1" s="1"/>
  <c r="AC2" i="1" s="1" a="1"/>
  <c r="E2" i="6" l="1" a="1"/>
  <c r="E2" i="6" s="1"/>
  <c r="K2" i="6" s="1" a="1"/>
  <c r="K2" i="6" s="1"/>
  <c r="M3" i="5"/>
  <c r="U3" i="5" s="1" a="1"/>
  <c r="U3" i="5" s="1"/>
  <c r="P3" i="5" a="1"/>
  <c r="P3" i="5" s="1"/>
  <c r="AG21" i="1" a="1"/>
  <c r="AG21" i="1" s="1"/>
  <c r="H3" i="5" a="1"/>
  <c r="L3" i="5" a="1"/>
  <c r="AC2" i="1"/>
  <c r="U2" i="1" s="1" a="1"/>
  <c r="U2" i="1" s="1"/>
  <c r="AK2" i="1" a="1"/>
  <c r="AK2" i="1" s="1"/>
  <c r="C3" i="5" a="1"/>
  <c r="AH7" i="1" a="1"/>
  <c r="AH7" i="1" s="1"/>
  <c r="AI7" i="1" s="1" a="1"/>
  <c r="AI7" i="1" s="1"/>
  <c r="D2" i="6" l="1" a="1"/>
  <c r="D2" i="6" s="1"/>
  <c r="J2" i="6" s="1" a="1"/>
  <c r="J2" i="6" s="1"/>
  <c r="AG36" i="1" a="1"/>
  <c r="AG36" i="1" s="1"/>
  <c r="H3" i="5"/>
  <c r="AG20" i="1" s="1" a="1"/>
  <c r="AG20" i="1" s="1"/>
  <c r="L3" i="5"/>
  <c r="T3" i="5" s="1" a="1"/>
  <c r="T3" i="5" s="1"/>
  <c r="AH20" i="1"/>
  <c r="C3" i="5"/>
  <c r="AH2" i="1" a="1"/>
  <c r="AH2" i="1" s="1"/>
  <c r="AI2" i="1" s="1" a="1"/>
  <c r="AI2" i="1" s="1"/>
  <c r="AG35" i="1" l="1" a="1"/>
  <c r="AG35" i="1" s="1"/>
  <c r="O3" i="5" a="1"/>
  <c r="G3" i="5" a="1"/>
  <c r="K3" i="5" a="1"/>
  <c r="C2" i="6" l="1" a="1"/>
  <c r="C2" i="6" s="1"/>
  <c r="I2" i="6" s="1" a="1"/>
  <c r="I2" i="6" s="1"/>
  <c r="AH19" i="1"/>
  <c r="O3" i="5"/>
  <c r="K3" i="5"/>
  <c r="G3" i="5"/>
  <c r="S3" i="5" l="1" a="1"/>
  <c r="S3" i="5" s="1"/>
  <c r="AG34" i="1" s="1" a="1"/>
  <c r="AG34" i="1" s="1"/>
  <c r="AG19" i="1" a="1"/>
  <c r="AG19" i="1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<sst xmlns="http://schemas.openxmlformats.org/spreadsheetml/2006/main" count="448" uniqueCount="409">
  <si>
    <t>Year-Month</t>
  </si>
  <si>
    <t>Debit Balances in Customers' Securities Margin Accounts</t>
  </si>
  <si>
    <t>Free Credit Balances in Customers' Cash Accounts</t>
  </si>
  <si>
    <t>Free Credit Balances in Customers' Securities Margin Accounts</t>
  </si>
  <si>
    <t>2026-05</t>
  </si>
  <si>
    <t>2026-04</t>
  </si>
  <si>
    <t>2026-03</t>
  </si>
  <si>
    <t>2026-02</t>
  </si>
  <si>
    <t>2026-01</t>
  </si>
  <si>
    <t>2025-12</t>
  </si>
  <si>
    <t>2025-11</t>
  </si>
  <si>
    <t>2025-10</t>
  </si>
  <si>
    <t>2025-09</t>
  </si>
  <si>
    <t>2025-08</t>
  </si>
  <si>
    <t>2025-07</t>
  </si>
  <si>
    <t>2025-06</t>
  </si>
  <si>
    <t>2025-05</t>
  </si>
  <si>
    <t>2025-04</t>
  </si>
  <si>
    <t>2025-03</t>
  </si>
  <si>
    <t>2025-02</t>
  </si>
  <si>
    <t>2025-01</t>
  </si>
  <si>
    <t>2024-12</t>
  </si>
  <si>
    <t>2024-11</t>
  </si>
  <si>
    <t>2024-10</t>
  </si>
  <si>
    <t>2024-09</t>
  </si>
  <si>
    <t>2024-08</t>
  </si>
  <si>
    <t>2024-07</t>
  </si>
  <si>
    <t>2024-06</t>
  </si>
  <si>
    <t>2024-05</t>
  </si>
  <si>
    <t>2024-04</t>
  </si>
  <si>
    <t>2024-03</t>
  </si>
  <si>
    <t>2024-02</t>
  </si>
  <si>
    <t>2024-01</t>
  </si>
  <si>
    <t>2023-12</t>
  </si>
  <si>
    <t>2023-11</t>
  </si>
  <si>
    <t>2023-10</t>
  </si>
  <si>
    <t>2023-09</t>
  </si>
  <si>
    <t>2023-08</t>
  </si>
  <si>
    <t>2023-07</t>
  </si>
  <si>
    <t>2023-06</t>
  </si>
  <si>
    <t>2023-05</t>
  </si>
  <si>
    <t>2023-04</t>
  </si>
  <si>
    <t>2023-03</t>
  </si>
  <si>
    <t>2023-02</t>
  </si>
  <si>
    <t>2023-01</t>
  </si>
  <si>
    <t>2022-12</t>
  </si>
  <si>
    <t>2022-11</t>
  </si>
  <si>
    <t>2022-10</t>
  </si>
  <si>
    <t>2022-09</t>
  </si>
  <si>
    <t>2022-08</t>
  </si>
  <si>
    <t>2022-07</t>
  </si>
  <si>
    <t>2022-06</t>
  </si>
  <si>
    <t>2022-05</t>
  </si>
  <si>
    <t>2022-04</t>
  </si>
  <si>
    <t>2022-03</t>
  </si>
  <si>
    <t>2022-02</t>
  </si>
  <si>
    <t>2022-01</t>
  </si>
  <si>
    <t>2021-12</t>
  </si>
  <si>
    <t>2021-11</t>
  </si>
  <si>
    <t>2021-10</t>
  </si>
  <si>
    <t>2021-09</t>
  </si>
  <si>
    <t>2021-08</t>
  </si>
  <si>
    <t>2021-07</t>
  </si>
  <si>
    <t>2021-06</t>
  </si>
  <si>
    <t>2021-05</t>
  </si>
  <si>
    <t>2021-04</t>
  </si>
  <si>
    <t>2021-03</t>
  </si>
  <si>
    <t>2021-02</t>
  </si>
  <si>
    <t>2021-01</t>
  </si>
  <si>
    <t>2020-12</t>
  </si>
  <si>
    <t>2020-11</t>
  </si>
  <si>
    <t>2020-10</t>
  </si>
  <si>
    <t>2020-09</t>
  </si>
  <si>
    <t>2020-08</t>
  </si>
  <si>
    <t>2020-07</t>
  </si>
  <si>
    <t>2020-06</t>
  </si>
  <si>
    <t>2020-05</t>
  </si>
  <si>
    <t>2020-04</t>
  </si>
  <si>
    <t>2020-03</t>
  </si>
  <si>
    <t>2020-02</t>
  </si>
  <si>
    <t>2020-01</t>
  </si>
  <si>
    <t>2019-12</t>
  </si>
  <si>
    <t>2019-11</t>
  </si>
  <si>
    <t>2019-10</t>
  </si>
  <si>
    <t>2019-09</t>
  </si>
  <si>
    <t>2019-08</t>
  </si>
  <si>
    <t>2019-07</t>
  </si>
  <si>
    <t>2019-06</t>
  </si>
  <si>
    <t>2019-05</t>
  </si>
  <si>
    <t>2019-04</t>
  </si>
  <si>
    <t>2019-03</t>
  </si>
  <si>
    <t>2019-02</t>
  </si>
  <si>
    <t>2019-01</t>
  </si>
  <si>
    <t>2018-12</t>
  </si>
  <si>
    <t>2018-11</t>
  </si>
  <si>
    <t>2018-10</t>
  </si>
  <si>
    <t>2018-09</t>
  </si>
  <si>
    <t>2018-08</t>
  </si>
  <si>
    <t>2018-07</t>
  </si>
  <si>
    <t>2018-06</t>
  </si>
  <si>
    <t>2018-05</t>
  </si>
  <si>
    <t>2018-04</t>
  </si>
  <si>
    <t>2018-03</t>
  </si>
  <si>
    <t>2018-02</t>
  </si>
  <si>
    <t>2018-01</t>
  </si>
  <si>
    <t>2017-12</t>
  </si>
  <si>
    <t>2017-11</t>
  </si>
  <si>
    <t>2017-10</t>
  </si>
  <si>
    <t>2017-09</t>
  </si>
  <si>
    <t>2017-08</t>
  </si>
  <si>
    <t>2017-07</t>
  </si>
  <si>
    <t>2017-06</t>
  </si>
  <si>
    <t>2017-05</t>
  </si>
  <si>
    <t>2017-04</t>
  </si>
  <si>
    <t>2017-03</t>
  </si>
  <si>
    <t>2017-02</t>
  </si>
  <si>
    <t>2017-01</t>
  </si>
  <si>
    <t>2016-12</t>
  </si>
  <si>
    <t>2016-11</t>
  </si>
  <si>
    <t>2016-10</t>
  </si>
  <si>
    <t>2016-09</t>
  </si>
  <si>
    <t>2016-08</t>
  </si>
  <si>
    <t>2016-07</t>
  </si>
  <si>
    <t>2016-06</t>
  </si>
  <si>
    <t>2016-05</t>
  </si>
  <si>
    <t>2016-04</t>
  </si>
  <si>
    <t>2016-03</t>
  </si>
  <si>
    <t>2016-02</t>
  </si>
  <si>
    <t>2016-01</t>
  </si>
  <si>
    <t>2015-12</t>
  </si>
  <si>
    <t>2015-11</t>
  </si>
  <si>
    <t>2015-10</t>
  </si>
  <si>
    <t>2015-09</t>
  </si>
  <si>
    <t>2015-08</t>
  </si>
  <si>
    <t>2015-07</t>
  </si>
  <si>
    <t>2015-06</t>
  </si>
  <si>
    <t>2015-05</t>
  </si>
  <si>
    <t>2015-04</t>
  </si>
  <si>
    <t>2015-03</t>
  </si>
  <si>
    <t>2015-02</t>
  </si>
  <si>
    <t>2015-01</t>
  </si>
  <si>
    <t>2014-12</t>
  </si>
  <si>
    <t>2014-11</t>
  </si>
  <si>
    <t>2014-10</t>
  </si>
  <si>
    <t>2014-09</t>
  </si>
  <si>
    <t>2014-08</t>
  </si>
  <si>
    <t>2014-07</t>
  </si>
  <si>
    <t>2014-06</t>
  </si>
  <si>
    <t>2014-05</t>
  </si>
  <si>
    <t>2014-04</t>
  </si>
  <si>
    <t>2014-03</t>
  </si>
  <si>
    <t>2014-02</t>
  </si>
  <si>
    <t>2014-01</t>
  </si>
  <si>
    <t>2013-12</t>
  </si>
  <si>
    <t>2013-11</t>
  </si>
  <si>
    <t>2013-10</t>
  </si>
  <si>
    <t>2013-09</t>
  </si>
  <si>
    <t>2013-08</t>
  </si>
  <si>
    <t>2013-07</t>
  </si>
  <si>
    <t>2013-06</t>
  </si>
  <si>
    <t>2013-05</t>
  </si>
  <si>
    <t>2013-04</t>
  </si>
  <si>
    <t>2013-03</t>
  </si>
  <si>
    <t>2013-02</t>
  </si>
  <si>
    <t>2013-01</t>
  </si>
  <si>
    <t>2012-12</t>
  </si>
  <si>
    <t>2012-11</t>
  </si>
  <si>
    <t>2012-10</t>
  </si>
  <si>
    <t>2012-09</t>
  </si>
  <si>
    <t>2012-08</t>
  </si>
  <si>
    <t>2012-07</t>
  </si>
  <si>
    <t>2012-06</t>
  </si>
  <si>
    <t>2012-05</t>
  </si>
  <si>
    <t>2012-04</t>
  </si>
  <si>
    <t>2012-03</t>
  </si>
  <si>
    <t>2012-02</t>
  </si>
  <si>
    <t>2012-01</t>
  </si>
  <si>
    <t>2011-12</t>
  </si>
  <si>
    <t>2011-11</t>
  </si>
  <si>
    <t>2011-10</t>
  </si>
  <si>
    <t>2011-09</t>
  </si>
  <si>
    <t>2011-08</t>
  </si>
  <si>
    <t>2011-07</t>
  </si>
  <si>
    <t>2011-06</t>
  </si>
  <si>
    <t>2011-05</t>
  </si>
  <si>
    <t>2011-04</t>
  </si>
  <si>
    <t>2011-03</t>
  </si>
  <si>
    <t>2011-02</t>
  </si>
  <si>
    <t>2011-01</t>
  </si>
  <si>
    <t>2010-12</t>
  </si>
  <si>
    <t>2010-11</t>
  </si>
  <si>
    <t>2010-10</t>
  </si>
  <si>
    <t>2010-09</t>
  </si>
  <si>
    <t>2010-08</t>
  </si>
  <si>
    <t>2010-07</t>
  </si>
  <si>
    <t>2010-06</t>
  </si>
  <si>
    <t>2010-05</t>
  </si>
  <si>
    <t>2010-04</t>
  </si>
  <si>
    <t>2010-03</t>
  </si>
  <si>
    <t>2010-02</t>
  </si>
  <si>
    <t>2010-01</t>
  </si>
  <si>
    <t>2009-12</t>
  </si>
  <si>
    <t>2009-11</t>
  </si>
  <si>
    <t>2009-10</t>
  </si>
  <si>
    <t>2009-09</t>
  </si>
  <si>
    <t>2009-08</t>
  </si>
  <si>
    <t>2009-07</t>
  </si>
  <si>
    <t>2009-06</t>
  </si>
  <si>
    <t>2009-05</t>
  </si>
  <si>
    <t>2009-04</t>
  </si>
  <si>
    <t>2009-03</t>
  </si>
  <si>
    <t>2009-02</t>
  </si>
  <si>
    <t>2009-01</t>
  </si>
  <si>
    <t>2008-12</t>
  </si>
  <si>
    <t>2008-11</t>
  </si>
  <si>
    <t>2008-10</t>
  </si>
  <si>
    <t>2008-09</t>
  </si>
  <si>
    <t>2008-08</t>
  </si>
  <si>
    <t>2008-07</t>
  </si>
  <si>
    <t>2008-06</t>
  </si>
  <si>
    <t>2008-05</t>
  </si>
  <si>
    <t>2008-04</t>
  </si>
  <si>
    <t>2008-03</t>
  </si>
  <si>
    <t>2008-02</t>
  </si>
  <si>
    <t>2008-01</t>
  </si>
  <si>
    <t>2007-12</t>
  </si>
  <si>
    <t>2007-11</t>
  </si>
  <si>
    <t>2007-10</t>
  </si>
  <si>
    <t>2007-09</t>
  </si>
  <si>
    <t>2007-08</t>
  </si>
  <si>
    <t>2007-07</t>
  </si>
  <si>
    <t>2007-06</t>
  </si>
  <si>
    <t>2007-05</t>
  </si>
  <si>
    <t>2007-04</t>
  </si>
  <si>
    <t>2007-03</t>
  </si>
  <si>
    <t>2007-02</t>
  </si>
  <si>
    <t>2007-01</t>
  </si>
  <si>
    <t>2006-12</t>
  </si>
  <si>
    <t>2006-11</t>
  </si>
  <si>
    <t>2006-10</t>
  </si>
  <si>
    <t>2006-09</t>
  </si>
  <si>
    <t>2006-08</t>
  </si>
  <si>
    <t>2006-07</t>
  </si>
  <si>
    <t>2006-06</t>
  </si>
  <si>
    <t>2006-05</t>
  </si>
  <si>
    <t>2006-04</t>
  </si>
  <si>
    <t>2006-03</t>
  </si>
  <si>
    <t>2006-02</t>
  </si>
  <si>
    <t>2006-01</t>
  </si>
  <si>
    <t>2005-12</t>
  </si>
  <si>
    <t>2005-11</t>
  </si>
  <si>
    <t>2005-10</t>
  </si>
  <si>
    <t>2005-09</t>
  </si>
  <si>
    <t>2005-08</t>
  </si>
  <si>
    <t>2005-07</t>
  </si>
  <si>
    <t>2005-06</t>
  </si>
  <si>
    <t>2005-05</t>
  </si>
  <si>
    <t>2005-04</t>
  </si>
  <si>
    <t>2005-03</t>
  </si>
  <si>
    <t>2005-02</t>
  </si>
  <si>
    <t>2005-01</t>
  </si>
  <si>
    <t>2004-12</t>
  </si>
  <si>
    <t>2004-11</t>
  </si>
  <si>
    <t>2004-10</t>
  </si>
  <si>
    <t>2004-09</t>
  </si>
  <si>
    <t>2004-08</t>
  </si>
  <si>
    <t>2004-07</t>
  </si>
  <si>
    <t>2004-06</t>
  </si>
  <si>
    <t>2004-05</t>
  </si>
  <si>
    <t>2004-04</t>
  </si>
  <si>
    <t>2004-03</t>
  </si>
  <si>
    <t>2004-02</t>
  </si>
  <si>
    <t>2004-01</t>
  </si>
  <si>
    <t>2003-12</t>
  </si>
  <si>
    <t>2003-11</t>
  </si>
  <si>
    <t>2003-10</t>
  </si>
  <si>
    <t>2003-09</t>
  </si>
  <si>
    <t>2003-08</t>
  </si>
  <si>
    <t>2003-07</t>
  </si>
  <si>
    <t>2003-06</t>
  </si>
  <si>
    <t>2003-05</t>
  </si>
  <si>
    <t>2003-04</t>
  </si>
  <si>
    <t>2003-03</t>
  </si>
  <si>
    <t>2003-02</t>
  </si>
  <si>
    <t>2003-01</t>
  </si>
  <si>
    <t>2002-12</t>
  </si>
  <si>
    <t>2002-11</t>
  </si>
  <si>
    <t>2002-10</t>
  </si>
  <si>
    <t>2002-09</t>
  </si>
  <si>
    <t>2002-08</t>
  </si>
  <si>
    <t>2002-07</t>
  </si>
  <si>
    <t>2002-06</t>
  </si>
  <si>
    <t>2002-05</t>
  </si>
  <si>
    <t>2002-04</t>
  </si>
  <si>
    <t>2002-03</t>
  </si>
  <si>
    <t>2002-02</t>
  </si>
  <si>
    <t>2002-01</t>
  </si>
  <si>
    <t>2001-12</t>
  </si>
  <si>
    <t>2001-11</t>
  </si>
  <si>
    <t>2001-10</t>
  </si>
  <si>
    <t>2001-09</t>
  </si>
  <si>
    <t>2001-08</t>
  </si>
  <si>
    <t>2001-07</t>
  </si>
  <si>
    <t>2001-06</t>
  </si>
  <si>
    <t>2001-05</t>
  </si>
  <si>
    <t>2001-04</t>
  </si>
  <si>
    <t>2001-03</t>
  </si>
  <si>
    <t>2001-02</t>
  </si>
  <si>
    <t>2001-01</t>
  </si>
  <si>
    <t>2000-12</t>
  </si>
  <si>
    <t>2000-11</t>
  </si>
  <si>
    <t>2000-10</t>
  </si>
  <si>
    <t>2000-09</t>
  </si>
  <si>
    <t>2000-08</t>
  </si>
  <si>
    <t>2000-07</t>
  </si>
  <si>
    <t>2000-06</t>
  </si>
  <si>
    <t>2000-05</t>
  </si>
  <si>
    <t>2000-04</t>
  </si>
  <si>
    <t>2000-03</t>
  </si>
  <si>
    <t>2000-02</t>
  </si>
  <si>
    <t>2000-01</t>
  </si>
  <si>
    <t>1999-12</t>
  </si>
  <si>
    <t>1999-11</t>
  </si>
  <si>
    <t>1999-10</t>
  </si>
  <si>
    <t>1999-09</t>
  </si>
  <si>
    <t>1999-08</t>
  </si>
  <si>
    <t>1999-07</t>
  </si>
  <si>
    <t>1999-06</t>
  </si>
  <si>
    <t>1999-05</t>
  </si>
  <si>
    <t>1999-04</t>
  </si>
  <si>
    <t>1999-03</t>
  </si>
  <si>
    <t>1999-02</t>
  </si>
  <si>
    <t>1999-01</t>
  </si>
  <si>
    <t>1998-12</t>
  </si>
  <si>
    <t>1998-11</t>
  </si>
  <si>
    <t>1998-10</t>
  </si>
  <si>
    <t>1998-09</t>
  </si>
  <si>
    <t>1998-08</t>
  </si>
  <si>
    <t>1998-07</t>
  </si>
  <si>
    <t>1998-06</t>
  </si>
  <si>
    <t>1998-05</t>
  </si>
  <si>
    <t>1998-04</t>
  </si>
  <si>
    <t>1998-03</t>
  </si>
  <si>
    <t>1998-02</t>
  </si>
  <si>
    <t>1998-01</t>
  </si>
  <si>
    <t>1997-12</t>
  </si>
  <si>
    <t>1997-11</t>
  </si>
  <si>
    <t>1997-10</t>
  </si>
  <si>
    <t>1997-09</t>
  </si>
  <si>
    <t>1997-08</t>
  </si>
  <si>
    <t>1997-07</t>
  </si>
  <si>
    <t>1997-06</t>
  </si>
  <si>
    <t>1997-05</t>
  </si>
  <si>
    <t>1997-04</t>
  </si>
  <si>
    <t>1997-03</t>
  </si>
  <si>
    <t>1997-02</t>
  </si>
  <si>
    <t>1997-01</t>
  </si>
  <si>
    <t>Date</t>
  </si>
  <si>
    <t>observation_date</t>
  </si>
  <si>
    <t>M2NS</t>
  </si>
  <si>
    <t>(USD million)</t>
  </si>
  <si>
    <t>US M2</t>
  </si>
  <si>
    <t>WRMFNS</t>
  </si>
  <si>
    <t>SP500</t>
  </si>
  <si>
    <t>Free Credit Balances</t>
  </si>
  <si>
    <t>Retail Money Market Funds</t>
  </si>
  <si>
    <t>Mth Fwd</t>
  </si>
  <si>
    <t>Debit+Credit Balances : USM2</t>
  </si>
  <si>
    <t>Slope</t>
  </si>
  <si>
    <t>Intercept</t>
  </si>
  <si>
    <t>Coef</t>
  </si>
  <si>
    <t>Std Err</t>
  </si>
  <si>
    <t>R-Sq</t>
  </si>
  <si>
    <t>DF</t>
  </si>
  <si>
    <t>t-Stat</t>
  </si>
  <si>
    <t>p-value</t>
  </si>
  <si>
    <t>FwdRtn Predict (Debit+Credit)</t>
  </si>
  <si>
    <t>Train since</t>
  </si>
  <si>
    <t>Train until</t>
  </si>
  <si>
    <t>Debit + Credit</t>
  </si>
  <si>
    <t>Debit</t>
  </si>
  <si>
    <t>FwdRtn Predict (Debit)</t>
  </si>
  <si>
    <t>Debit+Credit : M2</t>
  </si>
  <si>
    <t>Debit : M2</t>
  </si>
  <si>
    <t>Credit : M2</t>
  </si>
  <si>
    <t>Mth FwdRtn</t>
  </si>
  <si>
    <t>Train Wdw</t>
  </si>
  <si>
    <t>Y</t>
  </si>
  <si>
    <t>X</t>
  </si>
  <si>
    <t>Debit Balances : USM2</t>
  </si>
  <si>
    <t>D+C</t>
  </si>
  <si>
    <t>D</t>
  </si>
  <si>
    <t>C</t>
  </si>
  <si>
    <t>Avg R-Sq</t>
  </si>
  <si>
    <t>Latest</t>
  </si>
  <si>
    <t>FwdRtn Predict (Credit)</t>
  </si>
  <si>
    <t>Credit</t>
  </si>
  <si>
    <t>R-Squared (out-sample)</t>
  </si>
  <si>
    <t>R-Squared (in-sample)</t>
  </si>
  <si>
    <t>in-sample</t>
  </si>
  <si>
    <t>out-sample</t>
  </si>
  <si>
    <t>Expected Rtn (Debit)</t>
  </si>
  <si>
    <t>Expected Rtn (Credit)</t>
  </si>
  <si>
    <t>Expected Rtn (Debit + Credit)</t>
  </si>
  <si>
    <t>Ref Date</t>
  </si>
  <si>
    <t>S&amp;P 500</t>
  </si>
  <si>
    <t>Projected Lv (Debit + Credit)</t>
  </si>
  <si>
    <t>Projected Lv (Debit)</t>
  </si>
  <si>
    <t>Projected Lv (Credit)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</si>
</sst>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8" x14ac:knownFonts="1">
    <font>
      <sz val="11"/>
      <color theme="1"/>
      <name val="Calibri"/>
      <family val="2"/>
      <scheme val="minor"/>
    </font>
    <font>
      <b/>
      <sz val="11"/>
      <color rgb="FF000000"/>
      <name val="Calibri"/>
    </font>
    <font>
      <sz val="11"/>
      <color rgb="FF000000"/>
      <name val="Calibri"/>
    </font>
    <font>
      <sz val="11"/>
      <color rgb="FF000000"/>
      <name val="Calibri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0C0C0"/>
        <bgColor rgb="FFC0C0C0"/>
      </patternFill>
    </fill>
    <fill>
      <patternFill patternType="none">
        <fgColor rgb="FF000000"/>
        <bgColor rgb="FFFFFFFF"/>
      </patternFill>
    </fill>
    <fill>
      <patternFill patternType="none">
        <fgColor rgb="FF000000"/>
        <bgColor rgb="FFFFFFFF"/>
      </patternFill>
    </fill>
    <fill>
      <patternFill patternType="solid">
        <fgColor theme="1" tint="0.34998626667073579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D0D7E5"/>
      </left>
      <right style="thin">
        <color rgb="FFD0D7E5"/>
      </right>
      <top style="thin">
        <color rgb="FFD0D7E5"/>
      </top>
      <bottom style="thin">
        <color rgb="FFD0D7E5"/>
      </bottom>
      <diagonal/>
    </border>
    <border>
      <left style="thin">
        <color rgb="FFD0D7E5"/>
      </left>
      <right style="thin">
        <color rgb="FFD0D7E5"/>
      </right>
      <top style="thin">
        <color rgb="FFD0D7E5"/>
      </top>
      <bottom style="thin">
        <color rgb="FFD0D7E5"/>
      </bottom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27">
    <xf numFmtId="0" fontId="0" fillId="0" borderId="0" xfId="0"/>
    <xf numFmtId="0" fontId="1" fillId="2" borderId="1" xfId="0" applyFont="1" applyFill="1" applyBorder="1" applyAlignment="1" applyProtection="1">
      <alignment horizontal="center" vertical="center"/>
    </xf>
    <xf numFmtId="0" fontId="2" fillId="3" borderId="2" xfId="0" applyFont="1" applyFill="1" applyBorder="1" applyAlignment="1" applyProtection="1">
      <alignment vertical="center" wrapText="1"/>
    </xf>
    <xf numFmtId="3" fontId="3" fillId="4" borderId="3" xfId="0" applyNumberFormat="1" applyFont="1" applyFill="1" applyBorder="1" applyAlignment="1" applyProtection="1">
      <alignment horizontal="right" vertical="center" wrapText="1"/>
    </xf>
    <xf numFmtId="0" fontId="1" fillId="2" borderId="0" xfId="0" applyFont="1" applyFill="1" applyBorder="1" applyAlignment="1" applyProtection="1">
      <alignment horizontal="center" vertical="center"/>
    </xf>
    <xf numFmtId="14" fontId="0" fillId="0" borderId="0" xfId="0" applyNumberFormat="1"/>
    <xf numFmtId="3" fontId="1" fillId="2" borderId="1" xfId="0" applyNumberFormat="1" applyFont="1" applyFill="1" applyBorder="1" applyAlignment="1" applyProtection="1">
      <alignment horizontal="center" vertical="center" wrapText="1"/>
    </xf>
    <xf numFmtId="3" fontId="0" fillId="0" borderId="0" xfId="0" applyNumberFormat="1"/>
    <xf numFmtId="164" fontId="0" fillId="0" borderId="0" xfId="1" applyNumberFormat="1" applyFont="1"/>
    <xf numFmtId="3" fontId="1" fillId="2" borderId="0" xfId="0" applyNumberFormat="1" applyFont="1" applyFill="1" applyBorder="1" applyAlignment="1" applyProtection="1">
      <alignment horizontal="center" vertical="center" wrapText="1"/>
    </xf>
    <xf numFmtId="9" fontId="0" fillId="0" borderId="0" xfId="1" applyFont="1"/>
    <xf numFmtId="3" fontId="0" fillId="0" borderId="0" xfId="1" applyNumberFormat="1" applyFont="1"/>
    <xf numFmtId="0" fontId="0" fillId="0" borderId="0" xfId="0" applyAlignment="1">
      <alignment wrapText="1"/>
    </xf>
    <xf numFmtId="9" fontId="0" fillId="0" borderId="0" xfId="1" applyFont="1" applyAlignment="1">
      <alignment wrapText="1"/>
    </xf>
    <xf numFmtId="9" fontId="0" fillId="0" borderId="0" xfId="1" applyFont="1" applyAlignment="1"/>
    <xf numFmtId="9" fontId="5" fillId="0" borderId="0" xfId="1" applyFont="1" applyAlignment="1">
      <alignment horizontal="center"/>
    </xf>
    <xf numFmtId="9" fontId="5" fillId="0" borderId="0" xfId="1" applyFont="1" applyAlignment="1">
      <alignment horizontal="center"/>
    </xf>
    <xf numFmtId="0" fontId="0" fillId="0" borderId="0" xfId="0" applyAlignment="1">
      <alignment horizontal="center"/>
    </xf>
    <xf numFmtId="0" fontId="5" fillId="0" borderId="0" xfId="0" applyFont="1" applyAlignment="1">
      <alignment horizontal="center"/>
    </xf>
    <xf numFmtId="0" fontId="5" fillId="0" borderId="0" xfId="0" applyFont="1"/>
    <xf numFmtId="0" fontId="5" fillId="0" borderId="0" xfId="0" applyFont="1" applyAlignment="1">
      <alignment horizontal="left" indent="3"/>
    </xf>
    <xf numFmtId="0" fontId="5" fillId="0" borderId="0" xfId="0" applyFont="1" applyAlignment="1">
      <alignment horizontal="center"/>
    </xf>
    <xf numFmtId="0" fontId="6" fillId="0" borderId="0" xfId="0" applyFont="1" applyAlignment="1">
      <alignment horizontal="left" indent="3"/>
    </xf>
    <xf numFmtId="164" fontId="7" fillId="0" borderId="0" xfId="1" applyNumberFormat="1" applyFont="1"/>
    <xf numFmtId="164" fontId="0" fillId="0" borderId="0" xfId="1" applyNumberFormat="1" applyFont="1" applyAlignment="1">
      <alignment wrapText="1"/>
    </xf>
    <xf numFmtId="14" fontId="5" fillId="0" borderId="0" xfId="1" applyNumberFormat="1" applyFont="1" applyAlignment="1">
      <alignment wrapText="1"/>
    </xf>
    <xf numFmtId="14" fontId="0" fillId="5" borderId="0" xfId="0" applyNumberFormat="1" applyFill="1"/>
  </cellXfs>
  <cellStyles count="2">
    <cellStyle name="Normal" xfId="0" builtinId="0"/>
    <cellStyle name="Percent" xfId="1" builtinId="5"/>
  </cellStyles>
  <dxfs count="4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'Customer Margin Balances'!$R$1</c:f>
              <c:strCache>
                <c:ptCount val="1"/>
                <c:pt idx="0">
                  <c:v>Debit+Credit Balances : USM2</c:v>
                </c:pt>
              </c:strCache>
            </c:strRef>
          </c:tx>
          <c:spPr>
            <a:ln w="19050" cap="rnd">
              <a:solidFill>
                <a:schemeClr val="tx2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errBars>
            <c:errDir val="y"/>
            <c:errBarType val="both"/>
            <c:errValType val="stdDev"/>
            <c:noEndCap val="1"/>
            <c:val val="2"/>
            <c:spPr>
              <a:noFill/>
              <a:ln w="6350" cap="flat" cmpd="sng" algn="ctr">
                <a:solidFill>
                  <a:schemeClr val="accent2">
                    <a:alpha val="30000"/>
                  </a:schemeClr>
                </a:solidFill>
                <a:round/>
              </a:ln>
              <a:effectLst/>
            </c:spPr>
          </c:errBars>
          <c:cat>
            <c:numRef>
              <c:f>'Customer Margin Balances'!$G$2:$G$1354</c:f>
              <c:numCache>
                <c:formatCode>m/d/yyyy</c:formatCode>
                <c:ptCount val="1353"/>
                <c:pt idx="0">
                  <c:v>46173</c:v>
                </c:pt>
                <c:pt idx="1">
                  <c:v>46142</c:v>
                </c:pt>
                <c:pt idx="2">
                  <c:v>46112</c:v>
                </c:pt>
                <c:pt idx="3">
                  <c:v>46081</c:v>
                </c:pt>
                <c:pt idx="4">
                  <c:v>46053</c:v>
                </c:pt>
                <c:pt idx="5">
                  <c:v>46022</c:v>
                </c:pt>
                <c:pt idx="6">
                  <c:v>45991</c:v>
                </c:pt>
                <c:pt idx="7">
                  <c:v>45961</c:v>
                </c:pt>
                <c:pt idx="8">
                  <c:v>45930</c:v>
                </c:pt>
                <c:pt idx="9">
                  <c:v>45900</c:v>
                </c:pt>
                <c:pt idx="10">
                  <c:v>45869</c:v>
                </c:pt>
                <c:pt idx="11">
                  <c:v>45838</c:v>
                </c:pt>
                <c:pt idx="12">
                  <c:v>45808</c:v>
                </c:pt>
                <c:pt idx="13">
                  <c:v>45777</c:v>
                </c:pt>
                <c:pt idx="14">
                  <c:v>45747</c:v>
                </c:pt>
                <c:pt idx="15">
                  <c:v>45716</c:v>
                </c:pt>
                <c:pt idx="16">
                  <c:v>45688</c:v>
                </c:pt>
                <c:pt idx="17">
                  <c:v>45657</c:v>
                </c:pt>
                <c:pt idx="18">
                  <c:v>45626</c:v>
                </c:pt>
                <c:pt idx="19">
                  <c:v>45596</c:v>
                </c:pt>
                <c:pt idx="20">
                  <c:v>45565</c:v>
                </c:pt>
                <c:pt idx="21">
                  <c:v>45535</c:v>
                </c:pt>
                <c:pt idx="22">
                  <c:v>45504</c:v>
                </c:pt>
                <c:pt idx="23">
                  <c:v>45473</c:v>
                </c:pt>
                <c:pt idx="24">
                  <c:v>45443</c:v>
                </c:pt>
                <c:pt idx="25">
                  <c:v>45412</c:v>
                </c:pt>
                <c:pt idx="26">
                  <c:v>45382</c:v>
                </c:pt>
                <c:pt idx="27">
                  <c:v>45351</c:v>
                </c:pt>
                <c:pt idx="28">
                  <c:v>45322</c:v>
                </c:pt>
                <c:pt idx="29">
                  <c:v>45291</c:v>
                </c:pt>
                <c:pt idx="30">
                  <c:v>45260</c:v>
                </c:pt>
                <c:pt idx="31">
                  <c:v>45230</c:v>
                </c:pt>
                <c:pt idx="32">
                  <c:v>45199</c:v>
                </c:pt>
                <c:pt idx="33">
                  <c:v>45169</c:v>
                </c:pt>
                <c:pt idx="34">
                  <c:v>45138</c:v>
                </c:pt>
                <c:pt idx="35">
                  <c:v>45107</c:v>
                </c:pt>
                <c:pt idx="36">
                  <c:v>45077</c:v>
                </c:pt>
                <c:pt idx="37">
                  <c:v>45046</c:v>
                </c:pt>
                <c:pt idx="38">
                  <c:v>45016</c:v>
                </c:pt>
                <c:pt idx="39">
                  <c:v>44985</c:v>
                </c:pt>
                <c:pt idx="40">
                  <c:v>44957</c:v>
                </c:pt>
                <c:pt idx="41">
                  <c:v>44926</c:v>
                </c:pt>
                <c:pt idx="42">
                  <c:v>44895</c:v>
                </c:pt>
                <c:pt idx="43">
                  <c:v>44865</c:v>
                </c:pt>
                <c:pt idx="44">
                  <c:v>44834</c:v>
                </c:pt>
                <c:pt idx="45">
                  <c:v>44804</c:v>
                </c:pt>
                <c:pt idx="46">
                  <c:v>44773</c:v>
                </c:pt>
                <c:pt idx="47">
                  <c:v>44742</c:v>
                </c:pt>
                <c:pt idx="48">
                  <c:v>44712</c:v>
                </c:pt>
                <c:pt idx="49">
                  <c:v>44681</c:v>
                </c:pt>
                <c:pt idx="50">
                  <c:v>44651</c:v>
                </c:pt>
                <c:pt idx="51">
                  <c:v>44620</c:v>
                </c:pt>
                <c:pt idx="52">
                  <c:v>44592</c:v>
                </c:pt>
                <c:pt idx="53">
                  <c:v>44561</c:v>
                </c:pt>
                <c:pt idx="54">
                  <c:v>44530</c:v>
                </c:pt>
                <c:pt idx="55">
                  <c:v>44500</c:v>
                </c:pt>
                <c:pt idx="56">
                  <c:v>44469</c:v>
                </c:pt>
                <c:pt idx="57">
                  <c:v>44439</c:v>
                </c:pt>
                <c:pt idx="58">
                  <c:v>44408</c:v>
                </c:pt>
                <c:pt idx="59">
                  <c:v>44377</c:v>
                </c:pt>
                <c:pt idx="60">
                  <c:v>44347</c:v>
                </c:pt>
                <c:pt idx="61">
                  <c:v>44316</c:v>
                </c:pt>
                <c:pt idx="62">
                  <c:v>44286</c:v>
                </c:pt>
                <c:pt idx="63">
                  <c:v>44255</c:v>
                </c:pt>
                <c:pt idx="64">
                  <c:v>44227</c:v>
                </c:pt>
                <c:pt idx="65">
                  <c:v>44196</c:v>
                </c:pt>
                <c:pt idx="66">
                  <c:v>44165</c:v>
                </c:pt>
                <c:pt idx="67">
                  <c:v>44135</c:v>
                </c:pt>
                <c:pt idx="68">
                  <c:v>44104</c:v>
                </c:pt>
                <c:pt idx="69">
                  <c:v>44074</c:v>
                </c:pt>
                <c:pt idx="70">
                  <c:v>44043</c:v>
                </c:pt>
                <c:pt idx="71">
                  <c:v>44012</c:v>
                </c:pt>
                <c:pt idx="72">
                  <c:v>43982</c:v>
                </c:pt>
                <c:pt idx="73">
                  <c:v>43951</c:v>
                </c:pt>
                <c:pt idx="74">
                  <c:v>43921</c:v>
                </c:pt>
                <c:pt idx="75">
                  <c:v>43890</c:v>
                </c:pt>
                <c:pt idx="76">
                  <c:v>43861</c:v>
                </c:pt>
                <c:pt idx="77">
                  <c:v>43830</c:v>
                </c:pt>
                <c:pt idx="78">
                  <c:v>43799</c:v>
                </c:pt>
                <c:pt idx="79">
                  <c:v>43769</c:v>
                </c:pt>
                <c:pt idx="80">
                  <c:v>43738</c:v>
                </c:pt>
                <c:pt idx="81">
                  <c:v>43708</c:v>
                </c:pt>
                <c:pt idx="82">
                  <c:v>43677</c:v>
                </c:pt>
                <c:pt idx="83">
                  <c:v>43646</c:v>
                </c:pt>
                <c:pt idx="84">
                  <c:v>43616</c:v>
                </c:pt>
                <c:pt idx="85">
                  <c:v>43585</c:v>
                </c:pt>
                <c:pt idx="86">
                  <c:v>43555</c:v>
                </c:pt>
                <c:pt idx="87">
                  <c:v>43524</c:v>
                </c:pt>
                <c:pt idx="88">
                  <c:v>43496</c:v>
                </c:pt>
                <c:pt idx="89">
                  <c:v>43465</c:v>
                </c:pt>
                <c:pt idx="90">
                  <c:v>43434</c:v>
                </c:pt>
                <c:pt idx="91">
                  <c:v>43404</c:v>
                </c:pt>
                <c:pt idx="92">
                  <c:v>43373</c:v>
                </c:pt>
                <c:pt idx="93">
                  <c:v>43343</c:v>
                </c:pt>
                <c:pt idx="94">
                  <c:v>43312</c:v>
                </c:pt>
                <c:pt idx="95">
                  <c:v>43281</c:v>
                </c:pt>
                <c:pt idx="96">
                  <c:v>43251</c:v>
                </c:pt>
                <c:pt idx="97">
                  <c:v>43220</c:v>
                </c:pt>
                <c:pt idx="98">
                  <c:v>43190</c:v>
                </c:pt>
                <c:pt idx="99">
                  <c:v>43159</c:v>
                </c:pt>
                <c:pt idx="100">
                  <c:v>43131</c:v>
                </c:pt>
                <c:pt idx="101">
                  <c:v>43100</c:v>
                </c:pt>
                <c:pt idx="102">
                  <c:v>43069</c:v>
                </c:pt>
                <c:pt idx="103">
                  <c:v>43039</c:v>
                </c:pt>
                <c:pt idx="104">
                  <c:v>43008</c:v>
                </c:pt>
                <c:pt idx="105">
                  <c:v>42978</c:v>
                </c:pt>
                <c:pt idx="106">
                  <c:v>42947</c:v>
                </c:pt>
                <c:pt idx="107">
                  <c:v>42916</c:v>
                </c:pt>
                <c:pt idx="108">
                  <c:v>42886</c:v>
                </c:pt>
                <c:pt idx="109">
                  <c:v>42855</c:v>
                </c:pt>
                <c:pt idx="110">
                  <c:v>42825</c:v>
                </c:pt>
                <c:pt idx="111">
                  <c:v>42794</c:v>
                </c:pt>
                <c:pt idx="112">
                  <c:v>42766</c:v>
                </c:pt>
                <c:pt idx="113">
                  <c:v>42735</c:v>
                </c:pt>
                <c:pt idx="114">
                  <c:v>42704</c:v>
                </c:pt>
                <c:pt idx="115">
                  <c:v>42674</c:v>
                </c:pt>
                <c:pt idx="116">
                  <c:v>42643</c:v>
                </c:pt>
                <c:pt idx="117">
                  <c:v>42613</c:v>
                </c:pt>
                <c:pt idx="118">
                  <c:v>42582</c:v>
                </c:pt>
                <c:pt idx="119">
                  <c:v>42551</c:v>
                </c:pt>
                <c:pt idx="120">
                  <c:v>42521</c:v>
                </c:pt>
                <c:pt idx="121">
                  <c:v>42490</c:v>
                </c:pt>
                <c:pt idx="122">
                  <c:v>42460</c:v>
                </c:pt>
                <c:pt idx="123">
                  <c:v>42429</c:v>
                </c:pt>
                <c:pt idx="124">
                  <c:v>42400</c:v>
                </c:pt>
                <c:pt idx="125">
                  <c:v>42369</c:v>
                </c:pt>
                <c:pt idx="126">
                  <c:v>42338</c:v>
                </c:pt>
                <c:pt idx="127">
                  <c:v>42308</c:v>
                </c:pt>
                <c:pt idx="128">
                  <c:v>42277</c:v>
                </c:pt>
                <c:pt idx="129">
                  <c:v>42247</c:v>
                </c:pt>
                <c:pt idx="130">
                  <c:v>42216</c:v>
                </c:pt>
                <c:pt idx="131">
                  <c:v>42185</c:v>
                </c:pt>
                <c:pt idx="132">
                  <c:v>42155</c:v>
                </c:pt>
                <c:pt idx="133">
                  <c:v>42124</c:v>
                </c:pt>
                <c:pt idx="134">
                  <c:v>42094</c:v>
                </c:pt>
                <c:pt idx="135">
                  <c:v>42063</c:v>
                </c:pt>
                <c:pt idx="136">
                  <c:v>42035</c:v>
                </c:pt>
                <c:pt idx="137">
                  <c:v>42004</c:v>
                </c:pt>
                <c:pt idx="138">
                  <c:v>41973</c:v>
                </c:pt>
                <c:pt idx="139">
                  <c:v>41943</c:v>
                </c:pt>
                <c:pt idx="140">
                  <c:v>41912</c:v>
                </c:pt>
                <c:pt idx="141">
                  <c:v>41882</c:v>
                </c:pt>
                <c:pt idx="142">
                  <c:v>41851</c:v>
                </c:pt>
                <c:pt idx="143">
                  <c:v>41820</c:v>
                </c:pt>
                <c:pt idx="144">
                  <c:v>41790</c:v>
                </c:pt>
                <c:pt idx="145">
                  <c:v>41759</c:v>
                </c:pt>
                <c:pt idx="146">
                  <c:v>41729</c:v>
                </c:pt>
                <c:pt idx="147">
                  <c:v>41698</c:v>
                </c:pt>
                <c:pt idx="148">
                  <c:v>41670</c:v>
                </c:pt>
                <c:pt idx="149">
                  <c:v>41639</c:v>
                </c:pt>
                <c:pt idx="150">
                  <c:v>41608</c:v>
                </c:pt>
                <c:pt idx="151">
                  <c:v>41578</c:v>
                </c:pt>
                <c:pt idx="152">
                  <c:v>41547</c:v>
                </c:pt>
                <c:pt idx="153">
                  <c:v>41517</c:v>
                </c:pt>
                <c:pt idx="154">
                  <c:v>41486</c:v>
                </c:pt>
                <c:pt idx="155">
                  <c:v>41455</c:v>
                </c:pt>
                <c:pt idx="156">
                  <c:v>41425</c:v>
                </c:pt>
                <c:pt idx="157">
                  <c:v>41394</c:v>
                </c:pt>
                <c:pt idx="158">
                  <c:v>41364</c:v>
                </c:pt>
                <c:pt idx="159">
                  <c:v>41333</c:v>
                </c:pt>
                <c:pt idx="160">
                  <c:v>41305</c:v>
                </c:pt>
                <c:pt idx="161">
                  <c:v>41274</c:v>
                </c:pt>
                <c:pt idx="162">
                  <c:v>41243</c:v>
                </c:pt>
                <c:pt idx="163">
                  <c:v>41213</c:v>
                </c:pt>
                <c:pt idx="164">
                  <c:v>41182</c:v>
                </c:pt>
                <c:pt idx="165">
                  <c:v>41152</c:v>
                </c:pt>
                <c:pt idx="166">
                  <c:v>41121</c:v>
                </c:pt>
                <c:pt idx="167">
                  <c:v>41090</c:v>
                </c:pt>
                <c:pt idx="168">
                  <c:v>41060</c:v>
                </c:pt>
                <c:pt idx="169">
                  <c:v>41029</c:v>
                </c:pt>
                <c:pt idx="170">
                  <c:v>40999</c:v>
                </c:pt>
                <c:pt idx="171">
                  <c:v>40968</c:v>
                </c:pt>
                <c:pt idx="172">
                  <c:v>40939</c:v>
                </c:pt>
                <c:pt idx="173">
                  <c:v>40908</c:v>
                </c:pt>
                <c:pt idx="174">
                  <c:v>40877</c:v>
                </c:pt>
                <c:pt idx="175">
                  <c:v>40847</c:v>
                </c:pt>
                <c:pt idx="176">
                  <c:v>40816</c:v>
                </c:pt>
                <c:pt idx="177">
                  <c:v>40786</c:v>
                </c:pt>
                <c:pt idx="178">
                  <c:v>40755</c:v>
                </c:pt>
                <c:pt idx="179">
                  <c:v>40724</c:v>
                </c:pt>
                <c:pt idx="180">
                  <c:v>40694</c:v>
                </c:pt>
                <c:pt idx="181">
                  <c:v>40663</c:v>
                </c:pt>
                <c:pt idx="182">
                  <c:v>40633</c:v>
                </c:pt>
                <c:pt idx="183">
                  <c:v>40602</c:v>
                </c:pt>
                <c:pt idx="184">
                  <c:v>40574</c:v>
                </c:pt>
                <c:pt idx="185">
                  <c:v>40543</c:v>
                </c:pt>
                <c:pt idx="186">
                  <c:v>40512</c:v>
                </c:pt>
                <c:pt idx="187">
                  <c:v>40482</c:v>
                </c:pt>
                <c:pt idx="188">
                  <c:v>40451</c:v>
                </c:pt>
                <c:pt idx="189">
                  <c:v>40421</c:v>
                </c:pt>
                <c:pt idx="190">
                  <c:v>40390</c:v>
                </c:pt>
                <c:pt idx="191">
                  <c:v>40359</c:v>
                </c:pt>
                <c:pt idx="192">
                  <c:v>40329</c:v>
                </c:pt>
                <c:pt idx="193">
                  <c:v>40298</c:v>
                </c:pt>
                <c:pt idx="194">
                  <c:v>40268</c:v>
                </c:pt>
                <c:pt idx="195">
                  <c:v>40237</c:v>
                </c:pt>
                <c:pt idx="196">
                  <c:v>40209</c:v>
                </c:pt>
                <c:pt idx="197">
                  <c:v>40178</c:v>
                </c:pt>
                <c:pt idx="198">
                  <c:v>40147</c:v>
                </c:pt>
                <c:pt idx="199">
                  <c:v>40117</c:v>
                </c:pt>
                <c:pt idx="200">
                  <c:v>40086</c:v>
                </c:pt>
                <c:pt idx="201">
                  <c:v>40056</c:v>
                </c:pt>
                <c:pt idx="202">
                  <c:v>40025</c:v>
                </c:pt>
                <c:pt idx="203">
                  <c:v>39994</c:v>
                </c:pt>
                <c:pt idx="204">
                  <c:v>39964</c:v>
                </c:pt>
                <c:pt idx="205">
                  <c:v>39933</c:v>
                </c:pt>
                <c:pt idx="206">
                  <c:v>39903</c:v>
                </c:pt>
                <c:pt idx="207">
                  <c:v>39872</c:v>
                </c:pt>
                <c:pt idx="208">
                  <c:v>39844</c:v>
                </c:pt>
                <c:pt idx="209">
                  <c:v>39813</c:v>
                </c:pt>
                <c:pt idx="210">
                  <c:v>39782</c:v>
                </c:pt>
                <c:pt idx="211">
                  <c:v>39752</c:v>
                </c:pt>
                <c:pt idx="212">
                  <c:v>39721</c:v>
                </c:pt>
                <c:pt idx="213">
                  <c:v>39691</c:v>
                </c:pt>
                <c:pt idx="214">
                  <c:v>39660</c:v>
                </c:pt>
                <c:pt idx="215">
                  <c:v>39629</c:v>
                </c:pt>
                <c:pt idx="216">
                  <c:v>39599</c:v>
                </c:pt>
                <c:pt idx="217">
                  <c:v>39568</c:v>
                </c:pt>
                <c:pt idx="218">
                  <c:v>39538</c:v>
                </c:pt>
                <c:pt idx="219">
                  <c:v>39507</c:v>
                </c:pt>
                <c:pt idx="220">
                  <c:v>39478</c:v>
                </c:pt>
                <c:pt idx="221">
                  <c:v>39447</c:v>
                </c:pt>
                <c:pt idx="222">
                  <c:v>39416</c:v>
                </c:pt>
                <c:pt idx="223">
                  <c:v>39386</c:v>
                </c:pt>
                <c:pt idx="224">
                  <c:v>39355</c:v>
                </c:pt>
                <c:pt idx="225">
                  <c:v>39325</c:v>
                </c:pt>
                <c:pt idx="226">
                  <c:v>39294</c:v>
                </c:pt>
                <c:pt idx="227">
                  <c:v>39263</c:v>
                </c:pt>
                <c:pt idx="228">
                  <c:v>39233</c:v>
                </c:pt>
                <c:pt idx="229">
                  <c:v>39202</c:v>
                </c:pt>
                <c:pt idx="230">
                  <c:v>39172</c:v>
                </c:pt>
                <c:pt idx="231">
                  <c:v>39141</c:v>
                </c:pt>
                <c:pt idx="232">
                  <c:v>39113</c:v>
                </c:pt>
                <c:pt idx="233">
                  <c:v>39082</c:v>
                </c:pt>
                <c:pt idx="234">
                  <c:v>39051</c:v>
                </c:pt>
                <c:pt idx="235">
                  <c:v>39021</c:v>
                </c:pt>
                <c:pt idx="236">
                  <c:v>38990</c:v>
                </c:pt>
                <c:pt idx="237">
                  <c:v>38960</c:v>
                </c:pt>
                <c:pt idx="238">
                  <c:v>38929</c:v>
                </c:pt>
                <c:pt idx="239">
                  <c:v>38898</c:v>
                </c:pt>
                <c:pt idx="240">
                  <c:v>38868</c:v>
                </c:pt>
                <c:pt idx="241">
                  <c:v>38837</c:v>
                </c:pt>
                <c:pt idx="242">
                  <c:v>38807</c:v>
                </c:pt>
                <c:pt idx="243">
                  <c:v>38776</c:v>
                </c:pt>
                <c:pt idx="244">
                  <c:v>38748</c:v>
                </c:pt>
                <c:pt idx="245">
                  <c:v>38717</c:v>
                </c:pt>
                <c:pt idx="246">
                  <c:v>38686</c:v>
                </c:pt>
                <c:pt idx="247">
                  <c:v>38656</c:v>
                </c:pt>
                <c:pt idx="248">
                  <c:v>38625</c:v>
                </c:pt>
                <c:pt idx="249">
                  <c:v>38595</c:v>
                </c:pt>
                <c:pt idx="250">
                  <c:v>38564</c:v>
                </c:pt>
                <c:pt idx="251">
                  <c:v>38533</c:v>
                </c:pt>
                <c:pt idx="252">
                  <c:v>38503</c:v>
                </c:pt>
                <c:pt idx="253">
                  <c:v>38472</c:v>
                </c:pt>
                <c:pt idx="254">
                  <c:v>38442</c:v>
                </c:pt>
                <c:pt idx="255">
                  <c:v>38411</c:v>
                </c:pt>
                <c:pt idx="256">
                  <c:v>38383</c:v>
                </c:pt>
                <c:pt idx="257">
                  <c:v>38352</c:v>
                </c:pt>
                <c:pt idx="258">
                  <c:v>38321</c:v>
                </c:pt>
                <c:pt idx="259">
                  <c:v>38291</c:v>
                </c:pt>
                <c:pt idx="260">
                  <c:v>38260</c:v>
                </c:pt>
                <c:pt idx="261">
                  <c:v>38230</c:v>
                </c:pt>
                <c:pt idx="262">
                  <c:v>38199</c:v>
                </c:pt>
                <c:pt idx="263">
                  <c:v>38168</c:v>
                </c:pt>
                <c:pt idx="264">
                  <c:v>38138</c:v>
                </c:pt>
                <c:pt idx="265">
                  <c:v>38107</c:v>
                </c:pt>
                <c:pt idx="266">
                  <c:v>38077</c:v>
                </c:pt>
                <c:pt idx="267">
                  <c:v>38046</c:v>
                </c:pt>
                <c:pt idx="268">
                  <c:v>38017</c:v>
                </c:pt>
                <c:pt idx="269">
                  <c:v>37986</c:v>
                </c:pt>
                <c:pt idx="270">
                  <c:v>37955</c:v>
                </c:pt>
                <c:pt idx="271">
                  <c:v>37925</c:v>
                </c:pt>
                <c:pt idx="272">
                  <c:v>37894</c:v>
                </c:pt>
                <c:pt idx="273">
                  <c:v>37864</c:v>
                </c:pt>
                <c:pt idx="274">
                  <c:v>37833</c:v>
                </c:pt>
                <c:pt idx="275">
                  <c:v>37802</c:v>
                </c:pt>
                <c:pt idx="276">
                  <c:v>37772</c:v>
                </c:pt>
                <c:pt idx="277">
                  <c:v>37741</c:v>
                </c:pt>
                <c:pt idx="278">
                  <c:v>37711</c:v>
                </c:pt>
                <c:pt idx="279">
                  <c:v>37680</c:v>
                </c:pt>
                <c:pt idx="280">
                  <c:v>37652</c:v>
                </c:pt>
                <c:pt idx="281">
                  <c:v>37621</c:v>
                </c:pt>
                <c:pt idx="282">
                  <c:v>37590</c:v>
                </c:pt>
                <c:pt idx="283">
                  <c:v>37560</c:v>
                </c:pt>
                <c:pt idx="284">
                  <c:v>37529</c:v>
                </c:pt>
                <c:pt idx="285">
                  <c:v>37499</c:v>
                </c:pt>
                <c:pt idx="286">
                  <c:v>37468</c:v>
                </c:pt>
                <c:pt idx="287">
                  <c:v>37437</c:v>
                </c:pt>
                <c:pt idx="288">
                  <c:v>37407</c:v>
                </c:pt>
                <c:pt idx="289">
                  <c:v>37376</c:v>
                </c:pt>
                <c:pt idx="290">
                  <c:v>37346</c:v>
                </c:pt>
                <c:pt idx="291">
                  <c:v>37315</c:v>
                </c:pt>
                <c:pt idx="292">
                  <c:v>37287</c:v>
                </c:pt>
                <c:pt idx="293">
                  <c:v>37256</c:v>
                </c:pt>
                <c:pt idx="294">
                  <c:v>37225</c:v>
                </c:pt>
                <c:pt idx="295">
                  <c:v>37195</c:v>
                </c:pt>
                <c:pt idx="296">
                  <c:v>37164</c:v>
                </c:pt>
                <c:pt idx="297">
                  <c:v>37134</c:v>
                </c:pt>
                <c:pt idx="298">
                  <c:v>37103</c:v>
                </c:pt>
                <c:pt idx="299">
                  <c:v>37072</c:v>
                </c:pt>
                <c:pt idx="300">
                  <c:v>37042</c:v>
                </c:pt>
                <c:pt idx="301">
                  <c:v>37011</c:v>
                </c:pt>
                <c:pt idx="302">
                  <c:v>36981</c:v>
                </c:pt>
                <c:pt idx="303">
                  <c:v>36950</c:v>
                </c:pt>
                <c:pt idx="304">
                  <c:v>36922</c:v>
                </c:pt>
                <c:pt idx="305">
                  <c:v>36891</c:v>
                </c:pt>
                <c:pt idx="306">
                  <c:v>36860</c:v>
                </c:pt>
                <c:pt idx="307">
                  <c:v>36830</c:v>
                </c:pt>
                <c:pt idx="308">
                  <c:v>36799</c:v>
                </c:pt>
                <c:pt idx="309">
                  <c:v>36769</c:v>
                </c:pt>
                <c:pt idx="310">
                  <c:v>36738</c:v>
                </c:pt>
                <c:pt idx="311">
                  <c:v>36707</c:v>
                </c:pt>
                <c:pt idx="312">
                  <c:v>36677</c:v>
                </c:pt>
                <c:pt idx="313">
                  <c:v>36646</c:v>
                </c:pt>
                <c:pt idx="314">
                  <c:v>36616</c:v>
                </c:pt>
                <c:pt idx="315">
                  <c:v>36585</c:v>
                </c:pt>
                <c:pt idx="316">
                  <c:v>36556</c:v>
                </c:pt>
                <c:pt idx="317">
                  <c:v>36525</c:v>
                </c:pt>
                <c:pt idx="318">
                  <c:v>36494</c:v>
                </c:pt>
                <c:pt idx="319">
                  <c:v>36464</c:v>
                </c:pt>
                <c:pt idx="320">
                  <c:v>36433</c:v>
                </c:pt>
                <c:pt idx="321">
                  <c:v>36403</c:v>
                </c:pt>
                <c:pt idx="322">
                  <c:v>36372</c:v>
                </c:pt>
                <c:pt idx="323">
                  <c:v>36341</c:v>
                </c:pt>
                <c:pt idx="324">
                  <c:v>36311</c:v>
                </c:pt>
                <c:pt idx="325">
                  <c:v>36280</c:v>
                </c:pt>
                <c:pt idx="326">
                  <c:v>36250</c:v>
                </c:pt>
                <c:pt idx="327">
                  <c:v>36219</c:v>
                </c:pt>
                <c:pt idx="328">
                  <c:v>36191</c:v>
                </c:pt>
                <c:pt idx="329">
                  <c:v>36160</c:v>
                </c:pt>
                <c:pt idx="330">
                  <c:v>36129</c:v>
                </c:pt>
                <c:pt idx="331">
                  <c:v>36099</c:v>
                </c:pt>
                <c:pt idx="332">
                  <c:v>36068</c:v>
                </c:pt>
                <c:pt idx="333">
                  <c:v>36038</c:v>
                </c:pt>
                <c:pt idx="334">
                  <c:v>36007</c:v>
                </c:pt>
                <c:pt idx="335">
                  <c:v>35976</c:v>
                </c:pt>
                <c:pt idx="336">
                  <c:v>35946</c:v>
                </c:pt>
                <c:pt idx="337">
                  <c:v>35915</c:v>
                </c:pt>
                <c:pt idx="338">
                  <c:v>35885</c:v>
                </c:pt>
                <c:pt idx="339">
                  <c:v>35854</c:v>
                </c:pt>
                <c:pt idx="340">
                  <c:v>35826</c:v>
                </c:pt>
                <c:pt idx="341">
                  <c:v>35795</c:v>
                </c:pt>
                <c:pt idx="342">
                  <c:v>35764</c:v>
                </c:pt>
                <c:pt idx="343">
                  <c:v>35734</c:v>
                </c:pt>
                <c:pt idx="344">
                  <c:v>35703</c:v>
                </c:pt>
                <c:pt idx="345">
                  <c:v>35673</c:v>
                </c:pt>
                <c:pt idx="346">
                  <c:v>35642</c:v>
                </c:pt>
                <c:pt idx="347">
                  <c:v>35611</c:v>
                </c:pt>
                <c:pt idx="348">
                  <c:v>35581</c:v>
                </c:pt>
                <c:pt idx="349">
                  <c:v>35550</c:v>
                </c:pt>
                <c:pt idx="350">
                  <c:v>35520</c:v>
                </c:pt>
                <c:pt idx="351">
                  <c:v>35489</c:v>
                </c:pt>
                <c:pt idx="352">
                  <c:v>35461</c:v>
                </c:pt>
              </c:numCache>
            </c:numRef>
          </c:cat>
          <c:val>
            <c:numRef>
              <c:f>'Customer Margin Balances'!$R$2:$R$1354</c:f>
              <c:numCache>
                <c:formatCode>0%</c:formatCode>
                <c:ptCount val="1353"/>
                <c:pt idx="0">
                  <c:v>8.007300286874719E-2</c:v>
                </c:pt>
                <c:pt idx="1">
                  <c:v>7.5756315344302896E-2</c:v>
                </c:pt>
                <c:pt idx="2">
                  <c:v>7.2247073312908971E-2</c:v>
                </c:pt>
                <c:pt idx="3">
                  <c:v>7.3597179135544394E-2</c:v>
                </c:pt>
                <c:pt idx="4">
                  <c:v>7.4763223138656562E-2</c:v>
                </c:pt>
                <c:pt idx="5">
                  <c:v>7.2748396901787735E-2</c:v>
                </c:pt>
                <c:pt idx="6">
                  <c:v>7.2335906382329035E-2</c:v>
                </c:pt>
                <c:pt idx="7">
                  <c:v>7.1101176788854331E-2</c:v>
                </c:pt>
                <c:pt idx="8">
                  <c:v>6.8990525292268734E-2</c:v>
                </c:pt>
                <c:pt idx="9">
                  <c:v>6.4880564973289936E-2</c:v>
                </c:pt>
                <c:pt idx="10">
                  <c:v>6.3916194707992646E-2</c:v>
                </c:pt>
                <c:pt idx="11">
                  <c:v>6.3634819998082903E-2</c:v>
                </c:pt>
                <c:pt idx="12">
                  <c:v>5.9085906830071068E-2</c:v>
                </c:pt>
                <c:pt idx="13">
                  <c:v>5.5457671703955394E-2</c:v>
                </c:pt>
                <c:pt idx="14">
                  <c:v>5.7121146151766111E-2</c:v>
                </c:pt>
                <c:pt idx="15">
                  <c:v>5.932904514211406E-2</c:v>
                </c:pt>
                <c:pt idx="16">
                  <c:v>5.9389839931432278E-2</c:v>
                </c:pt>
                <c:pt idx="17">
                  <c:v>5.8109897124671572E-2</c:v>
                </c:pt>
                <c:pt idx="18">
                  <c:v>5.7254003403184081E-2</c:v>
                </c:pt>
                <c:pt idx="19">
                  <c:v>5.4249637960542399E-2</c:v>
                </c:pt>
                <c:pt idx="20">
                  <c:v>5.3700457137471139E-2</c:v>
                </c:pt>
                <c:pt idx="21">
                  <c:v>5.1941765025900609E-2</c:v>
                </c:pt>
                <c:pt idx="22">
                  <c:v>5.3035473390207297E-2</c:v>
                </c:pt>
                <c:pt idx="23">
                  <c:v>5.3050908676146299E-2</c:v>
                </c:pt>
                <c:pt idx="24">
                  <c:v>5.3002908628932498E-2</c:v>
                </c:pt>
                <c:pt idx="25">
                  <c:v>5.15946348733234E-2</c:v>
                </c:pt>
                <c:pt idx="26">
                  <c:v>5.2276035714793757E-2</c:v>
                </c:pt>
                <c:pt idx="27">
                  <c:v>5.0837450948410676E-2</c:v>
                </c:pt>
                <c:pt idx="28">
                  <c:v>4.8478537894030851E-2</c:v>
                </c:pt>
                <c:pt idx="29">
                  <c:v>4.8281548940078065E-2</c:v>
                </c:pt>
                <c:pt idx="30">
                  <c:v>4.7151752022862321E-2</c:v>
                </c:pt>
                <c:pt idx="31">
                  <c:v>4.5477357039559282E-2</c:v>
                </c:pt>
                <c:pt idx="32">
                  <c:v>4.7151403656169426E-2</c:v>
                </c:pt>
                <c:pt idx="33">
                  <c:v>4.8867666002479847E-2</c:v>
                </c:pt>
                <c:pt idx="34">
                  <c:v>4.9758762101651463E-2</c:v>
                </c:pt>
                <c:pt idx="35">
                  <c:v>4.8527287783084266E-2</c:v>
                </c:pt>
                <c:pt idx="36">
                  <c:v>4.6787865634570401E-2</c:v>
                </c:pt>
                <c:pt idx="37">
                  <c:v>4.5664213360933022E-2</c:v>
                </c:pt>
                <c:pt idx="38">
                  <c:v>4.6976897721119779E-2</c:v>
                </c:pt>
                <c:pt idx="39">
                  <c:v>4.6439950256048954E-2</c:v>
                </c:pt>
                <c:pt idx="40">
                  <c:v>4.7467738225449835E-2</c:v>
                </c:pt>
                <c:pt idx="41">
                  <c:v>4.5533109232727395E-2</c:v>
                </c:pt>
                <c:pt idx="42">
                  <c:v>4.7351137127492712E-2</c:v>
                </c:pt>
                <c:pt idx="43">
                  <c:v>4.8506080475229765E-2</c:v>
                </c:pt>
                <c:pt idx="44">
                  <c:v>4.9307850038824749E-2</c:v>
                </c:pt>
                <c:pt idx="45">
                  <c:v>5.049749584184654E-2</c:v>
                </c:pt>
                <c:pt idx="46">
                  <c:v>5.1179413139348172E-2</c:v>
                </c:pt>
                <c:pt idx="47">
                  <c:v>5.1807376632028945E-2</c:v>
                </c:pt>
                <c:pt idx="48">
                  <c:v>5.4747120101161222E-2</c:v>
                </c:pt>
                <c:pt idx="49">
                  <c:v>5.5031552588408944E-2</c:v>
                </c:pt>
                <c:pt idx="50">
                  <c:v>5.7178669638860216E-2</c:v>
                </c:pt>
                <c:pt idx="51">
                  <c:v>5.9263148156714004E-2</c:v>
                </c:pt>
                <c:pt idx="52">
                  <c:v>5.8701304694963513E-2</c:v>
                </c:pt>
                <c:pt idx="53">
                  <c:v>6.3446259149758544E-2</c:v>
                </c:pt>
                <c:pt idx="54">
                  <c:v>6.3957884582966529E-2</c:v>
                </c:pt>
                <c:pt idx="55">
                  <c:v>6.4499086407831335E-2</c:v>
                </c:pt>
                <c:pt idx="56">
                  <c:v>6.3832142209669568E-2</c:v>
                </c:pt>
                <c:pt idx="57">
                  <c:v>6.3971935192133775E-2</c:v>
                </c:pt>
                <c:pt idx="58">
                  <c:v>6.0960817634492133E-2</c:v>
                </c:pt>
                <c:pt idx="59">
                  <c:v>6.5709582581216397E-2</c:v>
                </c:pt>
                <c:pt idx="60">
                  <c:v>6.4449779833214427E-2</c:v>
                </c:pt>
                <c:pt idx="61">
                  <c:v>6.4029932442428134E-2</c:v>
                </c:pt>
                <c:pt idx="62">
                  <c:v>6.4085034115843584E-2</c:v>
                </c:pt>
                <c:pt idx="63">
                  <c:v>6.523312509912868E-2</c:v>
                </c:pt>
                <c:pt idx="64">
                  <c:v>6.5151466729895927E-2</c:v>
                </c:pt>
                <c:pt idx="65">
                  <c:v>6.3806829086118261E-2</c:v>
                </c:pt>
                <c:pt idx="66">
                  <c:v>6.0183219916488742E-2</c:v>
                </c:pt>
                <c:pt idx="67">
                  <c:v>5.7152125160187951E-2</c:v>
                </c:pt>
                <c:pt idx="68">
                  <c:v>5.6783515915890065E-2</c:v>
                </c:pt>
                <c:pt idx="69">
                  <c:v>5.6943350813280405E-2</c:v>
                </c:pt>
                <c:pt idx="70">
                  <c:v>5.5689217031090317E-2</c:v>
                </c:pt>
                <c:pt idx="71">
                  <c:v>5.5055151515151515E-2</c:v>
                </c:pt>
                <c:pt idx="72">
                  <c:v>5.2730171562022816E-2</c:v>
                </c:pt>
                <c:pt idx="73">
                  <c:v>5.3820021578747851E-2</c:v>
                </c:pt>
                <c:pt idx="74">
                  <c:v>5.5676660911902431E-2</c:v>
                </c:pt>
                <c:pt idx="75">
                  <c:v>5.8692601255693706E-2</c:v>
                </c:pt>
                <c:pt idx="76">
                  <c:v>5.8370379482929419E-2</c:v>
                </c:pt>
                <c:pt idx="77">
                  <c:v>5.9321771866954733E-2</c:v>
                </c:pt>
                <c:pt idx="78">
                  <c:v>5.8614916286149163E-2</c:v>
                </c:pt>
                <c:pt idx="79">
                  <c:v>5.8317779199451261E-2</c:v>
                </c:pt>
                <c:pt idx="80">
                  <c:v>5.9483337656032829E-2</c:v>
                </c:pt>
                <c:pt idx="81">
                  <c:v>5.9013664164023504E-2</c:v>
                </c:pt>
                <c:pt idx="82">
                  <c:v>6.2140747071133928E-2</c:v>
                </c:pt>
                <c:pt idx="83">
                  <c:v>6.1956384943806536E-2</c:v>
                </c:pt>
                <c:pt idx="84">
                  <c:v>6.0559101388005285E-2</c:v>
                </c:pt>
                <c:pt idx="85">
                  <c:v>6.212383225366519E-2</c:v>
                </c:pt>
                <c:pt idx="86">
                  <c:v>6.1299685924060682E-2</c:v>
                </c:pt>
                <c:pt idx="87">
                  <c:v>6.3202475905616479E-2</c:v>
                </c:pt>
                <c:pt idx="88">
                  <c:v>6.2652918729087737E-2</c:v>
                </c:pt>
                <c:pt idx="89">
                  <c:v>6.243357029470633E-2</c:v>
                </c:pt>
                <c:pt idx="90">
                  <c:v>6.4214852905166681E-2</c:v>
                </c:pt>
                <c:pt idx="91">
                  <c:v>6.5954574823721093E-2</c:v>
                </c:pt>
                <c:pt idx="92">
                  <c:v>6.9371927064310404E-2</c:v>
                </c:pt>
                <c:pt idx="93">
                  <c:v>6.898931226765799E-2</c:v>
                </c:pt>
                <c:pt idx="94">
                  <c:v>6.9269306342856329E-2</c:v>
                </c:pt>
                <c:pt idx="95">
                  <c:v>6.9687586358386414E-2</c:v>
                </c:pt>
                <c:pt idx="96">
                  <c:v>7.1780358697047963E-2</c:v>
                </c:pt>
                <c:pt idx="97">
                  <c:v>7.0020984275971587E-2</c:v>
                </c:pt>
                <c:pt idx="98">
                  <c:v>7.0528680396101551E-2</c:v>
                </c:pt>
                <c:pt idx="99">
                  <c:v>7.1518765800220402E-2</c:v>
                </c:pt>
                <c:pt idx="100">
                  <c:v>7.3101565029681598E-2</c:v>
                </c:pt>
                <c:pt idx="101">
                  <c:v>7.1434089949852994E-2</c:v>
                </c:pt>
                <c:pt idx="102">
                  <c:v>7.1007565039124532E-2</c:v>
                </c:pt>
                <c:pt idx="103">
                  <c:v>6.973939855624478E-2</c:v>
                </c:pt>
                <c:pt idx="104">
                  <c:v>7.0085896269335757E-2</c:v>
                </c:pt>
                <c:pt idx="105">
                  <c:v>6.9480087687248809E-2</c:v>
                </c:pt>
                <c:pt idx="106">
                  <c:v>6.9912742656942028E-2</c:v>
                </c:pt>
                <c:pt idx="107">
                  <c:v>6.9989152572389982E-2</c:v>
                </c:pt>
                <c:pt idx="108">
                  <c:v>7.0001110897160546E-2</c:v>
                </c:pt>
                <c:pt idx="109">
                  <c:v>7.0378067800600325E-2</c:v>
                </c:pt>
                <c:pt idx="110">
                  <c:v>7.0237145963858549E-2</c:v>
                </c:pt>
                <c:pt idx="111">
                  <c:v>7.0426026626664168E-2</c:v>
                </c:pt>
                <c:pt idx="112">
                  <c:v>6.957371505861136E-2</c:v>
                </c:pt>
                <c:pt idx="113">
                  <c:v>6.8093426384511491E-2</c:v>
                </c:pt>
                <c:pt idx="114">
                  <c:v>6.8595563423971426E-2</c:v>
                </c:pt>
                <c:pt idx="115">
                  <c:v>6.7818108289586121E-2</c:v>
                </c:pt>
                <c:pt idx="116">
                  <c:v>6.9609721700607793E-2</c:v>
                </c:pt>
                <c:pt idx="117">
                  <c:v>6.7298036406215095E-2</c:v>
                </c:pt>
                <c:pt idx="118">
                  <c:v>6.8674112478850066E-2</c:v>
                </c:pt>
                <c:pt idx="119">
                  <c:v>6.7338449300453879E-2</c:v>
                </c:pt>
                <c:pt idx="120">
                  <c:v>6.7062438197485516E-2</c:v>
                </c:pt>
                <c:pt idx="121">
                  <c:v>6.6991452324265247E-2</c:v>
                </c:pt>
                <c:pt idx="122">
                  <c:v>6.5985168991711626E-2</c:v>
                </c:pt>
                <c:pt idx="123">
                  <c:v>6.5461724813923469E-2</c:v>
                </c:pt>
                <c:pt idx="124">
                  <c:v>6.6400284581441454E-2</c:v>
                </c:pt>
                <c:pt idx="125">
                  <c:v>6.7822523679563332E-2</c:v>
                </c:pt>
                <c:pt idx="126">
                  <c:v>6.940081437980597E-2</c:v>
                </c:pt>
                <c:pt idx="127">
                  <c:v>6.9796574051307264E-2</c:v>
                </c:pt>
                <c:pt idx="128">
                  <c:v>6.8891144609011551E-2</c:v>
                </c:pt>
                <c:pt idx="129">
                  <c:v>7.1102616658677287E-2</c:v>
                </c:pt>
                <c:pt idx="130">
                  <c:v>7.2126076449729695E-2</c:v>
                </c:pt>
                <c:pt idx="131">
                  <c:v>7.3975614231147735E-2</c:v>
                </c:pt>
                <c:pt idx="132">
                  <c:v>7.3489991369703467E-2</c:v>
                </c:pt>
                <c:pt idx="133">
                  <c:v>7.3596951285397255E-2</c:v>
                </c:pt>
                <c:pt idx="134">
                  <c:v>7.1747809396645254E-2</c:v>
                </c:pt>
                <c:pt idx="135">
                  <c:v>7.1101528614140735E-2</c:v>
                </c:pt>
                <c:pt idx="136">
                  <c:v>7.0234701150595658E-2</c:v>
                </c:pt>
                <c:pt idx="137">
                  <c:v>7.1802716759572713E-2</c:v>
                </c:pt>
                <c:pt idx="138">
                  <c:v>7.2077387651308833E-2</c:v>
                </c:pt>
                <c:pt idx="139">
                  <c:v>7.2358043482020851E-2</c:v>
                </c:pt>
                <c:pt idx="140">
                  <c:v>7.3832617129734338E-2</c:v>
                </c:pt>
                <c:pt idx="141">
                  <c:v>7.3118246695958289E-2</c:v>
                </c:pt>
                <c:pt idx="142">
                  <c:v>7.2922294042426478E-2</c:v>
                </c:pt>
                <c:pt idx="143">
                  <c:v>7.4576500928590916E-2</c:v>
                </c:pt>
                <c:pt idx="144">
                  <c:v>7.2073472927766072E-2</c:v>
                </c:pt>
                <c:pt idx="145">
                  <c:v>7.2177362544468313E-2</c:v>
                </c:pt>
                <c:pt idx="146">
                  <c:v>7.4180409087691981E-2</c:v>
                </c:pt>
                <c:pt idx="147">
                  <c:v>7.5718221665623045E-2</c:v>
                </c:pt>
                <c:pt idx="148">
                  <c:v>7.5070775701690531E-2</c:v>
                </c:pt>
                <c:pt idx="149">
                  <c:v>7.484483378256962E-2</c:v>
                </c:pt>
                <c:pt idx="150">
                  <c:v>7.3230904860580939E-2</c:v>
                </c:pt>
                <c:pt idx="151">
                  <c:v>7.267927868732775E-2</c:v>
                </c:pt>
                <c:pt idx="152">
                  <c:v>7.2066829169205759E-2</c:v>
                </c:pt>
                <c:pt idx="153">
                  <c:v>7.0005853712926475E-2</c:v>
                </c:pt>
                <c:pt idx="154">
                  <c:v>7.018035772661467E-2</c:v>
                </c:pt>
                <c:pt idx="155">
                  <c:v>7.1063303242498377E-2</c:v>
                </c:pt>
                <c:pt idx="156">
                  <c:v>7.0554722497288627E-2</c:v>
                </c:pt>
                <c:pt idx="157">
                  <c:v>6.9385076303716875E-2</c:v>
                </c:pt>
                <c:pt idx="158">
                  <c:v>7.0062049996714448E-2</c:v>
                </c:pt>
                <c:pt idx="159">
                  <c:v>7.0544630789438623E-2</c:v>
                </c:pt>
                <c:pt idx="160">
                  <c:v>6.9376578492622618E-2</c:v>
                </c:pt>
                <c:pt idx="161">
                  <c:v>6.9037834867947401E-2</c:v>
                </c:pt>
                <c:pt idx="162">
                  <c:v>6.6510017266159294E-2</c:v>
                </c:pt>
                <c:pt idx="163">
                  <c:v>6.4992454410032222E-2</c:v>
                </c:pt>
                <c:pt idx="164">
                  <c:v>6.6114894702753627E-2</c:v>
                </c:pt>
                <c:pt idx="165">
                  <c:v>6.3554641830971953E-2</c:v>
                </c:pt>
                <c:pt idx="166">
                  <c:v>6.3079822505858307E-2</c:v>
                </c:pt>
                <c:pt idx="167">
                  <c:v>6.5316143767279719E-2</c:v>
                </c:pt>
                <c:pt idx="168">
                  <c:v>6.4831610402196732E-2</c:v>
                </c:pt>
                <c:pt idx="169">
                  <c:v>6.5791959567192471E-2</c:v>
                </c:pt>
                <c:pt idx="170">
                  <c:v>6.6077609654866726E-2</c:v>
                </c:pt>
                <c:pt idx="171">
                  <c:v>6.5259654880696349E-2</c:v>
                </c:pt>
                <c:pt idx="172">
                  <c:v>6.3559933378973504E-2</c:v>
                </c:pt>
                <c:pt idx="173">
                  <c:v>6.4929717537294304E-2</c:v>
                </c:pt>
                <c:pt idx="174">
                  <c:v>6.4733299506052666E-2</c:v>
                </c:pt>
                <c:pt idx="175">
                  <c:v>6.6733664142073656E-2</c:v>
                </c:pt>
                <c:pt idx="176">
                  <c:v>6.7664570054497913E-2</c:v>
                </c:pt>
                <c:pt idx="177">
                  <c:v>6.7253587205195517E-2</c:v>
                </c:pt>
                <c:pt idx="178">
                  <c:v>7.1643228354081712E-2</c:v>
                </c:pt>
                <c:pt idx="179">
                  <c:v>7.3091770006342538E-2</c:v>
                </c:pt>
                <c:pt idx="180">
                  <c:v>7.3417426634575039E-2</c:v>
                </c:pt>
                <c:pt idx="181">
                  <c:v>7.3676836382046723E-2</c:v>
                </c:pt>
                <c:pt idx="182">
                  <c:v>7.2980983287000631E-2</c:v>
                </c:pt>
                <c:pt idx="183">
                  <c:v>7.4474236287961224E-2</c:v>
                </c:pt>
                <c:pt idx="184">
                  <c:v>7.112116262040219E-2</c:v>
                </c:pt>
                <c:pt idx="185">
                  <c:v>7.0074105775295076E-2</c:v>
                </c:pt>
                <c:pt idx="186">
                  <c:v>6.8844946784317296E-2</c:v>
                </c:pt>
                <c:pt idx="187">
                  <c:v>6.813833869840652E-2</c:v>
                </c:pt>
                <c:pt idx="188">
                  <c:v>6.6498038763267181E-2</c:v>
                </c:pt>
                <c:pt idx="189">
                  <c:v>6.3694747458354101E-2</c:v>
                </c:pt>
                <c:pt idx="190">
                  <c:v>6.3500244259892522E-2</c:v>
                </c:pt>
                <c:pt idx="191">
                  <c:v>6.3809374746385636E-2</c:v>
                </c:pt>
                <c:pt idx="192">
                  <c:v>6.3852493316285022E-2</c:v>
                </c:pt>
                <c:pt idx="193">
                  <c:v>6.5811102347592104E-2</c:v>
                </c:pt>
                <c:pt idx="194">
                  <c:v>6.3852373196835732E-2</c:v>
                </c:pt>
                <c:pt idx="195">
                  <c:v>6.2660428904756871E-2</c:v>
                </c:pt>
                <c:pt idx="196">
                  <c:v>6.4530539119775576E-2</c:v>
                </c:pt>
                <c:pt idx="197">
                  <c:v>6.3486214953271031E-2</c:v>
                </c:pt>
                <c:pt idx="198">
                  <c:v>6.2820259941530759E-2</c:v>
                </c:pt>
                <c:pt idx="199">
                  <c:v>6.6950373090133838E-2</c:v>
                </c:pt>
                <c:pt idx="200">
                  <c:v>6.4347376429471484E-2</c:v>
                </c:pt>
                <c:pt idx="201">
                  <c:v>6.1661471099159988E-2</c:v>
                </c:pt>
                <c:pt idx="202">
                  <c:v>6.0031807068764986E-2</c:v>
                </c:pt>
                <c:pt idx="203">
                  <c:v>5.9222213028522798E-2</c:v>
                </c:pt>
                <c:pt idx="204">
                  <c:v>5.7975588677502986E-2</c:v>
                </c:pt>
                <c:pt idx="205">
                  <c:v>5.8354571030047993E-2</c:v>
                </c:pt>
                <c:pt idx="206">
                  <c:v>5.8626013761142501E-2</c:v>
                </c:pt>
                <c:pt idx="207">
                  <c:v>6.1305277831186306E-2</c:v>
                </c:pt>
                <c:pt idx="208">
                  <c:v>6.2924505547515677E-2</c:v>
                </c:pt>
                <c:pt idx="209">
                  <c:v>6.7429798279982051E-2</c:v>
                </c:pt>
                <c:pt idx="210">
                  <c:v>7.3728251657610044E-2</c:v>
                </c:pt>
                <c:pt idx="211">
                  <c:v>8.3337157698320646E-2</c:v>
                </c:pt>
                <c:pt idx="212">
                  <c:v>9.2922909880564605E-2</c:v>
                </c:pt>
                <c:pt idx="213">
                  <c:v>0.11018741460648089</c:v>
                </c:pt>
                <c:pt idx="214">
                  <c:v>0.11114127773625751</c:v>
                </c:pt>
                <c:pt idx="215">
                  <c:v>0.10927851287678306</c:v>
                </c:pt>
                <c:pt idx="216">
                  <c:v>0.10511433380810566</c:v>
                </c:pt>
                <c:pt idx="217">
                  <c:v>0.10341657134778753</c:v>
                </c:pt>
                <c:pt idx="218">
                  <c:v>0.10839486377096452</c:v>
                </c:pt>
                <c:pt idx="219">
                  <c:v>0.10947569979075369</c:v>
                </c:pt>
                <c:pt idx="220">
                  <c:v>0.11179261979852823</c:v>
                </c:pt>
                <c:pt idx="221">
                  <c:v>0.10798177343178342</c:v>
                </c:pt>
                <c:pt idx="222">
                  <c:v>0.10825186279116601</c:v>
                </c:pt>
                <c:pt idx="223">
                  <c:v>0.10413863101199014</c:v>
                </c:pt>
                <c:pt idx="224">
                  <c:v>9.9827581532789339E-2</c:v>
                </c:pt>
                <c:pt idx="225">
                  <c:v>0.10113432470639408</c:v>
                </c:pt>
                <c:pt idx="226">
                  <c:v>0.10926523788642842</c:v>
                </c:pt>
                <c:pt idx="227">
                  <c:v>0.10365235392503633</c:v>
                </c:pt>
                <c:pt idx="228">
                  <c:v>9.8848445560122483E-2</c:v>
                </c:pt>
                <c:pt idx="229">
                  <c:v>8.9903776399895968E-2</c:v>
                </c:pt>
                <c:pt idx="230">
                  <c:v>8.6356279791597379E-2</c:v>
                </c:pt>
                <c:pt idx="231">
                  <c:v>8.726793841658706E-2</c:v>
                </c:pt>
                <c:pt idx="232">
                  <c:v>8.4991627854620166E-2</c:v>
                </c:pt>
                <c:pt idx="233">
                  <c:v>8.4729904622569852E-2</c:v>
                </c:pt>
                <c:pt idx="234">
                  <c:v>8.3286037220808393E-2</c:v>
                </c:pt>
                <c:pt idx="235">
                  <c:v>7.6773397601423071E-2</c:v>
                </c:pt>
                <c:pt idx="236">
                  <c:v>7.6558359075031029E-2</c:v>
                </c:pt>
                <c:pt idx="237">
                  <c:v>7.5184922176168803E-2</c:v>
                </c:pt>
                <c:pt idx="238">
                  <c:v>7.6355127962911828E-2</c:v>
                </c:pt>
                <c:pt idx="239">
                  <c:v>7.7528794284881186E-2</c:v>
                </c:pt>
                <c:pt idx="240">
                  <c:v>7.6399664962087804E-2</c:v>
                </c:pt>
                <c:pt idx="241">
                  <c:v>7.6382885769208375E-2</c:v>
                </c:pt>
                <c:pt idx="242">
                  <c:v>7.6184442615239878E-2</c:v>
                </c:pt>
                <c:pt idx="243">
                  <c:v>7.5356888149292756E-2</c:v>
                </c:pt>
                <c:pt idx="244">
                  <c:v>7.6212423655593622E-2</c:v>
                </c:pt>
                <c:pt idx="245">
                  <c:v>7.5548854041013275E-2</c:v>
                </c:pt>
                <c:pt idx="246">
                  <c:v>7.2748412472040003E-2</c:v>
                </c:pt>
                <c:pt idx="247">
                  <c:v>7.2963762971466548E-2</c:v>
                </c:pt>
                <c:pt idx="248">
                  <c:v>7.3345770012436681E-2</c:v>
                </c:pt>
                <c:pt idx="249">
                  <c:v>6.9623995976284464E-2</c:v>
                </c:pt>
                <c:pt idx="250">
                  <c:v>7.0038397992901735E-2</c:v>
                </c:pt>
                <c:pt idx="251">
                  <c:v>7.0348748005400752E-2</c:v>
                </c:pt>
                <c:pt idx="252">
                  <c:v>6.8724305931482488E-2</c:v>
                </c:pt>
                <c:pt idx="253">
                  <c:v>6.7741123374729428E-2</c:v>
                </c:pt>
                <c:pt idx="254">
                  <c:v>7.1299718762555239E-2</c:v>
                </c:pt>
                <c:pt idx="255">
                  <c:v>6.980052403381265E-2</c:v>
                </c:pt>
                <c:pt idx="256">
                  <c:v>7.0313704079244976E-2</c:v>
                </c:pt>
                <c:pt idx="257">
                  <c:v>7.0620729194105711E-2</c:v>
                </c:pt>
                <c:pt idx="258">
                  <c:v>6.7835363476145175E-2</c:v>
                </c:pt>
                <c:pt idx="259">
                  <c:v>6.5401204004966906E-2</c:v>
                </c:pt>
                <c:pt idx="260">
                  <c:v>6.5373685123562897E-2</c:v>
                </c:pt>
                <c:pt idx="261">
                  <c:v>6.4325708216420155E-2</c:v>
                </c:pt>
                <c:pt idx="262">
                  <c:v>6.4914569346781636E-2</c:v>
                </c:pt>
                <c:pt idx="263">
                  <c:v>6.6044711951848661E-2</c:v>
                </c:pt>
                <c:pt idx="264">
                  <c:v>6.6082210608748471E-2</c:v>
                </c:pt>
                <c:pt idx="265">
                  <c:v>6.6751553590877061E-2</c:v>
                </c:pt>
                <c:pt idx="266">
                  <c:v>6.4017485631020804E-2</c:v>
                </c:pt>
                <c:pt idx="267">
                  <c:v>6.4097596981874838E-2</c:v>
                </c:pt>
                <c:pt idx="268">
                  <c:v>6.397774297254967E-2</c:v>
                </c:pt>
                <c:pt idx="269">
                  <c:v>6.2366873597484065E-2</c:v>
                </c:pt>
                <c:pt idx="270">
                  <c:v>6.0407002547875399E-2</c:v>
                </c:pt>
                <c:pt idx="271">
                  <c:v>6.0611095512577012E-2</c:v>
                </c:pt>
                <c:pt idx="272">
                  <c:v>5.9469253957533726E-2</c:v>
                </c:pt>
                <c:pt idx="273">
                  <c:v>5.8265061821521108E-2</c:v>
                </c:pt>
                <c:pt idx="274">
                  <c:v>6.1969313272754359E-2</c:v>
                </c:pt>
                <c:pt idx="275">
                  <c:v>5.9732766524964578E-2</c:v>
                </c:pt>
                <c:pt idx="276">
                  <c:v>5.596564718549174E-2</c:v>
                </c:pt>
                <c:pt idx="277">
                  <c:v>5.2478133620399645E-2</c:v>
                </c:pt>
                <c:pt idx="278">
                  <c:v>5.4544250492426817E-2</c:v>
                </c:pt>
                <c:pt idx="279">
                  <c:v>5.4978296302650762E-2</c:v>
                </c:pt>
                <c:pt idx="280">
                  <c:v>5.5320370274603091E-2</c:v>
                </c:pt>
                <c:pt idx="281">
                  <c:v>5.5780091198485759E-2</c:v>
                </c:pt>
                <c:pt idx="282">
                  <c:v>5.4733646724140925E-2</c:v>
                </c:pt>
                <c:pt idx="283">
                  <c:v>5.6170347335687557E-2</c:v>
                </c:pt>
                <c:pt idx="284">
                  <c:v>5.6095809230660369E-2</c:v>
                </c:pt>
                <c:pt idx="285">
                  <c:v>5.5813552697036459E-2</c:v>
                </c:pt>
                <c:pt idx="286">
                  <c:v>5.8585802524393514E-2</c:v>
                </c:pt>
                <c:pt idx="287">
                  <c:v>6.0007214226454567E-2</c:v>
                </c:pt>
                <c:pt idx="288">
                  <c:v>6.0145461809465006E-2</c:v>
                </c:pt>
                <c:pt idx="289">
                  <c:v>6.0431392368506552E-2</c:v>
                </c:pt>
                <c:pt idx="290">
                  <c:v>6.1646911927037154E-2</c:v>
                </c:pt>
                <c:pt idx="291">
                  <c:v>6.2413276856788137E-2</c:v>
                </c:pt>
                <c:pt idx="292">
                  <c:v>6.4265271721206343E-2</c:v>
                </c:pt>
                <c:pt idx="293">
                  <c:v>6.5409934936764377E-2</c:v>
                </c:pt>
                <c:pt idx="294">
                  <c:v>6.4523972920337569E-2</c:v>
                </c:pt>
                <c:pt idx="295">
                  <c:v>6.3692478042189027E-2</c:v>
                </c:pt>
                <c:pt idx="296">
                  <c:v>6.9098122882862656E-2</c:v>
                </c:pt>
                <c:pt idx="297">
                  <c:v>6.8914863521675973E-2</c:v>
                </c:pt>
                <c:pt idx="298">
                  <c:v>6.905325557672691E-2</c:v>
                </c:pt>
                <c:pt idx="299">
                  <c:v>7.1062491532968203E-2</c:v>
                </c:pt>
                <c:pt idx="300">
                  <c:v>7.1653047660007047E-2</c:v>
                </c:pt>
                <c:pt idx="301">
                  <c:v>7.0931548653764442E-2</c:v>
                </c:pt>
                <c:pt idx="302">
                  <c:v>7.3194150395985258E-2</c:v>
                </c:pt>
                <c:pt idx="303">
                  <c:v>7.8259993214791754E-2</c:v>
                </c:pt>
                <c:pt idx="304">
                  <c:v>7.9474867512445799E-2</c:v>
                </c:pt>
                <c:pt idx="305">
                  <c:v>8.2446574513167198E-2</c:v>
                </c:pt>
                <c:pt idx="306">
                  <c:v>8.6883138154123324E-2</c:v>
                </c:pt>
                <c:pt idx="307">
                  <c:v>8.7255297679111998E-2</c:v>
                </c:pt>
                <c:pt idx="308">
                  <c:v>8.9048327137546471E-2</c:v>
                </c:pt>
                <c:pt idx="309">
                  <c:v>8.7787325233022628E-2</c:v>
                </c:pt>
                <c:pt idx="310">
                  <c:v>8.9364700462759378E-2</c:v>
                </c:pt>
                <c:pt idx="311">
                  <c:v>8.7723710473789268E-2</c:v>
                </c:pt>
                <c:pt idx="312">
                  <c:v>8.6754610168775476E-2</c:v>
                </c:pt>
                <c:pt idx="313">
                  <c:v>8.8521330365871412E-2</c:v>
                </c:pt>
                <c:pt idx="314">
                  <c:v>9.8770474501857483E-2</c:v>
                </c:pt>
                <c:pt idx="315">
                  <c:v>9.3617485403879472E-2</c:v>
                </c:pt>
                <c:pt idx="316">
                  <c:v>8.750021394950791E-2</c:v>
                </c:pt>
                <c:pt idx="317">
                  <c:v>8.3275965536456775E-2</c:v>
                </c:pt>
                <c:pt idx="318">
                  <c:v>7.5918376198117712E-2</c:v>
                </c:pt>
                <c:pt idx="319">
                  <c:v>6.9432461373718835E-2</c:v>
                </c:pt>
                <c:pt idx="320">
                  <c:v>6.8277194677440603E-2</c:v>
                </c:pt>
                <c:pt idx="321">
                  <c:v>6.7122940710069592E-2</c:v>
                </c:pt>
                <c:pt idx="322">
                  <c:v>6.7364229620617194E-2</c:v>
                </c:pt>
                <c:pt idx="323">
                  <c:v>6.7772266215855498E-2</c:v>
                </c:pt>
                <c:pt idx="324">
                  <c:v>6.8137654542196738E-2</c:v>
                </c:pt>
                <c:pt idx="325">
                  <c:v>6.5884587192643437E-2</c:v>
                </c:pt>
                <c:pt idx="326">
                  <c:v>6.1970512993133164E-2</c:v>
                </c:pt>
                <c:pt idx="327">
                  <c:v>6.1647356987690083E-2</c:v>
                </c:pt>
                <c:pt idx="328">
                  <c:v>6.1117485657271139E-2</c:v>
                </c:pt>
                <c:pt idx="329">
                  <c:v>5.9132045454545451E-2</c:v>
                </c:pt>
                <c:pt idx="330">
                  <c:v>5.9069762091022042E-2</c:v>
                </c:pt>
                <c:pt idx="331">
                  <c:v>5.7457299312594662E-2</c:v>
                </c:pt>
                <c:pt idx="332">
                  <c:v>5.8389940063462223E-2</c:v>
                </c:pt>
                <c:pt idx="333">
                  <c:v>6.0652560244532382E-2</c:v>
                </c:pt>
                <c:pt idx="334">
                  <c:v>6.0494848802823617E-2</c:v>
                </c:pt>
                <c:pt idx="335">
                  <c:v>5.8029032721697876E-2</c:v>
                </c:pt>
                <c:pt idx="336">
                  <c:v>5.5614623552123557E-2</c:v>
                </c:pt>
                <c:pt idx="337">
                  <c:v>5.5660422555454406E-2</c:v>
                </c:pt>
                <c:pt idx="338">
                  <c:v>5.6179296657550157E-2</c:v>
                </c:pt>
                <c:pt idx="339">
                  <c:v>5.4719247077277516E-2</c:v>
                </c:pt>
                <c:pt idx="340">
                  <c:v>5.3236676923076917E-2</c:v>
                </c:pt>
                <c:pt idx="341">
                  <c:v>5.4289659934403586E-2</c:v>
                </c:pt>
                <c:pt idx="342">
                  <c:v>5.2293440908411773E-2</c:v>
                </c:pt>
                <c:pt idx="343">
                  <c:v>5.4002313185155387E-2</c:v>
                </c:pt>
                <c:pt idx="344">
                  <c:v>5.1760444276158023E-2</c:v>
                </c:pt>
                <c:pt idx="345">
                  <c:v>4.948269756146919E-2</c:v>
                </c:pt>
                <c:pt idx="346">
                  <c:v>4.9713921143294627E-2</c:v>
                </c:pt>
                <c:pt idx="347">
                  <c:v>4.9048595973842798E-2</c:v>
                </c:pt>
                <c:pt idx="348">
                  <c:v>4.5995761616788131E-2</c:v>
                </c:pt>
                <c:pt idx="349">
                  <c:v>4.2928796374529538E-2</c:v>
                </c:pt>
                <c:pt idx="350">
                  <c:v>4.502426933801508E-2</c:v>
                </c:pt>
                <c:pt idx="351">
                  <c:v>4.4573544366509343E-2</c:v>
                </c:pt>
                <c:pt idx="352">
                  <c:v>4.4847766636280768E-2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1E2-479B-865A-EAD25D3E1D9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11339136"/>
        <c:axId val="411340576"/>
      </c:lineChart>
      <c:lineChart>
        <c:grouping val="standard"/>
        <c:varyColors val="0"/>
        <c:ser>
          <c:idx val="1"/>
          <c:order val="1"/>
          <c:tx>
            <c:strRef>
              <c:f>'Customer Margin Balances'!$T$1</c:f>
              <c:strCache>
                <c:ptCount val="1"/>
                <c:pt idx="0">
                  <c:v>S&amp;P 500 FwdRtn (21M)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'Customer Margin Balances'!$G$2:$G$1354</c:f>
              <c:numCache>
                <c:formatCode>m/d/yyyy</c:formatCode>
                <c:ptCount val="1353"/>
                <c:pt idx="0">
                  <c:v>46173</c:v>
                </c:pt>
                <c:pt idx="1">
                  <c:v>46142</c:v>
                </c:pt>
                <c:pt idx="2">
                  <c:v>46112</c:v>
                </c:pt>
                <c:pt idx="3">
                  <c:v>46081</c:v>
                </c:pt>
                <c:pt idx="4">
                  <c:v>46053</c:v>
                </c:pt>
                <c:pt idx="5">
                  <c:v>46022</c:v>
                </c:pt>
                <c:pt idx="6">
                  <c:v>45991</c:v>
                </c:pt>
                <c:pt idx="7">
                  <c:v>45961</c:v>
                </c:pt>
                <c:pt idx="8">
                  <c:v>45930</c:v>
                </c:pt>
                <c:pt idx="9">
                  <c:v>45900</c:v>
                </c:pt>
                <c:pt idx="10">
                  <c:v>45869</c:v>
                </c:pt>
                <c:pt idx="11">
                  <c:v>45838</c:v>
                </c:pt>
                <c:pt idx="12">
                  <c:v>45808</c:v>
                </c:pt>
                <c:pt idx="13">
                  <c:v>45777</c:v>
                </c:pt>
                <c:pt idx="14">
                  <c:v>45747</c:v>
                </c:pt>
                <c:pt idx="15">
                  <c:v>45716</c:v>
                </c:pt>
                <c:pt idx="16">
                  <c:v>45688</c:v>
                </c:pt>
                <c:pt idx="17">
                  <c:v>45657</c:v>
                </c:pt>
                <c:pt idx="18">
                  <c:v>45626</c:v>
                </c:pt>
                <c:pt idx="19">
                  <c:v>45596</c:v>
                </c:pt>
                <c:pt idx="20">
                  <c:v>45565</c:v>
                </c:pt>
                <c:pt idx="21">
                  <c:v>45535</c:v>
                </c:pt>
                <c:pt idx="22">
                  <c:v>45504</c:v>
                </c:pt>
                <c:pt idx="23">
                  <c:v>45473</c:v>
                </c:pt>
                <c:pt idx="24">
                  <c:v>45443</c:v>
                </c:pt>
                <c:pt idx="25">
                  <c:v>45412</c:v>
                </c:pt>
                <c:pt idx="26">
                  <c:v>45382</c:v>
                </c:pt>
                <c:pt idx="27">
                  <c:v>45351</c:v>
                </c:pt>
                <c:pt idx="28">
                  <c:v>45322</c:v>
                </c:pt>
                <c:pt idx="29">
                  <c:v>45291</c:v>
                </c:pt>
                <c:pt idx="30">
                  <c:v>45260</c:v>
                </c:pt>
                <c:pt idx="31">
                  <c:v>45230</c:v>
                </c:pt>
                <c:pt idx="32">
                  <c:v>45199</c:v>
                </c:pt>
                <c:pt idx="33">
                  <c:v>45169</c:v>
                </c:pt>
                <c:pt idx="34">
                  <c:v>45138</c:v>
                </c:pt>
                <c:pt idx="35">
                  <c:v>45107</c:v>
                </c:pt>
                <c:pt idx="36">
                  <c:v>45077</c:v>
                </c:pt>
                <c:pt idx="37">
                  <c:v>45046</c:v>
                </c:pt>
                <c:pt idx="38">
                  <c:v>45016</c:v>
                </c:pt>
                <c:pt idx="39">
                  <c:v>44985</c:v>
                </c:pt>
                <c:pt idx="40">
                  <c:v>44957</c:v>
                </c:pt>
                <c:pt idx="41">
                  <c:v>44926</c:v>
                </c:pt>
                <c:pt idx="42">
                  <c:v>44895</c:v>
                </c:pt>
                <c:pt idx="43">
                  <c:v>44865</c:v>
                </c:pt>
                <c:pt idx="44">
                  <c:v>44834</c:v>
                </c:pt>
                <c:pt idx="45">
                  <c:v>44804</c:v>
                </c:pt>
                <c:pt idx="46">
                  <c:v>44773</c:v>
                </c:pt>
                <c:pt idx="47">
                  <c:v>44742</c:v>
                </c:pt>
                <c:pt idx="48">
                  <c:v>44712</c:v>
                </c:pt>
                <c:pt idx="49">
                  <c:v>44681</c:v>
                </c:pt>
                <c:pt idx="50">
                  <c:v>44651</c:v>
                </c:pt>
                <c:pt idx="51">
                  <c:v>44620</c:v>
                </c:pt>
                <c:pt idx="52">
                  <c:v>44592</c:v>
                </c:pt>
                <c:pt idx="53">
                  <c:v>44561</c:v>
                </c:pt>
                <c:pt idx="54">
                  <c:v>44530</c:v>
                </c:pt>
                <c:pt idx="55">
                  <c:v>44500</c:v>
                </c:pt>
                <c:pt idx="56">
                  <c:v>44469</c:v>
                </c:pt>
                <c:pt idx="57">
                  <c:v>44439</c:v>
                </c:pt>
                <c:pt idx="58">
                  <c:v>44408</c:v>
                </c:pt>
                <c:pt idx="59">
                  <c:v>44377</c:v>
                </c:pt>
                <c:pt idx="60">
                  <c:v>44347</c:v>
                </c:pt>
                <c:pt idx="61">
                  <c:v>44316</c:v>
                </c:pt>
                <c:pt idx="62">
                  <c:v>44286</c:v>
                </c:pt>
                <c:pt idx="63">
                  <c:v>44255</c:v>
                </c:pt>
                <c:pt idx="64">
                  <c:v>44227</c:v>
                </c:pt>
                <c:pt idx="65">
                  <c:v>44196</c:v>
                </c:pt>
                <c:pt idx="66">
                  <c:v>44165</c:v>
                </c:pt>
                <c:pt idx="67">
                  <c:v>44135</c:v>
                </c:pt>
                <c:pt idx="68">
                  <c:v>44104</c:v>
                </c:pt>
                <c:pt idx="69">
                  <c:v>44074</c:v>
                </c:pt>
                <c:pt idx="70">
                  <c:v>44043</c:v>
                </c:pt>
                <c:pt idx="71">
                  <c:v>44012</c:v>
                </c:pt>
                <c:pt idx="72">
                  <c:v>43982</c:v>
                </c:pt>
                <c:pt idx="73">
                  <c:v>43951</c:v>
                </c:pt>
                <c:pt idx="74">
                  <c:v>43921</c:v>
                </c:pt>
                <c:pt idx="75">
                  <c:v>43890</c:v>
                </c:pt>
                <c:pt idx="76">
                  <c:v>43861</c:v>
                </c:pt>
                <c:pt idx="77">
                  <c:v>43830</c:v>
                </c:pt>
                <c:pt idx="78">
                  <c:v>43799</c:v>
                </c:pt>
                <c:pt idx="79">
                  <c:v>43769</c:v>
                </c:pt>
                <c:pt idx="80">
                  <c:v>43738</c:v>
                </c:pt>
                <c:pt idx="81">
                  <c:v>43708</c:v>
                </c:pt>
                <c:pt idx="82">
                  <c:v>43677</c:v>
                </c:pt>
                <c:pt idx="83">
                  <c:v>43646</c:v>
                </c:pt>
                <c:pt idx="84">
                  <c:v>43616</c:v>
                </c:pt>
                <c:pt idx="85">
                  <c:v>43585</c:v>
                </c:pt>
                <c:pt idx="86">
                  <c:v>43555</c:v>
                </c:pt>
                <c:pt idx="87">
                  <c:v>43524</c:v>
                </c:pt>
                <c:pt idx="88">
                  <c:v>43496</c:v>
                </c:pt>
                <c:pt idx="89">
                  <c:v>43465</c:v>
                </c:pt>
                <c:pt idx="90">
                  <c:v>43434</c:v>
                </c:pt>
                <c:pt idx="91">
                  <c:v>43404</c:v>
                </c:pt>
                <c:pt idx="92">
                  <c:v>43373</c:v>
                </c:pt>
                <c:pt idx="93">
                  <c:v>43343</c:v>
                </c:pt>
                <c:pt idx="94">
                  <c:v>43312</c:v>
                </c:pt>
                <c:pt idx="95">
                  <c:v>43281</c:v>
                </c:pt>
                <c:pt idx="96">
                  <c:v>43251</c:v>
                </c:pt>
                <c:pt idx="97">
                  <c:v>43220</c:v>
                </c:pt>
                <c:pt idx="98">
                  <c:v>43190</c:v>
                </c:pt>
                <c:pt idx="99">
                  <c:v>43159</c:v>
                </c:pt>
                <c:pt idx="100">
                  <c:v>43131</c:v>
                </c:pt>
                <c:pt idx="101">
                  <c:v>43100</c:v>
                </c:pt>
                <c:pt idx="102">
                  <c:v>43069</c:v>
                </c:pt>
                <c:pt idx="103">
                  <c:v>43039</c:v>
                </c:pt>
                <c:pt idx="104">
                  <c:v>43008</c:v>
                </c:pt>
                <c:pt idx="105">
                  <c:v>42978</c:v>
                </c:pt>
                <c:pt idx="106">
                  <c:v>42947</c:v>
                </c:pt>
                <c:pt idx="107">
                  <c:v>42916</c:v>
                </c:pt>
                <c:pt idx="108">
                  <c:v>42886</c:v>
                </c:pt>
                <c:pt idx="109">
                  <c:v>42855</c:v>
                </c:pt>
                <c:pt idx="110">
                  <c:v>42825</c:v>
                </c:pt>
                <c:pt idx="111">
                  <c:v>42794</c:v>
                </c:pt>
                <c:pt idx="112">
                  <c:v>42766</c:v>
                </c:pt>
                <c:pt idx="113">
                  <c:v>42735</c:v>
                </c:pt>
                <c:pt idx="114">
                  <c:v>42704</c:v>
                </c:pt>
                <c:pt idx="115">
                  <c:v>42674</c:v>
                </c:pt>
                <c:pt idx="116">
                  <c:v>42643</c:v>
                </c:pt>
                <c:pt idx="117">
                  <c:v>42613</c:v>
                </c:pt>
                <c:pt idx="118">
                  <c:v>42582</c:v>
                </c:pt>
                <c:pt idx="119">
                  <c:v>42551</c:v>
                </c:pt>
                <c:pt idx="120">
                  <c:v>42521</c:v>
                </c:pt>
                <c:pt idx="121">
                  <c:v>42490</c:v>
                </c:pt>
                <c:pt idx="122">
                  <c:v>42460</c:v>
                </c:pt>
                <c:pt idx="123">
                  <c:v>42429</c:v>
                </c:pt>
                <c:pt idx="124">
                  <c:v>42400</c:v>
                </c:pt>
                <c:pt idx="125">
                  <c:v>42369</c:v>
                </c:pt>
                <c:pt idx="126">
                  <c:v>42338</c:v>
                </c:pt>
                <c:pt idx="127">
                  <c:v>42308</c:v>
                </c:pt>
                <c:pt idx="128">
                  <c:v>42277</c:v>
                </c:pt>
                <c:pt idx="129">
                  <c:v>42247</c:v>
                </c:pt>
                <c:pt idx="130">
                  <c:v>42216</c:v>
                </c:pt>
                <c:pt idx="131">
                  <c:v>42185</c:v>
                </c:pt>
                <c:pt idx="132">
                  <c:v>42155</c:v>
                </c:pt>
                <c:pt idx="133">
                  <c:v>42124</c:v>
                </c:pt>
                <c:pt idx="134">
                  <c:v>42094</c:v>
                </c:pt>
                <c:pt idx="135">
                  <c:v>42063</c:v>
                </c:pt>
                <c:pt idx="136">
                  <c:v>42035</c:v>
                </c:pt>
                <c:pt idx="137">
                  <c:v>42004</c:v>
                </c:pt>
                <c:pt idx="138">
                  <c:v>41973</c:v>
                </c:pt>
                <c:pt idx="139">
                  <c:v>41943</c:v>
                </c:pt>
                <c:pt idx="140">
                  <c:v>41912</c:v>
                </c:pt>
                <c:pt idx="141">
                  <c:v>41882</c:v>
                </c:pt>
                <c:pt idx="142">
                  <c:v>41851</c:v>
                </c:pt>
                <c:pt idx="143">
                  <c:v>41820</c:v>
                </c:pt>
                <c:pt idx="144">
                  <c:v>41790</c:v>
                </c:pt>
                <c:pt idx="145">
                  <c:v>41759</c:v>
                </c:pt>
                <c:pt idx="146">
                  <c:v>41729</c:v>
                </c:pt>
                <c:pt idx="147">
                  <c:v>41698</c:v>
                </c:pt>
                <c:pt idx="148">
                  <c:v>41670</c:v>
                </c:pt>
                <c:pt idx="149">
                  <c:v>41639</c:v>
                </c:pt>
                <c:pt idx="150">
                  <c:v>41608</c:v>
                </c:pt>
                <c:pt idx="151">
                  <c:v>41578</c:v>
                </c:pt>
                <c:pt idx="152">
                  <c:v>41547</c:v>
                </c:pt>
                <c:pt idx="153">
                  <c:v>41517</c:v>
                </c:pt>
                <c:pt idx="154">
                  <c:v>41486</c:v>
                </c:pt>
                <c:pt idx="155">
                  <c:v>41455</c:v>
                </c:pt>
                <c:pt idx="156">
                  <c:v>41425</c:v>
                </c:pt>
                <c:pt idx="157">
                  <c:v>41394</c:v>
                </c:pt>
                <c:pt idx="158">
                  <c:v>41364</c:v>
                </c:pt>
                <c:pt idx="159">
                  <c:v>41333</c:v>
                </c:pt>
                <c:pt idx="160">
                  <c:v>41305</c:v>
                </c:pt>
                <c:pt idx="161">
                  <c:v>41274</c:v>
                </c:pt>
                <c:pt idx="162">
                  <c:v>41243</c:v>
                </c:pt>
                <c:pt idx="163">
                  <c:v>41213</c:v>
                </c:pt>
                <c:pt idx="164">
                  <c:v>41182</c:v>
                </c:pt>
                <c:pt idx="165">
                  <c:v>41152</c:v>
                </c:pt>
                <c:pt idx="166">
                  <c:v>41121</c:v>
                </c:pt>
                <c:pt idx="167">
                  <c:v>41090</c:v>
                </c:pt>
                <c:pt idx="168">
                  <c:v>41060</c:v>
                </c:pt>
                <c:pt idx="169">
                  <c:v>41029</c:v>
                </c:pt>
                <c:pt idx="170">
                  <c:v>40999</c:v>
                </c:pt>
                <c:pt idx="171">
                  <c:v>40968</c:v>
                </c:pt>
                <c:pt idx="172">
                  <c:v>40939</c:v>
                </c:pt>
                <c:pt idx="173">
                  <c:v>40908</c:v>
                </c:pt>
                <c:pt idx="174">
                  <c:v>40877</c:v>
                </c:pt>
                <c:pt idx="175">
                  <c:v>40847</c:v>
                </c:pt>
                <c:pt idx="176">
                  <c:v>40816</c:v>
                </c:pt>
                <c:pt idx="177">
                  <c:v>40786</c:v>
                </c:pt>
                <c:pt idx="178">
                  <c:v>40755</c:v>
                </c:pt>
                <c:pt idx="179">
                  <c:v>40724</c:v>
                </c:pt>
                <c:pt idx="180">
                  <c:v>40694</c:v>
                </c:pt>
                <c:pt idx="181">
                  <c:v>40663</c:v>
                </c:pt>
                <c:pt idx="182">
                  <c:v>40633</c:v>
                </c:pt>
                <c:pt idx="183">
                  <c:v>40602</c:v>
                </c:pt>
                <c:pt idx="184">
                  <c:v>40574</c:v>
                </c:pt>
                <c:pt idx="185">
                  <c:v>40543</c:v>
                </c:pt>
                <c:pt idx="186">
                  <c:v>40512</c:v>
                </c:pt>
                <c:pt idx="187">
                  <c:v>40482</c:v>
                </c:pt>
                <c:pt idx="188">
                  <c:v>40451</c:v>
                </c:pt>
                <c:pt idx="189">
                  <c:v>40421</c:v>
                </c:pt>
                <c:pt idx="190">
                  <c:v>40390</c:v>
                </c:pt>
                <c:pt idx="191">
                  <c:v>40359</c:v>
                </c:pt>
                <c:pt idx="192">
                  <c:v>40329</c:v>
                </c:pt>
                <c:pt idx="193">
                  <c:v>40298</c:v>
                </c:pt>
                <c:pt idx="194">
                  <c:v>40268</c:v>
                </c:pt>
                <c:pt idx="195">
                  <c:v>40237</c:v>
                </c:pt>
                <c:pt idx="196">
                  <c:v>40209</c:v>
                </c:pt>
                <c:pt idx="197">
                  <c:v>40178</c:v>
                </c:pt>
                <c:pt idx="198">
                  <c:v>40147</c:v>
                </c:pt>
                <c:pt idx="199">
                  <c:v>40117</c:v>
                </c:pt>
                <c:pt idx="200">
                  <c:v>40086</c:v>
                </c:pt>
                <c:pt idx="201">
                  <c:v>40056</c:v>
                </c:pt>
                <c:pt idx="202">
                  <c:v>40025</c:v>
                </c:pt>
                <c:pt idx="203">
                  <c:v>39994</c:v>
                </c:pt>
                <c:pt idx="204">
                  <c:v>39964</c:v>
                </c:pt>
                <c:pt idx="205">
                  <c:v>39933</c:v>
                </c:pt>
                <c:pt idx="206">
                  <c:v>39903</c:v>
                </c:pt>
                <c:pt idx="207">
                  <c:v>39872</c:v>
                </c:pt>
                <c:pt idx="208">
                  <c:v>39844</c:v>
                </c:pt>
                <c:pt idx="209">
                  <c:v>39813</c:v>
                </c:pt>
                <c:pt idx="210">
                  <c:v>39782</c:v>
                </c:pt>
                <c:pt idx="211">
                  <c:v>39752</c:v>
                </c:pt>
                <c:pt idx="212">
                  <c:v>39721</c:v>
                </c:pt>
                <c:pt idx="213">
                  <c:v>39691</c:v>
                </c:pt>
                <c:pt idx="214">
                  <c:v>39660</c:v>
                </c:pt>
                <c:pt idx="215">
                  <c:v>39629</c:v>
                </c:pt>
                <c:pt idx="216">
                  <c:v>39599</c:v>
                </c:pt>
                <c:pt idx="217">
                  <c:v>39568</c:v>
                </c:pt>
                <c:pt idx="218">
                  <c:v>39538</c:v>
                </c:pt>
                <c:pt idx="219">
                  <c:v>39507</c:v>
                </c:pt>
                <c:pt idx="220">
                  <c:v>39478</c:v>
                </c:pt>
                <c:pt idx="221">
                  <c:v>39447</c:v>
                </c:pt>
                <c:pt idx="222">
                  <c:v>39416</c:v>
                </c:pt>
                <c:pt idx="223">
                  <c:v>39386</c:v>
                </c:pt>
                <c:pt idx="224">
                  <c:v>39355</c:v>
                </c:pt>
                <c:pt idx="225">
                  <c:v>39325</c:v>
                </c:pt>
                <c:pt idx="226">
                  <c:v>39294</c:v>
                </c:pt>
                <c:pt idx="227">
                  <c:v>39263</c:v>
                </c:pt>
                <c:pt idx="228">
                  <c:v>39233</c:v>
                </c:pt>
                <c:pt idx="229">
                  <c:v>39202</c:v>
                </c:pt>
                <c:pt idx="230">
                  <c:v>39172</c:v>
                </c:pt>
                <c:pt idx="231">
                  <c:v>39141</c:v>
                </c:pt>
                <c:pt idx="232">
                  <c:v>39113</c:v>
                </c:pt>
                <c:pt idx="233">
                  <c:v>39082</c:v>
                </c:pt>
                <c:pt idx="234">
                  <c:v>39051</c:v>
                </c:pt>
                <c:pt idx="235">
                  <c:v>39021</c:v>
                </c:pt>
                <c:pt idx="236">
                  <c:v>38990</c:v>
                </c:pt>
                <c:pt idx="237">
                  <c:v>38960</c:v>
                </c:pt>
                <c:pt idx="238">
                  <c:v>38929</c:v>
                </c:pt>
                <c:pt idx="239">
                  <c:v>38898</c:v>
                </c:pt>
                <c:pt idx="240">
                  <c:v>38868</c:v>
                </c:pt>
                <c:pt idx="241">
                  <c:v>38837</c:v>
                </c:pt>
                <c:pt idx="242">
                  <c:v>38807</c:v>
                </c:pt>
                <c:pt idx="243">
                  <c:v>38776</c:v>
                </c:pt>
                <c:pt idx="244">
                  <c:v>38748</c:v>
                </c:pt>
                <c:pt idx="245">
                  <c:v>38717</c:v>
                </c:pt>
                <c:pt idx="246">
                  <c:v>38686</c:v>
                </c:pt>
                <c:pt idx="247">
                  <c:v>38656</c:v>
                </c:pt>
                <c:pt idx="248">
                  <c:v>38625</c:v>
                </c:pt>
                <c:pt idx="249">
                  <c:v>38595</c:v>
                </c:pt>
                <c:pt idx="250">
                  <c:v>38564</c:v>
                </c:pt>
                <c:pt idx="251">
                  <c:v>38533</c:v>
                </c:pt>
                <c:pt idx="252">
                  <c:v>38503</c:v>
                </c:pt>
                <c:pt idx="253">
                  <c:v>38472</c:v>
                </c:pt>
                <c:pt idx="254">
                  <c:v>38442</c:v>
                </c:pt>
                <c:pt idx="255">
                  <c:v>38411</c:v>
                </c:pt>
                <c:pt idx="256">
                  <c:v>38383</c:v>
                </c:pt>
                <c:pt idx="257">
                  <c:v>38352</c:v>
                </c:pt>
                <c:pt idx="258">
                  <c:v>38321</c:v>
                </c:pt>
                <c:pt idx="259">
                  <c:v>38291</c:v>
                </c:pt>
                <c:pt idx="260">
                  <c:v>38260</c:v>
                </c:pt>
                <c:pt idx="261">
                  <c:v>38230</c:v>
                </c:pt>
                <c:pt idx="262">
                  <c:v>38199</c:v>
                </c:pt>
                <c:pt idx="263">
                  <c:v>38168</c:v>
                </c:pt>
                <c:pt idx="264">
                  <c:v>38138</c:v>
                </c:pt>
                <c:pt idx="265">
                  <c:v>38107</c:v>
                </c:pt>
                <c:pt idx="266">
                  <c:v>38077</c:v>
                </c:pt>
                <c:pt idx="267">
                  <c:v>38046</c:v>
                </c:pt>
                <c:pt idx="268">
                  <c:v>38017</c:v>
                </c:pt>
                <c:pt idx="269">
                  <c:v>37986</c:v>
                </c:pt>
                <c:pt idx="270">
                  <c:v>37955</c:v>
                </c:pt>
                <c:pt idx="271">
                  <c:v>37925</c:v>
                </c:pt>
                <c:pt idx="272">
                  <c:v>37894</c:v>
                </c:pt>
                <c:pt idx="273">
                  <c:v>37864</c:v>
                </c:pt>
                <c:pt idx="274">
                  <c:v>37833</c:v>
                </c:pt>
                <c:pt idx="275">
                  <c:v>37802</c:v>
                </c:pt>
                <c:pt idx="276">
                  <c:v>37772</c:v>
                </c:pt>
                <c:pt idx="277">
                  <c:v>37741</c:v>
                </c:pt>
                <c:pt idx="278">
                  <c:v>37711</c:v>
                </c:pt>
                <c:pt idx="279">
                  <c:v>37680</c:v>
                </c:pt>
                <c:pt idx="280">
                  <c:v>37652</c:v>
                </c:pt>
                <c:pt idx="281">
                  <c:v>37621</c:v>
                </c:pt>
                <c:pt idx="282">
                  <c:v>37590</c:v>
                </c:pt>
                <c:pt idx="283">
                  <c:v>37560</c:v>
                </c:pt>
                <c:pt idx="284">
                  <c:v>37529</c:v>
                </c:pt>
                <c:pt idx="285">
                  <c:v>37499</c:v>
                </c:pt>
                <c:pt idx="286">
                  <c:v>37468</c:v>
                </c:pt>
                <c:pt idx="287">
                  <c:v>37437</c:v>
                </c:pt>
                <c:pt idx="288">
                  <c:v>37407</c:v>
                </c:pt>
                <c:pt idx="289">
                  <c:v>37376</c:v>
                </c:pt>
                <c:pt idx="290">
                  <c:v>37346</c:v>
                </c:pt>
                <c:pt idx="291">
                  <c:v>37315</c:v>
                </c:pt>
                <c:pt idx="292">
                  <c:v>37287</c:v>
                </c:pt>
                <c:pt idx="293">
                  <c:v>37256</c:v>
                </c:pt>
                <c:pt idx="294">
                  <c:v>37225</c:v>
                </c:pt>
                <c:pt idx="295">
                  <c:v>37195</c:v>
                </c:pt>
                <c:pt idx="296">
                  <c:v>37164</c:v>
                </c:pt>
                <c:pt idx="297">
                  <c:v>37134</c:v>
                </c:pt>
                <c:pt idx="298">
                  <c:v>37103</c:v>
                </c:pt>
                <c:pt idx="299">
                  <c:v>37072</c:v>
                </c:pt>
                <c:pt idx="300">
                  <c:v>37042</c:v>
                </c:pt>
                <c:pt idx="301">
                  <c:v>37011</c:v>
                </c:pt>
                <c:pt idx="302">
                  <c:v>36981</c:v>
                </c:pt>
                <c:pt idx="303">
                  <c:v>36950</c:v>
                </c:pt>
                <c:pt idx="304">
                  <c:v>36922</c:v>
                </c:pt>
                <c:pt idx="305">
                  <c:v>36891</c:v>
                </c:pt>
                <c:pt idx="306">
                  <c:v>36860</c:v>
                </c:pt>
                <c:pt idx="307">
                  <c:v>36830</c:v>
                </c:pt>
                <c:pt idx="308">
                  <c:v>36799</c:v>
                </c:pt>
                <c:pt idx="309">
                  <c:v>36769</c:v>
                </c:pt>
                <c:pt idx="310">
                  <c:v>36738</c:v>
                </c:pt>
                <c:pt idx="311">
                  <c:v>36707</c:v>
                </c:pt>
                <c:pt idx="312">
                  <c:v>36677</c:v>
                </c:pt>
                <c:pt idx="313">
                  <c:v>36646</c:v>
                </c:pt>
                <c:pt idx="314">
                  <c:v>36616</c:v>
                </c:pt>
                <c:pt idx="315">
                  <c:v>36585</c:v>
                </c:pt>
                <c:pt idx="316">
                  <c:v>36556</c:v>
                </c:pt>
                <c:pt idx="317">
                  <c:v>36525</c:v>
                </c:pt>
                <c:pt idx="318">
                  <c:v>36494</c:v>
                </c:pt>
                <c:pt idx="319">
                  <c:v>36464</c:v>
                </c:pt>
                <c:pt idx="320">
                  <c:v>36433</c:v>
                </c:pt>
                <c:pt idx="321">
                  <c:v>36403</c:v>
                </c:pt>
                <c:pt idx="322">
                  <c:v>36372</c:v>
                </c:pt>
                <c:pt idx="323">
                  <c:v>36341</c:v>
                </c:pt>
                <c:pt idx="324">
                  <c:v>36311</c:v>
                </c:pt>
                <c:pt idx="325">
                  <c:v>36280</c:v>
                </c:pt>
                <c:pt idx="326">
                  <c:v>36250</c:v>
                </c:pt>
                <c:pt idx="327">
                  <c:v>36219</c:v>
                </c:pt>
                <c:pt idx="328">
                  <c:v>36191</c:v>
                </c:pt>
                <c:pt idx="329">
                  <c:v>36160</c:v>
                </c:pt>
                <c:pt idx="330">
                  <c:v>36129</c:v>
                </c:pt>
                <c:pt idx="331">
                  <c:v>36099</c:v>
                </c:pt>
                <c:pt idx="332">
                  <c:v>36068</c:v>
                </c:pt>
                <c:pt idx="333">
                  <c:v>36038</c:v>
                </c:pt>
                <c:pt idx="334">
                  <c:v>36007</c:v>
                </c:pt>
                <c:pt idx="335">
                  <c:v>35976</c:v>
                </c:pt>
                <c:pt idx="336">
                  <c:v>35946</c:v>
                </c:pt>
                <c:pt idx="337">
                  <c:v>35915</c:v>
                </c:pt>
                <c:pt idx="338">
                  <c:v>35885</c:v>
                </c:pt>
                <c:pt idx="339">
                  <c:v>35854</c:v>
                </c:pt>
                <c:pt idx="340">
                  <c:v>35826</c:v>
                </c:pt>
                <c:pt idx="341">
                  <c:v>35795</c:v>
                </c:pt>
                <c:pt idx="342">
                  <c:v>35764</c:v>
                </c:pt>
                <c:pt idx="343">
                  <c:v>35734</c:v>
                </c:pt>
                <c:pt idx="344">
                  <c:v>35703</c:v>
                </c:pt>
                <c:pt idx="345">
                  <c:v>35673</c:v>
                </c:pt>
                <c:pt idx="346">
                  <c:v>35642</c:v>
                </c:pt>
                <c:pt idx="347">
                  <c:v>35611</c:v>
                </c:pt>
                <c:pt idx="348">
                  <c:v>35581</c:v>
                </c:pt>
                <c:pt idx="349">
                  <c:v>35550</c:v>
                </c:pt>
                <c:pt idx="350">
                  <c:v>35520</c:v>
                </c:pt>
                <c:pt idx="351">
                  <c:v>35489</c:v>
                </c:pt>
                <c:pt idx="352">
                  <c:v>35461</c:v>
                </c:pt>
              </c:numCache>
            </c:numRef>
          </c:cat>
          <c:val>
            <c:numRef>
              <c:f>'Customer Margin Balances'!$T$2:$T$1354</c:f>
              <c:numCache>
                <c:formatCode>0%</c:formatCode>
                <c:ptCount val="1353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0.34198357056865669</c:v>
                </c:pt>
                <c:pt idx="22">
                  <c:v>0.30543614073846048</c:v>
                </c:pt>
                <c:pt idx="23">
                  <c:v>0.19559452648851394</c:v>
                </c:pt>
                <c:pt idx="24">
                  <c:v>0.30343286890976984</c:v>
                </c:pt>
                <c:pt idx="25">
                  <c:v>0.37797004978463722</c:v>
                </c:pt>
                <c:pt idx="26">
                  <c:v>0.30282527810290505</c:v>
                </c:pt>
                <c:pt idx="27">
                  <c:v>0.34394174562964674</c:v>
                </c:pt>
                <c:pt idx="28">
                  <c:v>0.41161660458349258</c:v>
                </c:pt>
                <c:pt idx="29">
                  <c:v>0.40224284722935622</c:v>
                </c:pt>
                <c:pt idx="30">
                  <c:v>0.41430447918034941</c:v>
                </c:pt>
                <c:pt idx="31">
                  <c:v>0.51160999570794985</c:v>
                </c:pt>
                <c:pt idx="32">
                  <c:v>0.44703303366332015</c:v>
                </c:pt>
                <c:pt idx="33">
                  <c:v>0.31147646450708355</c:v>
                </c:pt>
                <c:pt idx="34">
                  <c:v>0.21357780412119531</c:v>
                </c:pt>
                <c:pt idx="35">
                  <c:v>0.26098220826086771</c:v>
                </c:pt>
                <c:pt idx="36">
                  <c:v>0.42457946854297912</c:v>
                </c:pt>
                <c:pt idx="37">
                  <c:v>0.44874900467204548</c:v>
                </c:pt>
                <c:pt idx="38">
                  <c:v>0.43129381818358792</c:v>
                </c:pt>
                <c:pt idx="39">
                  <c:v>0.51943377454252349</c:v>
                </c:pt>
                <c:pt idx="40">
                  <c:v>0.39956090860030424</c:v>
                </c:pt>
                <c:pt idx="41">
                  <c:v>0.50084125537179314</c:v>
                </c:pt>
                <c:pt idx="42">
                  <c:v>0.38437444088517214</c:v>
                </c:pt>
                <c:pt idx="43">
                  <c:v>0.42622120982029865</c:v>
                </c:pt>
                <c:pt idx="44">
                  <c:v>0.52288307182579286</c:v>
                </c:pt>
                <c:pt idx="45">
                  <c:v>0.33438938053097345</c:v>
                </c:pt>
                <c:pt idx="46">
                  <c:v>0.21920978914313505</c:v>
                </c:pt>
                <c:pt idx="47">
                  <c:v>0.38806407811104826</c:v>
                </c:pt>
                <c:pt idx="48">
                  <c:v>0.23332163643623804</c:v>
                </c:pt>
                <c:pt idx="49">
                  <c:v>0.1727328391332863</c:v>
                </c:pt>
                <c:pt idx="50">
                  <c:v>5.2847314040009641E-2</c:v>
                </c:pt>
                <c:pt idx="51">
                  <c:v>4.4321595632313304E-2</c:v>
                </c:pt>
                <c:pt idx="52">
                  <c:v>-7.1253778609471685E-2</c:v>
                </c:pt>
                <c:pt idx="53">
                  <c:v>-0.1003172351862498</c:v>
                </c:pt>
                <c:pt idx="54">
                  <c:v>-1.2993212174293833E-2</c:v>
                </c:pt>
                <c:pt idx="55">
                  <c:v>-3.5653952551146784E-3</c:v>
                </c:pt>
                <c:pt idx="56">
                  <c:v>3.3160458173342677E-2</c:v>
                </c:pt>
                <c:pt idx="57">
                  <c:v>-7.5806822503471483E-2</c:v>
                </c:pt>
                <c:pt idx="58">
                  <c:v>-5.136897475917257E-2</c:v>
                </c:pt>
                <c:pt idx="59">
                  <c:v>-4.3790575916230257E-2</c:v>
                </c:pt>
                <c:pt idx="60">
                  <c:v>-5.56503041071712E-2</c:v>
                </c:pt>
                <c:pt idx="61">
                  <c:v>-2.5009746075859152E-2</c:v>
                </c:pt>
                <c:pt idx="62">
                  <c:v>-3.3575054934820714E-2</c:v>
                </c:pt>
                <c:pt idx="63">
                  <c:v>7.0571874631016884E-2</c:v>
                </c:pt>
                <c:pt idx="64">
                  <c:v>4.2468984233652085E-2</c:v>
                </c:pt>
                <c:pt idx="65">
                  <c:v>-4.5379878436770382E-2</c:v>
                </c:pt>
                <c:pt idx="66">
                  <c:v>9.2049712422306973E-2</c:v>
                </c:pt>
                <c:pt idx="67">
                  <c:v>0.26310107768902369</c:v>
                </c:pt>
                <c:pt idx="68">
                  <c:v>0.12559619387451693</c:v>
                </c:pt>
                <c:pt idx="69">
                  <c:v>0.1805097262813864</c:v>
                </c:pt>
                <c:pt idx="70">
                  <c:v>0.26315451588446792</c:v>
                </c:pt>
                <c:pt idx="71">
                  <c:v>0.46128587970802726</c:v>
                </c:pt>
                <c:pt idx="72">
                  <c:v>0.43675906855740698</c:v>
                </c:pt>
                <c:pt idx="73">
                  <c:v>0.55044069728714518</c:v>
                </c:pt>
                <c:pt idx="74">
                  <c:v>0.8440758495544749</c:v>
                </c:pt>
                <c:pt idx="75">
                  <c:v>0.54592413564324938</c:v>
                </c:pt>
                <c:pt idx="76">
                  <c:v>0.4277945881594285</c:v>
                </c:pt>
                <c:pt idx="77">
                  <c:v>0.33328174620370299</c:v>
                </c:pt>
                <c:pt idx="78">
                  <c:v>0.43989455520251641</c:v>
                </c:pt>
                <c:pt idx="79">
                  <c:v>0.44697059481952639</c:v>
                </c:pt>
                <c:pt idx="80">
                  <c:v>0.44369343644389514</c:v>
                </c:pt>
                <c:pt idx="81">
                  <c:v>0.43658549920381606</c:v>
                </c:pt>
                <c:pt idx="82">
                  <c:v>0.4028982881377543</c:v>
                </c:pt>
                <c:pt idx="83">
                  <c:v>0.35051465789187408</c:v>
                </c:pt>
                <c:pt idx="84">
                  <c:v>0.38483535969419269</c:v>
                </c:pt>
                <c:pt idx="85">
                  <c:v>0.26084668836966141</c:v>
                </c:pt>
                <c:pt idx="86">
                  <c:v>0.32517287609370582</c:v>
                </c:pt>
                <c:pt idx="87">
                  <c:v>0.30064392402199336</c:v>
                </c:pt>
                <c:pt idx="88">
                  <c:v>0.20926001257349958</c:v>
                </c:pt>
                <c:pt idx="89">
                  <c:v>0.34152422362726131</c:v>
                </c:pt>
                <c:pt idx="90">
                  <c:v>0.26815015017190968</c:v>
                </c:pt>
                <c:pt idx="91">
                  <c:v>0.20628083813344933</c:v>
                </c:pt>
                <c:pt idx="92">
                  <c:v>6.3936609036438163E-2</c:v>
                </c:pt>
                <c:pt idx="93">
                  <c:v>4.9212137086768193E-2</c:v>
                </c:pt>
                <c:pt idx="94">
                  <c:v>3.4137109459608128E-2</c:v>
                </c:pt>
                <c:pt idx="95">
                  <c:v>-4.921331533234985E-2</c:v>
                </c:pt>
                <c:pt idx="96">
                  <c:v>9.2024086320404264E-2</c:v>
                </c:pt>
                <c:pt idx="97">
                  <c:v>0.21807367685655477</c:v>
                </c:pt>
                <c:pt idx="98">
                  <c:v>0.22337714465308789</c:v>
                </c:pt>
                <c:pt idx="99">
                  <c:v>0.15739747883986843</c:v>
                </c:pt>
                <c:pt idx="100">
                  <c:v>7.5695602749476842E-2</c:v>
                </c:pt>
                <c:pt idx="101">
                  <c:v>0.11337854062484798</c:v>
                </c:pt>
                <c:pt idx="102">
                  <c:v>0.10533392758670179</c:v>
                </c:pt>
                <c:pt idx="103">
                  <c:v>0.15731227138230697</c:v>
                </c:pt>
                <c:pt idx="104">
                  <c:v>0.16766162835005716</c:v>
                </c:pt>
                <c:pt idx="105">
                  <c:v>0.11345052899884678</c:v>
                </c:pt>
                <c:pt idx="106">
                  <c:v>0.19249888677488558</c:v>
                </c:pt>
                <c:pt idx="107">
                  <c:v>0.16959160851857513</c:v>
                </c:pt>
                <c:pt idx="108">
                  <c:v>0.15452773861845914</c:v>
                </c:pt>
                <c:pt idx="109">
                  <c:v>0.13417498532002359</c:v>
                </c:pt>
                <c:pt idx="110">
                  <c:v>6.1001726823322278E-2</c:v>
                </c:pt>
                <c:pt idx="111">
                  <c:v>0.16776243421163972</c:v>
                </c:pt>
                <c:pt idx="112">
                  <c:v>0.18994940474884481</c:v>
                </c:pt>
                <c:pt idx="113">
                  <c:v>0.30156376321560829</c:v>
                </c:pt>
                <c:pt idx="114">
                  <c:v>0.31958650360877017</c:v>
                </c:pt>
                <c:pt idx="115">
                  <c:v>0.32459610093361224</c:v>
                </c:pt>
                <c:pt idx="116">
                  <c:v>0.25370456631323579</c:v>
                </c:pt>
                <c:pt idx="117">
                  <c:v>0.2461226651926578</c:v>
                </c:pt>
                <c:pt idx="118">
                  <c:v>0.21827843209422171</c:v>
                </c:pt>
                <c:pt idx="119">
                  <c:v>0.25824018753037348</c:v>
                </c:pt>
                <c:pt idx="120">
                  <c:v>0.29417967199616601</c:v>
                </c:pt>
                <c:pt idx="121">
                  <c:v>0.36726380343731124</c:v>
                </c:pt>
                <c:pt idx="122">
                  <c:v>0.2980327675707104</c:v>
                </c:pt>
                <c:pt idx="123">
                  <c:v>0.37021991520787267</c:v>
                </c:pt>
                <c:pt idx="124">
                  <c:v>0.32728941417649593</c:v>
                </c:pt>
                <c:pt idx="125">
                  <c:v>0.23259981810750108</c:v>
                </c:pt>
                <c:pt idx="126">
                  <c:v>0.18805913469905167</c:v>
                </c:pt>
                <c:pt idx="127">
                  <c:v>0.18800971086380591</c:v>
                </c:pt>
                <c:pt idx="128">
                  <c:v>0.2621729676214799</c:v>
                </c:pt>
                <c:pt idx="129">
                  <c:v>0.22291065436031166</c:v>
                </c:pt>
                <c:pt idx="130">
                  <c:v>0.13326103714968096</c:v>
                </c:pt>
                <c:pt idx="131">
                  <c:v>0.14522244426038933</c:v>
                </c:pt>
                <c:pt idx="132">
                  <c:v>0.12159596490632829</c:v>
                </c:pt>
                <c:pt idx="133">
                  <c:v>9.2715925279164946E-2</c:v>
                </c:pt>
                <c:pt idx="134">
                  <c:v>8.266402772962067E-2</c:v>
                </c:pt>
                <c:pt idx="135">
                  <c:v>4.4813494891898342E-2</c:v>
                </c:pt>
                <c:pt idx="136">
                  <c:v>6.5744695666473341E-2</c:v>
                </c:pt>
                <c:pt idx="137">
                  <c:v>5.3120648328628617E-2</c:v>
                </c:pt>
                <c:pt idx="138">
                  <c:v>5.0005774186105301E-2</c:v>
                </c:pt>
                <c:pt idx="139">
                  <c:v>7.7079332726265992E-2</c:v>
                </c:pt>
                <c:pt idx="140">
                  <c:v>6.4174111530606037E-2</c:v>
                </c:pt>
                <c:pt idx="141">
                  <c:v>4.6711269652022436E-2</c:v>
                </c:pt>
                <c:pt idx="142">
                  <c:v>6.9732270050502532E-2</c:v>
                </c:pt>
                <c:pt idx="143">
                  <c:v>5.0764456598013208E-2</c:v>
                </c:pt>
                <c:pt idx="144">
                  <c:v>4.502063570080761E-3</c:v>
                </c:pt>
                <c:pt idx="145">
                  <c:v>2.9878733788806677E-2</c:v>
                </c:pt>
                <c:pt idx="146">
                  <c:v>9.16500094632966E-2</c:v>
                </c:pt>
                <c:pt idx="147">
                  <c:v>0.11883081918835425</c:v>
                </c:pt>
                <c:pt idx="148">
                  <c:v>0.16648256037108489</c:v>
                </c:pt>
                <c:pt idx="149">
                  <c:v>3.8774938060395447E-2</c:v>
                </c:pt>
                <c:pt idx="150">
                  <c:v>9.2130395622421313E-2</c:v>
                </c:pt>
                <c:pt idx="151">
                  <c:v>0.19771826494400946</c:v>
                </c:pt>
                <c:pt idx="152">
                  <c:v>0.22690972466723247</c:v>
                </c:pt>
                <c:pt idx="153">
                  <c:v>0.29052580903905145</c:v>
                </c:pt>
                <c:pt idx="154">
                  <c:v>0.23715543647488757</c:v>
                </c:pt>
                <c:pt idx="155">
                  <c:v>0.28737819985429391</c:v>
                </c:pt>
                <c:pt idx="156">
                  <c:v>0.29051842268093786</c:v>
                </c:pt>
                <c:pt idx="157">
                  <c:v>0.24876534818927531</c:v>
                </c:pt>
                <c:pt idx="158">
                  <c:v>0.31207819271301229</c:v>
                </c:pt>
                <c:pt idx="159">
                  <c:v>0.36501438275909392</c:v>
                </c:pt>
                <c:pt idx="160">
                  <c:v>0.34706401303008882</c:v>
                </c:pt>
                <c:pt idx="161">
                  <c:v>0.38290839235465723</c:v>
                </c:pt>
                <c:pt idx="162">
                  <c:v>0.41462943915047035</c:v>
                </c:pt>
                <c:pt idx="163">
                  <c:v>0.36717510566486</c:v>
                </c:pt>
                <c:pt idx="164">
                  <c:v>0.36063770375943438</c:v>
                </c:pt>
                <c:pt idx="165">
                  <c:v>0.36755108588670127</c:v>
                </c:pt>
                <c:pt idx="166">
                  <c:v>0.36585420680711755</c:v>
                </c:pt>
                <c:pt idx="167">
                  <c:v>0.3745374396833312</c:v>
                </c:pt>
                <c:pt idx="168">
                  <c:v>0.4190700155940501</c:v>
                </c:pt>
                <c:pt idx="169">
                  <c:v>0.2751821807090431</c:v>
                </c:pt>
                <c:pt idx="170">
                  <c:v>0.31231763814520175</c:v>
                </c:pt>
                <c:pt idx="171">
                  <c:v>0.3222790020889974</c:v>
                </c:pt>
                <c:pt idx="172">
                  <c:v>0.33840796192967959</c:v>
                </c:pt>
                <c:pt idx="173">
                  <c:v>0.33711043374078753</c:v>
                </c:pt>
                <c:pt idx="174">
                  <c:v>0.30956086952094819</c:v>
                </c:pt>
                <c:pt idx="175">
                  <c:v>0.34503304459691631</c:v>
                </c:pt>
                <c:pt idx="176">
                  <c:v>0.41970264526666234</c:v>
                </c:pt>
                <c:pt idx="177">
                  <c:v>0.33788936707692074</c:v>
                </c:pt>
                <c:pt idx="178">
                  <c:v>0.23624130224954887</c:v>
                </c:pt>
                <c:pt idx="179">
                  <c:v>0.18820414647512784</c:v>
                </c:pt>
                <c:pt idx="180">
                  <c:v>0.12598878136400193</c:v>
                </c:pt>
                <c:pt idx="181">
                  <c:v>9.8635241340891078E-2</c:v>
                </c:pt>
                <c:pt idx="182">
                  <c:v>7.5695970582987826E-2</c:v>
                </c:pt>
                <c:pt idx="183">
                  <c:v>6.7027384285584413E-2</c:v>
                </c:pt>
                <c:pt idx="184">
                  <c:v>9.8000217352203878E-2</c:v>
                </c:pt>
                <c:pt idx="185">
                  <c:v>0.14553451477769186</c:v>
                </c:pt>
                <c:pt idx="186">
                  <c:v>0.19146152037428643</c:v>
                </c:pt>
                <c:pt idx="187">
                  <c:v>0.16569472043788203</c:v>
                </c:pt>
                <c:pt idx="188">
                  <c:v>0.19362083110931572</c:v>
                </c:pt>
                <c:pt idx="189">
                  <c:v>0.24873015250733665</c:v>
                </c:pt>
                <c:pt idx="190">
                  <c:v>0.26898154063242696</c:v>
                </c:pt>
                <c:pt idx="191">
                  <c:v>0.3665046657956248</c:v>
                </c:pt>
                <c:pt idx="192">
                  <c:v>0.25359599311867664</c:v>
                </c:pt>
                <c:pt idx="193">
                  <c:v>0.10594182050996337</c:v>
                </c:pt>
                <c:pt idx="194">
                  <c:v>7.539563533125504E-2</c:v>
                </c:pt>
                <c:pt idx="195">
                  <c:v>0.12899163592500007</c:v>
                </c:pt>
                <c:pt idx="196">
                  <c:v>0.1670873145974705</c:v>
                </c:pt>
                <c:pt idx="197">
                  <c:v>1.4635520327040075E-2</c:v>
                </c:pt>
                <c:pt idx="198">
                  <c:v>0.11250149157681566</c:v>
                </c:pt>
                <c:pt idx="199">
                  <c:v>0.24714589252148222</c:v>
                </c:pt>
                <c:pt idx="200">
                  <c:v>0.24932840423673142</c:v>
                </c:pt>
                <c:pt idx="201">
                  <c:v>0.31802233701821692</c:v>
                </c:pt>
                <c:pt idx="202">
                  <c:v>0.38089886612614032</c:v>
                </c:pt>
                <c:pt idx="203">
                  <c:v>0.44218546914220047</c:v>
                </c:pt>
                <c:pt idx="204">
                  <c:v>0.44398018751339929</c:v>
                </c:pt>
                <c:pt idx="205">
                  <c:v>0.47353948593015449</c:v>
                </c:pt>
                <c:pt idx="206">
                  <c:v>0.57624678499624848</c:v>
                </c:pt>
                <c:pt idx="207">
                  <c:v>0.60599383163748999</c:v>
                </c:pt>
                <c:pt idx="208">
                  <c:v>0.43272630741740525</c:v>
                </c:pt>
                <c:pt idx="209">
                  <c:v>0.26343753243496271</c:v>
                </c:pt>
                <c:pt idx="210">
                  <c:v>0.17081358507589095</c:v>
                </c:pt>
                <c:pt idx="211">
                  <c:v>0.13713545866935739</c:v>
                </c:pt>
                <c:pt idx="212">
                  <c:v>-0.11630202177518367</c:v>
                </c:pt>
                <c:pt idx="213">
                  <c:v>-0.15077596291082718</c:v>
                </c:pt>
                <c:pt idx="214">
                  <c:v>-6.3666826970353751E-2</c:v>
                </c:pt>
                <c:pt idx="215">
                  <c:v>-8.6382770538328102E-2</c:v>
                </c:pt>
                <c:pt idx="216">
                  <c:v>-0.21129265886168613</c:v>
                </c:pt>
                <c:pt idx="217">
                  <c:v>-0.22497273969400655</c:v>
                </c:pt>
                <c:pt idx="218">
                  <c:v>-0.15695167706176405</c:v>
                </c:pt>
                <c:pt idx="219">
                  <c:v>-0.17660807221966768</c:v>
                </c:pt>
                <c:pt idx="220">
                  <c:v>-0.2483479709082046</c:v>
                </c:pt>
                <c:pt idx="221">
                  <c:v>-0.28009482238675953</c:v>
                </c:pt>
                <c:pt idx="222">
                  <c:v>-0.31092267778651428</c:v>
                </c:pt>
                <c:pt idx="223">
                  <c:v>-0.36266120812405878</c:v>
                </c:pt>
                <c:pt idx="224">
                  <c:v>-0.39785819071608386</c:v>
                </c:pt>
                <c:pt idx="225">
                  <c:v>-0.37642723441949222</c:v>
                </c:pt>
                <c:pt idx="226">
                  <c:v>-0.40024188924078119</c:v>
                </c:pt>
                <c:pt idx="227">
                  <c:v>-0.46927195391996923</c:v>
                </c:pt>
                <c:pt idx="228">
                  <c:v>-0.51974361422138116</c:v>
                </c:pt>
                <c:pt idx="229">
                  <c:v>-0.4428651365022257</c:v>
                </c:pt>
                <c:pt idx="230">
                  <c:v>-0.36429344952204346</c:v>
                </c:pt>
                <c:pt idx="231">
                  <c:v>-0.36293198529172399</c:v>
                </c:pt>
                <c:pt idx="232">
                  <c:v>-0.32643369216695917</c:v>
                </c:pt>
                <c:pt idx="233">
                  <c:v>-0.17763523570680773</c:v>
                </c:pt>
                <c:pt idx="234">
                  <c:v>-8.4105044456745159E-2</c:v>
                </c:pt>
                <c:pt idx="235">
                  <c:v>-8.0235671527605579E-2</c:v>
                </c:pt>
                <c:pt idx="236">
                  <c:v>-4.180856878141781E-2</c:v>
                </c:pt>
                <c:pt idx="237">
                  <c:v>7.4059350655418132E-2</c:v>
                </c:pt>
                <c:pt idx="238">
                  <c:v>8.5324149518483328E-2</c:v>
                </c:pt>
                <c:pt idx="239">
                  <c:v>4.1332075278040836E-2</c:v>
                </c:pt>
                <c:pt idx="240">
                  <c:v>4.7665945477648908E-2</c:v>
                </c:pt>
                <c:pt idx="241">
                  <c:v>5.1838505913973876E-2</c:v>
                </c:pt>
                <c:pt idx="242">
                  <c:v>0.13398255491947553</c:v>
                </c:pt>
                <c:pt idx="243">
                  <c:v>0.15654426242571451</c:v>
                </c:pt>
                <c:pt idx="244">
                  <c:v>0.21037752177459645</c:v>
                </c:pt>
                <c:pt idx="245">
                  <c:v>0.22307312581507976</c:v>
                </c:pt>
                <c:pt idx="246">
                  <c:v>0.1796827586476446</c:v>
                </c:pt>
                <c:pt idx="247">
                  <c:v>0.20568181519375939</c:v>
                </c:pt>
                <c:pt idx="248">
                  <c:v>0.22341932756179861</c:v>
                </c:pt>
                <c:pt idx="249">
                  <c:v>0.25426732952263453</c:v>
                </c:pt>
                <c:pt idx="250">
                  <c:v>0.20109702847651034</c:v>
                </c:pt>
                <c:pt idx="251">
                  <c:v>0.19266705091257941</c:v>
                </c:pt>
                <c:pt idx="252">
                  <c:v>0.18071334140919859</c:v>
                </c:pt>
                <c:pt idx="253">
                  <c:v>0.24323812126625755</c:v>
                </c:pt>
                <c:pt idx="254">
                  <c:v>0.20134855444298294</c:v>
                </c:pt>
                <c:pt idx="255">
                  <c:v>0.16370059263332171</c:v>
                </c:pt>
                <c:pt idx="256">
                  <c:v>0.16649023392047346</c:v>
                </c:pt>
                <c:pt idx="257">
                  <c:v>0.1022591649175022</c:v>
                </c:pt>
                <c:pt idx="258">
                  <c:v>0.1107495237331626</c:v>
                </c:pt>
                <c:pt idx="259">
                  <c:v>0.12958776263965399</c:v>
                </c:pt>
                <c:pt idx="260">
                  <c:v>0.139622100928535</c:v>
                </c:pt>
                <c:pt idx="261">
                  <c:v>0.15019377766850073</c:v>
                </c:pt>
                <c:pt idx="262">
                  <c:v>0.18960354736524021</c:v>
                </c:pt>
                <c:pt idx="263">
                  <c:v>0.13501458040710057</c:v>
                </c:pt>
                <c:pt idx="264">
                  <c:v>0.14275259021431119</c:v>
                </c:pt>
                <c:pt idx="265">
                  <c:v>0.15603711695797973</c:v>
                </c:pt>
                <c:pt idx="266">
                  <c:v>0.10839903957462416</c:v>
                </c:pt>
                <c:pt idx="267">
                  <c:v>9.1306133432728975E-2</c:v>
                </c:pt>
                <c:pt idx="268">
                  <c:v>6.7083363145929109E-2</c:v>
                </c:pt>
                <c:pt idx="269">
                  <c:v>0.10512447840556183</c:v>
                </c:pt>
                <c:pt idx="270">
                  <c:v>0.15321301489691308</c:v>
                </c:pt>
                <c:pt idx="271">
                  <c:v>0.17461535494508684</c:v>
                </c:pt>
                <c:pt idx="272">
                  <c:v>0.19615047752257708</c:v>
                </c:pt>
                <c:pt idx="273">
                  <c:v>0.18203191283491793</c:v>
                </c:pt>
                <c:pt idx="274">
                  <c:v>0.16816954129304573</c:v>
                </c:pt>
                <c:pt idx="275">
                  <c:v>0.21148277662422776</c:v>
                </c:pt>
                <c:pt idx="276">
                  <c:v>0.24907890497134688</c:v>
                </c:pt>
                <c:pt idx="277">
                  <c:v>0.28830218726621015</c:v>
                </c:pt>
                <c:pt idx="278">
                  <c:v>0.42884771441262881</c:v>
                </c:pt>
                <c:pt idx="279">
                  <c:v>0.395494159447636</c:v>
                </c:pt>
                <c:pt idx="280">
                  <c:v>0.32078992059010925</c:v>
                </c:pt>
                <c:pt idx="281">
                  <c:v>0.26682724509123434</c:v>
                </c:pt>
                <c:pt idx="282">
                  <c:v>0.17935298470982852</c:v>
                </c:pt>
                <c:pt idx="283">
                  <c:v>0.24381317575472705</c:v>
                </c:pt>
                <c:pt idx="284">
                  <c:v>0.39932283979065319</c:v>
                </c:pt>
                <c:pt idx="285">
                  <c:v>0.22335634258387493</c:v>
                </c:pt>
                <c:pt idx="286">
                  <c:v>0.21465090142716492</c:v>
                </c:pt>
                <c:pt idx="287">
                  <c:v>0.13779268210791584</c:v>
                </c:pt>
                <c:pt idx="288">
                  <c:v>7.2905078705572279E-2</c:v>
                </c:pt>
                <c:pt idx="289">
                  <c:v>5.0337962639177114E-2</c:v>
                </c:pt>
                <c:pt idx="290">
                  <c:v>-3.0913612852032646E-2</c:v>
                </c:pt>
                <c:pt idx="291">
                  <c:v>-4.3849927401727551E-2</c:v>
                </c:pt>
                <c:pt idx="292">
                  <c:v>-7.0332678878598953E-2</c:v>
                </c:pt>
                <c:pt idx="293">
                  <c:v>-0.13249075950623002</c:v>
                </c:pt>
                <c:pt idx="294">
                  <c:v>-0.11535385233118767</c:v>
                </c:pt>
                <c:pt idx="295">
                  <c:v>-6.5551368980199087E-2</c:v>
                </c:pt>
                <c:pt idx="296">
                  <c:v>-6.3826872966843307E-2</c:v>
                </c:pt>
                <c:pt idx="297">
                  <c:v>-0.1499584817914863</c:v>
                </c:pt>
                <c:pt idx="298">
                  <c:v>-0.24298440618576422</c:v>
                </c:pt>
                <c:pt idx="299">
                  <c:v>-0.30725755950501377</c:v>
                </c:pt>
                <c:pt idx="300">
                  <c:v>-0.33019854725221154</c:v>
                </c:pt>
                <c:pt idx="301">
                  <c:v>-0.31514411108861895</c:v>
                </c:pt>
                <c:pt idx="302">
                  <c:v>-0.24175015672632494</c:v>
                </c:pt>
                <c:pt idx="303">
                  <c:v>-0.24487471828942053</c:v>
                </c:pt>
                <c:pt idx="304">
                  <c:v>-0.35157136226431918</c:v>
                </c:pt>
                <c:pt idx="305">
                  <c:v>-0.38249461386532113</c:v>
                </c:pt>
                <c:pt idx="306">
                  <c:v>-0.30334230096908266</c:v>
                </c:pt>
                <c:pt idx="307">
                  <c:v>-0.36223591748511452</c:v>
                </c:pt>
                <c:pt idx="308">
                  <c:v>-0.31095502252315155</c:v>
                </c:pt>
                <c:pt idx="309">
                  <c:v>-0.29686101359826567</c:v>
                </c:pt>
                <c:pt idx="310">
                  <c:v>-0.24734589222973513</c:v>
                </c:pt>
                <c:pt idx="311">
                  <c:v>-0.211198931729495</c:v>
                </c:pt>
                <c:pt idx="312">
                  <c:v>-0.22094185591389393</c:v>
                </c:pt>
                <c:pt idx="313">
                  <c:v>-0.2218558489035436</c:v>
                </c:pt>
                <c:pt idx="314">
                  <c:v>-0.23388808757509405</c:v>
                </c:pt>
                <c:pt idx="315">
                  <c:v>-0.16610565234251962</c:v>
                </c:pt>
                <c:pt idx="316">
                  <c:v>-0.24000684208646161</c:v>
                </c:pt>
                <c:pt idx="317">
                  <c:v>-0.29151611951250633</c:v>
                </c:pt>
                <c:pt idx="318">
                  <c:v>-0.18383485743610573</c:v>
                </c:pt>
                <c:pt idx="319">
                  <c:v>-0.11130437165806573</c:v>
                </c:pt>
                <c:pt idx="320">
                  <c:v>-4.5474002565676019E-2</c:v>
                </c:pt>
                <c:pt idx="321">
                  <c:v>-4.891668967871543E-2</c:v>
                </c:pt>
                <c:pt idx="322">
                  <c:v>-5.9651402487521765E-2</c:v>
                </c:pt>
                <c:pt idx="323">
                  <c:v>-0.15471586200027565</c:v>
                </c:pt>
                <c:pt idx="324">
                  <c:v>-4.7548105788145612E-2</c:v>
                </c:pt>
                <c:pt idx="325">
                  <c:v>2.3090485788034742E-2</c:v>
                </c:pt>
                <c:pt idx="326">
                  <c:v>2.6361027004987658E-2</c:v>
                </c:pt>
                <c:pt idx="327">
                  <c:v>6.1873650671668168E-2</c:v>
                </c:pt>
                <c:pt idx="328">
                  <c:v>0.11703292179931091</c:v>
                </c:pt>
                <c:pt idx="329">
                  <c:v>0.16862591426368123</c:v>
                </c:pt>
                <c:pt idx="330">
                  <c:v>0.30426342337553125</c:v>
                </c:pt>
                <c:pt idx="331">
                  <c:v>0.30232908773647638</c:v>
                </c:pt>
                <c:pt idx="332">
                  <c:v>0.43027105104026164</c:v>
                </c:pt>
                <c:pt idx="333">
                  <c:v>0.48399625199470098</c:v>
                </c:pt>
                <c:pt idx="334">
                  <c:v>0.29603718914237365</c:v>
                </c:pt>
                <c:pt idx="335">
                  <c:v>0.32168560046346406</c:v>
                </c:pt>
                <c:pt idx="336">
                  <c:v>0.25265406870660367</c:v>
                </c:pt>
                <c:pt idx="337">
                  <c:v>0.25429274651450418</c:v>
                </c:pt>
                <c:pt idx="338">
                  <c:v>0.33356024506466975</c:v>
                </c:pt>
                <c:pt idx="339">
                  <c:v>0.32360348354208046</c:v>
                </c:pt>
                <c:pt idx="340">
                  <c:v>0.39034766901099505</c:v>
                </c:pt>
                <c:pt idx="341">
                  <c:v>0.32179546244306079</c:v>
                </c:pt>
                <c:pt idx="342">
                  <c:v>0.38204940384995822</c:v>
                </c:pt>
                <c:pt idx="343">
                  <c:v>0.45275631168863129</c:v>
                </c:pt>
                <c:pt idx="344">
                  <c:v>0.44910683059200895</c:v>
                </c:pt>
                <c:pt idx="345">
                  <c:v>0.44734122118901665</c:v>
                </c:pt>
                <c:pt idx="346">
                  <c:v>0.39910517245624977</c:v>
                </c:pt>
                <c:pt idx="347">
                  <c:v>0.45329549430449556</c:v>
                </c:pt>
                <c:pt idx="348">
                  <c:v>0.4598126954386994</c:v>
                </c:pt>
                <c:pt idx="349">
                  <c:v>0.59687519874660899</c:v>
                </c:pt>
                <c:pt idx="350">
                  <c:v>0.62356031857075478</c:v>
                </c:pt>
                <c:pt idx="351">
                  <c:v>0.47142206077968773</c:v>
                </c:pt>
                <c:pt idx="352">
                  <c:v>0.3975146045031801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1E2-479B-865A-EAD25D3E1D9C}"/>
            </c:ext>
          </c:extLst>
        </c:ser>
        <c:ser>
          <c:idx val="2"/>
          <c:order val="2"/>
          <c:tx>
            <c:strRef>
              <c:f>'Customer Margin Balances'!$U$1</c:f>
              <c:strCache>
                <c:ptCount val="1"/>
                <c:pt idx="0">
                  <c:v>FwdRtn Predict (Debit+Credit)</c:v>
                </c:pt>
              </c:strCache>
            </c:strRef>
          </c:tx>
          <c:spPr>
            <a:ln w="19050" cap="rnd">
              <a:solidFill>
                <a:srgbClr val="00B0F0"/>
              </a:solidFill>
              <a:prstDash val="sysDot"/>
              <a:round/>
            </a:ln>
            <a:effectLst/>
          </c:spPr>
          <c:marker>
            <c:symbol val="none"/>
          </c:marker>
          <c:cat>
            <c:numRef>
              <c:f>'Customer Margin Balances'!$G$2:$G$1354</c:f>
              <c:numCache>
                <c:formatCode>m/d/yyyy</c:formatCode>
                <c:ptCount val="1353"/>
                <c:pt idx="0">
                  <c:v>46173</c:v>
                </c:pt>
                <c:pt idx="1">
                  <c:v>46142</c:v>
                </c:pt>
                <c:pt idx="2">
                  <c:v>46112</c:v>
                </c:pt>
                <c:pt idx="3">
                  <c:v>46081</c:v>
                </c:pt>
                <c:pt idx="4">
                  <c:v>46053</c:v>
                </c:pt>
                <c:pt idx="5">
                  <c:v>46022</c:v>
                </c:pt>
                <c:pt idx="6">
                  <c:v>45991</c:v>
                </c:pt>
                <c:pt idx="7">
                  <c:v>45961</c:v>
                </c:pt>
                <c:pt idx="8">
                  <c:v>45930</c:v>
                </c:pt>
                <c:pt idx="9">
                  <c:v>45900</c:v>
                </c:pt>
                <c:pt idx="10">
                  <c:v>45869</c:v>
                </c:pt>
                <c:pt idx="11">
                  <c:v>45838</c:v>
                </c:pt>
                <c:pt idx="12">
                  <c:v>45808</c:v>
                </c:pt>
                <c:pt idx="13">
                  <c:v>45777</c:v>
                </c:pt>
                <c:pt idx="14">
                  <c:v>45747</c:v>
                </c:pt>
                <c:pt idx="15">
                  <c:v>45716</c:v>
                </c:pt>
                <c:pt idx="16">
                  <c:v>45688</c:v>
                </c:pt>
                <c:pt idx="17">
                  <c:v>45657</c:v>
                </c:pt>
                <c:pt idx="18">
                  <c:v>45626</c:v>
                </c:pt>
                <c:pt idx="19">
                  <c:v>45596</c:v>
                </c:pt>
                <c:pt idx="20">
                  <c:v>45565</c:v>
                </c:pt>
                <c:pt idx="21">
                  <c:v>45535</c:v>
                </c:pt>
                <c:pt idx="22">
                  <c:v>45504</c:v>
                </c:pt>
                <c:pt idx="23">
                  <c:v>45473</c:v>
                </c:pt>
                <c:pt idx="24">
                  <c:v>45443</c:v>
                </c:pt>
                <c:pt idx="25">
                  <c:v>45412</c:v>
                </c:pt>
                <c:pt idx="26">
                  <c:v>45382</c:v>
                </c:pt>
                <c:pt idx="27">
                  <c:v>45351</c:v>
                </c:pt>
                <c:pt idx="28">
                  <c:v>45322</c:v>
                </c:pt>
                <c:pt idx="29">
                  <c:v>45291</c:v>
                </c:pt>
                <c:pt idx="30">
                  <c:v>45260</c:v>
                </c:pt>
                <c:pt idx="31">
                  <c:v>45230</c:v>
                </c:pt>
                <c:pt idx="32">
                  <c:v>45199</c:v>
                </c:pt>
                <c:pt idx="33">
                  <c:v>45169</c:v>
                </c:pt>
                <c:pt idx="34">
                  <c:v>45138</c:v>
                </c:pt>
                <c:pt idx="35">
                  <c:v>45107</c:v>
                </c:pt>
                <c:pt idx="36">
                  <c:v>45077</c:v>
                </c:pt>
                <c:pt idx="37">
                  <c:v>45046</c:v>
                </c:pt>
                <c:pt idx="38">
                  <c:v>45016</c:v>
                </c:pt>
                <c:pt idx="39">
                  <c:v>44985</c:v>
                </c:pt>
                <c:pt idx="40">
                  <c:v>44957</c:v>
                </c:pt>
                <c:pt idx="41">
                  <c:v>44926</c:v>
                </c:pt>
                <c:pt idx="42">
                  <c:v>44895</c:v>
                </c:pt>
                <c:pt idx="43">
                  <c:v>44865</c:v>
                </c:pt>
                <c:pt idx="44">
                  <c:v>44834</c:v>
                </c:pt>
                <c:pt idx="45">
                  <c:v>44804</c:v>
                </c:pt>
                <c:pt idx="46">
                  <c:v>44773</c:v>
                </c:pt>
                <c:pt idx="47">
                  <c:v>44742</c:v>
                </c:pt>
                <c:pt idx="48">
                  <c:v>44712</c:v>
                </c:pt>
                <c:pt idx="49">
                  <c:v>44681</c:v>
                </c:pt>
                <c:pt idx="50">
                  <c:v>44651</c:v>
                </c:pt>
                <c:pt idx="51">
                  <c:v>44620</c:v>
                </c:pt>
                <c:pt idx="52">
                  <c:v>44592</c:v>
                </c:pt>
                <c:pt idx="53">
                  <c:v>44561</c:v>
                </c:pt>
                <c:pt idx="54">
                  <c:v>44530</c:v>
                </c:pt>
                <c:pt idx="55">
                  <c:v>44500</c:v>
                </c:pt>
                <c:pt idx="56">
                  <c:v>44469</c:v>
                </c:pt>
                <c:pt idx="57">
                  <c:v>44439</c:v>
                </c:pt>
                <c:pt idx="58">
                  <c:v>44408</c:v>
                </c:pt>
                <c:pt idx="59">
                  <c:v>44377</c:v>
                </c:pt>
                <c:pt idx="60">
                  <c:v>44347</c:v>
                </c:pt>
                <c:pt idx="61">
                  <c:v>44316</c:v>
                </c:pt>
                <c:pt idx="62">
                  <c:v>44286</c:v>
                </c:pt>
                <c:pt idx="63">
                  <c:v>44255</c:v>
                </c:pt>
                <c:pt idx="64">
                  <c:v>44227</c:v>
                </c:pt>
                <c:pt idx="65">
                  <c:v>44196</c:v>
                </c:pt>
                <c:pt idx="66">
                  <c:v>44165</c:v>
                </c:pt>
                <c:pt idx="67">
                  <c:v>44135</c:v>
                </c:pt>
                <c:pt idx="68">
                  <c:v>44104</c:v>
                </c:pt>
                <c:pt idx="69">
                  <c:v>44074</c:v>
                </c:pt>
                <c:pt idx="70">
                  <c:v>44043</c:v>
                </c:pt>
                <c:pt idx="71">
                  <c:v>44012</c:v>
                </c:pt>
                <c:pt idx="72">
                  <c:v>43982</c:v>
                </c:pt>
                <c:pt idx="73">
                  <c:v>43951</c:v>
                </c:pt>
                <c:pt idx="74">
                  <c:v>43921</c:v>
                </c:pt>
                <c:pt idx="75">
                  <c:v>43890</c:v>
                </c:pt>
                <c:pt idx="76">
                  <c:v>43861</c:v>
                </c:pt>
                <c:pt idx="77">
                  <c:v>43830</c:v>
                </c:pt>
                <c:pt idx="78">
                  <c:v>43799</c:v>
                </c:pt>
                <c:pt idx="79">
                  <c:v>43769</c:v>
                </c:pt>
                <c:pt idx="80">
                  <c:v>43738</c:v>
                </c:pt>
                <c:pt idx="81">
                  <c:v>43708</c:v>
                </c:pt>
                <c:pt idx="82">
                  <c:v>43677</c:v>
                </c:pt>
                <c:pt idx="83">
                  <c:v>43646</c:v>
                </c:pt>
                <c:pt idx="84">
                  <c:v>43616</c:v>
                </c:pt>
                <c:pt idx="85">
                  <c:v>43585</c:v>
                </c:pt>
                <c:pt idx="86">
                  <c:v>43555</c:v>
                </c:pt>
                <c:pt idx="87">
                  <c:v>43524</c:v>
                </c:pt>
                <c:pt idx="88">
                  <c:v>43496</c:v>
                </c:pt>
                <c:pt idx="89">
                  <c:v>43465</c:v>
                </c:pt>
                <c:pt idx="90">
                  <c:v>43434</c:v>
                </c:pt>
                <c:pt idx="91">
                  <c:v>43404</c:v>
                </c:pt>
                <c:pt idx="92">
                  <c:v>43373</c:v>
                </c:pt>
                <c:pt idx="93">
                  <c:v>43343</c:v>
                </c:pt>
                <c:pt idx="94">
                  <c:v>43312</c:v>
                </c:pt>
                <c:pt idx="95">
                  <c:v>43281</c:v>
                </c:pt>
                <c:pt idx="96">
                  <c:v>43251</c:v>
                </c:pt>
                <c:pt idx="97">
                  <c:v>43220</c:v>
                </c:pt>
                <c:pt idx="98">
                  <c:v>43190</c:v>
                </c:pt>
                <c:pt idx="99">
                  <c:v>43159</c:v>
                </c:pt>
                <c:pt idx="100">
                  <c:v>43131</c:v>
                </c:pt>
                <c:pt idx="101">
                  <c:v>43100</c:v>
                </c:pt>
                <c:pt idx="102">
                  <c:v>43069</c:v>
                </c:pt>
                <c:pt idx="103">
                  <c:v>43039</c:v>
                </c:pt>
                <c:pt idx="104">
                  <c:v>43008</c:v>
                </c:pt>
                <c:pt idx="105">
                  <c:v>42978</c:v>
                </c:pt>
                <c:pt idx="106">
                  <c:v>42947</c:v>
                </c:pt>
                <c:pt idx="107">
                  <c:v>42916</c:v>
                </c:pt>
                <c:pt idx="108">
                  <c:v>42886</c:v>
                </c:pt>
                <c:pt idx="109">
                  <c:v>42855</c:v>
                </c:pt>
                <c:pt idx="110">
                  <c:v>42825</c:v>
                </c:pt>
                <c:pt idx="111">
                  <c:v>42794</c:v>
                </c:pt>
                <c:pt idx="112">
                  <c:v>42766</c:v>
                </c:pt>
                <c:pt idx="113">
                  <c:v>42735</c:v>
                </c:pt>
                <c:pt idx="114">
                  <c:v>42704</c:v>
                </c:pt>
                <c:pt idx="115">
                  <c:v>42674</c:v>
                </c:pt>
                <c:pt idx="116">
                  <c:v>42643</c:v>
                </c:pt>
                <c:pt idx="117">
                  <c:v>42613</c:v>
                </c:pt>
                <c:pt idx="118">
                  <c:v>42582</c:v>
                </c:pt>
                <c:pt idx="119">
                  <c:v>42551</c:v>
                </c:pt>
                <c:pt idx="120">
                  <c:v>42521</c:v>
                </c:pt>
                <c:pt idx="121">
                  <c:v>42490</c:v>
                </c:pt>
                <c:pt idx="122">
                  <c:v>42460</c:v>
                </c:pt>
                <c:pt idx="123">
                  <c:v>42429</c:v>
                </c:pt>
                <c:pt idx="124">
                  <c:v>42400</c:v>
                </c:pt>
                <c:pt idx="125">
                  <c:v>42369</c:v>
                </c:pt>
                <c:pt idx="126">
                  <c:v>42338</c:v>
                </c:pt>
                <c:pt idx="127">
                  <c:v>42308</c:v>
                </c:pt>
                <c:pt idx="128">
                  <c:v>42277</c:v>
                </c:pt>
                <c:pt idx="129">
                  <c:v>42247</c:v>
                </c:pt>
                <c:pt idx="130">
                  <c:v>42216</c:v>
                </c:pt>
                <c:pt idx="131">
                  <c:v>42185</c:v>
                </c:pt>
                <c:pt idx="132">
                  <c:v>42155</c:v>
                </c:pt>
                <c:pt idx="133">
                  <c:v>42124</c:v>
                </c:pt>
                <c:pt idx="134">
                  <c:v>42094</c:v>
                </c:pt>
                <c:pt idx="135">
                  <c:v>42063</c:v>
                </c:pt>
                <c:pt idx="136">
                  <c:v>42035</c:v>
                </c:pt>
                <c:pt idx="137">
                  <c:v>42004</c:v>
                </c:pt>
                <c:pt idx="138">
                  <c:v>41973</c:v>
                </c:pt>
                <c:pt idx="139">
                  <c:v>41943</c:v>
                </c:pt>
                <c:pt idx="140">
                  <c:v>41912</c:v>
                </c:pt>
                <c:pt idx="141">
                  <c:v>41882</c:v>
                </c:pt>
                <c:pt idx="142">
                  <c:v>41851</c:v>
                </c:pt>
                <c:pt idx="143">
                  <c:v>41820</c:v>
                </c:pt>
                <c:pt idx="144">
                  <c:v>41790</c:v>
                </c:pt>
                <c:pt idx="145">
                  <c:v>41759</c:v>
                </c:pt>
                <c:pt idx="146">
                  <c:v>41729</c:v>
                </c:pt>
                <c:pt idx="147">
                  <c:v>41698</c:v>
                </c:pt>
                <c:pt idx="148">
                  <c:v>41670</c:v>
                </c:pt>
                <c:pt idx="149">
                  <c:v>41639</c:v>
                </c:pt>
                <c:pt idx="150">
                  <c:v>41608</c:v>
                </c:pt>
                <c:pt idx="151">
                  <c:v>41578</c:v>
                </c:pt>
                <c:pt idx="152">
                  <c:v>41547</c:v>
                </c:pt>
                <c:pt idx="153">
                  <c:v>41517</c:v>
                </c:pt>
                <c:pt idx="154">
                  <c:v>41486</c:v>
                </c:pt>
                <c:pt idx="155">
                  <c:v>41455</c:v>
                </c:pt>
                <c:pt idx="156">
                  <c:v>41425</c:v>
                </c:pt>
                <c:pt idx="157">
                  <c:v>41394</c:v>
                </c:pt>
                <c:pt idx="158">
                  <c:v>41364</c:v>
                </c:pt>
                <c:pt idx="159">
                  <c:v>41333</c:v>
                </c:pt>
                <c:pt idx="160">
                  <c:v>41305</c:v>
                </c:pt>
                <c:pt idx="161">
                  <c:v>41274</c:v>
                </c:pt>
                <c:pt idx="162">
                  <c:v>41243</c:v>
                </c:pt>
                <c:pt idx="163">
                  <c:v>41213</c:v>
                </c:pt>
                <c:pt idx="164">
                  <c:v>41182</c:v>
                </c:pt>
                <c:pt idx="165">
                  <c:v>41152</c:v>
                </c:pt>
                <c:pt idx="166">
                  <c:v>41121</c:v>
                </c:pt>
                <c:pt idx="167">
                  <c:v>41090</c:v>
                </c:pt>
                <c:pt idx="168">
                  <c:v>41060</c:v>
                </c:pt>
                <c:pt idx="169">
                  <c:v>41029</c:v>
                </c:pt>
                <c:pt idx="170">
                  <c:v>40999</c:v>
                </c:pt>
                <c:pt idx="171">
                  <c:v>40968</c:v>
                </c:pt>
                <c:pt idx="172">
                  <c:v>40939</c:v>
                </c:pt>
                <c:pt idx="173">
                  <c:v>40908</c:v>
                </c:pt>
                <c:pt idx="174">
                  <c:v>40877</c:v>
                </c:pt>
                <c:pt idx="175">
                  <c:v>40847</c:v>
                </c:pt>
                <c:pt idx="176">
                  <c:v>40816</c:v>
                </c:pt>
                <c:pt idx="177">
                  <c:v>40786</c:v>
                </c:pt>
                <c:pt idx="178">
                  <c:v>40755</c:v>
                </c:pt>
                <c:pt idx="179">
                  <c:v>40724</c:v>
                </c:pt>
                <c:pt idx="180">
                  <c:v>40694</c:v>
                </c:pt>
                <c:pt idx="181">
                  <c:v>40663</c:v>
                </c:pt>
                <c:pt idx="182">
                  <c:v>40633</c:v>
                </c:pt>
                <c:pt idx="183">
                  <c:v>40602</c:v>
                </c:pt>
                <c:pt idx="184">
                  <c:v>40574</c:v>
                </c:pt>
                <c:pt idx="185">
                  <c:v>40543</c:v>
                </c:pt>
                <c:pt idx="186">
                  <c:v>40512</c:v>
                </c:pt>
                <c:pt idx="187">
                  <c:v>40482</c:v>
                </c:pt>
                <c:pt idx="188">
                  <c:v>40451</c:v>
                </c:pt>
                <c:pt idx="189">
                  <c:v>40421</c:v>
                </c:pt>
                <c:pt idx="190">
                  <c:v>40390</c:v>
                </c:pt>
                <c:pt idx="191">
                  <c:v>40359</c:v>
                </c:pt>
                <c:pt idx="192">
                  <c:v>40329</c:v>
                </c:pt>
                <c:pt idx="193">
                  <c:v>40298</c:v>
                </c:pt>
                <c:pt idx="194">
                  <c:v>40268</c:v>
                </c:pt>
                <c:pt idx="195">
                  <c:v>40237</c:v>
                </c:pt>
                <c:pt idx="196">
                  <c:v>40209</c:v>
                </c:pt>
                <c:pt idx="197">
                  <c:v>40178</c:v>
                </c:pt>
                <c:pt idx="198">
                  <c:v>40147</c:v>
                </c:pt>
                <c:pt idx="199">
                  <c:v>40117</c:v>
                </c:pt>
                <c:pt idx="200">
                  <c:v>40086</c:v>
                </c:pt>
                <c:pt idx="201">
                  <c:v>40056</c:v>
                </c:pt>
                <c:pt idx="202">
                  <c:v>40025</c:v>
                </c:pt>
                <c:pt idx="203">
                  <c:v>39994</c:v>
                </c:pt>
                <c:pt idx="204">
                  <c:v>39964</c:v>
                </c:pt>
                <c:pt idx="205">
                  <c:v>39933</c:v>
                </c:pt>
                <c:pt idx="206">
                  <c:v>39903</c:v>
                </c:pt>
                <c:pt idx="207">
                  <c:v>39872</c:v>
                </c:pt>
                <c:pt idx="208">
                  <c:v>39844</c:v>
                </c:pt>
                <c:pt idx="209">
                  <c:v>39813</c:v>
                </c:pt>
                <c:pt idx="210">
                  <c:v>39782</c:v>
                </c:pt>
                <c:pt idx="211">
                  <c:v>39752</c:v>
                </c:pt>
                <c:pt idx="212">
                  <c:v>39721</c:v>
                </c:pt>
                <c:pt idx="213">
                  <c:v>39691</c:v>
                </c:pt>
                <c:pt idx="214">
                  <c:v>39660</c:v>
                </c:pt>
                <c:pt idx="215">
                  <c:v>39629</c:v>
                </c:pt>
                <c:pt idx="216">
                  <c:v>39599</c:v>
                </c:pt>
                <c:pt idx="217">
                  <c:v>39568</c:v>
                </c:pt>
                <c:pt idx="218">
                  <c:v>39538</c:v>
                </c:pt>
                <c:pt idx="219">
                  <c:v>39507</c:v>
                </c:pt>
                <c:pt idx="220">
                  <c:v>39478</c:v>
                </c:pt>
                <c:pt idx="221">
                  <c:v>39447</c:v>
                </c:pt>
                <c:pt idx="222">
                  <c:v>39416</c:v>
                </c:pt>
                <c:pt idx="223">
                  <c:v>39386</c:v>
                </c:pt>
                <c:pt idx="224">
                  <c:v>39355</c:v>
                </c:pt>
                <c:pt idx="225">
                  <c:v>39325</c:v>
                </c:pt>
                <c:pt idx="226">
                  <c:v>39294</c:v>
                </c:pt>
                <c:pt idx="227">
                  <c:v>39263</c:v>
                </c:pt>
                <c:pt idx="228">
                  <c:v>39233</c:v>
                </c:pt>
                <c:pt idx="229">
                  <c:v>39202</c:v>
                </c:pt>
                <c:pt idx="230">
                  <c:v>39172</c:v>
                </c:pt>
                <c:pt idx="231">
                  <c:v>39141</c:v>
                </c:pt>
                <c:pt idx="232">
                  <c:v>39113</c:v>
                </c:pt>
                <c:pt idx="233">
                  <c:v>39082</c:v>
                </c:pt>
                <c:pt idx="234">
                  <c:v>39051</c:v>
                </c:pt>
                <c:pt idx="235">
                  <c:v>39021</c:v>
                </c:pt>
                <c:pt idx="236">
                  <c:v>38990</c:v>
                </c:pt>
                <c:pt idx="237">
                  <c:v>38960</c:v>
                </c:pt>
                <c:pt idx="238">
                  <c:v>38929</c:v>
                </c:pt>
                <c:pt idx="239">
                  <c:v>38898</c:v>
                </c:pt>
                <c:pt idx="240">
                  <c:v>38868</c:v>
                </c:pt>
                <c:pt idx="241">
                  <c:v>38837</c:v>
                </c:pt>
                <c:pt idx="242">
                  <c:v>38807</c:v>
                </c:pt>
                <c:pt idx="243">
                  <c:v>38776</c:v>
                </c:pt>
                <c:pt idx="244">
                  <c:v>38748</c:v>
                </c:pt>
                <c:pt idx="245">
                  <c:v>38717</c:v>
                </c:pt>
                <c:pt idx="246">
                  <c:v>38686</c:v>
                </c:pt>
                <c:pt idx="247">
                  <c:v>38656</c:v>
                </c:pt>
                <c:pt idx="248">
                  <c:v>38625</c:v>
                </c:pt>
                <c:pt idx="249">
                  <c:v>38595</c:v>
                </c:pt>
                <c:pt idx="250">
                  <c:v>38564</c:v>
                </c:pt>
                <c:pt idx="251">
                  <c:v>38533</c:v>
                </c:pt>
                <c:pt idx="252">
                  <c:v>38503</c:v>
                </c:pt>
                <c:pt idx="253">
                  <c:v>38472</c:v>
                </c:pt>
                <c:pt idx="254">
                  <c:v>38442</c:v>
                </c:pt>
                <c:pt idx="255">
                  <c:v>38411</c:v>
                </c:pt>
                <c:pt idx="256">
                  <c:v>38383</c:v>
                </c:pt>
                <c:pt idx="257">
                  <c:v>38352</c:v>
                </c:pt>
                <c:pt idx="258">
                  <c:v>38321</c:v>
                </c:pt>
                <c:pt idx="259">
                  <c:v>38291</c:v>
                </c:pt>
                <c:pt idx="260">
                  <c:v>38260</c:v>
                </c:pt>
                <c:pt idx="261">
                  <c:v>38230</c:v>
                </c:pt>
                <c:pt idx="262">
                  <c:v>38199</c:v>
                </c:pt>
                <c:pt idx="263">
                  <c:v>38168</c:v>
                </c:pt>
                <c:pt idx="264">
                  <c:v>38138</c:v>
                </c:pt>
                <c:pt idx="265">
                  <c:v>38107</c:v>
                </c:pt>
                <c:pt idx="266">
                  <c:v>38077</c:v>
                </c:pt>
                <c:pt idx="267">
                  <c:v>38046</c:v>
                </c:pt>
                <c:pt idx="268">
                  <c:v>38017</c:v>
                </c:pt>
                <c:pt idx="269">
                  <c:v>37986</c:v>
                </c:pt>
                <c:pt idx="270">
                  <c:v>37955</c:v>
                </c:pt>
                <c:pt idx="271">
                  <c:v>37925</c:v>
                </c:pt>
                <c:pt idx="272">
                  <c:v>37894</c:v>
                </c:pt>
                <c:pt idx="273">
                  <c:v>37864</c:v>
                </c:pt>
                <c:pt idx="274">
                  <c:v>37833</c:v>
                </c:pt>
                <c:pt idx="275">
                  <c:v>37802</c:v>
                </c:pt>
                <c:pt idx="276">
                  <c:v>37772</c:v>
                </c:pt>
                <c:pt idx="277">
                  <c:v>37741</c:v>
                </c:pt>
                <c:pt idx="278">
                  <c:v>37711</c:v>
                </c:pt>
                <c:pt idx="279">
                  <c:v>37680</c:v>
                </c:pt>
                <c:pt idx="280">
                  <c:v>37652</c:v>
                </c:pt>
                <c:pt idx="281">
                  <c:v>37621</c:v>
                </c:pt>
                <c:pt idx="282">
                  <c:v>37590</c:v>
                </c:pt>
                <c:pt idx="283">
                  <c:v>37560</c:v>
                </c:pt>
                <c:pt idx="284">
                  <c:v>37529</c:v>
                </c:pt>
                <c:pt idx="285">
                  <c:v>37499</c:v>
                </c:pt>
                <c:pt idx="286">
                  <c:v>37468</c:v>
                </c:pt>
                <c:pt idx="287">
                  <c:v>37437</c:v>
                </c:pt>
                <c:pt idx="288">
                  <c:v>37407</c:v>
                </c:pt>
                <c:pt idx="289">
                  <c:v>37376</c:v>
                </c:pt>
                <c:pt idx="290">
                  <c:v>37346</c:v>
                </c:pt>
                <c:pt idx="291">
                  <c:v>37315</c:v>
                </c:pt>
                <c:pt idx="292">
                  <c:v>37287</c:v>
                </c:pt>
                <c:pt idx="293">
                  <c:v>37256</c:v>
                </c:pt>
                <c:pt idx="294">
                  <c:v>37225</c:v>
                </c:pt>
                <c:pt idx="295">
                  <c:v>37195</c:v>
                </c:pt>
                <c:pt idx="296">
                  <c:v>37164</c:v>
                </c:pt>
                <c:pt idx="297">
                  <c:v>37134</c:v>
                </c:pt>
                <c:pt idx="298">
                  <c:v>37103</c:v>
                </c:pt>
                <c:pt idx="299">
                  <c:v>37072</c:v>
                </c:pt>
                <c:pt idx="300">
                  <c:v>37042</c:v>
                </c:pt>
                <c:pt idx="301">
                  <c:v>37011</c:v>
                </c:pt>
                <c:pt idx="302">
                  <c:v>36981</c:v>
                </c:pt>
                <c:pt idx="303">
                  <c:v>36950</c:v>
                </c:pt>
                <c:pt idx="304">
                  <c:v>36922</c:v>
                </c:pt>
                <c:pt idx="305">
                  <c:v>36891</c:v>
                </c:pt>
                <c:pt idx="306">
                  <c:v>36860</c:v>
                </c:pt>
                <c:pt idx="307">
                  <c:v>36830</c:v>
                </c:pt>
                <c:pt idx="308">
                  <c:v>36799</c:v>
                </c:pt>
                <c:pt idx="309">
                  <c:v>36769</c:v>
                </c:pt>
                <c:pt idx="310">
                  <c:v>36738</c:v>
                </c:pt>
                <c:pt idx="311">
                  <c:v>36707</c:v>
                </c:pt>
                <c:pt idx="312">
                  <c:v>36677</c:v>
                </c:pt>
                <c:pt idx="313">
                  <c:v>36646</c:v>
                </c:pt>
                <c:pt idx="314">
                  <c:v>36616</c:v>
                </c:pt>
                <c:pt idx="315">
                  <c:v>36585</c:v>
                </c:pt>
                <c:pt idx="316">
                  <c:v>36556</c:v>
                </c:pt>
                <c:pt idx="317">
                  <c:v>36525</c:v>
                </c:pt>
                <c:pt idx="318">
                  <c:v>36494</c:v>
                </c:pt>
                <c:pt idx="319">
                  <c:v>36464</c:v>
                </c:pt>
                <c:pt idx="320">
                  <c:v>36433</c:v>
                </c:pt>
                <c:pt idx="321">
                  <c:v>36403</c:v>
                </c:pt>
                <c:pt idx="322">
                  <c:v>36372</c:v>
                </c:pt>
                <c:pt idx="323">
                  <c:v>36341</c:v>
                </c:pt>
                <c:pt idx="324">
                  <c:v>36311</c:v>
                </c:pt>
                <c:pt idx="325">
                  <c:v>36280</c:v>
                </c:pt>
                <c:pt idx="326">
                  <c:v>36250</c:v>
                </c:pt>
                <c:pt idx="327">
                  <c:v>36219</c:v>
                </c:pt>
                <c:pt idx="328">
                  <c:v>36191</c:v>
                </c:pt>
                <c:pt idx="329">
                  <c:v>36160</c:v>
                </c:pt>
                <c:pt idx="330">
                  <c:v>36129</c:v>
                </c:pt>
                <c:pt idx="331">
                  <c:v>36099</c:v>
                </c:pt>
                <c:pt idx="332">
                  <c:v>36068</c:v>
                </c:pt>
                <c:pt idx="333">
                  <c:v>36038</c:v>
                </c:pt>
                <c:pt idx="334">
                  <c:v>36007</c:v>
                </c:pt>
                <c:pt idx="335">
                  <c:v>35976</c:v>
                </c:pt>
                <c:pt idx="336">
                  <c:v>35946</c:v>
                </c:pt>
                <c:pt idx="337">
                  <c:v>35915</c:v>
                </c:pt>
                <c:pt idx="338">
                  <c:v>35885</c:v>
                </c:pt>
                <c:pt idx="339">
                  <c:v>35854</c:v>
                </c:pt>
                <c:pt idx="340">
                  <c:v>35826</c:v>
                </c:pt>
                <c:pt idx="341">
                  <c:v>35795</c:v>
                </c:pt>
                <c:pt idx="342">
                  <c:v>35764</c:v>
                </c:pt>
                <c:pt idx="343">
                  <c:v>35734</c:v>
                </c:pt>
                <c:pt idx="344">
                  <c:v>35703</c:v>
                </c:pt>
                <c:pt idx="345">
                  <c:v>35673</c:v>
                </c:pt>
                <c:pt idx="346">
                  <c:v>35642</c:v>
                </c:pt>
                <c:pt idx="347">
                  <c:v>35611</c:v>
                </c:pt>
                <c:pt idx="348">
                  <c:v>35581</c:v>
                </c:pt>
                <c:pt idx="349">
                  <c:v>35550</c:v>
                </c:pt>
                <c:pt idx="350">
                  <c:v>35520</c:v>
                </c:pt>
                <c:pt idx="351">
                  <c:v>35489</c:v>
                </c:pt>
                <c:pt idx="352">
                  <c:v>35461</c:v>
                </c:pt>
              </c:numCache>
            </c:numRef>
          </c:cat>
          <c:val>
            <c:numRef>
              <c:f>'Customer Margin Balances'!$U$2:$U$1354</c:f>
              <c:numCache>
                <c:formatCode>0%</c:formatCode>
                <c:ptCount val="1353"/>
                <c:pt idx="0">
                  <c:v>-0.32745581592086626</c:v>
                </c:pt>
                <c:pt idx="1">
                  <c:v>-0.22467318601456476</c:v>
                </c:pt>
                <c:pt idx="2">
                  <c:v>-0.14111626350815021</c:v>
                </c:pt>
                <c:pt idx="3">
                  <c:v>-0.17326300248716464</c:v>
                </c:pt>
                <c:pt idx="4">
                  <c:v>-0.20102713147441831</c:v>
                </c:pt>
                <c:pt idx="5">
                  <c:v>-0.15305304526667185</c:v>
                </c:pt>
                <c:pt idx="6">
                  <c:v>-0.14323142622167517</c:v>
                </c:pt>
                <c:pt idx="7">
                  <c:v>-0.11383185673191787</c:v>
                </c:pt>
                <c:pt idx="8">
                  <c:v>-6.3576120034213313E-2</c:v>
                </c:pt>
                <c:pt idx="9">
                  <c:v>3.4284224964829413E-2</c:v>
                </c:pt>
                <c:pt idx="10">
                  <c:v>5.7246394802094258E-2</c:v>
                </c:pt>
                <c:pt idx="11">
                  <c:v>6.3946076562675147E-2</c:v>
                </c:pt>
                <c:pt idx="12">
                  <c:v>0.17225812277311991</c:v>
                </c:pt>
                <c:pt idx="13">
                  <c:v>0.25864833426488132</c:v>
                </c:pt>
                <c:pt idx="14">
                  <c:v>0.21904012135632045</c:v>
                </c:pt>
                <c:pt idx="15">
                  <c:v>0.16646887001826038</c:v>
                </c:pt>
                <c:pt idx="16">
                  <c:v>0.16502131369287398</c:v>
                </c:pt>
                <c:pt idx="17">
                  <c:v>0.19549743388076135</c:v>
                </c:pt>
                <c:pt idx="18">
                  <c:v>0.21587671941315589</c:v>
                </c:pt>
                <c:pt idx="19">
                  <c:v>0.28741226134100795</c:v>
                </c:pt>
                <c:pt idx="20">
                  <c:v>0.30048854934418889</c:v>
                </c:pt>
                <c:pt idx="21">
                  <c:v>0.34236394555924288</c:v>
                </c:pt>
                <c:pt idx="22">
                  <c:v>0.31632216667268054</c:v>
                </c:pt>
                <c:pt idx="23">
                  <c:v>0.31595464429048747</c:v>
                </c:pt>
                <c:pt idx="24">
                  <c:v>0.31709755098927528</c:v>
                </c:pt>
                <c:pt idx="25">
                  <c:v>0.3506292994445126</c:v>
                </c:pt>
                <c:pt idx="26">
                  <c:v>0.3344047823558669</c:v>
                </c:pt>
                <c:pt idx="27">
                  <c:v>0.36865825212746683</c:v>
                </c:pt>
                <c:pt idx="28">
                  <c:v>0.424825228791055</c:v>
                </c:pt>
                <c:pt idx="29">
                  <c:v>0.42951564074121462</c:v>
                </c:pt>
                <c:pt idx="30">
                  <c:v>0.45641670730067441</c:v>
                </c:pt>
                <c:pt idx="31">
                  <c:v>0.49628494397781475</c:v>
                </c:pt>
                <c:pt idx="32">
                  <c:v>0.45642500209724357</c:v>
                </c:pt>
                <c:pt idx="33">
                  <c:v>0.41555988119979026</c:v>
                </c:pt>
                <c:pt idx="34">
                  <c:v>0.39434240829876166</c:v>
                </c:pt>
                <c:pt idx="35">
                  <c:v>0.42366446795854706</c:v>
                </c:pt>
                <c:pt idx="36">
                  <c:v>0.4650810360861044</c:v>
                </c:pt>
                <c:pt idx="37">
                  <c:v>0.49183579540807143</c:v>
                </c:pt>
                <c:pt idx="38">
                  <c:v>0.46058008138827233</c:v>
                </c:pt>
                <c:pt idx="39">
                  <c:v>0.47336508661947829</c:v>
                </c:pt>
                <c:pt idx="40">
                  <c:v>0.44889290745828703</c:v>
                </c:pt>
                <c:pt idx="41">
                  <c:v>0.49495745455347873</c:v>
                </c:pt>
                <c:pt idx="42">
                  <c:v>0.45166924172620182</c:v>
                </c:pt>
                <c:pt idx="43">
                  <c:v>0.42416942525790557</c:v>
                </c:pt>
                <c:pt idx="44">
                  <c:v>0.40507886476251076</c:v>
                </c:pt>
                <c:pt idx="45">
                  <c:v>0.37675276434427074</c:v>
                </c:pt>
                <c:pt idx="46">
                  <c:v>0.3605159501623505</c:v>
                </c:pt>
                <c:pt idx="47">
                  <c:v>0.34556380482002913</c:v>
                </c:pt>
                <c:pt idx="48">
                  <c:v>0.27556694651229541</c:v>
                </c:pt>
                <c:pt idx="49">
                  <c:v>0.26879445744410058</c:v>
                </c:pt>
                <c:pt idx="50">
                  <c:v>0.21767045647985372</c:v>
                </c:pt>
                <c:pt idx="51">
                  <c:v>0.16803791235082688</c:v>
                </c:pt>
                <c:pt idx="52">
                  <c:v>0.18141570452766742</c:v>
                </c:pt>
                <c:pt idx="53">
                  <c:v>6.8435810827291776E-2</c:v>
                </c:pt>
                <c:pt idx="54">
                  <c:v>5.6253736666425302E-2</c:v>
                </c:pt>
                <c:pt idx="55">
                  <c:v>4.3367432861783906E-2</c:v>
                </c:pt>
                <c:pt idx="56">
                  <c:v>5.9247729570691687E-2</c:v>
                </c:pt>
                <c:pt idx="57">
                  <c:v>5.5919184175929448E-2</c:v>
                </c:pt>
                <c:pt idx="58">
                  <c:v>0.12761549755948609</c:v>
                </c:pt>
                <c:pt idx="59">
                  <c:v>1.4544874016029219E-2</c:v>
                </c:pt>
                <c:pt idx="60">
                  <c:v>4.4541448674163098E-2</c:v>
                </c:pt>
                <c:pt idx="61">
                  <c:v>5.4538238745241774E-2</c:v>
                </c:pt>
                <c:pt idx="62">
                  <c:v>5.3226238542816384E-2</c:v>
                </c:pt>
                <c:pt idx="63">
                  <c:v>2.5889580523089872E-2</c:v>
                </c:pt>
                <c:pt idx="64">
                  <c:v>2.783390980244449E-2</c:v>
                </c:pt>
                <c:pt idx="65">
                  <c:v>5.9850448529387146E-2</c:v>
                </c:pt>
                <c:pt idx="66">
                  <c:v>0.14613051353248396</c:v>
                </c:pt>
                <c:pt idx="67">
                  <c:v>0.21830249466005047</c:v>
                </c:pt>
                <c:pt idx="68">
                  <c:v>0.22707927716333987</c:v>
                </c:pt>
                <c:pt idx="69">
                  <c:v>0.22327352309576987</c:v>
                </c:pt>
                <c:pt idx="70">
                  <c:v>0.25313511665747379</c:v>
                </c:pt>
                <c:pt idx="71">
                  <c:v>0.26823255442475258</c:v>
                </c:pt>
                <c:pt idx="72">
                  <c:v>0.32359156586785209</c:v>
                </c:pt>
                <c:pt idx="73">
                  <c:v>0.29764165629295269</c:v>
                </c:pt>
                <c:pt idx="74">
                  <c:v>0.25343408454529048</c:v>
                </c:pt>
                <c:pt idx="75">
                  <c:v>0.1816229380539105</c:v>
                </c:pt>
                <c:pt idx="76">
                  <c:v>0.18929521014454509</c:v>
                </c:pt>
                <c:pt idx="77">
                  <c:v>0.16664205057503545</c:v>
                </c:pt>
                <c:pt idx="78">
                  <c:v>0.1834726585696449</c:v>
                </c:pt>
                <c:pt idx="79">
                  <c:v>0.19054765091981229</c:v>
                </c:pt>
                <c:pt idx="80">
                  <c:v>0.16279508305415358</c:v>
                </c:pt>
                <c:pt idx="81">
                  <c:v>#N/A</c:v>
                </c:pt>
                <c:pt idx="82">
                  <c:v>#N/A</c:v>
                </c:pt>
                <c:pt idx="83">
                  <c:v>#N/A</c:v>
                </c:pt>
                <c:pt idx="84">
                  <c:v>#N/A</c:v>
                </c:pt>
                <c:pt idx="85">
                  <c:v>#N/A</c:v>
                </c:pt>
                <c:pt idx="86">
                  <c:v>#N/A</c:v>
                </c:pt>
                <c:pt idx="87">
                  <c:v>#N/A</c:v>
                </c:pt>
                <c:pt idx="88">
                  <c:v>#N/A</c:v>
                </c:pt>
                <c:pt idx="89">
                  <c:v>#N/A</c:v>
                </c:pt>
                <c:pt idx="90">
                  <c:v>#N/A</c:v>
                </c:pt>
                <c:pt idx="91">
                  <c:v>#N/A</c:v>
                </c:pt>
                <c:pt idx="92">
                  <c:v>#N/A</c:v>
                </c:pt>
                <c:pt idx="93">
                  <c:v>#N/A</c:v>
                </c:pt>
                <c:pt idx="94">
                  <c:v>#N/A</c:v>
                </c:pt>
                <c:pt idx="95">
                  <c:v>#N/A</c:v>
                </c:pt>
                <c:pt idx="96">
                  <c:v>#N/A</c:v>
                </c:pt>
                <c:pt idx="97">
                  <c:v>#N/A</c:v>
                </c:pt>
                <c:pt idx="98">
                  <c:v>#N/A</c:v>
                </c:pt>
                <c:pt idx="99">
                  <c:v>#N/A</c:v>
                </c:pt>
                <c:pt idx="100">
                  <c:v>#N/A</c:v>
                </c:pt>
                <c:pt idx="101">
                  <c:v>#N/A</c:v>
                </c:pt>
                <c:pt idx="102">
                  <c:v>#N/A</c:v>
                </c:pt>
                <c:pt idx="103">
                  <c:v>#N/A</c:v>
                </c:pt>
                <c:pt idx="104">
                  <c:v>#N/A</c:v>
                </c:pt>
                <c:pt idx="105">
                  <c:v>#N/A</c:v>
                </c:pt>
                <c:pt idx="106">
                  <c:v>#N/A</c:v>
                </c:pt>
                <c:pt idx="107">
                  <c:v>#N/A</c:v>
                </c:pt>
                <c:pt idx="108">
                  <c:v>#N/A</c:v>
                </c:pt>
                <c:pt idx="109">
                  <c:v>#N/A</c:v>
                </c:pt>
                <c:pt idx="110">
                  <c:v>#N/A</c:v>
                </c:pt>
                <c:pt idx="111">
                  <c:v>#N/A</c:v>
                </c:pt>
                <c:pt idx="112">
                  <c:v>#N/A</c:v>
                </c:pt>
                <c:pt idx="113">
                  <c:v>#N/A</c:v>
                </c:pt>
                <c:pt idx="114">
                  <c:v>#N/A</c:v>
                </c:pt>
                <c:pt idx="115">
                  <c:v>#N/A</c:v>
                </c:pt>
                <c:pt idx="116">
                  <c:v>#N/A</c:v>
                </c:pt>
                <c:pt idx="117">
                  <c:v>#N/A</c:v>
                </c:pt>
                <c:pt idx="118">
                  <c:v>#N/A</c:v>
                </c:pt>
                <c:pt idx="119">
                  <c:v>#N/A</c:v>
                </c:pt>
                <c:pt idx="120">
                  <c:v>#N/A</c:v>
                </c:pt>
                <c:pt idx="121">
                  <c:v>#N/A</c:v>
                </c:pt>
                <c:pt idx="122">
                  <c:v>#N/A</c:v>
                </c:pt>
                <c:pt idx="123">
                  <c:v>#N/A</c:v>
                </c:pt>
                <c:pt idx="124">
                  <c:v>#N/A</c:v>
                </c:pt>
                <c:pt idx="125">
                  <c:v>#N/A</c:v>
                </c:pt>
                <c:pt idx="126">
                  <c:v>#N/A</c:v>
                </c:pt>
                <c:pt idx="127">
                  <c:v>#N/A</c:v>
                </c:pt>
                <c:pt idx="128">
                  <c:v>#N/A</c:v>
                </c:pt>
                <c:pt idx="129">
                  <c:v>#N/A</c:v>
                </c:pt>
                <c:pt idx="130">
                  <c:v>#N/A</c:v>
                </c:pt>
                <c:pt idx="131">
                  <c:v>#N/A</c:v>
                </c:pt>
                <c:pt idx="132">
                  <c:v>#N/A</c:v>
                </c:pt>
                <c:pt idx="133">
                  <c:v>#N/A</c:v>
                </c:pt>
                <c:pt idx="134">
                  <c:v>#N/A</c:v>
                </c:pt>
                <c:pt idx="135">
                  <c:v>#N/A</c:v>
                </c:pt>
                <c:pt idx="136">
                  <c:v>#N/A</c:v>
                </c:pt>
                <c:pt idx="137">
                  <c:v>#N/A</c:v>
                </c:pt>
                <c:pt idx="138">
                  <c:v>#N/A</c:v>
                </c:pt>
                <c:pt idx="139">
                  <c:v>#N/A</c:v>
                </c:pt>
                <c:pt idx="140">
                  <c:v>#N/A</c:v>
                </c:pt>
                <c:pt idx="141">
                  <c:v>#N/A</c:v>
                </c:pt>
                <c:pt idx="142">
                  <c:v>#N/A</c:v>
                </c:pt>
                <c:pt idx="143">
                  <c:v>#N/A</c:v>
                </c:pt>
                <c:pt idx="144">
                  <c:v>#N/A</c:v>
                </c:pt>
                <c:pt idx="145">
                  <c:v>#N/A</c:v>
                </c:pt>
                <c:pt idx="146">
                  <c:v>#N/A</c:v>
                </c:pt>
                <c:pt idx="147">
                  <c:v>#N/A</c:v>
                </c:pt>
                <c:pt idx="148">
                  <c:v>#N/A</c:v>
                </c:pt>
                <c:pt idx="149">
                  <c:v>#N/A</c:v>
                </c:pt>
                <c:pt idx="150">
                  <c:v>#N/A</c:v>
                </c:pt>
                <c:pt idx="151">
                  <c:v>#N/A</c:v>
                </c:pt>
                <c:pt idx="152">
                  <c:v>#N/A</c:v>
                </c:pt>
                <c:pt idx="153">
                  <c:v>#N/A</c:v>
                </c:pt>
                <c:pt idx="154">
                  <c:v>#N/A</c:v>
                </c:pt>
                <c:pt idx="155">
                  <c:v>#N/A</c:v>
                </c:pt>
                <c:pt idx="156">
                  <c:v>#N/A</c:v>
                </c:pt>
                <c:pt idx="157">
                  <c:v>#N/A</c:v>
                </c:pt>
                <c:pt idx="158">
                  <c:v>#N/A</c:v>
                </c:pt>
                <c:pt idx="159">
                  <c:v>#N/A</c:v>
                </c:pt>
                <c:pt idx="160">
                  <c:v>#N/A</c:v>
                </c:pt>
                <c:pt idx="161">
                  <c:v>#N/A</c:v>
                </c:pt>
                <c:pt idx="162">
                  <c:v>#N/A</c:v>
                </c:pt>
                <c:pt idx="163">
                  <c:v>#N/A</c:v>
                </c:pt>
                <c:pt idx="164">
                  <c:v>#N/A</c:v>
                </c:pt>
                <c:pt idx="165">
                  <c:v>#N/A</c:v>
                </c:pt>
                <c:pt idx="166">
                  <c:v>#N/A</c:v>
                </c:pt>
                <c:pt idx="167">
                  <c:v>#N/A</c:v>
                </c:pt>
                <c:pt idx="168">
                  <c:v>#N/A</c:v>
                </c:pt>
                <c:pt idx="169">
                  <c:v>#N/A</c:v>
                </c:pt>
                <c:pt idx="170">
                  <c:v>#N/A</c:v>
                </c:pt>
                <c:pt idx="171">
                  <c:v>#N/A</c:v>
                </c:pt>
                <c:pt idx="172">
                  <c:v>#N/A</c:v>
                </c:pt>
                <c:pt idx="173">
                  <c:v>#N/A</c:v>
                </c:pt>
                <c:pt idx="174">
                  <c:v>#N/A</c:v>
                </c:pt>
                <c:pt idx="175">
                  <c:v>#N/A</c:v>
                </c:pt>
                <c:pt idx="176">
                  <c:v>#N/A</c:v>
                </c:pt>
                <c:pt idx="177">
                  <c:v>#N/A</c:v>
                </c:pt>
                <c:pt idx="178">
                  <c:v>#N/A</c:v>
                </c:pt>
                <c:pt idx="179">
                  <c:v>#N/A</c:v>
                </c:pt>
                <c:pt idx="180">
                  <c:v>#N/A</c:v>
                </c:pt>
                <c:pt idx="181">
                  <c:v>#N/A</c:v>
                </c:pt>
                <c:pt idx="182">
                  <c:v>#N/A</c:v>
                </c:pt>
                <c:pt idx="183">
                  <c:v>#N/A</c:v>
                </c:pt>
                <c:pt idx="184">
                  <c:v>#N/A</c:v>
                </c:pt>
                <c:pt idx="185">
                  <c:v>#N/A</c:v>
                </c:pt>
                <c:pt idx="186">
                  <c:v>#N/A</c:v>
                </c:pt>
                <c:pt idx="187">
                  <c:v>#N/A</c:v>
                </c:pt>
                <c:pt idx="188">
                  <c:v>#N/A</c:v>
                </c:pt>
                <c:pt idx="189">
                  <c:v>#N/A</c:v>
                </c:pt>
                <c:pt idx="190">
                  <c:v>#N/A</c:v>
                </c:pt>
                <c:pt idx="191">
                  <c:v>#N/A</c:v>
                </c:pt>
                <c:pt idx="192">
                  <c:v>#N/A</c:v>
                </c:pt>
                <c:pt idx="193">
                  <c:v>#N/A</c:v>
                </c:pt>
                <c:pt idx="194">
                  <c:v>#N/A</c:v>
                </c:pt>
                <c:pt idx="195">
                  <c:v>#N/A</c:v>
                </c:pt>
                <c:pt idx="196">
                  <c:v>#N/A</c:v>
                </c:pt>
                <c:pt idx="197">
                  <c:v>#N/A</c:v>
                </c:pt>
                <c:pt idx="198">
                  <c:v>#N/A</c:v>
                </c:pt>
                <c:pt idx="199">
                  <c:v>#N/A</c:v>
                </c:pt>
                <c:pt idx="200">
                  <c:v>#N/A</c:v>
                </c:pt>
                <c:pt idx="201">
                  <c:v>#N/A</c:v>
                </c:pt>
                <c:pt idx="202">
                  <c:v>#N/A</c:v>
                </c:pt>
                <c:pt idx="203">
                  <c:v>#N/A</c:v>
                </c:pt>
                <c:pt idx="204">
                  <c:v>#N/A</c:v>
                </c:pt>
                <c:pt idx="205">
                  <c:v>#N/A</c:v>
                </c:pt>
                <c:pt idx="206">
                  <c:v>#N/A</c:v>
                </c:pt>
                <c:pt idx="207">
                  <c:v>#N/A</c:v>
                </c:pt>
                <c:pt idx="208">
                  <c:v>#N/A</c:v>
                </c:pt>
                <c:pt idx="209">
                  <c:v>#N/A</c:v>
                </c:pt>
                <c:pt idx="210">
                  <c:v>#N/A</c:v>
                </c:pt>
                <c:pt idx="211">
                  <c:v>#N/A</c:v>
                </c:pt>
                <c:pt idx="212">
                  <c:v>#N/A</c:v>
                </c:pt>
                <c:pt idx="213">
                  <c:v>#N/A</c:v>
                </c:pt>
                <c:pt idx="214">
                  <c:v>#N/A</c:v>
                </c:pt>
                <c:pt idx="215">
                  <c:v>#N/A</c:v>
                </c:pt>
                <c:pt idx="216">
                  <c:v>#N/A</c:v>
                </c:pt>
                <c:pt idx="217">
                  <c:v>#N/A</c:v>
                </c:pt>
                <c:pt idx="218">
                  <c:v>#N/A</c:v>
                </c:pt>
                <c:pt idx="219">
                  <c:v>#N/A</c:v>
                </c:pt>
                <c:pt idx="220">
                  <c:v>#N/A</c:v>
                </c:pt>
                <c:pt idx="221">
                  <c:v>#N/A</c:v>
                </c:pt>
                <c:pt idx="222">
                  <c:v>#N/A</c:v>
                </c:pt>
                <c:pt idx="223">
                  <c:v>#N/A</c:v>
                </c:pt>
                <c:pt idx="224">
                  <c:v>#N/A</c:v>
                </c:pt>
                <c:pt idx="225">
                  <c:v>#N/A</c:v>
                </c:pt>
                <c:pt idx="226">
                  <c:v>#N/A</c:v>
                </c:pt>
                <c:pt idx="227">
                  <c:v>#N/A</c:v>
                </c:pt>
                <c:pt idx="228">
                  <c:v>#N/A</c:v>
                </c:pt>
                <c:pt idx="229">
                  <c:v>#N/A</c:v>
                </c:pt>
                <c:pt idx="230">
                  <c:v>#N/A</c:v>
                </c:pt>
                <c:pt idx="231">
                  <c:v>#N/A</c:v>
                </c:pt>
                <c:pt idx="232">
                  <c:v>#N/A</c:v>
                </c:pt>
                <c:pt idx="233">
                  <c:v>#N/A</c:v>
                </c:pt>
                <c:pt idx="234">
                  <c:v>#N/A</c:v>
                </c:pt>
                <c:pt idx="235">
                  <c:v>#N/A</c:v>
                </c:pt>
                <c:pt idx="236">
                  <c:v>#N/A</c:v>
                </c:pt>
                <c:pt idx="237">
                  <c:v>#N/A</c:v>
                </c:pt>
                <c:pt idx="238">
                  <c:v>#N/A</c:v>
                </c:pt>
                <c:pt idx="239">
                  <c:v>#N/A</c:v>
                </c:pt>
                <c:pt idx="240">
                  <c:v>#N/A</c:v>
                </c:pt>
                <c:pt idx="241">
                  <c:v>#N/A</c:v>
                </c:pt>
                <c:pt idx="242">
                  <c:v>#N/A</c:v>
                </c:pt>
                <c:pt idx="243">
                  <c:v>#N/A</c:v>
                </c:pt>
                <c:pt idx="244">
                  <c:v>#N/A</c:v>
                </c:pt>
                <c:pt idx="245">
                  <c:v>#N/A</c:v>
                </c:pt>
                <c:pt idx="246">
                  <c:v>#N/A</c:v>
                </c:pt>
                <c:pt idx="247">
                  <c:v>#N/A</c:v>
                </c:pt>
                <c:pt idx="248">
                  <c:v>#N/A</c:v>
                </c:pt>
                <c:pt idx="249">
                  <c:v>#N/A</c:v>
                </c:pt>
                <c:pt idx="250">
                  <c:v>#N/A</c:v>
                </c:pt>
                <c:pt idx="251">
                  <c:v>#N/A</c:v>
                </c:pt>
                <c:pt idx="252">
                  <c:v>#N/A</c:v>
                </c:pt>
                <c:pt idx="253">
                  <c:v>#N/A</c:v>
                </c:pt>
                <c:pt idx="254">
                  <c:v>#N/A</c:v>
                </c:pt>
                <c:pt idx="255">
                  <c:v>#N/A</c:v>
                </c:pt>
                <c:pt idx="256">
                  <c:v>#N/A</c:v>
                </c:pt>
                <c:pt idx="257">
                  <c:v>#N/A</c:v>
                </c:pt>
                <c:pt idx="258">
                  <c:v>#N/A</c:v>
                </c:pt>
                <c:pt idx="259">
                  <c:v>#N/A</c:v>
                </c:pt>
                <c:pt idx="260">
                  <c:v>#N/A</c:v>
                </c:pt>
                <c:pt idx="261">
                  <c:v>#N/A</c:v>
                </c:pt>
                <c:pt idx="262">
                  <c:v>#N/A</c:v>
                </c:pt>
                <c:pt idx="263">
                  <c:v>#N/A</c:v>
                </c:pt>
                <c:pt idx="264">
                  <c:v>#N/A</c:v>
                </c:pt>
                <c:pt idx="265">
                  <c:v>#N/A</c:v>
                </c:pt>
                <c:pt idx="266">
                  <c:v>#N/A</c:v>
                </c:pt>
                <c:pt idx="267">
                  <c:v>#N/A</c:v>
                </c:pt>
                <c:pt idx="268">
                  <c:v>#N/A</c:v>
                </c:pt>
                <c:pt idx="269">
                  <c:v>#N/A</c:v>
                </c:pt>
                <c:pt idx="270">
                  <c:v>#N/A</c:v>
                </c:pt>
                <c:pt idx="271">
                  <c:v>#N/A</c:v>
                </c:pt>
                <c:pt idx="272">
                  <c:v>#N/A</c:v>
                </c:pt>
                <c:pt idx="273">
                  <c:v>#N/A</c:v>
                </c:pt>
                <c:pt idx="274">
                  <c:v>#N/A</c:v>
                </c:pt>
                <c:pt idx="275">
                  <c:v>#N/A</c:v>
                </c:pt>
                <c:pt idx="276">
                  <c:v>#N/A</c:v>
                </c:pt>
                <c:pt idx="277">
                  <c:v>#N/A</c:v>
                </c:pt>
                <c:pt idx="278">
                  <c:v>#N/A</c:v>
                </c:pt>
                <c:pt idx="279">
                  <c:v>#N/A</c:v>
                </c:pt>
                <c:pt idx="280">
                  <c:v>#N/A</c:v>
                </c:pt>
                <c:pt idx="281">
                  <c:v>#N/A</c:v>
                </c:pt>
                <c:pt idx="282">
                  <c:v>#N/A</c:v>
                </c:pt>
                <c:pt idx="283">
                  <c:v>#N/A</c:v>
                </c:pt>
                <c:pt idx="284">
                  <c:v>#N/A</c:v>
                </c:pt>
                <c:pt idx="285">
                  <c:v>#N/A</c:v>
                </c:pt>
                <c:pt idx="286">
                  <c:v>#N/A</c:v>
                </c:pt>
                <c:pt idx="287">
                  <c:v>#N/A</c:v>
                </c:pt>
                <c:pt idx="288">
                  <c:v>#N/A</c:v>
                </c:pt>
                <c:pt idx="289">
                  <c:v>#N/A</c:v>
                </c:pt>
                <c:pt idx="290">
                  <c:v>#N/A</c:v>
                </c:pt>
                <c:pt idx="291">
                  <c:v>#N/A</c:v>
                </c:pt>
                <c:pt idx="292">
                  <c:v>#N/A</c:v>
                </c:pt>
                <c:pt idx="293">
                  <c:v>#N/A</c:v>
                </c:pt>
                <c:pt idx="294">
                  <c:v>#N/A</c:v>
                </c:pt>
                <c:pt idx="295">
                  <c:v>#N/A</c:v>
                </c:pt>
                <c:pt idx="296">
                  <c:v>#N/A</c:v>
                </c:pt>
                <c:pt idx="297">
                  <c:v>#N/A</c:v>
                </c:pt>
                <c:pt idx="298">
                  <c:v>#N/A</c:v>
                </c:pt>
                <c:pt idx="299">
                  <c:v>#N/A</c:v>
                </c:pt>
                <c:pt idx="300">
                  <c:v>#N/A</c:v>
                </c:pt>
                <c:pt idx="301">
                  <c:v>#N/A</c:v>
                </c:pt>
                <c:pt idx="302">
                  <c:v>#N/A</c:v>
                </c:pt>
                <c:pt idx="303">
                  <c:v>#N/A</c:v>
                </c:pt>
                <c:pt idx="304">
                  <c:v>#N/A</c:v>
                </c:pt>
                <c:pt idx="305">
                  <c:v>#N/A</c:v>
                </c:pt>
                <c:pt idx="306">
                  <c:v>#N/A</c:v>
                </c:pt>
                <c:pt idx="307">
                  <c:v>#N/A</c:v>
                </c:pt>
                <c:pt idx="308">
                  <c:v>#N/A</c:v>
                </c:pt>
                <c:pt idx="309">
                  <c:v>#N/A</c:v>
                </c:pt>
                <c:pt idx="310">
                  <c:v>#N/A</c:v>
                </c:pt>
                <c:pt idx="311">
                  <c:v>#N/A</c:v>
                </c:pt>
                <c:pt idx="312">
                  <c:v>#N/A</c:v>
                </c:pt>
                <c:pt idx="313">
                  <c:v>#N/A</c:v>
                </c:pt>
                <c:pt idx="314">
                  <c:v>#N/A</c:v>
                </c:pt>
                <c:pt idx="315">
                  <c:v>#N/A</c:v>
                </c:pt>
                <c:pt idx="316">
                  <c:v>#N/A</c:v>
                </c:pt>
                <c:pt idx="317">
                  <c:v>#N/A</c:v>
                </c:pt>
                <c:pt idx="318">
                  <c:v>#N/A</c:v>
                </c:pt>
                <c:pt idx="319">
                  <c:v>#N/A</c:v>
                </c:pt>
                <c:pt idx="320">
                  <c:v>#N/A</c:v>
                </c:pt>
                <c:pt idx="321">
                  <c:v>#N/A</c:v>
                </c:pt>
                <c:pt idx="322">
                  <c:v>#N/A</c:v>
                </c:pt>
                <c:pt idx="323">
                  <c:v>#N/A</c:v>
                </c:pt>
                <c:pt idx="324">
                  <c:v>#N/A</c:v>
                </c:pt>
                <c:pt idx="325">
                  <c:v>#N/A</c:v>
                </c:pt>
                <c:pt idx="326">
                  <c:v>#N/A</c:v>
                </c:pt>
                <c:pt idx="327">
                  <c:v>#N/A</c:v>
                </c:pt>
                <c:pt idx="328">
                  <c:v>#N/A</c:v>
                </c:pt>
                <c:pt idx="329">
                  <c:v>#N/A</c:v>
                </c:pt>
                <c:pt idx="330">
                  <c:v>#N/A</c:v>
                </c:pt>
                <c:pt idx="331">
                  <c:v>#N/A</c:v>
                </c:pt>
                <c:pt idx="332">
                  <c:v>#N/A</c:v>
                </c:pt>
                <c:pt idx="333">
                  <c:v>#N/A</c:v>
                </c:pt>
                <c:pt idx="334">
                  <c:v>#N/A</c:v>
                </c:pt>
                <c:pt idx="335">
                  <c:v>#N/A</c:v>
                </c:pt>
                <c:pt idx="336">
                  <c:v>#N/A</c:v>
                </c:pt>
                <c:pt idx="337">
                  <c:v>#N/A</c:v>
                </c:pt>
                <c:pt idx="338">
                  <c:v>#N/A</c:v>
                </c:pt>
                <c:pt idx="339">
                  <c:v>#N/A</c:v>
                </c:pt>
                <c:pt idx="340">
                  <c:v>#N/A</c:v>
                </c:pt>
                <c:pt idx="341">
                  <c:v>#N/A</c:v>
                </c:pt>
                <c:pt idx="342">
                  <c:v>#N/A</c:v>
                </c:pt>
                <c:pt idx="343">
                  <c:v>#N/A</c:v>
                </c:pt>
                <c:pt idx="344">
                  <c:v>#N/A</c:v>
                </c:pt>
                <c:pt idx="345">
                  <c:v>#N/A</c:v>
                </c:pt>
                <c:pt idx="346">
                  <c:v>#N/A</c:v>
                </c:pt>
                <c:pt idx="347">
                  <c:v>#N/A</c:v>
                </c:pt>
                <c:pt idx="348">
                  <c:v>#N/A</c:v>
                </c:pt>
                <c:pt idx="349">
                  <c:v>#N/A</c:v>
                </c:pt>
                <c:pt idx="350">
                  <c:v>#N/A</c:v>
                </c:pt>
                <c:pt idx="351">
                  <c:v>#N/A</c:v>
                </c:pt>
                <c:pt idx="352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71E2-479B-865A-EAD25D3E1D9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4331120"/>
        <c:axId val="164333520"/>
      </c:lineChart>
      <c:dateAx>
        <c:axId val="411339136"/>
        <c:scaling>
          <c:orientation val="minMax"/>
          <c:min val="35796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yyyy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11340576"/>
        <c:crosses val="autoZero"/>
        <c:auto val="1"/>
        <c:lblOffset val="100"/>
        <c:baseTimeUnit val="months"/>
        <c:majorUnit val="2"/>
        <c:majorTimeUnit val="years"/>
      </c:dateAx>
      <c:valAx>
        <c:axId val="411340576"/>
        <c:scaling>
          <c:orientation val="minMax"/>
          <c:min val="4.0000000000000008E-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11339136"/>
        <c:crosses val="autoZero"/>
        <c:crossBetween val="between"/>
        <c:majorUnit val="1.0000000000000002E-2"/>
      </c:valAx>
      <c:valAx>
        <c:axId val="164333520"/>
        <c:scaling>
          <c:orientation val="maxMin"/>
        </c:scaling>
        <c:delete val="0"/>
        <c:axPos val="r"/>
        <c:numFmt formatCode="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4331120"/>
        <c:crosses val="max"/>
        <c:crossBetween val="between"/>
      </c:valAx>
      <c:dateAx>
        <c:axId val="164331120"/>
        <c:scaling>
          <c:orientation val="minMax"/>
        </c:scaling>
        <c:delete val="1"/>
        <c:axPos val="t"/>
        <c:numFmt formatCode="m/d/yyyy" sourceLinked="1"/>
        <c:majorTickMark val="out"/>
        <c:minorTickMark val="none"/>
        <c:tickLblPos val="nextTo"/>
        <c:crossAx val="164333520"/>
        <c:crosses val="autoZero"/>
        <c:auto val="1"/>
        <c:lblOffset val="100"/>
        <c:baseTimeUnit val="months"/>
      </c:date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'Customer Margin Balances'!$T$1</c:f>
              <c:strCache>
                <c:ptCount val="1"/>
                <c:pt idx="0">
                  <c:v>S&amp;P 500 FwdRtn (21M)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circle"/>
            <c:size val="3"/>
            <c:spPr>
              <a:solidFill>
                <a:schemeClr val="accent1"/>
              </a:solidFill>
              <a:ln w="9525">
                <a:noFill/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8.9922790901137362E-2"/>
                  <c:y val="-0.50435877806940799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'Customer Margin Balances'!$R$2:$R$1354</c:f>
              <c:numCache>
                <c:formatCode>0%</c:formatCode>
                <c:ptCount val="1353"/>
                <c:pt idx="0">
                  <c:v>8.007300286874719E-2</c:v>
                </c:pt>
                <c:pt idx="1">
                  <c:v>7.5756315344302896E-2</c:v>
                </c:pt>
                <c:pt idx="2">
                  <c:v>7.2247073312908971E-2</c:v>
                </c:pt>
                <c:pt idx="3">
                  <c:v>7.3597179135544394E-2</c:v>
                </c:pt>
                <c:pt idx="4">
                  <c:v>7.4763223138656562E-2</c:v>
                </c:pt>
                <c:pt idx="5">
                  <c:v>7.2748396901787735E-2</c:v>
                </c:pt>
                <c:pt idx="6">
                  <c:v>7.2335906382329035E-2</c:v>
                </c:pt>
                <c:pt idx="7">
                  <c:v>7.1101176788854331E-2</c:v>
                </c:pt>
                <c:pt idx="8">
                  <c:v>6.8990525292268734E-2</c:v>
                </c:pt>
                <c:pt idx="9">
                  <c:v>6.4880564973289936E-2</c:v>
                </c:pt>
                <c:pt idx="10">
                  <c:v>6.3916194707992646E-2</c:v>
                </c:pt>
                <c:pt idx="11">
                  <c:v>6.3634819998082903E-2</c:v>
                </c:pt>
                <c:pt idx="12">
                  <c:v>5.9085906830071068E-2</c:v>
                </c:pt>
                <c:pt idx="13">
                  <c:v>5.5457671703955394E-2</c:v>
                </c:pt>
                <c:pt idx="14">
                  <c:v>5.7121146151766111E-2</c:v>
                </c:pt>
                <c:pt idx="15">
                  <c:v>5.932904514211406E-2</c:v>
                </c:pt>
                <c:pt idx="16">
                  <c:v>5.9389839931432278E-2</c:v>
                </c:pt>
                <c:pt idx="17">
                  <c:v>5.8109897124671572E-2</c:v>
                </c:pt>
                <c:pt idx="18">
                  <c:v>5.7254003403184081E-2</c:v>
                </c:pt>
                <c:pt idx="19">
                  <c:v>5.4249637960542399E-2</c:v>
                </c:pt>
                <c:pt idx="20">
                  <c:v>5.3700457137471139E-2</c:v>
                </c:pt>
                <c:pt idx="21">
                  <c:v>5.1941765025900609E-2</c:v>
                </c:pt>
                <c:pt idx="22">
                  <c:v>5.3035473390207297E-2</c:v>
                </c:pt>
                <c:pt idx="23">
                  <c:v>5.3050908676146299E-2</c:v>
                </c:pt>
                <c:pt idx="24">
                  <c:v>5.3002908628932498E-2</c:v>
                </c:pt>
                <c:pt idx="25">
                  <c:v>5.15946348733234E-2</c:v>
                </c:pt>
                <c:pt idx="26">
                  <c:v>5.2276035714793757E-2</c:v>
                </c:pt>
                <c:pt idx="27">
                  <c:v>5.0837450948410676E-2</c:v>
                </c:pt>
                <c:pt idx="28">
                  <c:v>4.8478537894030851E-2</c:v>
                </c:pt>
                <c:pt idx="29">
                  <c:v>4.8281548940078065E-2</c:v>
                </c:pt>
                <c:pt idx="30">
                  <c:v>4.7151752022862321E-2</c:v>
                </c:pt>
                <c:pt idx="31">
                  <c:v>4.5477357039559282E-2</c:v>
                </c:pt>
                <c:pt idx="32">
                  <c:v>4.7151403656169426E-2</c:v>
                </c:pt>
                <c:pt idx="33">
                  <c:v>4.8867666002479847E-2</c:v>
                </c:pt>
                <c:pt idx="34">
                  <c:v>4.9758762101651463E-2</c:v>
                </c:pt>
                <c:pt idx="35">
                  <c:v>4.8527287783084266E-2</c:v>
                </c:pt>
                <c:pt idx="36">
                  <c:v>4.6787865634570401E-2</c:v>
                </c:pt>
                <c:pt idx="37">
                  <c:v>4.5664213360933022E-2</c:v>
                </c:pt>
                <c:pt idx="38">
                  <c:v>4.6976897721119779E-2</c:v>
                </c:pt>
                <c:pt idx="39">
                  <c:v>4.6439950256048954E-2</c:v>
                </c:pt>
                <c:pt idx="40">
                  <c:v>4.7467738225449835E-2</c:v>
                </c:pt>
                <c:pt idx="41">
                  <c:v>4.5533109232727395E-2</c:v>
                </c:pt>
                <c:pt idx="42">
                  <c:v>4.7351137127492712E-2</c:v>
                </c:pt>
                <c:pt idx="43">
                  <c:v>4.8506080475229765E-2</c:v>
                </c:pt>
                <c:pt idx="44">
                  <c:v>4.9307850038824749E-2</c:v>
                </c:pt>
                <c:pt idx="45">
                  <c:v>5.049749584184654E-2</c:v>
                </c:pt>
                <c:pt idx="46">
                  <c:v>5.1179413139348172E-2</c:v>
                </c:pt>
                <c:pt idx="47">
                  <c:v>5.1807376632028945E-2</c:v>
                </c:pt>
                <c:pt idx="48">
                  <c:v>5.4747120101161222E-2</c:v>
                </c:pt>
                <c:pt idx="49">
                  <c:v>5.5031552588408944E-2</c:v>
                </c:pt>
                <c:pt idx="50">
                  <c:v>5.7178669638860216E-2</c:v>
                </c:pt>
                <c:pt idx="51">
                  <c:v>5.9263148156714004E-2</c:v>
                </c:pt>
                <c:pt idx="52">
                  <c:v>5.8701304694963513E-2</c:v>
                </c:pt>
                <c:pt idx="53">
                  <c:v>6.3446259149758544E-2</c:v>
                </c:pt>
                <c:pt idx="54">
                  <c:v>6.3957884582966529E-2</c:v>
                </c:pt>
                <c:pt idx="55">
                  <c:v>6.4499086407831335E-2</c:v>
                </c:pt>
                <c:pt idx="56">
                  <c:v>6.3832142209669568E-2</c:v>
                </c:pt>
                <c:pt idx="57">
                  <c:v>6.3971935192133775E-2</c:v>
                </c:pt>
                <c:pt idx="58">
                  <c:v>6.0960817634492133E-2</c:v>
                </c:pt>
                <c:pt idx="59">
                  <c:v>6.5709582581216397E-2</c:v>
                </c:pt>
                <c:pt idx="60">
                  <c:v>6.4449779833214427E-2</c:v>
                </c:pt>
                <c:pt idx="61">
                  <c:v>6.4029932442428134E-2</c:v>
                </c:pt>
                <c:pt idx="62">
                  <c:v>6.4085034115843584E-2</c:v>
                </c:pt>
                <c:pt idx="63">
                  <c:v>6.523312509912868E-2</c:v>
                </c:pt>
                <c:pt idx="64">
                  <c:v>6.5151466729895927E-2</c:v>
                </c:pt>
                <c:pt idx="65">
                  <c:v>6.3806829086118261E-2</c:v>
                </c:pt>
                <c:pt idx="66">
                  <c:v>6.0183219916488742E-2</c:v>
                </c:pt>
                <c:pt idx="67">
                  <c:v>5.7152125160187951E-2</c:v>
                </c:pt>
                <c:pt idx="68">
                  <c:v>5.6783515915890065E-2</c:v>
                </c:pt>
                <c:pt idx="69">
                  <c:v>5.6943350813280405E-2</c:v>
                </c:pt>
                <c:pt idx="70">
                  <c:v>5.5689217031090317E-2</c:v>
                </c:pt>
                <c:pt idx="71">
                  <c:v>5.5055151515151515E-2</c:v>
                </c:pt>
                <c:pt idx="72">
                  <c:v>5.2730171562022816E-2</c:v>
                </c:pt>
                <c:pt idx="73">
                  <c:v>5.3820021578747851E-2</c:v>
                </c:pt>
                <c:pt idx="74">
                  <c:v>5.5676660911902431E-2</c:v>
                </c:pt>
                <c:pt idx="75">
                  <c:v>5.8692601255693706E-2</c:v>
                </c:pt>
                <c:pt idx="76">
                  <c:v>5.8370379482929419E-2</c:v>
                </c:pt>
                <c:pt idx="77">
                  <c:v>5.9321771866954733E-2</c:v>
                </c:pt>
                <c:pt idx="78">
                  <c:v>5.8614916286149163E-2</c:v>
                </c:pt>
                <c:pt idx="79">
                  <c:v>5.8317779199451261E-2</c:v>
                </c:pt>
                <c:pt idx="80">
                  <c:v>5.9483337656032829E-2</c:v>
                </c:pt>
                <c:pt idx="81">
                  <c:v>5.9013664164023504E-2</c:v>
                </c:pt>
                <c:pt idx="82">
                  <c:v>6.2140747071133928E-2</c:v>
                </c:pt>
                <c:pt idx="83">
                  <c:v>6.1956384943806536E-2</c:v>
                </c:pt>
                <c:pt idx="84">
                  <c:v>6.0559101388005285E-2</c:v>
                </c:pt>
                <c:pt idx="85">
                  <c:v>6.212383225366519E-2</c:v>
                </c:pt>
                <c:pt idx="86">
                  <c:v>6.1299685924060682E-2</c:v>
                </c:pt>
                <c:pt idx="87">
                  <c:v>6.3202475905616479E-2</c:v>
                </c:pt>
                <c:pt idx="88">
                  <c:v>6.2652918729087737E-2</c:v>
                </c:pt>
                <c:pt idx="89">
                  <c:v>6.243357029470633E-2</c:v>
                </c:pt>
                <c:pt idx="90">
                  <c:v>6.4214852905166681E-2</c:v>
                </c:pt>
                <c:pt idx="91">
                  <c:v>6.5954574823721093E-2</c:v>
                </c:pt>
                <c:pt idx="92">
                  <c:v>6.9371927064310404E-2</c:v>
                </c:pt>
                <c:pt idx="93">
                  <c:v>6.898931226765799E-2</c:v>
                </c:pt>
                <c:pt idx="94">
                  <c:v>6.9269306342856329E-2</c:v>
                </c:pt>
                <c:pt idx="95">
                  <c:v>6.9687586358386414E-2</c:v>
                </c:pt>
                <c:pt idx="96">
                  <c:v>7.1780358697047963E-2</c:v>
                </c:pt>
                <c:pt idx="97">
                  <c:v>7.0020984275971587E-2</c:v>
                </c:pt>
                <c:pt idx="98">
                  <c:v>7.0528680396101551E-2</c:v>
                </c:pt>
                <c:pt idx="99">
                  <c:v>7.1518765800220402E-2</c:v>
                </c:pt>
                <c:pt idx="100">
                  <c:v>7.3101565029681598E-2</c:v>
                </c:pt>
                <c:pt idx="101">
                  <c:v>7.1434089949852994E-2</c:v>
                </c:pt>
                <c:pt idx="102">
                  <c:v>7.1007565039124532E-2</c:v>
                </c:pt>
                <c:pt idx="103">
                  <c:v>6.973939855624478E-2</c:v>
                </c:pt>
                <c:pt idx="104">
                  <c:v>7.0085896269335757E-2</c:v>
                </c:pt>
                <c:pt idx="105">
                  <c:v>6.9480087687248809E-2</c:v>
                </c:pt>
                <c:pt idx="106">
                  <c:v>6.9912742656942028E-2</c:v>
                </c:pt>
                <c:pt idx="107">
                  <c:v>6.9989152572389982E-2</c:v>
                </c:pt>
                <c:pt idx="108">
                  <c:v>7.0001110897160546E-2</c:v>
                </c:pt>
                <c:pt idx="109">
                  <c:v>7.0378067800600325E-2</c:v>
                </c:pt>
                <c:pt idx="110">
                  <c:v>7.0237145963858549E-2</c:v>
                </c:pt>
                <c:pt idx="111">
                  <c:v>7.0426026626664168E-2</c:v>
                </c:pt>
                <c:pt idx="112">
                  <c:v>6.957371505861136E-2</c:v>
                </c:pt>
                <c:pt idx="113">
                  <c:v>6.8093426384511491E-2</c:v>
                </c:pt>
                <c:pt idx="114">
                  <c:v>6.8595563423971426E-2</c:v>
                </c:pt>
                <c:pt idx="115">
                  <c:v>6.7818108289586121E-2</c:v>
                </c:pt>
                <c:pt idx="116">
                  <c:v>6.9609721700607793E-2</c:v>
                </c:pt>
                <c:pt idx="117">
                  <c:v>6.7298036406215095E-2</c:v>
                </c:pt>
                <c:pt idx="118">
                  <c:v>6.8674112478850066E-2</c:v>
                </c:pt>
                <c:pt idx="119">
                  <c:v>6.7338449300453879E-2</c:v>
                </c:pt>
                <c:pt idx="120">
                  <c:v>6.7062438197485516E-2</c:v>
                </c:pt>
                <c:pt idx="121">
                  <c:v>6.6991452324265247E-2</c:v>
                </c:pt>
                <c:pt idx="122">
                  <c:v>6.5985168991711626E-2</c:v>
                </c:pt>
                <c:pt idx="123">
                  <c:v>6.5461724813923469E-2</c:v>
                </c:pt>
                <c:pt idx="124">
                  <c:v>6.6400284581441454E-2</c:v>
                </c:pt>
                <c:pt idx="125">
                  <c:v>6.7822523679563332E-2</c:v>
                </c:pt>
                <c:pt idx="126">
                  <c:v>6.940081437980597E-2</c:v>
                </c:pt>
                <c:pt idx="127">
                  <c:v>6.9796574051307264E-2</c:v>
                </c:pt>
                <c:pt idx="128">
                  <c:v>6.8891144609011551E-2</c:v>
                </c:pt>
                <c:pt idx="129">
                  <c:v>7.1102616658677287E-2</c:v>
                </c:pt>
                <c:pt idx="130">
                  <c:v>7.2126076449729695E-2</c:v>
                </c:pt>
                <c:pt idx="131">
                  <c:v>7.3975614231147735E-2</c:v>
                </c:pt>
                <c:pt idx="132">
                  <c:v>7.3489991369703467E-2</c:v>
                </c:pt>
                <c:pt idx="133">
                  <c:v>7.3596951285397255E-2</c:v>
                </c:pt>
                <c:pt idx="134">
                  <c:v>7.1747809396645254E-2</c:v>
                </c:pt>
                <c:pt idx="135">
                  <c:v>7.1101528614140735E-2</c:v>
                </c:pt>
                <c:pt idx="136">
                  <c:v>7.0234701150595658E-2</c:v>
                </c:pt>
                <c:pt idx="137">
                  <c:v>7.1802716759572713E-2</c:v>
                </c:pt>
                <c:pt idx="138">
                  <c:v>7.2077387651308833E-2</c:v>
                </c:pt>
                <c:pt idx="139">
                  <c:v>7.2358043482020851E-2</c:v>
                </c:pt>
                <c:pt idx="140">
                  <c:v>7.3832617129734338E-2</c:v>
                </c:pt>
                <c:pt idx="141">
                  <c:v>7.3118246695958289E-2</c:v>
                </c:pt>
                <c:pt idx="142">
                  <c:v>7.2922294042426478E-2</c:v>
                </c:pt>
                <c:pt idx="143">
                  <c:v>7.4576500928590916E-2</c:v>
                </c:pt>
                <c:pt idx="144">
                  <c:v>7.2073472927766072E-2</c:v>
                </c:pt>
                <c:pt idx="145">
                  <c:v>7.2177362544468313E-2</c:v>
                </c:pt>
                <c:pt idx="146">
                  <c:v>7.4180409087691981E-2</c:v>
                </c:pt>
                <c:pt idx="147">
                  <c:v>7.5718221665623045E-2</c:v>
                </c:pt>
                <c:pt idx="148">
                  <c:v>7.5070775701690531E-2</c:v>
                </c:pt>
                <c:pt idx="149">
                  <c:v>7.484483378256962E-2</c:v>
                </c:pt>
                <c:pt idx="150">
                  <c:v>7.3230904860580939E-2</c:v>
                </c:pt>
                <c:pt idx="151">
                  <c:v>7.267927868732775E-2</c:v>
                </c:pt>
                <c:pt idx="152">
                  <c:v>7.2066829169205759E-2</c:v>
                </c:pt>
                <c:pt idx="153">
                  <c:v>7.0005853712926475E-2</c:v>
                </c:pt>
                <c:pt idx="154">
                  <c:v>7.018035772661467E-2</c:v>
                </c:pt>
                <c:pt idx="155">
                  <c:v>7.1063303242498377E-2</c:v>
                </c:pt>
                <c:pt idx="156">
                  <c:v>7.0554722497288627E-2</c:v>
                </c:pt>
                <c:pt idx="157">
                  <c:v>6.9385076303716875E-2</c:v>
                </c:pt>
                <c:pt idx="158">
                  <c:v>7.0062049996714448E-2</c:v>
                </c:pt>
                <c:pt idx="159">
                  <c:v>7.0544630789438623E-2</c:v>
                </c:pt>
                <c:pt idx="160">
                  <c:v>6.9376578492622618E-2</c:v>
                </c:pt>
                <c:pt idx="161">
                  <c:v>6.9037834867947401E-2</c:v>
                </c:pt>
                <c:pt idx="162">
                  <c:v>6.6510017266159294E-2</c:v>
                </c:pt>
                <c:pt idx="163">
                  <c:v>6.4992454410032222E-2</c:v>
                </c:pt>
                <c:pt idx="164">
                  <c:v>6.6114894702753627E-2</c:v>
                </c:pt>
                <c:pt idx="165">
                  <c:v>6.3554641830971953E-2</c:v>
                </c:pt>
                <c:pt idx="166">
                  <c:v>6.3079822505858307E-2</c:v>
                </c:pt>
                <c:pt idx="167">
                  <c:v>6.5316143767279719E-2</c:v>
                </c:pt>
                <c:pt idx="168">
                  <c:v>6.4831610402196732E-2</c:v>
                </c:pt>
                <c:pt idx="169">
                  <c:v>6.5791959567192471E-2</c:v>
                </c:pt>
                <c:pt idx="170">
                  <c:v>6.6077609654866726E-2</c:v>
                </c:pt>
                <c:pt idx="171">
                  <c:v>6.5259654880696349E-2</c:v>
                </c:pt>
                <c:pt idx="172">
                  <c:v>6.3559933378973504E-2</c:v>
                </c:pt>
                <c:pt idx="173">
                  <c:v>6.4929717537294304E-2</c:v>
                </c:pt>
                <c:pt idx="174">
                  <c:v>6.4733299506052666E-2</c:v>
                </c:pt>
                <c:pt idx="175">
                  <c:v>6.6733664142073656E-2</c:v>
                </c:pt>
                <c:pt idx="176">
                  <c:v>6.7664570054497913E-2</c:v>
                </c:pt>
                <c:pt idx="177">
                  <c:v>6.7253587205195517E-2</c:v>
                </c:pt>
                <c:pt idx="178">
                  <c:v>7.1643228354081712E-2</c:v>
                </c:pt>
                <c:pt idx="179">
                  <c:v>7.3091770006342538E-2</c:v>
                </c:pt>
                <c:pt idx="180">
                  <c:v>7.3417426634575039E-2</c:v>
                </c:pt>
                <c:pt idx="181">
                  <c:v>7.3676836382046723E-2</c:v>
                </c:pt>
                <c:pt idx="182">
                  <c:v>7.2980983287000631E-2</c:v>
                </c:pt>
                <c:pt idx="183">
                  <c:v>7.4474236287961224E-2</c:v>
                </c:pt>
                <c:pt idx="184">
                  <c:v>7.112116262040219E-2</c:v>
                </c:pt>
                <c:pt idx="185">
                  <c:v>7.0074105775295076E-2</c:v>
                </c:pt>
                <c:pt idx="186">
                  <c:v>6.8844946784317296E-2</c:v>
                </c:pt>
                <c:pt idx="187">
                  <c:v>6.813833869840652E-2</c:v>
                </c:pt>
                <c:pt idx="188">
                  <c:v>6.6498038763267181E-2</c:v>
                </c:pt>
                <c:pt idx="189">
                  <c:v>6.3694747458354101E-2</c:v>
                </c:pt>
                <c:pt idx="190">
                  <c:v>6.3500244259892522E-2</c:v>
                </c:pt>
                <c:pt idx="191">
                  <c:v>6.3809374746385636E-2</c:v>
                </c:pt>
                <c:pt idx="192">
                  <c:v>6.3852493316285022E-2</c:v>
                </c:pt>
                <c:pt idx="193">
                  <c:v>6.5811102347592104E-2</c:v>
                </c:pt>
                <c:pt idx="194">
                  <c:v>6.3852373196835732E-2</c:v>
                </c:pt>
                <c:pt idx="195">
                  <c:v>6.2660428904756871E-2</c:v>
                </c:pt>
                <c:pt idx="196">
                  <c:v>6.4530539119775576E-2</c:v>
                </c:pt>
                <c:pt idx="197">
                  <c:v>6.3486214953271031E-2</c:v>
                </c:pt>
                <c:pt idx="198">
                  <c:v>6.2820259941530759E-2</c:v>
                </c:pt>
                <c:pt idx="199">
                  <c:v>6.6950373090133838E-2</c:v>
                </c:pt>
                <c:pt idx="200">
                  <c:v>6.4347376429471484E-2</c:v>
                </c:pt>
                <c:pt idx="201">
                  <c:v>6.1661471099159988E-2</c:v>
                </c:pt>
                <c:pt idx="202">
                  <c:v>6.0031807068764986E-2</c:v>
                </c:pt>
                <c:pt idx="203">
                  <c:v>5.9222213028522798E-2</c:v>
                </c:pt>
                <c:pt idx="204">
                  <c:v>5.7975588677502986E-2</c:v>
                </c:pt>
                <c:pt idx="205">
                  <c:v>5.8354571030047993E-2</c:v>
                </c:pt>
                <c:pt idx="206">
                  <c:v>5.8626013761142501E-2</c:v>
                </c:pt>
                <c:pt idx="207">
                  <c:v>6.1305277831186306E-2</c:v>
                </c:pt>
                <c:pt idx="208">
                  <c:v>6.2924505547515677E-2</c:v>
                </c:pt>
                <c:pt idx="209">
                  <c:v>6.7429798279982051E-2</c:v>
                </c:pt>
                <c:pt idx="210">
                  <c:v>7.3728251657610044E-2</c:v>
                </c:pt>
                <c:pt idx="211">
                  <c:v>8.3337157698320646E-2</c:v>
                </c:pt>
                <c:pt idx="212">
                  <c:v>9.2922909880564605E-2</c:v>
                </c:pt>
                <c:pt idx="213">
                  <c:v>0.11018741460648089</c:v>
                </c:pt>
                <c:pt idx="214">
                  <c:v>0.11114127773625751</c:v>
                </c:pt>
                <c:pt idx="215">
                  <c:v>0.10927851287678306</c:v>
                </c:pt>
                <c:pt idx="216">
                  <c:v>0.10511433380810566</c:v>
                </c:pt>
                <c:pt idx="217">
                  <c:v>0.10341657134778753</c:v>
                </c:pt>
                <c:pt idx="218">
                  <c:v>0.10839486377096452</c:v>
                </c:pt>
                <c:pt idx="219">
                  <c:v>0.10947569979075369</c:v>
                </c:pt>
                <c:pt idx="220">
                  <c:v>0.11179261979852823</c:v>
                </c:pt>
                <c:pt idx="221">
                  <c:v>0.10798177343178342</c:v>
                </c:pt>
                <c:pt idx="222">
                  <c:v>0.10825186279116601</c:v>
                </c:pt>
                <c:pt idx="223">
                  <c:v>0.10413863101199014</c:v>
                </c:pt>
                <c:pt idx="224">
                  <c:v>9.9827581532789339E-2</c:v>
                </c:pt>
                <c:pt idx="225">
                  <c:v>0.10113432470639408</c:v>
                </c:pt>
                <c:pt idx="226">
                  <c:v>0.10926523788642842</c:v>
                </c:pt>
                <c:pt idx="227">
                  <c:v>0.10365235392503633</c:v>
                </c:pt>
                <c:pt idx="228">
                  <c:v>9.8848445560122483E-2</c:v>
                </c:pt>
                <c:pt idx="229">
                  <c:v>8.9903776399895968E-2</c:v>
                </c:pt>
                <c:pt idx="230">
                  <c:v>8.6356279791597379E-2</c:v>
                </c:pt>
                <c:pt idx="231">
                  <c:v>8.726793841658706E-2</c:v>
                </c:pt>
                <c:pt idx="232">
                  <c:v>8.4991627854620166E-2</c:v>
                </c:pt>
                <c:pt idx="233">
                  <c:v>8.4729904622569852E-2</c:v>
                </c:pt>
                <c:pt idx="234">
                  <c:v>8.3286037220808393E-2</c:v>
                </c:pt>
                <c:pt idx="235">
                  <c:v>7.6773397601423071E-2</c:v>
                </c:pt>
                <c:pt idx="236">
                  <c:v>7.6558359075031029E-2</c:v>
                </c:pt>
                <c:pt idx="237">
                  <c:v>7.5184922176168803E-2</c:v>
                </c:pt>
                <c:pt idx="238">
                  <c:v>7.6355127962911828E-2</c:v>
                </c:pt>
                <c:pt idx="239">
                  <c:v>7.7528794284881186E-2</c:v>
                </c:pt>
                <c:pt idx="240">
                  <c:v>7.6399664962087804E-2</c:v>
                </c:pt>
                <c:pt idx="241">
                  <c:v>7.6382885769208375E-2</c:v>
                </c:pt>
                <c:pt idx="242">
                  <c:v>7.6184442615239878E-2</c:v>
                </c:pt>
                <c:pt idx="243">
                  <c:v>7.5356888149292756E-2</c:v>
                </c:pt>
                <c:pt idx="244">
                  <c:v>7.6212423655593622E-2</c:v>
                </c:pt>
                <c:pt idx="245">
                  <c:v>7.5548854041013275E-2</c:v>
                </c:pt>
                <c:pt idx="246">
                  <c:v>7.2748412472040003E-2</c:v>
                </c:pt>
                <c:pt idx="247">
                  <c:v>7.2963762971466548E-2</c:v>
                </c:pt>
                <c:pt idx="248">
                  <c:v>7.3345770012436681E-2</c:v>
                </c:pt>
                <c:pt idx="249">
                  <c:v>6.9623995976284464E-2</c:v>
                </c:pt>
                <c:pt idx="250">
                  <c:v>7.0038397992901735E-2</c:v>
                </c:pt>
                <c:pt idx="251">
                  <c:v>7.0348748005400752E-2</c:v>
                </c:pt>
                <c:pt idx="252">
                  <c:v>6.8724305931482488E-2</c:v>
                </c:pt>
                <c:pt idx="253">
                  <c:v>6.7741123374729428E-2</c:v>
                </c:pt>
                <c:pt idx="254">
                  <c:v>7.1299718762555239E-2</c:v>
                </c:pt>
                <c:pt idx="255">
                  <c:v>6.980052403381265E-2</c:v>
                </c:pt>
                <c:pt idx="256">
                  <c:v>7.0313704079244976E-2</c:v>
                </c:pt>
                <c:pt idx="257">
                  <c:v>7.0620729194105711E-2</c:v>
                </c:pt>
                <c:pt idx="258">
                  <c:v>6.7835363476145175E-2</c:v>
                </c:pt>
                <c:pt idx="259">
                  <c:v>6.5401204004966906E-2</c:v>
                </c:pt>
                <c:pt idx="260">
                  <c:v>6.5373685123562897E-2</c:v>
                </c:pt>
                <c:pt idx="261">
                  <c:v>6.4325708216420155E-2</c:v>
                </c:pt>
                <c:pt idx="262">
                  <c:v>6.4914569346781636E-2</c:v>
                </c:pt>
                <c:pt idx="263">
                  <c:v>6.6044711951848661E-2</c:v>
                </c:pt>
                <c:pt idx="264">
                  <c:v>6.6082210608748471E-2</c:v>
                </c:pt>
                <c:pt idx="265">
                  <c:v>6.6751553590877061E-2</c:v>
                </c:pt>
                <c:pt idx="266">
                  <c:v>6.4017485631020804E-2</c:v>
                </c:pt>
                <c:pt idx="267">
                  <c:v>6.4097596981874838E-2</c:v>
                </c:pt>
                <c:pt idx="268">
                  <c:v>6.397774297254967E-2</c:v>
                </c:pt>
                <c:pt idx="269">
                  <c:v>6.2366873597484065E-2</c:v>
                </c:pt>
                <c:pt idx="270">
                  <c:v>6.0407002547875399E-2</c:v>
                </c:pt>
                <c:pt idx="271">
                  <c:v>6.0611095512577012E-2</c:v>
                </c:pt>
                <c:pt idx="272">
                  <c:v>5.9469253957533726E-2</c:v>
                </c:pt>
                <c:pt idx="273">
                  <c:v>5.8265061821521108E-2</c:v>
                </c:pt>
                <c:pt idx="274">
                  <c:v>6.1969313272754359E-2</c:v>
                </c:pt>
                <c:pt idx="275">
                  <c:v>5.9732766524964578E-2</c:v>
                </c:pt>
                <c:pt idx="276">
                  <c:v>5.596564718549174E-2</c:v>
                </c:pt>
                <c:pt idx="277">
                  <c:v>5.2478133620399645E-2</c:v>
                </c:pt>
                <c:pt idx="278">
                  <c:v>5.4544250492426817E-2</c:v>
                </c:pt>
                <c:pt idx="279">
                  <c:v>5.4978296302650762E-2</c:v>
                </c:pt>
                <c:pt idx="280">
                  <c:v>5.5320370274603091E-2</c:v>
                </c:pt>
                <c:pt idx="281">
                  <c:v>5.5780091198485759E-2</c:v>
                </c:pt>
                <c:pt idx="282">
                  <c:v>5.4733646724140925E-2</c:v>
                </c:pt>
                <c:pt idx="283">
                  <c:v>5.6170347335687557E-2</c:v>
                </c:pt>
                <c:pt idx="284">
                  <c:v>5.6095809230660369E-2</c:v>
                </c:pt>
                <c:pt idx="285">
                  <c:v>5.5813552697036459E-2</c:v>
                </c:pt>
                <c:pt idx="286">
                  <c:v>5.8585802524393514E-2</c:v>
                </c:pt>
                <c:pt idx="287">
                  <c:v>6.0007214226454567E-2</c:v>
                </c:pt>
                <c:pt idx="288">
                  <c:v>6.0145461809465006E-2</c:v>
                </c:pt>
                <c:pt idx="289">
                  <c:v>6.0431392368506552E-2</c:v>
                </c:pt>
                <c:pt idx="290">
                  <c:v>6.1646911927037154E-2</c:v>
                </c:pt>
                <c:pt idx="291">
                  <c:v>6.2413276856788137E-2</c:v>
                </c:pt>
                <c:pt idx="292">
                  <c:v>6.4265271721206343E-2</c:v>
                </c:pt>
                <c:pt idx="293">
                  <c:v>6.5409934936764377E-2</c:v>
                </c:pt>
                <c:pt idx="294">
                  <c:v>6.4523972920337569E-2</c:v>
                </c:pt>
                <c:pt idx="295">
                  <c:v>6.3692478042189027E-2</c:v>
                </c:pt>
                <c:pt idx="296">
                  <c:v>6.9098122882862656E-2</c:v>
                </c:pt>
                <c:pt idx="297">
                  <c:v>6.8914863521675973E-2</c:v>
                </c:pt>
                <c:pt idx="298">
                  <c:v>6.905325557672691E-2</c:v>
                </c:pt>
                <c:pt idx="299">
                  <c:v>7.1062491532968203E-2</c:v>
                </c:pt>
                <c:pt idx="300">
                  <c:v>7.1653047660007047E-2</c:v>
                </c:pt>
                <c:pt idx="301">
                  <c:v>7.0931548653764442E-2</c:v>
                </c:pt>
                <c:pt idx="302">
                  <c:v>7.3194150395985258E-2</c:v>
                </c:pt>
                <c:pt idx="303">
                  <c:v>7.8259993214791754E-2</c:v>
                </c:pt>
                <c:pt idx="304">
                  <c:v>7.9474867512445799E-2</c:v>
                </c:pt>
                <c:pt idx="305">
                  <c:v>8.2446574513167198E-2</c:v>
                </c:pt>
                <c:pt idx="306">
                  <c:v>8.6883138154123324E-2</c:v>
                </c:pt>
                <c:pt idx="307">
                  <c:v>8.7255297679111998E-2</c:v>
                </c:pt>
                <c:pt idx="308">
                  <c:v>8.9048327137546471E-2</c:v>
                </c:pt>
                <c:pt idx="309">
                  <c:v>8.7787325233022628E-2</c:v>
                </c:pt>
                <c:pt idx="310">
                  <c:v>8.9364700462759378E-2</c:v>
                </c:pt>
                <c:pt idx="311">
                  <c:v>8.7723710473789268E-2</c:v>
                </c:pt>
                <c:pt idx="312">
                  <c:v>8.6754610168775476E-2</c:v>
                </c:pt>
                <c:pt idx="313">
                  <c:v>8.8521330365871412E-2</c:v>
                </c:pt>
                <c:pt idx="314">
                  <c:v>9.8770474501857483E-2</c:v>
                </c:pt>
                <c:pt idx="315">
                  <c:v>9.3617485403879472E-2</c:v>
                </c:pt>
                <c:pt idx="316">
                  <c:v>8.750021394950791E-2</c:v>
                </c:pt>
                <c:pt idx="317">
                  <c:v>8.3275965536456775E-2</c:v>
                </c:pt>
                <c:pt idx="318">
                  <c:v>7.5918376198117712E-2</c:v>
                </c:pt>
                <c:pt idx="319">
                  <c:v>6.9432461373718835E-2</c:v>
                </c:pt>
                <c:pt idx="320">
                  <c:v>6.8277194677440603E-2</c:v>
                </c:pt>
                <c:pt idx="321">
                  <c:v>6.7122940710069592E-2</c:v>
                </c:pt>
                <c:pt idx="322">
                  <c:v>6.7364229620617194E-2</c:v>
                </c:pt>
                <c:pt idx="323">
                  <c:v>6.7772266215855498E-2</c:v>
                </c:pt>
                <c:pt idx="324">
                  <c:v>6.8137654542196738E-2</c:v>
                </c:pt>
                <c:pt idx="325">
                  <c:v>6.5884587192643437E-2</c:v>
                </c:pt>
                <c:pt idx="326">
                  <c:v>6.1970512993133164E-2</c:v>
                </c:pt>
                <c:pt idx="327">
                  <c:v>6.1647356987690083E-2</c:v>
                </c:pt>
                <c:pt idx="328">
                  <c:v>6.1117485657271139E-2</c:v>
                </c:pt>
                <c:pt idx="329">
                  <c:v>5.9132045454545451E-2</c:v>
                </c:pt>
                <c:pt idx="330">
                  <c:v>5.9069762091022042E-2</c:v>
                </c:pt>
                <c:pt idx="331">
                  <c:v>5.7457299312594662E-2</c:v>
                </c:pt>
                <c:pt idx="332">
                  <c:v>5.8389940063462223E-2</c:v>
                </c:pt>
                <c:pt idx="333">
                  <c:v>6.0652560244532382E-2</c:v>
                </c:pt>
                <c:pt idx="334">
                  <c:v>6.0494848802823617E-2</c:v>
                </c:pt>
                <c:pt idx="335">
                  <c:v>5.8029032721697876E-2</c:v>
                </c:pt>
                <c:pt idx="336">
                  <c:v>5.5614623552123557E-2</c:v>
                </c:pt>
                <c:pt idx="337">
                  <c:v>5.5660422555454406E-2</c:v>
                </c:pt>
                <c:pt idx="338">
                  <c:v>5.6179296657550157E-2</c:v>
                </c:pt>
                <c:pt idx="339">
                  <c:v>5.4719247077277516E-2</c:v>
                </c:pt>
                <c:pt idx="340">
                  <c:v>5.3236676923076917E-2</c:v>
                </c:pt>
                <c:pt idx="341">
                  <c:v>5.4289659934403586E-2</c:v>
                </c:pt>
                <c:pt idx="342">
                  <c:v>5.2293440908411773E-2</c:v>
                </c:pt>
                <c:pt idx="343">
                  <c:v>5.4002313185155387E-2</c:v>
                </c:pt>
                <c:pt idx="344">
                  <c:v>5.1760444276158023E-2</c:v>
                </c:pt>
                <c:pt idx="345">
                  <c:v>4.948269756146919E-2</c:v>
                </c:pt>
                <c:pt idx="346">
                  <c:v>4.9713921143294627E-2</c:v>
                </c:pt>
                <c:pt idx="347">
                  <c:v>4.9048595973842798E-2</c:v>
                </c:pt>
                <c:pt idx="348">
                  <c:v>4.5995761616788131E-2</c:v>
                </c:pt>
                <c:pt idx="349">
                  <c:v>4.2928796374529538E-2</c:v>
                </c:pt>
                <c:pt idx="350">
                  <c:v>4.502426933801508E-2</c:v>
                </c:pt>
                <c:pt idx="351">
                  <c:v>4.4573544366509343E-2</c:v>
                </c:pt>
                <c:pt idx="352">
                  <c:v>4.4847766636280768E-2</c:v>
                </c:pt>
              </c:numCache>
            </c:numRef>
          </c:xVal>
          <c:yVal>
            <c:numRef>
              <c:f>'Customer Margin Balances'!$T$2:$T$1354</c:f>
              <c:numCache>
                <c:formatCode>0%</c:formatCode>
                <c:ptCount val="1353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0.34198357056865669</c:v>
                </c:pt>
                <c:pt idx="22">
                  <c:v>0.30543614073846048</c:v>
                </c:pt>
                <c:pt idx="23">
                  <c:v>0.19559452648851394</c:v>
                </c:pt>
                <c:pt idx="24">
                  <c:v>0.30343286890976984</c:v>
                </c:pt>
                <c:pt idx="25">
                  <c:v>0.37797004978463722</c:v>
                </c:pt>
                <c:pt idx="26">
                  <c:v>0.30282527810290505</c:v>
                </c:pt>
                <c:pt idx="27">
                  <c:v>0.34394174562964674</c:v>
                </c:pt>
                <c:pt idx="28">
                  <c:v>0.41161660458349258</c:v>
                </c:pt>
                <c:pt idx="29">
                  <c:v>0.40224284722935622</c:v>
                </c:pt>
                <c:pt idx="30">
                  <c:v>0.41430447918034941</c:v>
                </c:pt>
                <c:pt idx="31">
                  <c:v>0.51160999570794985</c:v>
                </c:pt>
                <c:pt idx="32">
                  <c:v>0.44703303366332015</c:v>
                </c:pt>
                <c:pt idx="33">
                  <c:v>0.31147646450708355</c:v>
                </c:pt>
                <c:pt idx="34">
                  <c:v>0.21357780412119531</c:v>
                </c:pt>
                <c:pt idx="35">
                  <c:v>0.26098220826086771</c:v>
                </c:pt>
                <c:pt idx="36">
                  <c:v>0.42457946854297912</c:v>
                </c:pt>
                <c:pt idx="37">
                  <c:v>0.44874900467204548</c:v>
                </c:pt>
                <c:pt idx="38">
                  <c:v>0.43129381818358792</c:v>
                </c:pt>
                <c:pt idx="39">
                  <c:v>0.51943377454252349</c:v>
                </c:pt>
                <c:pt idx="40">
                  <c:v>0.39956090860030424</c:v>
                </c:pt>
                <c:pt idx="41">
                  <c:v>0.50084125537179314</c:v>
                </c:pt>
                <c:pt idx="42">
                  <c:v>0.38437444088517214</c:v>
                </c:pt>
                <c:pt idx="43">
                  <c:v>0.42622120982029865</c:v>
                </c:pt>
                <c:pt idx="44">
                  <c:v>0.52288307182579286</c:v>
                </c:pt>
                <c:pt idx="45">
                  <c:v>0.33438938053097345</c:v>
                </c:pt>
                <c:pt idx="46">
                  <c:v>0.21920978914313505</c:v>
                </c:pt>
                <c:pt idx="47">
                  <c:v>0.38806407811104826</c:v>
                </c:pt>
                <c:pt idx="48">
                  <c:v>0.23332163643623804</c:v>
                </c:pt>
                <c:pt idx="49">
                  <c:v>0.1727328391332863</c:v>
                </c:pt>
                <c:pt idx="50">
                  <c:v>5.2847314040009641E-2</c:v>
                </c:pt>
                <c:pt idx="51">
                  <c:v>4.4321595632313304E-2</c:v>
                </c:pt>
                <c:pt idx="52">
                  <c:v>-7.1253778609471685E-2</c:v>
                </c:pt>
                <c:pt idx="53">
                  <c:v>-0.1003172351862498</c:v>
                </c:pt>
                <c:pt idx="54">
                  <c:v>-1.2993212174293833E-2</c:v>
                </c:pt>
                <c:pt idx="55">
                  <c:v>-3.5653952551146784E-3</c:v>
                </c:pt>
                <c:pt idx="56">
                  <c:v>3.3160458173342677E-2</c:v>
                </c:pt>
                <c:pt idx="57">
                  <c:v>-7.5806822503471483E-2</c:v>
                </c:pt>
                <c:pt idx="58">
                  <c:v>-5.136897475917257E-2</c:v>
                </c:pt>
                <c:pt idx="59">
                  <c:v>-4.3790575916230257E-2</c:v>
                </c:pt>
                <c:pt idx="60">
                  <c:v>-5.56503041071712E-2</c:v>
                </c:pt>
                <c:pt idx="61">
                  <c:v>-2.5009746075859152E-2</c:v>
                </c:pt>
                <c:pt idx="62">
                  <c:v>-3.3575054934820714E-2</c:v>
                </c:pt>
                <c:pt idx="63">
                  <c:v>7.0571874631016884E-2</c:v>
                </c:pt>
                <c:pt idx="64">
                  <c:v>4.2468984233652085E-2</c:v>
                </c:pt>
                <c:pt idx="65">
                  <c:v>-4.5379878436770382E-2</c:v>
                </c:pt>
                <c:pt idx="66">
                  <c:v>9.2049712422306973E-2</c:v>
                </c:pt>
                <c:pt idx="67">
                  <c:v>0.26310107768902369</c:v>
                </c:pt>
                <c:pt idx="68">
                  <c:v>0.12559619387451693</c:v>
                </c:pt>
                <c:pt idx="69">
                  <c:v>0.1805097262813864</c:v>
                </c:pt>
                <c:pt idx="70">
                  <c:v>0.26315451588446792</c:v>
                </c:pt>
                <c:pt idx="71">
                  <c:v>0.46128587970802726</c:v>
                </c:pt>
                <c:pt idx="72">
                  <c:v>0.43675906855740698</c:v>
                </c:pt>
                <c:pt idx="73">
                  <c:v>0.55044069728714518</c:v>
                </c:pt>
                <c:pt idx="74">
                  <c:v>0.8440758495544749</c:v>
                </c:pt>
                <c:pt idx="75">
                  <c:v>0.54592413564324938</c:v>
                </c:pt>
                <c:pt idx="76">
                  <c:v>0.4277945881594285</c:v>
                </c:pt>
                <c:pt idx="77">
                  <c:v>0.33328174620370299</c:v>
                </c:pt>
                <c:pt idx="78">
                  <c:v>0.43989455520251641</c:v>
                </c:pt>
                <c:pt idx="79">
                  <c:v>0.44697059481952639</c:v>
                </c:pt>
                <c:pt idx="80">
                  <c:v>0.44369343644389514</c:v>
                </c:pt>
                <c:pt idx="81">
                  <c:v>0.43658549920381606</c:v>
                </c:pt>
                <c:pt idx="82">
                  <c:v>0.4028982881377543</c:v>
                </c:pt>
                <c:pt idx="83">
                  <c:v>0.35051465789187408</c:v>
                </c:pt>
                <c:pt idx="84">
                  <c:v>0.38483535969419269</c:v>
                </c:pt>
                <c:pt idx="85">
                  <c:v>0.26084668836966141</c:v>
                </c:pt>
                <c:pt idx="86">
                  <c:v>0.32517287609370582</c:v>
                </c:pt>
                <c:pt idx="87">
                  <c:v>0.30064392402199336</c:v>
                </c:pt>
                <c:pt idx="88">
                  <c:v>0.20926001257349958</c:v>
                </c:pt>
                <c:pt idx="89">
                  <c:v>0.34152422362726131</c:v>
                </c:pt>
                <c:pt idx="90">
                  <c:v>0.26815015017190968</c:v>
                </c:pt>
                <c:pt idx="91">
                  <c:v>0.20628083813344933</c:v>
                </c:pt>
                <c:pt idx="92">
                  <c:v>6.3936609036438163E-2</c:v>
                </c:pt>
                <c:pt idx="93">
                  <c:v>4.9212137086768193E-2</c:v>
                </c:pt>
                <c:pt idx="94">
                  <c:v>3.4137109459608128E-2</c:v>
                </c:pt>
                <c:pt idx="95">
                  <c:v>-4.921331533234985E-2</c:v>
                </c:pt>
                <c:pt idx="96">
                  <c:v>9.2024086320404264E-2</c:v>
                </c:pt>
                <c:pt idx="97">
                  <c:v>0.21807367685655477</c:v>
                </c:pt>
                <c:pt idx="98">
                  <c:v>0.22337714465308789</c:v>
                </c:pt>
                <c:pt idx="99">
                  <c:v>0.15739747883986843</c:v>
                </c:pt>
                <c:pt idx="100">
                  <c:v>7.5695602749476842E-2</c:v>
                </c:pt>
                <c:pt idx="101">
                  <c:v>0.11337854062484798</c:v>
                </c:pt>
                <c:pt idx="102">
                  <c:v>0.10533392758670179</c:v>
                </c:pt>
                <c:pt idx="103">
                  <c:v>0.15731227138230697</c:v>
                </c:pt>
                <c:pt idx="104">
                  <c:v>0.16766162835005716</c:v>
                </c:pt>
                <c:pt idx="105">
                  <c:v>0.11345052899884678</c:v>
                </c:pt>
                <c:pt idx="106">
                  <c:v>0.19249888677488558</c:v>
                </c:pt>
                <c:pt idx="107">
                  <c:v>0.16959160851857513</c:v>
                </c:pt>
                <c:pt idx="108">
                  <c:v>0.15452773861845914</c:v>
                </c:pt>
                <c:pt idx="109">
                  <c:v>0.13417498532002359</c:v>
                </c:pt>
                <c:pt idx="110">
                  <c:v>6.1001726823322278E-2</c:v>
                </c:pt>
                <c:pt idx="111">
                  <c:v>0.16776243421163972</c:v>
                </c:pt>
                <c:pt idx="112">
                  <c:v>0.18994940474884481</c:v>
                </c:pt>
                <c:pt idx="113">
                  <c:v>0.30156376321560829</c:v>
                </c:pt>
                <c:pt idx="114">
                  <c:v>0.31958650360877017</c:v>
                </c:pt>
                <c:pt idx="115">
                  <c:v>0.32459610093361224</c:v>
                </c:pt>
                <c:pt idx="116">
                  <c:v>0.25370456631323579</c:v>
                </c:pt>
                <c:pt idx="117">
                  <c:v>0.2461226651926578</c:v>
                </c:pt>
                <c:pt idx="118">
                  <c:v>0.21827843209422171</c:v>
                </c:pt>
                <c:pt idx="119">
                  <c:v>0.25824018753037348</c:v>
                </c:pt>
                <c:pt idx="120">
                  <c:v>0.29417967199616601</c:v>
                </c:pt>
                <c:pt idx="121">
                  <c:v>0.36726380343731124</c:v>
                </c:pt>
                <c:pt idx="122">
                  <c:v>0.2980327675707104</c:v>
                </c:pt>
                <c:pt idx="123">
                  <c:v>0.37021991520787267</c:v>
                </c:pt>
                <c:pt idx="124">
                  <c:v>0.32728941417649593</c:v>
                </c:pt>
                <c:pt idx="125">
                  <c:v>0.23259981810750108</c:v>
                </c:pt>
                <c:pt idx="126">
                  <c:v>0.18805913469905167</c:v>
                </c:pt>
                <c:pt idx="127">
                  <c:v>0.18800971086380591</c:v>
                </c:pt>
                <c:pt idx="128">
                  <c:v>0.2621729676214799</c:v>
                </c:pt>
                <c:pt idx="129">
                  <c:v>0.22291065436031166</c:v>
                </c:pt>
                <c:pt idx="130">
                  <c:v>0.13326103714968096</c:v>
                </c:pt>
                <c:pt idx="131">
                  <c:v>0.14522244426038933</c:v>
                </c:pt>
                <c:pt idx="132">
                  <c:v>0.12159596490632829</c:v>
                </c:pt>
                <c:pt idx="133">
                  <c:v>9.2715925279164946E-2</c:v>
                </c:pt>
                <c:pt idx="134">
                  <c:v>8.266402772962067E-2</c:v>
                </c:pt>
                <c:pt idx="135">
                  <c:v>4.4813494891898342E-2</c:v>
                </c:pt>
                <c:pt idx="136">
                  <c:v>6.5744695666473341E-2</c:v>
                </c:pt>
                <c:pt idx="137">
                  <c:v>5.3120648328628617E-2</c:v>
                </c:pt>
                <c:pt idx="138">
                  <c:v>5.0005774186105301E-2</c:v>
                </c:pt>
                <c:pt idx="139">
                  <c:v>7.7079332726265992E-2</c:v>
                </c:pt>
                <c:pt idx="140">
                  <c:v>6.4174111530606037E-2</c:v>
                </c:pt>
                <c:pt idx="141">
                  <c:v>4.6711269652022436E-2</c:v>
                </c:pt>
                <c:pt idx="142">
                  <c:v>6.9732270050502532E-2</c:v>
                </c:pt>
                <c:pt idx="143">
                  <c:v>5.0764456598013208E-2</c:v>
                </c:pt>
                <c:pt idx="144">
                  <c:v>4.502063570080761E-3</c:v>
                </c:pt>
                <c:pt idx="145">
                  <c:v>2.9878733788806677E-2</c:v>
                </c:pt>
                <c:pt idx="146">
                  <c:v>9.16500094632966E-2</c:v>
                </c:pt>
                <c:pt idx="147">
                  <c:v>0.11883081918835425</c:v>
                </c:pt>
                <c:pt idx="148">
                  <c:v>0.16648256037108489</c:v>
                </c:pt>
                <c:pt idx="149">
                  <c:v>3.8774938060395447E-2</c:v>
                </c:pt>
                <c:pt idx="150">
                  <c:v>9.2130395622421313E-2</c:v>
                </c:pt>
                <c:pt idx="151">
                  <c:v>0.19771826494400946</c:v>
                </c:pt>
                <c:pt idx="152">
                  <c:v>0.22690972466723247</c:v>
                </c:pt>
                <c:pt idx="153">
                  <c:v>0.29052580903905145</c:v>
                </c:pt>
                <c:pt idx="154">
                  <c:v>0.23715543647488757</c:v>
                </c:pt>
                <c:pt idx="155">
                  <c:v>0.28737819985429391</c:v>
                </c:pt>
                <c:pt idx="156">
                  <c:v>0.29051842268093786</c:v>
                </c:pt>
                <c:pt idx="157">
                  <c:v>0.24876534818927531</c:v>
                </c:pt>
                <c:pt idx="158">
                  <c:v>0.31207819271301229</c:v>
                </c:pt>
                <c:pt idx="159">
                  <c:v>0.36501438275909392</c:v>
                </c:pt>
                <c:pt idx="160">
                  <c:v>0.34706401303008882</c:v>
                </c:pt>
                <c:pt idx="161">
                  <c:v>0.38290839235465723</c:v>
                </c:pt>
                <c:pt idx="162">
                  <c:v>0.41462943915047035</c:v>
                </c:pt>
                <c:pt idx="163">
                  <c:v>0.36717510566486</c:v>
                </c:pt>
                <c:pt idx="164">
                  <c:v>0.36063770375943438</c:v>
                </c:pt>
                <c:pt idx="165">
                  <c:v>0.36755108588670127</c:v>
                </c:pt>
                <c:pt idx="166">
                  <c:v>0.36585420680711755</c:v>
                </c:pt>
                <c:pt idx="167">
                  <c:v>0.3745374396833312</c:v>
                </c:pt>
                <c:pt idx="168">
                  <c:v>0.4190700155940501</c:v>
                </c:pt>
                <c:pt idx="169">
                  <c:v>0.2751821807090431</c:v>
                </c:pt>
                <c:pt idx="170">
                  <c:v>0.31231763814520175</c:v>
                </c:pt>
                <c:pt idx="171">
                  <c:v>0.3222790020889974</c:v>
                </c:pt>
                <c:pt idx="172">
                  <c:v>0.33840796192967959</c:v>
                </c:pt>
                <c:pt idx="173">
                  <c:v>0.33711043374078753</c:v>
                </c:pt>
                <c:pt idx="174">
                  <c:v>0.30956086952094819</c:v>
                </c:pt>
                <c:pt idx="175">
                  <c:v>0.34503304459691631</c:v>
                </c:pt>
                <c:pt idx="176">
                  <c:v>0.41970264526666234</c:v>
                </c:pt>
                <c:pt idx="177">
                  <c:v>0.33788936707692074</c:v>
                </c:pt>
                <c:pt idx="178">
                  <c:v>0.23624130224954887</c:v>
                </c:pt>
                <c:pt idx="179">
                  <c:v>0.18820414647512784</c:v>
                </c:pt>
                <c:pt idx="180">
                  <c:v>0.12598878136400193</c:v>
                </c:pt>
                <c:pt idx="181">
                  <c:v>9.8635241340891078E-2</c:v>
                </c:pt>
                <c:pt idx="182">
                  <c:v>7.5695970582987826E-2</c:v>
                </c:pt>
                <c:pt idx="183">
                  <c:v>6.7027384285584413E-2</c:v>
                </c:pt>
                <c:pt idx="184">
                  <c:v>9.8000217352203878E-2</c:v>
                </c:pt>
                <c:pt idx="185">
                  <c:v>0.14553451477769186</c:v>
                </c:pt>
                <c:pt idx="186">
                  <c:v>0.19146152037428643</c:v>
                </c:pt>
                <c:pt idx="187">
                  <c:v>0.16569472043788203</c:v>
                </c:pt>
                <c:pt idx="188">
                  <c:v>0.19362083110931572</c:v>
                </c:pt>
                <c:pt idx="189">
                  <c:v>0.24873015250733665</c:v>
                </c:pt>
                <c:pt idx="190">
                  <c:v>0.26898154063242696</c:v>
                </c:pt>
                <c:pt idx="191">
                  <c:v>0.3665046657956248</c:v>
                </c:pt>
                <c:pt idx="192">
                  <c:v>0.25359599311867664</c:v>
                </c:pt>
                <c:pt idx="193">
                  <c:v>0.10594182050996337</c:v>
                </c:pt>
                <c:pt idx="194">
                  <c:v>7.539563533125504E-2</c:v>
                </c:pt>
                <c:pt idx="195">
                  <c:v>0.12899163592500007</c:v>
                </c:pt>
                <c:pt idx="196">
                  <c:v>0.1670873145974705</c:v>
                </c:pt>
                <c:pt idx="197">
                  <c:v>1.4635520327040075E-2</c:v>
                </c:pt>
                <c:pt idx="198">
                  <c:v>0.11250149157681566</c:v>
                </c:pt>
                <c:pt idx="199">
                  <c:v>0.24714589252148222</c:v>
                </c:pt>
                <c:pt idx="200">
                  <c:v>0.24932840423673142</c:v>
                </c:pt>
                <c:pt idx="201">
                  <c:v>0.31802233701821692</c:v>
                </c:pt>
                <c:pt idx="202">
                  <c:v>0.38089886612614032</c:v>
                </c:pt>
                <c:pt idx="203">
                  <c:v>0.44218546914220047</c:v>
                </c:pt>
                <c:pt idx="204">
                  <c:v>0.44398018751339929</c:v>
                </c:pt>
                <c:pt idx="205">
                  <c:v>0.47353948593015449</c:v>
                </c:pt>
                <c:pt idx="206">
                  <c:v>0.57624678499624848</c:v>
                </c:pt>
                <c:pt idx="207">
                  <c:v>0.60599383163748999</c:v>
                </c:pt>
                <c:pt idx="208">
                  <c:v>0.43272630741740525</c:v>
                </c:pt>
                <c:pt idx="209">
                  <c:v>0.26343753243496271</c:v>
                </c:pt>
                <c:pt idx="210">
                  <c:v>0.17081358507589095</c:v>
                </c:pt>
                <c:pt idx="211">
                  <c:v>0.13713545866935739</c:v>
                </c:pt>
                <c:pt idx="212">
                  <c:v>-0.11630202177518367</c:v>
                </c:pt>
                <c:pt idx="213">
                  <c:v>-0.15077596291082718</c:v>
                </c:pt>
                <c:pt idx="214">
                  <c:v>-6.3666826970353751E-2</c:v>
                </c:pt>
                <c:pt idx="215">
                  <c:v>-8.6382770538328102E-2</c:v>
                </c:pt>
                <c:pt idx="216">
                  <c:v>-0.21129265886168613</c:v>
                </c:pt>
                <c:pt idx="217">
                  <c:v>-0.22497273969400655</c:v>
                </c:pt>
                <c:pt idx="218">
                  <c:v>-0.15695167706176405</c:v>
                </c:pt>
                <c:pt idx="219">
                  <c:v>-0.17660807221966768</c:v>
                </c:pt>
                <c:pt idx="220">
                  <c:v>-0.2483479709082046</c:v>
                </c:pt>
                <c:pt idx="221">
                  <c:v>-0.28009482238675953</c:v>
                </c:pt>
                <c:pt idx="222">
                  <c:v>-0.31092267778651428</c:v>
                </c:pt>
                <c:pt idx="223">
                  <c:v>-0.36266120812405878</c:v>
                </c:pt>
                <c:pt idx="224">
                  <c:v>-0.39785819071608386</c:v>
                </c:pt>
                <c:pt idx="225">
                  <c:v>-0.37642723441949222</c:v>
                </c:pt>
                <c:pt idx="226">
                  <c:v>-0.40024188924078119</c:v>
                </c:pt>
                <c:pt idx="227">
                  <c:v>-0.46927195391996923</c:v>
                </c:pt>
                <c:pt idx="228">
                  <c:v>-0.51974361422138116</c:v>
                </c:pt>
                <c:pt idx="229">
                  <c:v>-0.4428651365022257</c:v>
                </c:pt>
                <c:pt idx="230">
                  <c:v>-0.36429344952204346</c:v>
                </c:pt>
                <c:pt idx="231">
                  <c:v>-0.36293198529172399</c:v>
                </c:pt>
                <c:pt idx="232">
                  <c:v>-0.32643369216695917</c:v>
                </c:pt>
                <c:pt idx="233">
                  <c:v>-0.17763523570680773</c:v>
                </c:pt>
                <c:pt idx="234">
                  <c:v>-8.4105044456745159E-2</c:v>
                </c:pt>
                <c:pt idx="235">
                  <c:v>-8.0235671527605579E-2</c:v>
                </c:pt>
                <c:pt idx="236">
                  <c:v>-4.180856878141781E-2</c:v>
                </c:pt>
                <c:pt idx="237">
                  <c:v>7.4059350655418132E-2</c:v>
                </c:pt>
                <c:pt idx="238">
                  <c:v>8.5324149518483328E-2</c:v>
                </c:pt>
                <c:pt idx="239">
                  <c:v>4.1332075278040836E-2</c:v>
                </c:pt>
                <c:pt idx="240">
                  <c:v>4.7665945477648908E-2</c:v>
                </c:pt>
                <c:pt idx="241">
                  <c:v>5.1838505913973876E-2</c:v>
                </c:pt>
                <c:pt idx="242">
                  <c:v>0.13398255491947553</c:v>
                </c:pt>
                <c:pt idx="243">
                  <c:v>0.15654426242571451</c:v>
                </c:pt>
                <c:pt idx="244">
                  <c:v>0.21037752177459645</c:v>
                </c:pt>
                <c:pt idx="245">
                  <c:v>0.22307312581507976</c:v>
                </c:pt>
                <c:pt idx="246">
                  <c:v>0.1796827586476446</c:v>
                </c:pt>
                <c:pt idx="247">
                  <c:v>0.20568181519375939</c:v>
                </c:pt>
                <c:pt idx="248">
                  <c:v>0.22341932756179861</c:v>
                </c:pt>
                <c:pt idx="249">
                  <c:v>0.25426732952263453</c:v>
                </c:pt>
                <c:pt idx="250">
                  <c:v>0.20109702847651034</c:v>
                </c:pt>
                <c:pt idx="251">
                  <c:v>0.19266705091257941</c:v>
                </c:pt>
                <c:pt idx="252">
                  <c:v>0.18071334140919859</c:v>
                </c:pt>
                <c:pt idx="253">
                  <c:v>0.24323812126625755</c:v>
                </c:pt>
                <c:pt idx="254">
                  <c:v>0.20134855444298294</c:v>
                </c:pt>
                <c:pt idx="255">
                  <c:v>0.16370059263332171</c:v>
                </c:pt>
                <c:pt idx="256">
                  <c:v>0.16649023392047346</c:v>
                </c:pt>
                <c:pt idx="257">
                  <c:v>0.1022591649175022</c:v>
                </c:pt>
                <c:pt idx="258">
                  <c:v>0.1107495237331626</c:v>
                </c:pt>
                <c:pt idx="259">
                  <c:v>0.12958776263965399</c:v>
                </c:pt>
                <c:pt idx="260">
                  <c:v>0.139622100928535</c:v>
                </c:pt>
                <c:pt idx="261">
                  <c:v>0.15019377766850073</c:v>
                </c:pt>
                <c:pt idx="262">
                  <c:v>0.18960354736524021</c:v>
                </c:pt>
                <c:pt idx="263">
                  <c:v>0.13501458040710057</c:v>
                </c:pt>
                <c:pt idx="264">
                  <c:v>0.14275259021431119</c:v>
                </c:pt>
                <c:pt idx="265">
                  <c:v>0.15603711695797973</c:v>
                </c:pt>
                <c:pt idx="266">
                  <c:v>0.10839903957462416</c:v>
                </c:pt>
                <c:pt idx="267">
                  <c:v>9.1306133432728975E-2</c:v>
                </c:pt>
                <c:pt idx="268">
                  <c:v>6.7083363145929109E-2</c:v>
                </c:pt>
                <c:pt idx="269">
                  <c:v>0.10512447840556183</c:v>
                </c:pt>
                <c:pt idx="270">
                  <c:v>0.15321301489691308</c:v>
                </c:pt>
                <c:pt idx="271">
                  <c:v>0.17461535494508684</c:v>
                </c:pt>
                <c:pt idx="272">
                  <c:v>0.19615047752257708</c:v>
                </c:pt>
                <c:pt idx="273">
                  <c:v>0.18203191283491793</c:v>
                </c:pt>
                <c:pt idx="274">
                  <c:v>0.16816954129304573</c:v>
                </c:pt>
                <c:pt idx="275">
                  <c:v>0.21148277662422776</c:v>
                </c:pt>
                <c:pt idx="276">
                  <c:v>0.24907890497134688</c:v>
                </c:pt>
                <c:pt idx="277">
                  <c:v>0.28830218726621015</c:v>
                </c:pt>
                <c:pt idx="278">
                  <c:v>0.42884771441262881</c:v>
                </c:pt>
                <c:pt idx="279">
                  <c:v>0.395494159447636</c:v>
                </c:pt>
                <c:pt idx="280">
                  <c:v>0.32078992059010925</c:v>
                </c:pt>
                <c:pt idx="281">
                  <c:v>0.26682724509123434</c:v>
                </c:pt>
                <c:pt idx="282">
                  <c:v>0.17935298470982852</c:v>
                </c:pt>
                <c:pt idx="283">
                  <c:v>0.24381317575472705</c:v>
                </c:pt>
                <c:pt idx="284">
                  <c:v>0.39932283979065319</c:v>
                </c:pt>
                <c:pt idx="285">
                  <c:v>0.22335634258387493</c:v>
                </c:pt>
                <c:pt idx="286">
                  <c:v>0.21465090142716492</c:v>
                </c:pt>
                <c:pt idx="287">
                  <c:v>0.13779268210791584</c:v>
                </c:pt>
                <c:pt idx="288">
                  <c:v>7.2905078705572279E-2</c:v>
                </c:pt>
                <c:pt idx="289">
                  <c:v>5.0337962639177114E-2</c:v>
                </c:pt>
                <c:pt idx="290">
                  <c:v>-3.0913612852032646E-2</c:v>
                </c:pt>
                <c:pt idx="291">
                  <c:v>-4.3849927401727551E-2</c:v>
                </c:pt>
                <c:pt idx="292">
                  <c:v>-7.0332678878598953E-2</c:v>
                </c:pt>
                <c:pt idx="293">
                  <c:v>-0.13249075950623002</c:v>
                </c:pt>
                <c:pt idx="294">
                  <c:v>-0.11535385233118767</c:v>
                </c:pt>
                <c:pt idx="295">
                  <c:v>-6.5551368980199087E-2</c:v>
                </c:pt>
                <c:pt idx="296">
                  <c:v>-6.3826872966843307E-2</c:v>
                </c:pt>
                <c:pt idx="297">
                  <c:v>-0.1499584817914863</c:v>
                </c:pt>
                <c:pt idx="298">
                  <c:v>-0.24298440618576422</c:v>
                </c:pt>
                <c:pt idx="299">
                  <c:v>-0.30725755950501377</c:v>
                </c:pt>
                <c:pt idx="300">
                  <c:v>-0.33019854725221154</c:v>
                </c:pt>
                <c:pt idx="301">
                  <c:v>-0.31514411108861895</c:v>
                </c:pt>
                <c:pt idx="302">
                  <c:v>-0.24175015672632494</c:v>
                </c:pt>
                <c:pt idx="303">
                  <c:v>-0.24487471828942053</c:v>
                </c:pt>
                <c:pt idx="304">
                  <c:v>-0.35157136226431918</c:v>
                </c:pt>
                <c:pt idx="305">
                  <c:v>-0.38249461386532113</c:v>
                </c:pt>
                <c:pt idx="306">
                  <c:v>-0.30334230096908266</c:v>
                </c:pt>
                <c:pt idx="307">
                  <c:v>-0.36223591748511452</c:v>
                </c:pt>
                <c:pt idx="308">
                  <c:v>-0.31095502252315155</c:v>
                </c:pt>
                <c:pt idx="309">
                  <c:v>-0.29686101359826567</c:v>
                </c:pt>
                <c:pt idx="310">
                  <c:v>-0.24734589222973513</c:v>
                </c:pt>
                <c:pt idx="311">
                  <c:v>-0.211198931729495</c:v>
                </c:pt>
                <c:pt idx="312">
                  <c:v>-0.22094185591389393</c:v>
                </c:pt>
                <c:pt idx="313">
                  <c:v>-0.2218558489035436</c:v>
                </c:pt>
                <c:pt idx="314">
                  <c:v>-0.23388808757509405</c:v>
                </c:pt>
                <c:pt idx="315">
                  <c:v>-0.16610565234251962</c:v>
                </c:pt>
                <c:pt idx="316">
                  <c:v>-0.24000684208646161</c:v>
                </c:pt>
                <c:pt idx="317">
                  <c:v>-0.29151611951250633</c:v>
                </c:pt>
                <c:pt idx="318">
                  <c:v>-0.18383485743610573</c:v>
                </c:pt>
                <c:pt idx="319">
                  <c:v>-0.11130437165806573</c:v>
                </c:pt>
                <c:pt idx="320">
                  <c:v>-4.5474002565676019E-2</c:v>
                </c:pt>
                <c:pt idx="321">
                  <c:v>-4.891668967871543E-2</c:v>
                </c:pt>
                <c:pt idx="322">
                  <c:v>-5.9651402487521765E-2</c:v>
                </c:pt>
                <c:pt idx="323">
                  <c:v>-0.15471586200027565</c:v>
                </c:pt>
                <c:pt idx="324">
                  <c:v>-4.7548105788145612E-2</c:v>
                </c:pt>
                <c:pt idx="325">
                  <c:v>2.3090485788034742E-2</c:v>
                </c:pt>
                <c:pt idx="326">
                  <c:v>2.6361027004987658E-2</c:v>
                </c:pt>
                <c:pt idx="327">
                  <c:v>6.1873650671668168E-2</c:v>
                </c:pt>
                <c:pt idx="328">
                  <c:v>0.11703292179931091</c:v>
                </c:pt>
                <c:pt idx="329">
                  <c:v>0.16862591426368123</c:v>
                </c:pt>
                <c:pt idx="330">
                  <c:v>0.30426342337553125</c:v>
                </c:pt>
                <c:pt idx="331">
                  <c:v>0.30232908773647638</c:v>
                </c:pt>
                <c:pt idx="332">
                  <c:v>0.43027105104026164</c:v>
                </c:pt>
                <c:pt idx="333">
                  <c:v>0.48399625199470098</c:v>
                </c:pt>
                <c:pt idx="334">
                  <c:v>0.29603718914237365</c:v>
                </c:pt>
                <c:pt idx="335">
                  <c:v>0.32168560046346406</c:v>
                </c:pt>
                <c:pt idx="336">
                  <c:v>0.25265406870660367</c:v>
                </c:pt>
                <c:pt idx="337">
                  <c:v>0.25429274651450418</c:v>
                </c:pt>
                <c:pt idx="338">
                  <c:v>0.33356024506466975</c:v>
                </c:pt>
                <c:pt idx="339">
                  <c:v>0.32360348354208046</c:v>
                </c:pt>
                <c:pt idx="340">
                  <c:v>0.39034766901099505</c:v>
                </c:pt>
                <c:pt idx="341">
                  <c:v>0.32179546244306079</c:v>
                </c:pt>
                <c:pt idx="342">
                  <c:v>0.38204940384995822</c:v>
                </c:pt>
                <c:pt idx="343">
                  <c:v>0.45275631168863129</c:v>
                </c:pt>
                <c:pt idx="344">
                  <c:v>0.44910683059200895</c:v>
                </c:pt>
                <c:pt idx="345">
                  <c:v>0.44734122118901665</c:v>
                </c:pt>
                <c:pt idx="346">
                  <c:v>0.39910517245624977</c:v>
                </c:pt>
                <c:pt idx="347">
                  <c:v>0.45329549430449556</c:v>
                </c:pt>
                <c:pt idx="348">
                  <c:v>0.4598126954386994</c:v>
                </c:pt>
                <c:pt idx="349">
                  <c:v>0.59687519874660899</c:v>
                </c:pt>
                <c:pt idx="350">
                  <c:v>0.62356031857075478</c:v>
                </c:pt>
                <c:pt idx="351">
                  <c:v>0.47142206077968773</c:v>
                </c:pt>
                <c:pt idx="352">
                  <c:v>0.3975146045031801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C21E-47E8-9CFF-6FB711BF3D6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4036912"/>
        <c:axId val="44037392"/>
      </c:scatterChart>
      <c:valAx>
        <c:axId val="440369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800" b="0" i="0" u="none" strike="noStrike" baseline="0">
                    <a:effectLst/>
                  </a:rPr>
                  <a:t>Debit+Credit Balances : USM2</a:t>
                </a:r>
                <a:r>
                  <a:rPr lang="en-GB" sz="800" b="0" i="0" u="none" strike="noStrike" baseline="0"/>
                  <a:t> </a:t>
                </a:r>
                <a:endParaRPr lang="en-GB" sz="800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8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%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4037392"/>
        <c:crosses val="autoZero"/>
        <c:crossBetween val="midCat"/>
      </c:valAx>
      <c:valAx>
        <c:axId val="440373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S&amp;P 500 FwdRtn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%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403691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'Customer Margin Balances'!$T$1</c:f>
              <c:strCache>
                <c:ptCount val="1"/>
                <c:pt idx="0">
                  <c:v>S&amp;P 500 FwdRtn (21M)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circle"/>
            <c:size val="3"/>
            <c:spPr>
              <a:solidFill>
                <a:schemeClr val="accent1"/>
              </a:solidFill>
              <a:ln w="9525">
                <a:noFill/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8.9922790901137362E-2"/>
                  <c:y val="-0.50435877806940799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'Customer Margin Balances'!$M$2:$M$1354</c:f>
              <c:numCache>
                <c:formatCode>0.0%</c:formatCode>
                <c:ptCount val="1353"/>
                <c:pt idx="0">
                  <c:v>6.1621778100880646E-2</c:v>
                </c:pt>
                <c:pt idx="1">
                  <c:v>5.6865609822028061E-2</c:v>
                </c:pt>
                <c:pt idx="2">
                  <c:v>5.351189302197152E-2</c:v>
                </c:pt>
                <c:pt idx="3">
                  <c:v>5.561807377030991E-2</c:v>
                </c:pt>
                <c:pt idx="4">
                  <c:v>5.693158196943867E-2</c:v>
                </c:pt>
                <c:pt idx="5">
                  <c:v>5.4462989872596464E-2</c:v>
                </c:pt>
                <c:pt idx="6">
                  <c:v>5.4528925471388864E-2</c:v>
                </c:pt>
                <c:pt idx="7">
                  <c:v>5.3368231209702875E-2</c:v>
                </c:pt>
                <c:pt idx="8">
                  <c:v>5.0946068787734888E-2</c:v>
                </c:pt>
                <c:pt idx="9">
                  <c:v>4.8097299946897591E-2</c:v>
                </c:pt>
                <c:pt idx="10">
                  <c:v>4.655309307449966E-2</c:v>
                </c:pt>
                <c:pt idx="11">
                  <c:v>4.6008599559067193E-2</c:v>
                </c:pt>
                <c:pt idx="12">
                  <c:v>4.2335591942557163E-2</c:v>
                </c:pt>
                <c:pt idx="13">
                  <c:v>3.8844118063452483E-2</c:v>
                </c:pt>
                <c:pt idx="14">
                  <c:v>4.0346118767501868E-2</c:v>
                </c:pt>
                <c:pt idx="15">
                  <c:v>4.2640906557681588E-2</c:v>
                </c:pt>
                <c:pt idx="16">
                  <c:v>4.3422502258565171E-2</c:v>
                </c:pt>
                <c:pt idx="17">
                  <c:v>4.1592717314879915E-2</c:v>
                </c:pt>
                <c:pt idx="18">
                  <c:v>4.1530593692454723E-2</c:v>
                </c:pt>
                <c:pt idx="19">
                  <c:v>3.8337110454947247E-2</c:v>
                </c:pt>
                <c:pt idx="20">
                  <c:v>3.8324661859654087E-2</c:v>
                </c:pt>
                <c:pt idx="21">
                  <c:v>3.7711379710007806E-2</c:v>
                </c:pt>
                <c:pt idx="22">
                  <c:v>3.8515086165947829E-2</c:v>
                </c:pt>
                <c:pt idx="23">
                  <c:v>3.8462949585582842E-2</c:v>
                </c:pt>
                <c:pt idx="24">
                  <c:v>3.8659021764568216E-2</c:v>
                </c:pt>
                <c:pt idx="25">
                  <c:v>3.6805224638575378E-2</c:v>
                </c:pt>
                <c:pt idx="26">
                  <c:v>3.7181698776156631E-2</c:v>
                </c:pt>
                <c:pt idx="27">
                  <c:v>3.5641580396634266E-2</c:v>
                </c:pt>
                <c:pt idx="28">
                  <c:v>3.3629155887707193E-2</c:v>
                </c:pt>
                <c:pt idx="29">
                  <c:v>3.3518309481900974E-2</c:v>
                </c:pt>
                <c:pt idx="30">
                  <c:v>3.1849515428692597E-2</c:v>
                </c:pt>
                <c:pt idx="31">
                  <c:v>3.0726325615589616E-2</c:v>
                </c:pt>
                <c:pt idx="32">
                  <c:v>3.2874911879170653E-2</c:v>
                </c:pt>
                <c:pt idx="33">
                  <c:v>3.3250430595693561E-2</c:v>
                </c:pt>
                <c:pt idx="34">
                  <c:v>3.4206724397989524E-2</c:v>
                </c:pt>
                <c:pt idx="35">
                  <c:v>3.2796757048220611E-2</c:v>
                </c:pt>
                <c:pt idx="36">
                  <c:v>3.1067544430779619E-2</c:v>
                </c:pt>
                <c:pt idx="37">
                  <c:v>3.0280548927157903E-2</c:v>
                </c:pt>
                <c:pt idx="38">
                  <c:v>3.0655593658272459E-2</c:v>
                </c:pt>
                <c:pt idx="39">
                  <c:v>2.9523838795553307E-2</c:v>
                </c:pt>
                <c:pt idx="40">
                  <c:v>3.0101350558390409E-2</c:v>
                </c:pt>
                <c:pt idx="41">
                  <c:v>2.8284185055504528E-2</c:v>
                </c:pt>
                <c:pt idx="42">
                  <c:v>3.0051861602808275E-2</c:v>
                </c:pt>
                <c:pt idx="43">
                  <c:v>3.0337835313457372E-2</c:v>
                </c:pt>
                <c:pt idx="44">
                  <c:v>3.0874231060729347E-2</c:v>
                </c:pt>
                <c:pt idx="45">
                  <c:v>3.1865447250522372E-2</c:v>
                </c:pt>
                <c:pt idx="46">
                  <c:v>3.2243601312361467E-2</c:v>
                </c:pt>
                <c:pt idx="47">
                  <c:v>3.162018487845953E-2</c:v>
                </c:pt>
                <c:pt idx="48">
                  <c:v>3.4875794953981833E-2</c:v>
                </c:pt>
                <c:pt idx="49">
                  <c:v>3.5319707001887218E-2</c:v>
                </c:pt>
                <c:pt idx="50">
                  <c:v>3.6527832339049326E-2</c:v>
                </c:pt>
                <c:pt idx="51">
                  <c:v>3.8635228271427909E-2</c:v>
                </c:pt>
                <c:pt idx="52">
                  <c:v>3.82887589475676E-2</c:v>
                </c:pt>
                <c:pt idx="53">
                  <c:v>4.197339593836049E-2</c:v>
                </c:pt>
                <c:pt idx="54">
                  <c:v>4.3014384985671207E-2</c:v>
                </c:pt>
                <c:pt idx="55">
                  <c:v>4.4300320940668582E-2</c:v>
                </c:pt>
                <c:pt idx="56">
                  <c:v>4.3086409740179195E-2</c:v>
                </c:pt>
                <c:pt idx="57">
                  <c:v>4.3850420442956381E-2</c:v>
                </c:pt>
                <c:pt idx="58">
                  <c:v>4.0994562050883664E-2</c:v>
                </c:pt>
                <c:pt idx="59">
                  <c:v>4.3150868542189483E-2</c:v>
                </c:pt>
                <c:pt idx="60">
                  <c:v>4.2391380285847824E-2</c:v>
                </c:pt>
                <c:pt idx="61">
                  <c:v>4.1776517579762314E-2</c:v>
                </c:pt>
                <c:pt idx="62">
                  <c:v>4.1207079663751041E-2</c:v>
                </c:pt>
                <c:pt idx="63">
                  <c:v>4.1630468706031626E-2</c:v>
                </c:pt>
                <c:pt idx="64">
                  <c:v>4.116456962005742E-2</c:v>
                </c:pt>
                <c:pt idx="65">
                  <c:v>4.035608139299663E-2</c:v>
                </c:pt>
                <c:pt idx="66">
                  <c:v>3.7975430440590256E-2</c:v>
                </c:pt>
                <c:pt idx="67">
                  <c:v>3.5204666809055957E-2</c:v>
                </c:pt>
                <c:pt idx="68">
                  <c:v>3.5206723629554702E-2</c:v>
                </c:pt>
                <c:pt idx="69">
                  <c:v>3.5153044832524682E-2</c:v>
                </c:pt>
                <c:pt idx="70">
                  <c:v>3.3545739221676328E-2</c:v>
                </c:pt>
                <c:pt idx="71">
                  <c:v>3.2213553719008262E-2</c:v>
                </c:pt>
                <c:pt idx="72">
                  <c:v>3.1019435462139585E-2</c:v>
                </c:pt>
                <c:pt idx="73">
                  <c:v>3.0600764004315748E-2</c:v>
                </c:pt>
                <c:pt idx="74">
                  <c:v>2.9764820587979583E-2</c:v>
                </c:pt>
                <c:pt idx="75">
                  <c:v>3.5320564738202762E-2</c:v>
                </c:pt>
                <c:pt idx="76">
                  <c:v>3.6375714646448294E-2</c:v>
                </c:pt>
                <c:pt idx="77">
                  <c:v>3.7467236762099433E-2</c:v>
                </c:pt>
                <c:pt idx="78">
                  <c:v>3.6809401558651957E-2</c:v>
                </c:pt>
                <c:pt idx="79">
                  <c:v>3.6578310392359897E-2</c:v>
                </c:pt>
                <c:pt idx="80">
                  <c:v>3.6969721152631196E-2</c:v>
                </c:pt>
                <c:pt idx="81">
                  <c:v>3.7800216806520258E-2</c:v>
                </c:pt>
                <c:pt idx="82">
                  <c:v>4.0518885382249827E-2</c:v>
                </c:pt>
                <c:pt idx="83">
                  <c:v>4.0347242426907903E-2</c:v>
                </c:pt>
                <c:pt idx="84">
                  <c:v>3.8907313535958846E-2</c:v>
                </c:pt>
                <c:pt idx="85">
                  <c:v>4.0144630071599047E-2</c:v>
                </c:pt>
                <c:pt idx="86">
                  <c:v>3.927748848730353E-2</c:v>
                </c:pt>
                <c:pt idx="87">
                  <c:v>4.0240736124958459E-2</c:v>
                </c:pt>
                <c:pt idx="88">
                  <c:v>3.9296587672482924E-2</c:v>
                </c:pt>
                <c:pt idx="89">
                  <c:v>3.8255573193457106E-2</c:v>
                </c:pt>
                <c:pt idx="90">
                  <c:v>4.1458914891384195E-2</c:v>
                </c:pt>
                <c:pt idx="91">
                  <c:v>4.2675295670983507E-2</c:v>
                </c:pt>
                <c:pt idx="92">
                  <c:v>4.5523417525918021E-2</c:v>
                </c:pt>
                <c:pt idx="93">
                  <c:v>4.5932958769854683E-2</c:v>
                </c:pt>
                <c:pt idx="94">
                  <c:v>4.6139438232425327E-2</c:v>
                </c:pt>
                <c:pt idx="95">
                  <c:v>4.5840342386644653E-2</c:v>
                </c:pt>
                <c:pt idx="96">
                  <c:v>4.7722116797694294E-2</c:v>
                </c:pt>
                <c:pt idx="97">
                  <c:v>4.6243601922613391E-2</c:v>
                </c:pt>
                <c:pt idx="98">
                  <c:v>4.586837372308436E-2</c:v>
                </c:pt>
                <c:pt idx="99">
                  <c:v>4.6459958370245531E-2</c:v>
                </c:pt>
                <c:pt idx="100">
                  <c:v>4.7901852851232239E-2</c:v>
                </c:pt>
                <c:pt idx="101">
                  <c:v>4.5983446480052079E-2</c:v>
                </c:pt>
                <c:pt idx="102">
                  <c:v>4.5290763144977333E-2</c:v>
                </c:pt>
                <c:pt idx="103">
                  <c:v>4.4098958900134218E-2</c:v>
                </c:pt>
                <c:pt idx="104">
                  <c:v>4.4137142857142854E-2</c:v>
                </c:pt>
                <c:pt idx="105">
                  <c:v>4.3592765801972966E-2</c:v>
                </c:pt>
                <c:pt idx="106">
                  <c:v>4.3659079390961371E-2</c:v>
                </c:pt>
                <c:pt idx="107">
                  <c:v>4.3113580684199654E-2</c:v>
                </c:pt>
                <c:pt idx="108">
                  <c:v>4.3159391524595261E-2</c:v>
                </c:pt>
                <c:pt idx="109">
                  <c:v>4.3463966217409215E-2</c:v>
                </c:pt>
                <c:pt idx="110">
                  <c:v>4.2730211330635919E-2</c:v>
                </c:pt>
                <c:pt idx="111">
                  <c:v>4.2650440652540783E-2</c:v>
                </c:pt>
                <c:pt idx="112">
                  <c:v>4.1595807033363394E-2</c:v>
                </c:pt>
                <c:pt idx="113">
                  <c:v>3.9724748611736457E-2</c:v>
                </c:pt>
                <c:pt idx="114">
                  <c:v>4.0853117859790879E-2</c:v>
                </c:pt>
                <c:pt idx="115">
                  <c:v>3.9964595287510681E-2</c:v>
                </c:pt>
                <c:pt idx="116">
                  <c:v>4.1435644702654227E-2</c:v>
                </c:pt>
                <c:pt idx="117">
                  <c:v>3.9299376795852499E-2</c:v>
                </c:pt>
                <c:pt idx="118">
                  <c:v>3.983336179196225E-2</c:v>
                </c:pt>
                <c:pt idx="119">
                  <c:v>3.8029416810943177E-2</c:v>
                </c:pt>
                <c:pt idx="120">
                  <c:v>3.8444460140321136E-2</c:v>
                </c:pt>
                <c:pt idx="121">
                  <c:v>3.8654072830880917E-2</c:v>
                </c:pt>
                <c:pt idx="122">
                  <c:v>3.8053331865435733E-2</c:v>
                </c:pt>
                <c:pt idx="123">
                  <c:v>3.7785569704987011E-2</c:v>
                </c:pt>
                <c:pt idx="124">
                  <c:v>3.8946089403338234E-2</c:v>
                </c:pt>
                <c:pt idx="125">
                  <c:v>4.0411301974634772E-2</c:v>
                </c:pt>
                <c:pt idx="126">
                  <c:v>4.1806722689075627E-2</c:v>
                </c:pt>
                <c:pt idx="127">
                  <c:v>4.2122858782067042E-2</c:v>
                </c:pt>
                <c:pt idx="128">
                  <c:v>4.0872470534085117E-2</c:v>
                </c:pt>
                <c:pt idx="129">
                  <c:v>4.2643436864637917E-2</c:v>
                </c:pt>
                <c:pt idx="130">
                  <c:v>4.4074772253548028E-2</c:v>
                </c:pt>
                <c:pt idx="131">
                  <c:v>4.5698880789952129E-2</c:v>
                </c:pt>
                <c:pt idx="132">
                  <c:v>4.5386226717051954E-2</c:v>
                </c:pt>
                <c:pt idx="133">
                  <c:v>4.5711103538271007E-2</c:v>
                </c:pt>
                <c:pt idx="134">
                  <c:v>4.3232496036051074E-2</c:v>
                </c:pt>
                <c:pt idx="135">
                  <c:v>4.2525203183560026E-2</c:v>
                </c:pt>
                <c:pt idx="136">
                  <c:v>4.1227302039846585E-2</c:v>
                </c:pt>
                <c:pt idx="137">
                  <c:v>4.2062768854837479E-2</c:v>
                </c:pt>
                <c:pt idx="138">
                  <c:v>4.2640613053152462E-2</c:v>
                </c:pt>
                <c:pt idx="139">
                  <c:v>4.2624833526471451E-2</c:v>
                </c:pt>
                <c:pt idx="140">
                  <c:v>4.3833487012648095E-2</c:v>
                </c:pt>
                <c:pt idx="141">
                  <c:v>4.3762720451428622E-2</c:v>
                </c:pt>
                <c:pt idx="142">
                  <c:v>4.3676406187047837E-2</c:v>
                </c:pt>
                <c:pt idx="143">
                  <c:v>4.4208849339424185E-2</c:v>
                </c:pt>
                <c:pt idx="144">
                  <c:v>4.2069667415968987E-2</c:v>
                </c:pt>
                <c:pt idx="145">
                  <c:v>4.1843806135747244E-2</c:v>
                </c:pt>
                <c:pt idx="146">
                  <c:v>4.3167598556161084E-2</c:v>
                </c:pt>
                <c:pt idx="147">
                  <c:v>4.4913945791215673E-2</c:v>
                </c:pt>
                <c:pt idx="148">
                  <c:v>4.3817933439384546E-2</c:v>
                </c:pt>
                <c:pt idx="149">
                  <c:v>4.2992093441150042E-2</c:v>
                </c:pt>
                <c:pt idx="150">
                  <c:v>4.1478350965208854E-2</c:v>
                </c:pt>
                <c:pt idx="151">
                  <c:v>4.0612349194181316E-2</c:v>
                </c:pt>
                <c:pt idx="152">
                  <c:v>3.9965652872417039E-2</c:v>
                </c:pt>
                <c:pt idx="153">
                  <c:v>3.8508325280606555E-2</c:v>
                </c:pt>
                <c:pt idx="154">
                  <c:v>3.84907299304161E-2</c:v>
                </c:pt>
                <c:pt idx="155">
                  <c:v>3.8216391537069849E-2</c:v>
                </c:pt>
                <c:pt idx="156">
                  <c:v>3.7874852642995234E-2</c:v>
                </c:pt>
                <c:pt idx="157">
                  <c:v>3.8262054114783263E-2</c:v>
                </c:pt>
                <c:pt idx="158">
                  <c:v>3.7918368113248287E-2</c:v>
                </c:pt>
                <c:pt idx="159">
                  <c:v>3.7154346957034894E-2</c:v>
                </c:pt>
                <c:pt idx="160">
                  <c:v>3.6851085243348965E-2</c:v>
                </c:pt>
                <c:pt idx="161">
                  <c:v>3.3629741199651397E-2</c:v>
                </c:pt>
                <c:pt idx="162">
                  <c:v>3.3899644066325202E-2</c:v>
                </c:pt>
                <c:pt idx="163">
                  <c:v>3.3329601106037443E-2</c:v>
                </c:pt>
                <c:pt idx="164">
                  <c:v>3.3282860002747737E-2</c:v>
                </c:pt>
                <c:pt idx="165">
                  <c:v>3.1744278212622608E-2</c:v>
                </c:pt>
                <c:pt idx="166">
                  <c:v>3.1263399311960913E-2</c:v>
                </c:pt>
                <c:pt idx="167">
                  <c:v>3.2150498858035823E-2</c:v>
                </c:pt>
                <c:pt idx="168">
                  <c:v>3.1815033920206751E-2</c:v>
                </c:pt>
                <c:pt idx="169">
                  <c:v>3.360916958313695E-2</c:v>
                </c:pt>
                <c:pt idx="170">
                  <c:v>3.3326113674369877E-2</c:v>
                </c:pt>
                <c:pt idx="171">
                  <c:v>3.2924035021557219E-2</c:v>
                </c:pt>
                <c:pt idx="172">
                  <c:v>3.1659701431534633E-2</c:v>
                </c:pt>
                <c:pt idx="173">
                  <c:v>3.0923873481314399E-2</c:v>
                </c:pt>
                <c:pt idx="174">
                  <c:v>3.1472832896685274E-2</c:v>
                </c:pt>
                <c:pt idx="175">
                  <c:v>3.3118621049882474E-2</c:v>
                </c:pt>
                <c:pt idx="176">
                  <c:v>3.1320760660695349E-2</c:v>
                </c:pt>
                <c:pt idx="177">
                  <c:v>3.2563283465646117E-2</c:v>
                </c:pt>
                <c:pt idx="178">
                  <c:v>3.7075070745327579E-2</c:v>
                </c:pt>
                <c:pt idx="179">
                  <c:v>3.7757036939833344E-2</c:v>
                </c:pt>
                <c:pt idx="180">
                  <c:v>3.9275730342040766E-2</c:v>
                </c:pt>
                <c:pt idx="181">
                  <c:v>3.9719452332210706E-2</c:v>
                </c:pt>
                <c:pt idx="182">
                  <c:v>3.9363931375915116E-2</c:v>
                </c:pt>
                <c:pt idx="183">
                  <c:v>3.9150857668532706E-2</c:v>
                </c:pt>
                <c:pt idx="184">
                  <c:v>3.6823973412944293E-2</c:v>
                </c:pt>
                <c:pt idx="185">
                  <c:v>3.532728173709343E-2</c:v>
                </c:pt>
                <c:pt idx="186">
                  <c:v>3.5174656599654325E-2</c:v>
                </c:pt>
                <c:pt idx="187">
                  <c:v>3.4759717274008228E-2</c:v>
                </c:pt>
                <c:pt idx="188">
                  <c:v>3.3287955699123212E-2</c:v>
                </c:pt>
                <c:pt idx="189">
                  <c:v>3.1110789098454727E-2</c:v>
                </c:pt>
                <c:pt idx="190">
                  <c:v>3.1110335682880869E-2</c:v>
                </c:pt>
                <c:pt idx="191">
                  <c:v>3.0515112517825467E-2</c:v>
                </c:pt>
                <c:pt idx="192">
                  <c:v>3.1217714750668372E-2</c:v>
                </c:pt>
                <c:pt idx="193">
                  <c:v>3.428018001299063E-2</c:v>
                </c:pt>
                <c:pt idx="194">
                  <c:v>3.2317124243834344E-2</c:v>
                </c:pt>
                <c:pt idx="195">
                  <c:v>3.0914090072343969E-2</c:v>
                </c:pt>
                <c:pt idx="196">
                  <c:v>3.1406025317649279E-2</c:v>
                </c:pt>
                <c:pt idx="197">
                  <c:v>3.0654088785046728E-2</c:v>
                </c:pt>
                <c:pt idx="198">
                  <c:v>2.9468023904288917E-2</c:v>
                </c:pt>
                <c:pt idx="199">
                  <c:v>3.1434798057562476E-2</c:v>
                </c:pt>
                <c:pt idx="200">
                  <c:v>3.0206961318085639E-2</c:v>
                </c:pt>
                <c:pt idx="201">
                  <c:v>2.8109725626442664E-2</c:v>
                </c:pt>
                <c:pt idx="202">
                  <c:v>2.7146858458543997E-2</c:v>
                </c:pt>
                <c:pt idx="203">
                  <c:v>2.566697005874774E-2</c:v>
                </c:pt>
                <c:pt idx="204">
                  <c:v>2.5382211225419976E-2</c:v>
                </c:pt>
                <c:pt idx="205">
                  <c:v>2.4588051726991182E-2</c:v>
                </c:pt>
                <c:pt idx="206">
                  <c:v>2.4113564892535407E-2</c:v>
                </c:pt>
                <c:pt idx="207">
                  <c:v>2.3992381272832149E-2</c:v>
                </c:pt>
                <c:pt idx="208">
                  <c:v>2.4723468403280269E-2</c:v>
                </c:pt>
                <c:pt idx="209">
                  <c:v>2.5495202629759465E-2</c:v>
                </c:pt>
                <c:pt idx="210">
                  <c:v>2.8333167156887183E-2</c:v>
                </c:pt>
                <c:pt idx="211">
                  <c:v>3.4995209037268646E-2</c:v>
                </c:pt>
                <c:pt idx="212">
                  <c:v>4.4164910263779777E-2</c:v>
                </c:pt>
                <c:pt idx="213">
                  <c:v>4.186718568740172E-2</c:v>
                </c:pt>
                <c:pt idx="214">
                  <c:v>4.4235883823415714E-2</c:v>
                </c:pt>
                <c:pt idx="215">
                  <c:v>4.4780481507777706E-2</c:v>
                </c:pt>
                <c:pt idx="216">
                  <c:v>4.4232811083775733E-2</c:v>
                </c:pt>
                <c:pt idx="217">
                  <c:v>4.2707527406855246E-2</c:v>
                </c:pt>
                <c:pt idx="218">
                  <c:v>4.5183686136578173E-2</c:v>
                </c:pt>
                <c:pt idx="219">
                  <c:v>4.962533064866359E-2</c:v>
                </c:pt>
                <c:pt idx="220">
                  <c:v>4.8650245518783185E-2</c:v>
                </c:pt>
                <c:pt idx="221">
                  <c:v>4.7268276458458061E-2</c:v>
                </c:pt>
                <c:pt idx="222">
                  <c:v>5.0962341411022356E-2</c:v>
                </c:pt>
                <c:pt idx="223">
                  <c:v>5.1016185346577529E-2</c:v>
                </c:pt>
                <c:pt idx="224">
                  <c:v>4.8676227397186002E-2</c:v>
                </c:pt>
                <c:pt idx="225">
                  <c:v>4.9270742714223575E-2</c:v>
                </c:pt>
                <c:pt idx="226">
                  <c:v>5.7060266388949794E-2</c:v>
                </c:pt>
                <c:pt idx="227">
                  <c:v>5.5995722628938059E-2</c:v>
                </c:pt>
                <c:pt idx="228">
                  <c:v>5.2731235000413781E-2</c:v>
                </c:pt>
                <c:pt idx="229">
                  <c:v>4.6822978688457272E-2</c:v>
                </c:pt>
                <c:pt idx="230">
                  <c:v>4.4027408269593171E-2</c:v>
                </c:pt>
                <c:pt idx="231">
                  <c:v>4.5115890318593019E-2</c:v>
                </c:pt>
                <c:pt idx="232">
                  <c:v>4.3831487709127752E-2</c:v>
                </c:pt>
                <c:pt idx="233">
                  <c:v>4.2664941057310862E-2</c:v>
                </c:pt>
                <c:pt idx="234">
                  <c:v>4.1926582026529421E-2</c:v>
                </c:pt>
                <c:pt idx="235">
                  <c:v>3.8404487289837606E-2</c:v>
                </c:pt>
                <c:pt idx="236">
                  <c:v>3.7785299806576404E-2</c:v>
                </c:pt>
                <c:pt idx="237">
                  <c:v>3.6139242340801715E-2</c:v>
                </c:pt>
                <c:pt idx="238">
                  <c:v>3.7206760743507393E-2</c:v>
                </c:pt>
                <c:pt idx="239">
                  <c:v>3.6666423676920835E-2</c:v>
                </c:pt>
                <c:pt idx="240">
                  <c:v>3.7560688884970314E-2</c:v>
                </c:pt>
                <c:pt idx="241">
                  <c:v>3.8615366691908896E-2</c:v>
                </c:pt>
                <c:pt idx="242">
                  <c:v>3.8124706020696141E-2</c:v>
                </c:pt>
                <c:pt idx="243">
                  <c:v>3.7086800190181859E-2</c:v>
                </c:pt>
                <c:pt idx="244">
                  <c:v>3.8104424251452405E-2</c:v>
                </c:pt>
                <c:pt idx="245">
                  <c:v>3.6351695483179201E-2</c:v>
                </c:pt>
                <c:pt idx="246">
                  <c:v>3.6464954288202005E-2</c:v>
                </c:pt>
                <c:pt idx="247">
                  <c:v>3.6232194915638262E-2</c:v>
                </c:pt>
                <c:pt idx="248">
                  <c:v>3.7108168774835443E-2</c:v>
                </c:pt>
                <c:pt idx="249">
                  <c:v>3.5268476322567861E-2</c:v>
                </c:pt>
                <c:pt idx="250">
                  <c:v>3.5733845306572025E-2</c:v>
                </c:pt>
                <c:pt idx="251">
                  <c:v>3.4391954093531359E-2</c:v>
                </c:pt>
                <c:pt idx="252">
                  <c:v>3.3934575825535537E-2</c:v>
                </c:pt>
                <c:pt idx="253">
                  <c:v>3.3379948728182611E-2</c:v>
                </c:pt>
                <c:pt idx="254">
                  <c:v>3.5058256327842506E-2</c:v>
                </c:pt>
                <c:pt idx="255">
                  <c:v>3.4803799245141771E-2</c:v>
                </c:pt>
                <c:pt idx="256">
                  <c:v>3.4337727166367675E-2</c:v>
                </c:pt>
                <c:pt idx="257">
                  <c:v>3.3712908873979271E-2</c:v>
                </c:pt>
                <c:pt idx="258">
                  <c:v>3.2910460564280923E-2</c:v>
                </c:pt>
                <c:pt idx="259">
                  <c:v>3.1121642225051475E-2</c:v>
                </c:pt>
                <c:pt idx="260">
                  <c:v>3.0542667444684507E-2</c:v>
                </c:pt>
                <c:pt idx="261">
                  <c:v>2.977568523010098E-2</c:v>
                </c:pt>
                <c:pt idx="262">
                  <c:v>2.9883865220019727E-2</c:v>
                </c:pt>
                <c:pt idx="263">
                  <c:v>3.0889621349638546E-2</c:v>
                </c:pt>
                <c:pt idx="264">
                  <c:v>3.0979687075482251E-2</c:v>
                </c:pt>
                <c:pt idx="265">
                  <c:v>3.1837081171119226E-2</c:v>
                </c:pt>
                <c:pt idx="266">
                  <c:v>3.0996680968185867E-2</c:v>
                </c:pt>
                <c:pt idx="267">
                  <c:v>3.1238907569917165E-2</c:v>
                </c:pt>
                <c:pt idx="268">
                  <c:v>3.1230566317698459E-2</c:v>
                </c:pt>
                <c:pt idx="269">
                  <c:v>2.9722527067533703E-2</c:v>
                </c:pt>
                <c:pt idx="270">
                  <c:v>3.0013479082764857E-2</c:v>
                </c:pt>
                <c:pt idx="271">
                  <c:v>2.8973855021718665E-2</c:v>
                </c:pt>
                <c:pt idx="272">
                  <c:v>2.820004282866885E-2</c:v>
                </c:pt>
                <c:pt idx="273">
                  <c:v>2.7417926601292185E-2</c:v>
                </c:pt>
                <c:pt idx="274">
                  <c:v>2.8870516576460267E-2</c:v>
                </c:pt>
                <c:pt idx="275">
                  <c:v>2.8053846795032093E-2</c:v>
                </c:pt>
                <c:pt idx="276">
                  <c:v>2.5861343830961274E-2</c:v>
                </c:pt>
                <c:pt idx="277">
                  <c:v>2.4092881652425485E-2</c:v>
                </c:pt>
                <c:pt idx="278">
                  <c:v>2.4496875636758814E-2</c:v>
                </c:pt>
                <c:pt idx="279">
                  <c:v>2.4108432701381143E-2</c:v>
                </c:pt>
                <c:pt idx="280">
                  <c:v>2.4373136129354777E-2</c:v>
                </c:pt>
                <c:pt idx="281">
                  <c:v>2.3995698184633915E-2</c:v>
                </c:pt>
                <c:pt idx="282">
                  <c:v>2.4193307776370795E-2</c:v>
                </c:pt>
                <c:pt idx="283">
                  <c:v>2.4358650011419736E-2</c:v>
                </c:pt>
                <c:pt idx="284">
                  <c:v>2.4077376213978666E-2</c:v>
                </c:pt>
                <c:pt idx="285">
                  <c:v>2.4722123516452279E-2</c:v>
                </c:pt>
                <c:pt idx="286">
                  <c:v>2.5764031868230237E-2</c:v>
                </c:pt>
                <c:pt idx="287">
                  <c:v>2.7769721891570176E-2</c:v>
                </c:pt>
                <c:pt idx="288">
                  <c:v>2.8656884465913631E-2</c:v>
                </c:pt>
                <c:pt idx="289">
                  <c:v>2.8712320854842786E-2</c:v>
                </c:pt>
                <c:pt idx="290">
                  <c:v>2.8969616908850727E-2</c:v>
                </c:pt>
                <c:pt idx="291">
                  <c:v>2.8286533265171984E-2</c:v>
                </c:pt>
                <c:pt idx="292">
                  <c:v>2.9481842500641283E-2</c:v>
                </c:pt>
                <c:pt idx="293">
                  <c:v>2.9328350025586664E-2</c:v>
                </c:pt>
                <c:pt idx="294">
                  <c:v>2.9572475192432533E-2</c:v>
                </c:pt>
                <c:pt idx="295">
                  <c:v>2.8595263118384506E-2</c:v>
                </c:pt>
                <c:pt idx="296">
                  <c:v>2.9556828177343588E-2</c:v>
                </c:pt>
                <c:pt idx="297">
                  <c:v>3.2364095114305373E-2</c:v>
                </c:pt>
                <c:pt idx="298">
                  <c:v>3.3427642088650233E-2</c:v>
                </c:pt>
                <c:pt idx="299">
                  <c:v>3.4755472121693019E-2</c:v>
                </c:pt>
                <c:pt idx="300">
                  <c:v>3.5782343511748839E-2</c:v>
                </c:pt>
                <c:pt idx="301">
                  <c:v>3.4012438675783213E-2</c:v>
                </c:pt>
                <c:pt idx="302">
                  <c:v>3.4265859013565436E-2</c:v>
                </c:pt>
                <c:pt idx="303">
                  <c:v>3.96908738949091E-2</c:v>
                </c:pt>
                <c:pt idx="304">
                  <c:v>4.189156094427493E-2</c:v>
                </c:pt>
                <c:pt idx="305">
                  <c:v>4.2454848148521844E-2</c:v>
                </c:pt>
                <c:pt idx="306">
                  <c:v>4.8708746212431417E-2</c:v>
                </c:pt>
                <c:pt idx="307">
                  <c:v>5.1682489342861258E-2</c:v>
                </c:pt>
                <c:pt idx="308">
                  <c:v>5.5805039239983478E-2</c:v>
                </c:pt>
                <c:pt idx="309">
                  <c:v>5.5169357523302265E-2</c:v>
                </c:pt>
                <c:pt idx="310">
                  <c:v>5.5223108654228699E-2</c:v>
                </c:pt>
                <c:pt idx="311">
                  <c:v>5.5566971320516863E-2</c:v>
                </c:pt>
                <c:pt idx="312">
                  <c:v>5.4257831478000042E-2</c:v>
                </c:pt>
                <c:pt idx="313">
                  <c:v>5.5892838571458284E-2</c:v>
                </c:pt>
                <c:pt idx="314">
                  <c:v>6.330905943937859E-2</c:v>
                </c:pt>
                <c:pt idx="315">
                  <c:v>6.0781026112620033E-2</c:v>
                </c:pt>
                <c:pt idx="316">
                  <c:v>5.5714377406931963E-2</c:v>
                </c:pt>
                <c:pt idx="317">
                  <c:v>5.1859702516181577E-2</c:v>
                </c:pt>
                <c:pt idx="318">
                  <c:v>4.7340070260658368E-2</c:v>
                </c:pt>
                <c:pt idx="319">
                  <c:v>4.2452632269061825E-2</c:v>
                </c:pt>
                <c:pt idx="320">
                  <c:v>4.1662860656097665E-2</c:v>
                </c:pt>
                <c:pt idx="321">
                  <c:v>4.1321469474055149E-2</c:v>
                </c:pt>
                <c:pt idx="322">
                  <c:v>4.1920805220661432E-2</c:v>
                </c:pt>
                <c:pt idx="323">
                  <c:v>4.1750823026959691E-2</c:v>
                </c:pt>
                <c:pt idx="324">
                  <c:v>4.2543898942841787E-2</c:v>
                </c:pt>
                <c:pt idx="325">
                  <c:v>4.0942893316452324E-2</c:v>
                </c:pt>
                <c:pt idx="326">
                  <c:v>3.7299044028544497E-2</c:v>
                </c:pt>
                <c:pt idx="327">
                  <c:v>3.6863912020275162E-2</c:v>
                </c:pt>
                <c:pt idx="328">
                  <c:v>3.6808544411437903E-2</c:v>
                </c:pt>
                <c:pt idx="329">
                  <c:v>3.3789545454545454E-2</c:v>
                </c:pt>
                <c:pt idx="330">
                  <c:v>3.4213105701532374E-2</c:v>
                </c:pt>
                <c:pt idx="331">
                  <c:v>3.224956308982873E-2</c:v>
                </c:pt>
                <c:pt idx="332">
                  <c:v>3.3973674932424494E-2</c:v>
                </c:pt>
                <c:pt idx="333">
                  <c:v>3.6935525910480299E-2</c:v>
                </c:pt>
                <c:pt idx="334">
                  <c:v>3.8390727845082517E-2</c:v>
                </c:pt>
                <c:pt idx="335">
                  <c:v>3.6975279068653277E-2</c:v>
                </c:pt>
                <c:pt idx="336">
                  <c:v>3.6267615830115833E-2</c:v>
                </c:pt>
                <c:pt idx="337">
                  <c:v>3.5114501988214433E-2</c:v>
                </c:pt>
                <c:pt idx="338">
                  <c:v>3.5466272962703001E-2</c:v>
                </c:pt>
                <c:pt idx="339">
                  <c:v>3.4638366706698363E-2</c:v>
                </c:pt>
                <c:pt idx="340">
                  <c:v>3.2716799999999997E-2</c:v>
                </c:pt>
                <c:pt idx="341">
                  <c:v>3.2443096347808932E-2</c:v>
                </c:pt>
                <c:pt idx="342">
                  <c:v>3.3054683998207081E-2</c:v>
                </c:pt>
                <c:pt idx="343">
                  <c:v>3.3815498340541081E-2</c:v>
                </c:pt>
                <c:pt idx="344">
                  <c:v>3.3311119525432288E-2</c:v>
                </c:pt>
                <c:pt idx="345">
                  <c:v>3.146918951735303E-2</c:v>
                </c:pt>
                <c:pt idx="346">
                  <c:v>3.0902130917442899E-2</c:v>
                </c:pt>
                <c:pt idx="347">
                  <c:v>3.0476471342479806E-2</c:v>
                </c:pt>
                <c:pt idx="348">
                  <c:v>2.8711686566392721E-2</c:v>
                </c:pt>
                <c:pt idx="349">
                  <c:v>2.633125944132934E-2</c:v>
                </c:pt>
                <c:pt idx="350">
                  <c:v>2.7066766497986162E-2</c:v>
                </c:pt>
                <c:pt idx="351">
                  <c:v>2.7088211519908215E-2</c:v>
                </c:pt>
                <c:pt idx="352">
                  <c:v>2.6914181534053915E-2</c:v>
                </c:pt>
              </c:numCache>
            </c:numRef>
          </c:xVal>
          <c:yVal>
            <c:numRef>
              <c:f>'Customer Margin Balances'!$T$2:$T$1354</c:f>
              <c:numCache>
                <c:formatCode>0%</c:formatCode>
                <c:ptCount val="1353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0.34198357056865669</c:v>
                </c:pt>
                <c:pt idx="22">
                  <c:v>0.30543614073846048</c:v>
                </c:pt>
                <c:pt idx="23">
                  <c:v>0.19559452648851394</c:v>
                </c:pt>
                <c:pt idx="24">
                  <c:v>0.30343286890976984</c:v>
                </c:pt>
                <c:pt idx="25">
                  <c:v>0.37797004978463722</c:v>
                </c:pt>
                <c:pt idx="26">
                  <c:v>0.30282527810290505</c:v>
                </c:pt>
                <c:pt idx="27">
                  <c:v>0.34394174562964674</c:v>
                </c:pt>
                <c:pt idx="28">
                  <c:v>0.41161660458349258</c:v>
                </c:pt>
                <c:pt idx="29">
                  <c:v>0.40224284722935622</c:v>
                </c:pt>
                <c:pt idx="30">
                  <c:v>0.41430447918034941</c:v>
                </c:pt>
                <c:pt idx="31">
                  <c:v>0.51160999570794985</c:v>
                </c:pt>
                <c:pt idx="32">
                  <c:v>0.44703303366332015</c:v>
                </c:pt>
                <c:pt idx="33">
                  <c:v>0.31147646450708355</c:v>
                </c:pt>
                <c:pt idx="34">
                  <c:v>0.21357780412119531</c:v>
                </c:pt>
                <c:pt idx="35">
                  <c:v>0.26098220826086771</c:v>
                </c:pt>
                <c:pt idx="36">
                  <c:v>0.42457946854297912</c:v>
                </c:pt>
                <c:pt idx="37">
                  <c:v>0.44874900467204548</c:v>
                </c:pt>
                <c:pt idx="38">
                  <c:v>0.43129381818358792</c:v>
                </c:pt>
                <c:pt idx="39">
                  <c:v>0.51943377454252349</c:v>
                </c:pt>
                <c:pt idx="40">
                  <c:v>0.39956090860030424</c:v>
                </c:pt>
                <c:pt idx="41">
                  <c:v>0.50084125537179314</c:v>
                </c:pt>
                <c:pt idx="42">
                  <c:v>0.38437444088517214</c:v>
                </c:pt>
                <c:pt idx="43">
                  <c:v>0.42622120982029865</c:v>
                </c:pt>
                <c:pt idx="44">
                  <c:v>0.52288307182579286</c:v>
                </c:pt>
                <c:pt idx="45">
                  <c:v>0.33438938053097345</c:v>
                </c:pt>
                <c:pt idx="46">
                  <c:v>0.21920978914313505</c:v>
                </c:pt>
                <c:pt idx="47">
                  <c:v>0.38806407811104826</c:v>
                </c:pt>
                <c:pt idx="48">
                  <c:v>0.23332163643623804</c:v>
                </c:pt>
                <c:pt idx="49">
                  <c:v>0.1727328391332863</c:v>
                </c:pt>
                <c:pt idx="50">
                  <c:v>5.2847314040009641E-2</c:v>
                </c:pt>
                <c:pt idx="51">
                  <c:v>4.4321595632313304E-2</c:v>
                </c:pt>
                <c:pt idx="52">
                  <c:v>-7.1253778609471685E-2</c:v>
                </c:pt>
                <c:pt idx="53">
                  <c:v>-0.1003172351862498</c:v>
                </c:pt>
                <c:pt idx="54">
                  <c:v>-1.2993212174293833E-2</c:v>
                </c:pt>
                <c:pt idx="55">
                  <c:v>-3.5653952551146784E-3</c:v>
                </c:pt>
                <c:pt idx="56">
                  <c:v>3.3160458173342677E-2</c:v>
                </c:pt>
                <c:pt idx="57">
                  <c:v>-7.5806822503471483E-2</c:v>
                </c:pt>
                <c:pt idx="58">
                  <c:v>-5.136897475917257E-2</c:v>
                </c:pt>
                <c:pt idx="59">
                  <c:v>-4.3790575916230257E-2</c:v>
                </c:pt>
                <c:pt idx="60">
                  <c:v>-5.56503041071712E-2</c:v>
                </c:pt>
                <c:pt idx="61">
                  <c:v>-2.5009746075859152E-2</c:v>
                </c:pt>
                <c:pt idx="62">
                  <c:v>-3.3575054934820714E-2</c:v>
                </c:pt>
                <c:pt idx="63">
                  <c:v>7.0571874631016884E-2</c:v>
                </c:pt>
                <c:pt idx="64">
                  <c:v>4.2468984233652085E-2</c:v>
                </c:pt>
                <c:pt idx="65">
                  <c:v>-4.5379878436770382E-2</c:v>
                </c:pt>
                <c:pt idx="66">
                  <c:v>9.2049712422306973E-2</c:v>
                </c:pt>
                <c:pt idx="67">
                  <c:v>0.26310107768902369</c:v>
                </c:pt>
                <c:pt idx="68">
                  <c:v>0.12559619387451693</c:v>
                </c:pt>
                <c:pt idx="69">
                  <c:v>0.1805097262813864</c:v>
                </c:pt>
                <c:pt idx="70">
                  <c:v>0.26315451588446792</c:v>
                </c:pt>
                <c:pt idx="71">
                  <c:v>0.46128587970802726</c:v>
                </c:pt>
                <c:pt idx="72">
                  <c:v>0.43675906855740698</c:v>
                </c:pt>
                <c:pt idx="73">
                  <c:v>0.55044069728714518</c:v>
                </c:pt>
                <c:pt idx="74">
                  <c:v>0.8440758495544749</c:v>
                </c:pt>
                <c:pt idx="75">
                  <c:v>0.54592413564324938</c:v>
                </c:pt>
                <c:pt idx="76">
                  <c:v>0.4277945881594285</c:v>
                </c:pt>
                <c:pt idx="77">
                  <c:v>0.33328174620370299</c:v>
                </c:pt>
                <c:pt idx="78">
                  <c:v>0.43989455520251641</c:v>
                </c:pt>
                <c:pt idx="79">
                  <c:v>0.44697059481952639</c:v>
                </c:pt>
                <c:pt idx="80">
                  <c:v>0.44369343644389514</c:v>
                </c:pt>
                <c:pt idx="81">
                  <c:v>0.43658549920381606</c:v>
                </c:pt>
                <c:pt idx="82">
                  <c:v>0.4028982881377543</c:v>
                </c:pt>
                <c:pt idx="83">
                  <c:v>0.35051465789187408</c:v>
                </c:pt>
                <c:pt idx="84">
                  <c:v>0.38483535969419269</c:v>
                </c:pt>
                <c:pt idx="85">
                  <c:v>0.26084668836966141</c:v>
                </c:pt>
                <c:pt idx="86">
                  <c:v>0.32517287609370582</c:v>
                </c:pt>
                <c:pt idx="87">
                  <c:v>0.30064392402199336</c:v>
                </c:pt>
                <c:pt idx="88">
                  <c:v>0.20926001257349958</c:v>
                </c:pt>
                <c:pt idx="89">
                  <c:v>0.34152422362726131</c:v>
                </c:pt>
                <c:pt idx="90">
                  <c:v>0.26815015017190968</c:v>
                </c:pt>
                <c:pt idx="91">
                  <c:v>0.20628083813344933</c:v>
                </c:pt>
                <c:pt idx="92">
                  <c:v>6.3936609036438163E-2</c:v>
                </c:pt>
                <c:pt idx="93">
                  <c:v>4.9212137086768193E-2</c:v>
                </c:pt>
                <c:pt idx="94">
                  <c:v>3.4137109459608128E-2</c:v>
                </c:pt>
                <c:pt idx="95">
                  <c:v>-4.921331533234985E-2</c:v>
                </c:pt>
                <c:pt idx="96">
                  <c:v>9.2024086320404264E-2</c:v>
                </c:pt>
                <c:pt idx="97">
                  <c:v>0.21807367685655477</c:v>
                </c:pt>
                <c:pt idx="98">
                  <c:v>0.22337714465308789</c:v>
                </c:pt>
                <c:pt idx="99">
                  <c:v>0.15739747883986843</c:v>
                </c:pt>
                <c:pt idx="100">
                  <c:v>7.5695602749476842E-2</c:v>
                </c:pt>
                <c:pt idx="101">
                  <c:v>0.11337854062484798</c:v>
                </c:pt>
                <c:pt idx="102">
                  <c:v>0.10533392758670179</c:v>
                </c:pt>
                <c:pt idx="103">
                  <c:v>0.15731227138230697</c:v>
                </c:pt>
                <c:pt idx="104">
                  <c:v>0.16766162835005716</c:v>
                </c:pt>
                <c:pt idx="105">
                  <c:v>0.11345052899884678</c:v>
                </c:pt>
                <c:pt idx="106">
                  <c:v>0.19249888677488558</c:v>
                </c:pt>
                <c:pt idx="107">
                  <c:v>0.16959160851857513</c:v>
                </c:pt>
                <c:pt idx="108">
                  <c:v>0.15452773861845914</c:v>
                </c:pt>
                <c:pt idx="109">
                  <c:v>0.13417498532002359</c:v>
                </c:pt>
                <c:pt idx="110">
                  <c:v>6.1001726823322278E-2</c:v>
                </c:pt>
                <c:pt idx="111">
                  <c:v>0.16776243421163972</c:v>
                </c:pt>
                <c:pt idx="112">
                  <c:v>0.18994940474884481</c:v>
                </c:pt>
                <c:pt idx="113">
                  <c:v>0.30156376321560829</c:v>
                </c:pt>
                <c:pt idx="114">
                  <c:v>0.31958650360877017</c:v>
                </c:pt>
                <c:pt idx="115">
                  <c:v>0.32459610093361224</c:v>
                </c:pt>
                <c:pt idx="116">
                  <c:v>0.25370456631323579</c:v>
                </c:pt>
                <c:pt idx="117">
                  <c:v>0.2461226651926578</c:v>
                </c:pt>
                <c:pt idx="118">
                  <c:v>0.21827843209422171</c:v>
                </c:pt>
                <c:pt idx="119">
                  <c:v>0.25824018753037348</c:v>
                </c:pt>
                <c:pt idx="120">
                  <c:v>0.29417967199616601</c:v>
                </c:pt>
                <c:pt idx="121">
                  <c:v>0.36726380343731124</c:v>
                </c:pt>
                <c:pt idx="122">
                  <c:v>0.2980327675707104</c:v>
                </c:pt>
                <c:pt idx="123">
                  <c:v>0.37021991520787267</c:v>
                </c:pt>
                <c:pt idx="124">
                  <c:v>0.32728941417649593</c:v>
                </c:pt>
                <c:pt idx="125">
                  <c:v>0.23259981810750108</c:v>
                </c:pt>
                <c:pt idx="126">
                  <c:v>0.18805913469905167</c:v>
                </c:pt>
                <c:pt idx="127">
                  <c:v>0.18800971086380591</c:v>
                </c:pt>
                <c:pt idx="128">
                  <c:v>0.2621729676214799</c:v>
                </c:pt>
                <c:pt idx="129">
                  <c:v>0.22291065436031166</c:v>
                </c:pt>
                <c:pt idx="130">
                  <c:v>0.13326103714968096</c:v>
                </c:pt>
                <c:pt idx="131">
                  <c:v>0.14522244426038933</c:v>
                </c:pt>
                <c:pt idx="132">
                  <c:v>0.12159596490632829</c:v>
                </c:pt>
                <c:pt idx="133">
                  <c:v>9.2715925279164946E-2</c:v>
                </c:pt>
                <c:pt idx="134">
                  <c:v>8.266402772962067E-2</c:v>
                </c:pt>
                <c:pt idx="135">
                  <c:v>4.4813494891898342E-2</c:v>
                </c:pt>
                <c:pt idx="136">
                  <c:v>6.5744695666473341E-2</c:v>
                </c:pt>
                <c:pt idx="137">
                  <c:v>5.3120648328628617E-2</c:v>
                </c:pt>
                <c:pt idx="138">
                  <c:v>5.0005774186105301E-2</c:v>
                </c:pt>
                <c:pt idx="139">
                  <c:v>7.7079332726265992E-2</c:v>
                </c:pt>
                <c:pt idx="140">
                  <c:v>6.4174111530606037E-2</c:v>
                </c:pt>
                <c:pt idx="141">
                  <c:v>4.6711269652022436E-2</c:v>
                </c:pt>
                <c:pt idx="142">
                  <c:v>6.9732270050502532E-2</c:v>
                </c:pt>
                <c:pt idx="143">
                  <c:v>5.0764456598013208E-2</c:v>
                </c:pt>
                <c:pt idx="144">
                  <c:v>4.502063570080761E-3</c:v>
                </c:pt>
                <c:pt idx="145">
                  <c:v>2.9878733788806677E-2</c:v>
                </c:pt>
                <c:pt idx="146">
                  <c:v>9.16500094632966E-2</c:v>
                </c:pt>
                <c:pt idx="147">
                  <c:v>0.11883081918835425</c:v>
                </c:pt>
                <c:pt idx="148">
                  <c:v>0.16648256037108489</c:v>
                </c:pt>
                <c:pt idx="149">
                  <c:v>3.8774938060395447E-2</c:v>
                </c:pt>
                <c:pt idx="150">
                  <c:v>9.2130395622421313E-2</c:v>
                </c:pt>
                <c:pt idx="151">
                  <c:v>0.19771826494400946</c:v>
                </c:pt>
                <c:pt idx="152">
                  <c:v>0.22690972466723247</c:v>
                </c:pt>
                <c:pt idx="153">
                  <c:v>0.29052580903905145</c:v>
                </c:pt>
                <c:pt idx="154">
                  <c:v>0.23715543647488757</c:v>
                </c:pt>
                <c:pt idx="155">
                  <c:v>0.28737819985429391</c:v>
                </c:pt>
                <c:pt idx="156">
                  <c:v>0.29051842268093786</c:v>
                </c:pt>
                <c:pt idx="157">
                  <c:v>0.24876534818927531</c:v>
                </c:pt>
                <c:pt idx="158">
                  <c:v>0.31207819271301229</c:v>
                </c:pt>
                <c:pt idx="159">
                  <c:v>0.36501438275909392</c:v>
                </c:pt>
                <c:pt idx="160">
                  <c:v>0.34706401303008882</c:v>
                </c:pt>
                <c:pt idx="161">
                  <c:v>0.38290839235465723</c:v>
                </c:pt>
                <c:pt idx="162">
                  <c:v>0.41462943915047035</c:v>
                </c:pt>
                <c:pt idx="163">
                  <c:v>0.36717510566486</c:v>
                </c:pt>
                <c:pt idx="164">
                  <c:v>0.36063770375943438</c:v>
                </c:pt>
                <c:pt idx="165">
                  <c:v>0.36755108588670127</c:v>
                </c:pt>
                <c:pt idx="166">
                  <c:v>0.36585420680711755</c:v>
                </c:pt>
                <c:pt idx="167">
                  <c:v>0.3745374396833312</c:v>
                </c:pt>
                <c:pt idx="168">
                  <c:v>0.4190700155940501</c:v>
                </c:pt>
                <c:pt idx="169">
                  <c:v>0.2751821807090431</c:v>
                </c:pt>
                <c:pt idx="170">
                  <c:v>0.31231763814520175</c:v>
                </c:pt>
                <c:pt idx="171">
                  <c:v>0.3222790020889974</c:v>
                </c:pt>
                <c:pt idx="172">
                  <c:v>0.33840796192967959</c:v>
                </c:pt>
                <c:pt idx="173">
                  <c:v>0.33711043374078753</c:v>
                </c:pt>
                <c:pt idx="174">
                  <c:v>0.30956086952094819</c:v>
                </c:pt>
                <c:pt idx="175">
                  <c:v>0.34503304459691631</c:v>
                </c:pt>
                <c:pt idx="176">
                  <c:v>0.41970264526666234</c:v>
                </c:pt>
                <c:pt idx="177">
                  <c:v>0.33788936707692074</c:v>
                </c:pt>
                <c:pt idx="178">
                  <c:v>0.23624130224954887</c:v>
                </c:pt>
                <c:pt idx="179">
                  <c:v>0.18820414647512784</c:v>
                </c:pt>
                <c:pt idx="180">
                  <c:v>0.12598878136400193</c:v>
                </c:pt>
                <c:pt idx="181">
                  <c:v>9.8635241340891078E-2</c:v>
                </c:pt>
                <c:pt idx="182">
                  <c:v>7.5695970582987826E-2</c:v>
                </c:pt>
                <c:pt idx="183">
                  <c:v>6.7027384285584413E-2</c:v>
                </c:pt>
                <c:pt idx="184">
                  <c:v>9.8000217352203878E-2</c:v>
                </c:pt>
                <c:pt idx="185">
                  <c:v>0.14553451477769186</c:v>
                </c:pt>
                <c:pt idx="186">
                  <c:v>0.19146152037428643</c:v>
                </c:pt>
                <c:pt idx="187">
                  <c:v>0.16569472043788203</c:v>
                </c:pt>
                <c:pt idx="188">
                  <c:v>0.19362083110931572</c:v>
                </c:pt>
                <c:pt idx="189">
                  <c:v>0.24873015250733665</c:v>
                </c:pt>
                <c:pt idx="190">
                  <c:v>0.26898154063242696</c:v>
                </c:pt>
                <c:pt idx="191">
                  <c:v>0.3665046657956248</c:v>
                </c:pt>
                <c:pt idx="192">
                  <c:v>0.25359599311867664</c:v>
                </c:pt>
                <c:pt idx="193">
                  <c:v>0.10594182050996337</c:v>
                </c:pt>
                <c:pt idx="194">
                  <c:v>7.539563533125504E-2</c:v>
                </c:pt>
                <c:pt idx="195">
                  <c:v>0.12899163592500007</c:v>
                </c:pt>
                <c:pt idx="196">
                  <c:v>0.1670873145974705</c:v>
                </c:pt>
                <c:pt idx="197">
                  <c:v>1.4635520327040075E-2</c:v>
                </c:pt>
                <c:pt idx="198">
                  <c:v>0.11250149157681566</c:v>
                </c:pt>
                <c:pt idx="199">
                  <c:v>0.24714589252148222</c:v>
                </c:pt>
                <c:pt idx="200">
                  <c:v>0.24932840423673142</c:v>
                </c:pt>
                <c:pt idx="201">
                  <c:v>0.31802233701821692</c:v>
                </c:pt>
                <c:pt idx="202">
                  <c:v>0.38089886612614032</c:v>
                </c:pt>
                <c:pt idx="203">
                  <c:v>0.44218546914220047</c:v>
                </c:pt>
                <c:pt idx="204">
                  <c:v>0.44398018751339929</c:v>
                </c:pt>
                <c:pt idx="205">
                  <c:v>0.47353948593015449</c:v>
                </c:pt>
                <c:pt idx="206">
                  <c:v>0.57624678499624848</c:v>
                </c:pt>
                <c:pt idx="207">
                  <c:v>0.60599383163748999</c:v>
                </c:pt>
                <c:pt idx="208">
                  <c:v>0.43272630741740525</c:v>
                </c:pt>
                <c:pt idx="209">
                  <c:v>0.26343753243496271</c:v>
                </c:pt>
                <c:pt idx="210">
                  <c:v>0.17081358507589095</c:v>
                </c:pt>
                <c:pt idx="211">
                  <c:v>0.13713545866935739</c:v>
                </c:pt>
                <c:pt idx="212">
                  <c:v>-0.11630202177518367</c:v>
                </c:pt>
                <c:pt idx="213">
                  <c:v>-0.15077596291082718</c:v>
                </c:pt>
                <c:pt idx="214">
                  <c:v>-6.3666826970353751E-2</c:v>
                </c:pt>
                <c:pt idx="215">
                  <c:v>-8.6382770538328102E-2</c:v>
                </c:pt>
                <c:pt idx="216">
                  <c:v>-0.21129265886168613</c:v>
                </c:pt>
                <c:pt idx="217">
                  <c:v>-0.22497273969400655</c:v>
                </c:pt>
                <c:pt idx="218">
                  <c:v>-0.15695167706176405</c:v>
                </c:pt>
                <c:pt idx="219">
                  <c:v>-0.17660807221966768</c:v>
                </c:pt>
                <c:pt idx="220">
                  <c:v>-0.2483479709082046</c:v>
                </c:pt>
                <c:pt idx="221">
                  <c:v>-0.28009482238675953</c:v>
                </c:pt>
                <c:pt idx="222">
                  <c:v>-0.31092267778651428</c:v>
                </c:pt>
                <c:pt idx="223">
                  <c:v>-0.36266120812405878</c:v>
                </c:pt>
                <c:pt idx="224">
                  <c:v>-0.39785819071608386</c:v>
                </c:pt>
                <c:pt idx="225">
                  <c:v>-0.37642723441949222</c:v>
                </c:pt>
                <c:pt idx="226">
                  <c:v>-0.40024188924078119</c:v>
                </c:pt>
                <c:pt idx="227">
                  <c:v>-0.46927195391996923</c:v>
                </c:pt>
                <c:pt idx="228">
                  <c:v>-0.51974361422138116</c:v>
                </c:pt>
                <c:pt idx="229">
                  <c:v>-0.4428651365022257</c:v>
                </c:pt>
                <c:pt idx="230">
                  <c:v>-0.36429344952204346</c:v>
                </c:pt>
                <c:pt idx="231">
                  <c:v>-0.36293198529172399</c:v>
                </c:pt>
                <c:pt idx="232">
                  <c:v>-0.32643369216695917</c:v>
                </c:pt>
                <c:pt idx="233">
                  <c:v>-0.17763523570680773</c:v>
                </c:pt>
                <c:pt idx="234">
                  <c:v>-8.4105044456745159E-2</c:v>
                </c:pt>
                <c:pt idx="235">
                  <c:v>-8.0235671527605579E-2</c:v>
                </c:pt>
                <c:pt idx="236">
                  <c:v>-4.180856878141781E-2</c:v>
                </c:pt>
                <c:pt idx="237">
                  <c:v>7.4059350655418132E-2</c:v>
                </c:pt>
                <c:pt idx="238">
                  <c:v>8.5324149518483328E-2</c:v>
                </c:pt>
                <c:pt idx="239">
                  <c:v>4.1332075278040836E-2</c:v>
                </c:pt>
                <c:pt idx="240">
                  <c:v>4.7665945477648908E-2</c:v>
                </c:pt>
                <c:pt idx="241">
                  <c:v>5.1838505913973876E-2</c:v>
                </c:pt>
                <c:pt idx="242">
                  <c:v>0.13398255491947553</c:v>
                </c:pt>
                <c:pt idx="243">
                  <c:v>0.15654426242571451</c:v>
                </c:pt>
                <c:pt idx="244">
                  <c:v>0.21037752177459645</c:v>
                </c:pt>
                <c:pt idx="245">
                  <c:v>0.22307312581507976</c:v>
                </c:pt>
                <c:pt idx="246">
                  <c:v>0.1796827586476446</c:v>
                </c:pt>
                <c:pt idx="247">
                  <c:v>0.20568181519375939</c:v>
                </c:pt>
                <c:pt idx="248">
                  <c:v>0.22341932756179861</c:v>
                </c:pt>
                <c:pt idx="249">
                  <c:v>0.25426732952263453</c:v>
                </c:pt>
                <c:pt idx="250">
                  <c:v>0.20109702847651034</c:v>
                </c:pt>
                <c:pt idx="251">
                  <c:v>0.19266705091257941</c:v>
                </c:pt>
                <c:pt idx="252">
                  <c:v>0.18071334140919859</c:v>
                </c:pt>
                <c:pt idx="253">
                  <c:v>0.24323812126625755</c:v>
                </c:pt>
                <c:pt idx="254">
                  <c:v>0.20134855444298294</c:v>
                </c:pt>
                <c:pt idx="255">
                  <c:v>0.16370059263332171</c:v>
                </c:pt>
                <c:pt idx="256">
                  <c:v>0.16649023392047346</c:v>
                </c:pt>
                <c:pt idx="257">
                  <c:v>0.1022591649175022</c:v>
                </c:pt>
                <c:pt idx="258">
                  <c:v>0.1107495237331626</c:v>
                </c:pt>
                <c:pt idx="259">
                  <c:v>0.12958776263965399</c:v>
                </c:pt>
                <c:pt idx="260">
                  <c:v>0.139622100928535</c:v>
                </c:pt>
                <c:pt idx="261">
                  <c:v>0.15019377766850073</c:v>
                </c:pt>
                <c:pt idx="262">
                  <c:v>0.18960354736524021</c:v>
                </c:pt>
                <c:pt idx="263">
                  <c:v>0.13501458040710057</c:v>
                </c:pt>
                <c:pt idx="264">
                  <c:v>0.14275259021431119</c:v>
                </c:pt>
                <c:pt idx="265">
                  <c:v>0.15603711695797973</c:v>
                </c:pt>
                <c:pt idx="266">
                  <c:v>0.10839903957462416</c:v>
                </c:pt>
                <c:pt idx="267">
                  <c:v>9.1306133432728975E-2</c:v>
                </c:pt>
                <c:pt idx="268">
                  <c:v>6.7083363145929109E-2</c:v>
                </c:pt>
                <c:pt idx="269">
                  <c:v>0.10512447840556183</c:v>
                </c:pt>
                <c:pt idx="270">
                  <c:v>0.15321301489691308</c:v>
                </c:pt>
                <c:pt idx="271">
                  <c:v>0.17461535494508684</c:v>
                </c:pt>
                <c:pt idx="272">
                  <c:v>0.19615047752257708</c:v>
                </c:pt>
                <c:pt idx="273">
                  <c:v>0.18203191283491793</c:v>
                </c:pt>
                <c:pt idx="274">
                  <c:v>0.16816954129304573</c:v>
                </c:pt>
                <c:pt idx="275">
                  <c:v>0.21148277662422776</c:v>
                </c:pt>
                <c:pt idx="276">
                  <c:v>0.24907890497134688</c:v>
                </c:pt>
                <c:pt idx="277">
                  <c:v>0.28830218726621015</c:v>
                </c:pt>
                <c:pt idx="278">
                  <c:v>0.42884771441262881</c:v>
                </c:pt>
                <c:pt idx="279">
                  <c:v>0.395494159447636</c:v>
                </c:pt>
                <c:pt idx="280">
                  <c:v>0.32078992059010925</c:v>
                </c:pt>
                <c:pt idx="281">
                  <c:v>0.26682724509123434</c:v>
                </c:pt>
                <c:pt idx="282">
                  <c:v>0.17935298470982852</c:v>
                </c:pt>
                <c:pt idx="283">
                  <c:v>0.24381317575472705</c:v>
                </c:pt>
                <c:pt idx="284">
                  <c:v>0.39932283979065319</c:v>
                </c:pt>
                <c:pt idx="285">
                  <c:v>0.22335634258387493</c:v>
                </c:pt>
                <c:pt idx="286">
                  <c:v>0.21465090142716492</c:v>
                </c:pt>
                <c:pt idx="287">
                  <c:v>0.13779268210791584</c:v>
                </c:pt>
                <c:pt idx="288">
                  <c:v>7.2905078705572279E-2</c:v>
                </c:pt>
                <c:pt idx="289">
                  <c:v>5.0337962639177114E-2</c:v>
                </c:pt>
                <c:pt idx="290">
                  <c:v>-3.0913612852032646E-2</c:v>
                </c:pt>
                <c:pt idx="291">
                  <c:v>-4.3849927401727551E-2</c:v>
                </c:pt>
                <c:pt idx="292">
                  <c:v>-7.0332678878598953E-2</c:v>
                </c:pt>
                <c:pt idx="293">
                  <c:v>-0.13249075950623002</c:v>
                </c:pt>
                <c:pt idx="294">
                  <c:v>-0.11535385233118767</c:v>
                </c:pt>
                <c:pt idx="295">
                  <c:v>-6.5551368980199087E-2</c:v>
                </c:pt>
                <c:pt idx="296">
                  <c:v>-6.3826872966843307E-2</c:v>
                </c:pt>
                <c:pt idx="297">
                  <c:v>-0.1499584817914863</c:v>
                </c:pt>
                <c:pt idx="298">
                  <c:v>-0.24298440618576422</c:v>
                </c:pt>
                <c:pt idx="299">
                  <c:v>-0.30725755950501377</c:v>
                </c:pt>
                <c:pt idx="300">
                  <c:v>-0.33019854725221154</c:v>
                </c:pt>
                <c:pt idx="301">
                  <c:v>-0.31514411108861895</c:v>
                </c:pt>
                <c:pt idx="302">
                  <c:v>-0.24175015672632494</c:v>
                </c:pt>
                <c:pt idx="303">
                  <c:v>-0.24487471828942053</c:v>
                </c:pt>
                <c:pt idx="304">
                  <c:v>-0.35157136226431918</c:v>
                </c:pt>
                <c:pt idx="305">
                  <c:v>-0.38249461386532113</c:v>
                </c:pt>
                <c:pt idx="306">
                  <c:v>-0.30334230096908266</c:v>
                </c:pt>
                <c:pt idx="307">
                  <c:v>-0.36223591748511452</c:v>
                </c:pt>
                <c:pt idx="308">
                  <c:v>-0.31095502252315155</c:v>
                </c:pt>
                <c:pt idx="309">
                  <c:v>-0.29686101359826567</c:v>
                </c:pt>
                <c:pt idx="310">
                  <c:v>-0.24734589222973513</c:v>
                </c:pt>
                <c:pt idx="311">
                  <c:v>-0.211198931729495</c:v>
                </c:pt>
                <c:pt idx="312">
                  <c:v>-0.22094185591389393</c:v>
                </c:pt>
                <c:pt idx="313">
                  <c:v>-0.2218558489035436</c:v>
                </c:pt>
                <c:pt idx="314">
                  <c:v>-0.23388808757509405</c:v>
                </c:pt>
                <c:pt idx="315">
                  <c:v>-0.16610565234251962</c:v>
                </c:pt>
                <c:pt idx="316">
                  <c:v>-0.24000684208646161</c:v>
                </c:pt>
                <c:pt idx="317">
                  <c:v>-0.29151611951250633</c:v>
                </c:pt>
                <c:pt idx="318">
                  <c:v>-0.18383485743610573</c:v>
                </c:pt>
                <c:pt idx="319">
                  <c:v>-0.11130437165806573</c:v>
                </c:pt>
                <c:pt idx="320">
                  <c:v>-4.5474002565676019E-2</c:v>
                </c:pt>
                <c:pt idx="321">
                  <c:v>-4.891668967871543E-2</c:v>
                </c:pt>
                <c:pt idx="322">
                  <c:v>-5.9651402487521765E-2</c:v>
                </c:pt>
                <c:pt idx="323">
                  <c:v>-0.15471586200027565</c:v>
                </c:pt>
                <c:pt idx="324">
                  <c:v>-4.7548105788145612E-2</c:v>
                </c:pt>
                <c:pt idx="325">
                  <c:v>2.3090485788034742E-2</c:v>
                </c:pt>
                <c:pt idx="326">
                  <c:v>2.6361027004987658E-2</c:v>
                </c:pt>
                <c:pt idx="327">
                  <c:v>6.1873650671668168E-2</c:v>
                </c:pt>
                <c:pt idx="328">
                  <c:v>0.11703292179931091</c:v>
                </c:pt>
                <c:pt idx="329">
                  <c:v>0.16862591426368123</c:v>
                </c:pt>
                <c:pt idx="330">
                  <c:v>0.30426342337553125</c:v>
                </c:pt>
                <c:pt idx="331">
                  <c:v>0.30232908773647638</c:v>
                </c:pt>
                <c:pt idx="332">
                  <c:v>0.43027105104026164</c:v>
                </c:pt>
                <c:pt idx="333">
                  <c:v>0.48399625199470098</c:v>
                </c:pt>
                <c:pt idx="334">
                  <c:v>0.29603718914237365</c:v>
                </c:pt>
                <c:pt idx="335">
                  <c:v>0.32168560046346406</c:v>
                </c:pt>
                <c:pt idx="336">
                  <c:v>0.25265406870660367</c:v>
                </c:pt>
                <c:pt idx="337">
                  <c:v>0.25429274651450418</c:v>
                </c:pt>
                <c:pt idx="338">
                  <c:v>0.33356024506466975</c:v>
                </c:pt>
                <c:pt idx="339">
                  <c:v>0.32360348354208046</c:v>
                </c:pt>
                <c:pt idx="340">
                  <c:v>0.39034766901099505</c:v>
                </c:pt>
                <c:pt idx="341">
                  <c:v>0.32179546244306079</c:v>
                </c:pt>
                <c:pt idx="342">
                  <c:v>0.38204940384995822</c:v>
                </c:pt>
                <c:pt idx="343">
                  <c:v>0.45275631168863129</c:v>
                </c:pt>
                <c:pt idx="344">
                  <c:v>0.44910683059200895</c:v>
                </c:pt>
                <c:pt idx="345">
                  <c:v>0.44734122118901665</c:v>
                </c:pt>
                <c:pt idx="346">
                  <c:v>0.39910517245624977</c:v>
                </c:pt>
                <c:pt idx="347">
                  <c:v>0.45329549430449556</c:v>
                </c:pt>
                <c:pt idx="348">
                  <c:v>0.4598126954386994</c:v>
                </c:pt>
                <c:pt idx="349">
                  <c:v>0.59687519874660899</c:v>
                </c:pt>
                <c:pt idx="350">
                  <c:v>0.62356031857075478</c:v>
                </c:pt>
                <c:pt idx="351">
                  <c:v>0.47142206077968773</c:v>
                </c:pt>
                <c:pt idx="352">
                  <c:v>0.3975146045031801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AE15-4B14-9EAA-3428F40DF01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4036912"/>
        <c:axId val="44037392"/>
      </c:scatterChart>
      <c:valAx>
        <c:axId val="440369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Debit Balances in Securities Margin Accounts : USM2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%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4037392"/>
        <c:crosses val="autoZero"/>
        <c:crossBetween val="midCat"/>
      </c:valAx>
      <c:valAx>
        <c:axId val="440373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S&amp;P 500 FwdRtn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403691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'Customer Margin Balances'!$T$1</c:f>
              <c:strCache>
                <c:ptCount val="1"/>
                <c:pt idx="0">
                  <c:v>S&amp;P 500 FwdRtn (21M)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circle"/>
            <c:size val="3"/>
            <c:spPr>
              <a:solidFill>
                <a:schemeClr val="accent1"/>
              </a:solidFill>
              <a:ln w="9525">
                <a:noFill/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8.9922790901137362E-2"/>
                  <c:y val="-0.50435877806940799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'Customer Margin Balances'!$Q$2:$Q$1354</c:f>
              <c:numCache>
                <c:formatCode>0%</c:formatCode>
                <c:ptCount val="1353"/>
                <c:pt idx="0">
                  <c:v>1.845122476786655E-2</c:v>
                </c:pt>
                <c:pt idx="1">
                  <c:v>1.8890705522274832E-2</c:v>
                </c:pt>
                <c:pt idx="2">
                  <c:v>1.8735180290937459E-2</c:v>
                </c:pt>
                <c:pt idx="3">
                  <c:v>1.7979105365234487E-2</c:v>
                </c:pt>
                <c:pt idx="4">
                  <c:v>1.7831641169217895E-2</c:v>
                </c:pt>
                <c:pt idx="5">
                  <c:v>1.8285407029191274E-2</c:v>
                </c:pt>
                <c:pt idx="6">
                  <c:v>1.7806980910940174E-2</c:v>
                </c:pt>
                <c:pt idx="7">
                  <c:v>1.7732945579151449E-2</c:v>
                </c:pt>
                <c:pt idx="8">
                  <c:v>1.8044456504533839E-2</c:v>
                </c:pt>
                <c:pt idx="9">
                  <c:v>1.6783265026392349E-2</c:v>
                </c:pt>
                <c:pt idx="10">
                  <c:v>1.7363101633492979E-2</c:v>
                </c:pt>
                <c:pt idx="11">
                  <c:v>1.7626220439015707E-2</c:v>
                </c:pt>
                <c:pt idx="12">
                  <c:v>1.6750314887513905E-2</c:v>
                </c:pt>
                <c:pt idx="13">
                  <c:v>1.6613553640502907E-2</c:v>
                </c:pt>
                <c:pt idx="14">
                  <c:v>1.6775027384264247E-2</c:v>
                </c:pt>
                <c:pt idx="15">
                  <c:v>1.6688138584432473E-2</c:v>
                </c:pt>
                <c:pt idx="16">
                  <c:v>1.5967337672867104E-2</c:v>
                </c:pt>
                <c:pt idx="17">
                  <c:v>1.6517179809791657E-2</c:v>
                </c:pt>
                <c:pt idx="18">
                  <c:v>1.5723409710729355E-2</c:v>
                </c:pt>
                <c:pt idx="19">
                  <c:v>1.5912527505595155E-2</c:v>
                </c:pt>
                <c:pt idx="20">
                  <c:v>1.537579527781705E-2</c:v>
                </c:pt>
                <c:pt idx="21">
                  <c:v>1.4230385315892801E-2</c:v>
                </c:pt>
                <c:pt idx="22">
                  <c:v>1.4520387224259466E-2</c:v>
                </c:pt>
                <c:pt idx="23">
                  <c:v>1.4587959090563455E-2</c:v>
                </c:pt>
                <c:pt idx="24">
                  <c:v>1.434388686436428E-2</c:v>
                </c:pt>
                <c:pt idx="25">
                  <c:v>1.4789410234748022E-2</c:v>
                </c:pt>
                <c:pt idx="26">
                  <c:v>1.5094336938637128E-2</c:v>
                </c:pt>
                <c:pt idx="27">
                  <c:v>1.5195870551776411E-2</c:v>
                </c:pt>
                <c:pt idx="28">
                  <c:v>1.4849382006323656E-2</c:v>
                </c:pt>
                <c:pt idx="29">
                  <c:v>1.4763239458177087E-2</c:v>
                </c:pt>
                <c:pt idx="30">
                  <c:v>1.5302236594169722E-2</c:v>
                </c:pt>
                <c:pt idx="31">
                  <c:v>1.4751031423969664E-2</c:v>
                </c:pt>
                <c:pt idx="32">
                  <c:v>1.4276491776998773E-2</c:v>
                </c:pt>
                <c:pt idx="33">
                  <c:v>1.5617235406786285E-2</c:v>
                </c:pt>
                <c:pt idx="34">
                  <c:v>1.5552037703661939E-2</c:v>
                </c:pt>
                <c:pt idx="35">
                  <c:v>1.5730530734863659E-2</c:v>
                </c:pt>
                <c:pt idx="36">
                  <c:v>1.5720321203790782E-2</c:v>
                </c:pt>
                <c:pt idx="37">
                  <c:v>1.538366443377512E-2</c:v>
                </c:pt>
                <c:pt idx="38">
                  <c:v>1.6321304062847319E-2</c:v>
                </c:pt>
                <c:pt idx="39">
                  <c:v>1.6916111460495643E-2</c:v>
                </c:pt>
                <c:pt idx="40">
                  <c:v>1.7366387667059426E-2</c:v>
                </c:pt>
                <c:pt idx="41">
                  <c:v>1.7248924177222864E-2</c:v>
                </c:pt>
                <c:pt idx="42">
                  <c:v>1.7299275524684441E-2</c:v>
                </c:pt>
                <c:pt idx="43">
                  <c:v>1.8168245161772397E-2</c:v>
                </c:pt>
                <c:pt idx="44">
                  <c:v>1.8433618978095402E-2</c:v>
                </c:pt>
                <c:pt idx="45">
                  <c:v>1.8632048591324168E-2</c:v>
                </c:pt>
                <c:pt idx="46">
                  <c:v>1.8935811826986705E-2</c:v>
                </c:pt>
                <c:pt idx="47">
                  <c:v>2.0187191753569412E-2</c:v>
                </c:pt>
                <c:pt idx="48">
                  <c:v>1.9871325147179389E-2</c:v>
                </c:pt>
                <c:pt idx="49">
                  <c:v>1.9711845586521722E-2</c:v>
                </c:pt>
                <c:pt idx="50">
                  <c:v>2.065083729981089E-2</c:v>
                </c:pt>
                <c:pt idx="51">
                  <c:v>2.0627919885286092E-2</c:v>
                </c:pt>
                <c:pt idx="52">
                  <c:v>2.0412545747395917E-2</c:v>
                </c:pt>
                <c:pt idx="53">
                  <c:v>2.147286321139805E-2</c:v>
                </c:pt>
                <c:pt idx="54">
                  <c:v>2.0943499597295322E-2</c:v>
                </c:pt>
                <c:pt idx="55">
                  <c:v>2.0198765467162753E-2</c:v>
                </c:pt>
                <c:pt idx="56">
                  <c:v>2.0745732469490376E-2</c:v>
                </c:pt>
                <c:pt idx="57">
                  <c:v>2.0121514749177394E-2</c:v>
                </c:pt>
                <c:pt idx="58">
                  <c:v>1.9966255583608469E-2</c:v>
                </c:pt>
                <c:pt idx="59">
                  <c:v>2.2558714039026921E-2</c:v>
                </c:pt>
                <c:pt idx="60">
                  <c:v>2.205839954736661E-2</c:v>
                </c:pt>
                <c:pt idx="61">
                  <c:v>2.2253414862665813E-2</c:v>
                </c:pt>
                <c:pt idx="62">
                  <c:v>2.2877954452092539E-2</c:v>
                </c:pt>
                <c:pt idx="63">
                  <c:v>2.3602656393097061E-2</c:v>
                </c:pt>
                <c:pt idx="64">
                  <c:v>2.3986897109838506E-2</c:v>
                </c:pt>
                <c:pt idx="65">
                  <c:v>2.3450747693121637E-2</c:v>
                </c:pt>
                <c:pt idx="66">
                  <c:v>2.2207789475898482E-2</c:v>
                </c:pt>
                <c:pt idx="67">
                  <c:v>2.1947458351131995E-2</c:v>
                </c:pt>
                <c:pt idx="68">
                  <c:v>2.1576792286335363E-2</c:v>
                </c:pt>
                <c:pt idx="69">
                  <c:v>2.1790305980755723E-2</c:v>
                </c:pt>
                <c:pt idx="70">
                  <c:v>2.2143477809413989E-2</c:v>
                </c:pt>
                <c:pt idx="71">
                  <c:v>2.284159779614325E-2</c:v>
                </c:pt>
                <c:pt idx="72">
                  <c:v>2.1710736099883231E-2</c:v>
                </c:pt>
                <c:pt idx="73">
                  <c:v>2.3219257574432099E-2</c:v>
                </c:pt>
                <c:pt idx="74">
                  <c:v>2.5911840323922845E-2</c:v>
                </c:pt>
                <c:pt idx="75">
                  <c:v>2.3372036517490945E-2</c:v>
                </c:pt>
                <c:pt idx="76">
                  <c:v>2.1994664836481125E-2</c:v>
                </c:pt>
                <c:pt idx="77">
                  <c:v>2.1854535104855299E-2</c:v>
                </c:pt>
                <c:pt idx="78">
                  <c:v>2.1805514727497206E-2</c:v>
                </c:pt>
                <c:pt idx="79">
                  <c:v>2.1739468807091367E-2</c:v>
                </c:pt>
                <c:pt idx="80">
                  <c:v>2.2513616503401633E-2</c:v>
                </c:pt>
                <c:pt idx="81">
                  <c:v>2.1213447357503246E-2</c:v>
                </c:pt>
                <c:pt idx="82">
                  <c:v>2.1621861688884105E-2</c:v>
                </c:pt>
                <c:pt idx="83">
                  <c:v>2.1609142516898636E-2</c:v>
                </c:pt>
                <c:pt idx="84">
                  <c:v>2.1651787852046436E-2</c:v>
                </c:pt>
                <c:pt idx="85">
                  <c:v>2.1979202182066143E-2</c:v>
                </c:pt>
                <c:pt idx="86">
                  <c:v>2.2022197436757148E-2</c:v>
                </c:pt>
                <c:pt idx="87">
                  <c:v>2.2961739780658026E-2</c:v>
                </c:pt>
                <c:pt idx="88">
                  <c:v>2.3356331056604816E-2</c:v>
                </c:pt>
                <c:pt idx="89">
                  <c:v>2.4177997101249224E-2</c:v>
                </c:pt>
                <c:pt idx="90">
                  <c:v>2.2755938013782489E-2</c:v>
                </c:pt>
                <c:pt idx="91">
                  <c:v>2.327927915273759E-2</c:v>
                </c:pt>
                <c:pt idx="92">
                  <c:v>2.384850953839238E-2</c:v>
                </c:pt>
                <c:pt idx="93">
                  <c:v>2.3056353497803311E-2</c:v>
                </c:pt>
                <c:pt idx="94">
                  <c:v>2.3129868110431009E-2</c:v>
                </c:pt>
                <c:pt idx="95">
                  <c:v>2.3847243971741764E-2</c:v>
                </c:pt>
                <c:pt idx="96">
                  <c:v>2.4058241899353662E-2</c:v>
                </c:pt>
                <c:pt idx="97">
                  <c:v>2.3777382353358193E-2</c:v>
                </c:pt>
                <c:pt idx="98">
                  <c:v>2.4660306673017184E-2</c:v>
                </c:pt>
                <c:pt idx="99">
                  <c:v>2.5058807429974864E-2</c:v>
                </c:pt>
                <c:pt idx="100">
                  <c:v>2.5199712178449362E-2</c:v>
                </c:pt>
                <c:pt idx="101">
                  <c:v>2.5450643469800915E-2</c:v>
                </c:pt>
                <c:pt idx="102">
                  <c:v>2.5716801894147202E-2</c:v>
                </c:pt>
                <c:pt idx="103">
                  <c:v>2.5640439656110566E-2</c:v>
                </c:pt>
                <c:pt idx="104">
                  <c:v>2.5948753412192903E-2</c:v>
                </c:pt>
                <c:pt idx="105">
                  <c:v>2.588732188527585E-2</c:v>
                </c:pt>
                <c:pt idx="106">
                  <c:v>2.6253663265980654E-2</c:v>
                </c:pt>
                <c:pt idx="107">
                  <c:v>2.6875571888190324E-2</c:v>
                </c:pt>
                <c:pt idx="108">
                  <c:v>2.6841719372565284E-2</c:v>
                </c:pt>
                <c:pt idx="109">
                  <c:v>2.6914101583191102E-2</c:v>
                </c:pt>
                <c:pt idx="110">
                  <c:v>2.7506934633222627E-2</c:v>
                </c:pt>
                <c:pt idx="111">
                  <c:v>2.7775585974123381E-2</c:v>
                </c:pt>
                <c:pt idx="112">
                  <c:v>2.797790802524797E-2</c:v>
                </c:pt>
                <c:pt idx="113">
                  <c:v>2.8368677772775026E-2</c:v>
                </c:pt>
                <c:pt idx="114">
                  <c:v>2.774244556418055E-2</c:v>
                </c:pt>
                <c:pt idx="115">
                  <c:v>2.7853513002075447E-2</c:v>
                </c:pt>
                <c:pt idx="116">
                  <c:v>2.817407699795357E-2</c:v>
                </c:pt>
                <c:pt idx="117">
                  <c:v>2.7998659610362599E-2</c:v>
                </c:pt>
                <c:pt idx="118">
                  <c:v>2.8840750686887816E-2</c:v>
                </c:pt>
                <c:pt idx="119">
                  <c:v>2.9309032489510708E-2</c:v>
                </c:pt>
                <c:pt idx="120">
                  <c:v>2.8617978057164383E-2</c:v>
                </c:pt>
                <c:pt idx="121">
                  <c:v>2.8337379493384333E-2</c:v>
                </c:pt>
                <c:pt idx="122">
                  <c:v>2.793183712627589E-2</c:v>
                </c:pt>
                <c:pt idx="123">
                  <c:v>2.7676155108936455E-2</c:v>
                </c:pt>
                <c:pt idx="124">
                  <c:v>2.7454195178103217E-2</c:v>
                </c:pt>
                <c:pt idx="125">
                  <c:v>2.7411221704928559E-2</c:v>
                </c:pt>
                <c:pt idx="126">
                  <c:v>2.7594091690730346E-2</c:v>
                </c:pt>
                <c:pt idx="127">
                  <c:v>2.7673715269240225E-2</c:v>
                </c:pt>
                <c:pt idx="128">
                  <c:v>2.8018674074926437E-2</c:v>
                </c:pt>
                <c:pt idx="129">
                  <c:v>2.8459179794039374E-2</c:v>
                </c:pt>
                <c:pt idx="130">
                  <c:v>2.8051304196181667E-2</c:v>
                </c:pt>
                <c:pt idx="131">
                  <c:v>2.8276733441195603E-2</c:v>
                </c:pt>
                <c:pt idx="132">
                  <c:v>2.8103764652651513E-2</c:v>
                </c:pt>
                <c:pt idx="133">
                  <c:v>2.7885847747126245E-2</c:v>
                </c:pt>
                <c:pt idx="134">
                  <c:v>2.8515313360594177E-2</c:v>
                </c:pt>
                <c:pt idx="135">
                  <c:v>2.8576325430580706E-2</c:v>
                </c:pt>
                <c:pt idx="136">
                  <c:v>2.9007399110749076E-2</c:v>
                </c:pt>
                <c:pt idx="137">
                  <c:v>2.9739947904735237E-2</c:v>
                </c:pt>
                <c:pt idx="138">
                  <c:v>2.9436774598156374E-2</c:v>
                </c:pt>
                <c:pt idx="139">
                  <c:v>2.9733209955549407E-2</c:v>
                </c:pt>
                <c:pt idx="140">
                  <c:v>2.9999130117086239E-2</c:v>
                </c:pt>
                <c:pt idx="141">
                  <c:v>2.935552624452966E-2</c:v>
                </c:pt>
                <c:pt idx="142">
                  <c:v>2.9245887855378634E-2</c:v>
                </c:pt>
                <c:pt idx="143">
                  <c:v>3.0367651589166732E-2</c:v>
                </c:pt>
                <c:pt idx="144">
                  <c:v>3.0003805511797085E-2</c:v>
                </c:pt>
                <c:pt idx="145">
                  <c:v>3.0333556408721072E-2</c:v>
                </c:pt>
                <c:pt idx="146">
                  <c:v>3.1012810531530894E-2</c:v>
                </c:pt>
                <c:pt idx="147">
                  <c:v>3.0804275874407372E-2</c:v>
                </c:pt>
                <c:pt idx="148">
                  <c:v>3.1252842262305985E-2</c:v>
                </c:pt>
                <c:pt idx="149">
                  <c:v>3.1852740341419584E-2</c:v>
                </c:pt>
                <c:pt idx="150">
                  <c:v>3.1752553895372085E-2</c:v>
                </c:pt>
                <c:pt idx="151">
                  <c:v>3.2066929493146434E-2</c:v>
                </c:pt>
                <c:pt idx="152">
                  <c:v>3.2101176296788728E-2</c:v>
                </c:pt>
                <c:pt idx="153">
                  <c:v>3.1497528432319927E-2</c:v>
                </c:pt>
                <c:pt idx="154">
                  <c:v>3.168962779619857E-2</c:v>
                </c:pt>
                <c:pt idx="155">
                  <c:v>3.2846911705428535E-2</c:v>
                </c:pt>
                <c:pt idx="156">
                  <c:v>3.2679869854293393E-2</c:v>
                </c:pt>
                <c:pt idx="157">
                  <c:v>3.1123022188933619E-2</c:v>
                </c:pt>
                <c:pt idx="158">
                  <c:v>3.2143681883466162E-2</c:v>
                </c:pt>
                <c:pt idx="159">
                  <c:v>3.3390283832403722E-2</c:v>
                </c:pt>
                <c:pt idx="160">
                  <c:v>3.2525493249273653E-2</c:v>
                </c:pt>
                <c:pt idx="161">
                  <c:v>3.540809366829601E-2</c:v>
                </c:pt>
                <c:pt idx="162">
                  <c:v>3.2610373199834092E-2</c:v>
                </c:pt>
                <c:pt idx="163">
                  <c:v>3.1662853303994778E-2</c:v>
                </c:pt>
                <c:pt idx="164">
                  <c:v>3.283203470000589E-2</c:v>
                </c:pt>
                <c:pt idx="165">
                  <c:v>3.1810363618349352E-2</c:v>
                </c:pt>
                <c:pt idx="166">
                  <c:v>3.1816423193897395E-2</c:v>
                </c:pt>
                <c:pt idx="167">
                  <c:v>3.3165644909243897E-2</c:v>
                </c:pt>
                <c:pt idx="168">
                  <c:v>3.3016576481989988E-2</c:v>
                </c:pt>
                <c:pt idx="169">
                  <c:v>3.2182789984055514E-2</c:v>
                </c:pt>
                <c:pt idx="170">
                  <c:v>3.2751495980496849E-2</c:v>
                </c:pt>
                <c:pt idx="171">
                  <c:v>3.2335619859139138E-2</c:v>
                </c:pt>
                <c:pt idx="172">
                  <c:v>3.1900231947438872E-2</c:v>
                </c:pt>
                <c:pt idx="173">
                  <c:v>3.4005844055979902E-2</c:v>
                </c:pt>
                <c:pt idx="174">
                  <c:v>3.3260466609367392E-2</c:v>
                </c:pt>
                <c:pt idx="175">
                  <c:v>3.3615043092191176E-2</c:v>
                </c:pt>
                <c:pt idx="176">
                  <c:v>3.6343809393802572E-2</c:v>
                </c:pt>
                <c:pt idx="177">
                  <c:v>3.46903037395494E-2</c:v>
                </c:pt>
                <c:pt idx="178">
                  <c:v>3.4568157608754126E-2</c:v>
                </c:pt>
                <c:pt idx="179">
                  <c:v>3.5334733066509194E-2</c:v>
                </c:pt>
                <c:pt idx="180">
                  <c:v>3.4141696292534281E-2</c:v>
                </c:pt>
                <c:pt idx="181">
                  <c:v>3.395738404983601E-2</c:v>
                </c:pt>
                <c:pt idx="182">
                  <c:v>3.3617051911085515E-2</c:v>
                </c:pt>
                <c:pt idx="183">
                  <c:v>3.5323378619428518E-2</c:v>
                </c:pt>
                <c:pt idx="184">
                  <c:v>3.4297189207457897E-2</c:v>
                </c:pt>
                <c:pt idx="185">
                  <c:v>3.4746824038201639E-2</c:v>
                </c:pt>
                <c:pt idx="186">
                  <c:v>3.3670290184662964E-2</c:v>
                </c:pt>
                <c:pt idx="187">
                  <c:v>3.3378621424398291E-2</c:v>
                </c:pt>
                <c:pt idx="188">
                  <c:v>3.3210083064143976E-2</c:v>
                </c:pt>
                <c:pt idx="189">
                  <c:v>3.2583958359899377E-2</c:v>
                </c:pt>
                <c:pt idx="190">
                  <c:v>3.2389908577011656E-2</c:v>
                </c:pt>
                <c:pt idx="191">
                  <c:v>3.3294262228560169E-2</c:v>
                </c:pt>
                <c:pt idx="192">
                  <c:v>3.2634778565616647E-2</c:v>
                </c:pt>
                <c:pt idx="193">
                  <c:v>3.1530922334601467E-2</c:v>
                </c:pt>
                <c:pt idx="194">
                  <c:v>3.1535248953001395E-2</c:v>
                </c:pt>
                <c:pt idx="195">
                  <c:v>3.1746338832412908E-2</c:v>
                </c:pt>
                <c:pt idx="196">
                  <c:v>3.3124513802126304E-2</c:v>
                </c:pt>
                <c:pt idx="197">
                  <c:v>3.2832126168224299E-2</c:v>
                </c:pt>
                <c:pt idx="198">
                  <c:v>3.3352236037241849E-2</c:v>
                </c:pt>
                <c:pt idx="199">
                  <c:v>3.5515575032571363E-2</c:v>
                </c:pt>
                <c:pt idx="200">
                  <c:v>3.4140415111385845E-2</c:v>
                </c:pt>
                <c:pt idx="201">
                  <c:v>3.3551745472717324E-2</c:v>
                </c:pt>
                <c:pt idx="202">
                  <c:v>3.2884948610220989E-2</c:v>
                </c:pt>
                <c:pt idx="203">
                  <c:v>3.3555242969775058E-2</c:v>
                </c:pt>
                <c:pt idx="204">
                  <c:v>3.259337745208301E-2</c:v>
                </c:pt>
                <c:pt idx="205">
                  <c:v>3.3766519303056811E-2</c:v>
                </c:pt>
                <c:pt idx="206">
                  <c:v>3.4512448868607097E-2</c:v>
                </c:pt>
                <c:pt idx="207">
                  <c:v>3.731289655835416E-2</c:v>
                </c:pt>
                <c:pt idx="208">
                  <c:v>3.8201037144235409E-2</c:v>
                </c:pt>
                <c:pt idx="209">
                  <c:v>4.1934595650222582E-2</c:v>
                </c:pt>
                <c:pt idx="210">
                  <c:v>4.5395084500722868E-2</c:v>
                </c:pt>
                <c:pt idx="211">
                  <c:v>4.8341948661051994E-2</c:v>
                </c:pt>
                <c:pt idx="212">
                  <c:v>4.8757999616784828E-2</c:v>
                </c:pt>
                <c:pt idx="213">
                  <c:v>6.8320228919079171E-2</c:v>
                </c:pt>
                <c:pt idx="214">
                  <c:v>6.6905393912841796E-2</c:v>
                </c:pt>
                <c:pt idx="215">
                  <c:v>6.4498031369005351E-2</c:v>
                </c:pt>
                <c:pt idx="216">
                  <c:v>6.0881522724329923E-2</c:v>
                </c:pt>
                <c:pt idx="217">
                  <c:v>6.0709043940932281E-2</c:v>
                </c:pt>
                <c:pt idx="218">
                  <c:v>6.3211177634386356E-2</c:v>
                </c:pt>
                <c:pt idx="219">
                  <c:v>5.9850369142090097E-2</c:v>
                </c:pt>
                <c:pt idx="220">
                  <c:v>6.3142374279745034E-2</c:v>
                </c:pt>
                <c:pt idx="221">
                  <c:v>6.071349697332535E-2</c:v>
                </c:pt>
                <c:pt idx="222">
                  <c:v>5.7289521380143656E-2</c:v>
                </c:pt>
                <c:pt idx="223">
                  <c:v>5.3122445665412618E-2</c:v>
                </c:pt>
                <c:pt idx="224">
                  <c:v>5.115135413560333E-2</c:v>
                </c:pt>
                <c:pt idx="225">
                  <c:v>5.1863581992170511E-2</c:v>
                </c:pt>
                <c:pt idx="226">
                  <c:v>5.2204971497478624E-2</c:v>
                </c:pt>
                <c:pt idx="227">
                  <c:v>4.7656631296098269E-2</c:v>
                </c:pt>
                <c:pt idx="228">
                  <c:v>4.6117210559708695E-2</c:v>
                </c:pt>
                <c:pt idx="229">
                  <c:v>4.3080797711438704E-2</c:v>
                </c:pt>
                <c:pt idx="230">
                  <c:v>4.2328871522004215E-2</c:v>
                </c:pt>
                <c:pt idx="231">
                  <c:v>4.2152048097994041E-2</c:v>
                </c:pt>
                <c:pt idx="232">
                  <c:v>4.1160140145492408E-2</c:v>
                </c:pt>
                <c:pt idx="233">
                  <c:v>4.2064963565258982E-2</c:v>
                </c:pt>
                <c:pt idx="234">
                  <c:v>4.1359455194278971E-2</c:v>
                </c:pt>
                <c:pt idx="235">
                  <c:v>3.8368910311585472E-2</c:v>
                </c:pt>
                <c:pt idx="236">
                  <c:v>3.8773059268454632E-2</c:v>
                </c:pt>
                <c:pt idx="237">
                  <c:v>3.9045679835367088E-2</c:v>
                </c:pt>
                <c:pt idx="238">
                  <c:v>3.9148367219404435E-2</c:v>
                </c:pt>
                <c:pt idx="239">
                  <c:v>4.0862370607960344E-2</c:v>
                </c:pt>
                <c:pt idx="240">
                  <c:v>3.8838976077117497E-2</c:v>
                </c:pt>
                <c:pt idx="241">
                  <c:v>3.7767519077299472E-2</c:v>
                </c:pt>
                <c:pt idx="242">
                  <c:v>3.8059736594543744E-2</c:v>
                </c:pt>
                <c:pt idx="243">
                  <c:v>3.8270087959110903E-2</c:v>
                </c:pt>
                <c:pt idx="244">
                  <c:v>3.8107999404141217E-2</c:v>
                </c:pt>
                <c:pt idx="245">
                  <c:v>3.9197158557834073E-2</c:v>
                </c:pt>
                <c:pt idx="246">
                  <c:v>3.6283458183837991E-2</c:v>
                </c:pt>
                <c:pt idx="247">
                  <c:v>3.6731568055828286E-2</c:v>
                </c:pt>
                <c:pt idx="248">
                  <c:v>3.6237601237601239E-2</c:v>
                </c:pt>
                <c:pt idx="249">
                  <c:v>3.4355519653716603E-2</c:v>
                </c:pt>
                <c:pt idx="250">
                  <c:v>3.4304552686329703E-2</c:v>
                </c:pt>
                <c:pt idx="251">
                  <c:v>3.59567939118694E-2</c:v>
                </c:pt>
                <c:pt idx="252">
                  <c:v>3.478973010594695E-2</c:v>
                </c:pt>
                <c:pt idx="253">
                  <c:v>3.4361174646546824E-2</c:v>
                </c:pt>
                <c:pt idx="254">
                  <c:v>3.6241462434712733E-2</c:v>
                </c:pt>
                <c:pt idx="255">
                  <c:v>3.4996724788670885E-2</c:v>
                </c:pt>
                <c:pt idx="256">
                  <c:v>3.5975976912877308E-2</c:v>
                </c:pt>
                <c:pt idx="257">
                  <c:v>3.690782032012644E-2</c:v>
                </c:pt>
                <c:pt idx="258">
                  <c:v>3.4924902911864251E-2</c:v>
                </c:pt>
                <c:pt idx="259">
                  <c:v>3.4279561779915438E-2</c:v>
                </c:pt>
                <c:pt idx="260">
                  <c:v>3.483101767887839E-2</c:v>
                </c:pt>
                <c:pt idx="261">
                  <c:v>3.4550022986319179E-2</c:v>
                </c:pt>
                <c:pt idx="262">
                  <c:v>3.5030704126761909E-2</c:v>
                </c:pt>
                <c:pt idx="263">
                  <c:v>3.5155090602210122E-2</c:v>
                </c:pt>
                <c:pt idx="264">
                  <c:v>3.5102523533266212E-2</c:v>
                </c:pt>
                <c:pt idx="265">
                  <c:v>3.4914472419757835E-2</c:v>
                </c:pt>
                <c:pt idx="266">
                  <c:v>3.3020804662834941E-2</c:v>
                </c:pt>
                <c:pt idx="267">
                  <c:v>3.285868941195768E-2</c:v>
                </c:pt>
                <c:pt idx="268">
                  <c:v>3.2747176654851211E-2</c:v>
                </c:pt>
                <c:pt idx="269">
                  <c:v>3.2644346529950366E-2</c:v>
                </c:pt>
                <c:pt idx="270">
                  <c:v>3.0393523465110546E-2</c:v>
                </c:pt>
                <c:pt idx="271">
                  <c:v>3.1637240490858344E-2</c:v>
                </c:pt>
                <c:pt idx="272">
                  <c:v>3.1269211128864875E-2</c:v>
                </c:pt>
                <c:pt idx="273">
                  <c:v>3.084713522022892E-2</c:v>
                </c:pt>
                <c:pt idx="274">
                  <c:v>3.3098796696294092E-2</c:v>
                </c:pt>
                <c:pt idx="275">
                  <c:v>3.1678919729932482E-2</c:v>
                </c:pt>
                <c:pt idx="276">
                  <c:v>3.0104303354530466E-2</c:v>
                </c:pt>
                <c:pt idx="277">
                  <c:v>2.8385251967974163E-2</c:v>
                </c:pt>
                <c:pt idx="278">
                  <c:v>3.0047374855668003E-2</c:v>
                </c:pt>
                <c:pt idx="279">
                  <c:v>3.0869863601269622E-2</c:v>
                </c:pt>
                <c:pt idx="280">
                  <c:v>3.0947234145248314E-2</c:v>
                </c:pt>
                <c:pt idx="281">
                  <c:v>3.1784393013851844E-2</c:v>
                </c:pt>
                <c:pt idx="282">
                  <c:v>3.0540338947770126E-2</c:v>
                </c:pt>
                <c:pt idx="283">
                  <c:v>3.1811697324267821E-2</c:v>
                </c:pt>
                <c:pt idx="284">
                  <c:v>3.2018433016681704E-2</c:v>
                </c:pt>
                <c:pt idx="285">
                  <c:v>3.109142918058418E-2</c:v>
                </c:pt>
                <c:pt idx="286">
                  <c:v>3.2821770656163277E-2</c:v>
                </c:pt>
                <c:pt idx="287">
                  <c:v>3.2237492334884391E-2</c:v>
                </c:pt>
                <c:pt idx="288">
                  <c:v>3.1488577343551372E-2</c:v>
                </c:pt>
                <c:pt idx="289">
                  <c:v>3.1719071513663766E-2</c:v>
                </c:pt>
                <c:pt idx="290">
                  <c:v>3.2677295018186427E-2</c:v>
                </c:pt>
                <c:pt idx="291">
                  <c:v>3.4126743591616153E-2</c:v>
                </c:pt>
                <c:pt idx="292">
                  <c:v>3.4783429220565064E-2</c:v>
                </c:pt>
                <c:pt idx="293">
                  <c:v>3.6081584911177716E-2</c:v>
                </c:pt>
                <c:pt idx="294">
                  <c:v>3.4951497727905033E-2</c:v>
                </c:pt>
                <c:pt idx="295">
                  <c:v>3.5097214923804521E-2</c:v>
                </c:pt>
                <c:pt idx="296">
                  <c:v>3.9541294705519064E-2</c:v>
                </c:pt>
                <c:pt idx="297">
                  <c:v>3.6550768407370593E-2</c:v>
                </c:pt>
                <c:pt idx="298">
                  <c:v>3.5625613488076677E-2</c:v>
                </c:pt>
                <c:pt idx="299">
                  <c:v>3.6307019411275183E-2</c:v>
                </c:pt>
                <c:pt idx="300">
                  <c:v>3.5870704148258201E-2</c:v>
                </c:pt>
                <c:pt idx="301">
                  <c:v>3.6919109977981229E-2</c:v>
                </c:pt>
                <c:pt idx="302">
                  <c:v>3.8928291382419822E-2</c:v>
                </c:pt>
                <c:pt idx="303">
                  <c:v>3.8569119319882654E-2</c:v>
                </c:pt>
                <c:pt idx="304">
                  <c:v>3.7583306568170868E-2</c:v>
                </c:pt>
                <c:pt idx="305">
                  <c:v>3.9991726364645347E-2</c:v>
                </c:pt>
                <c:pt idx="306">
                  <c:v>3.8174391941691914E-2</c:v>
                </c:pt>
                <c:pt idx="307">
                  <c:v>3.5572808336250747E-2</c:v>
                </c:pt>
                <c:pt idx="308">
                  <c:v>3.3243287897562993E-2</c:v>
                </c:pt>
                <c:pt idx="309">
                  <c:v>3.261796770972037E-2</c:v>
                </c:pt>
                <c:pt idx="310">
                  <c:v>3.4141591808530686E-2</c:v>
                </c:pt>
                <c:pt idx="311">
                  <c:v>3.2156739153272405E-2</c:v>
                </c:pt>
                <c:pt idx="312">
                  <c:v>3.2496778690775441E-2</c:v>
                </c:pt>
                <c:pt idx="313">
                  <c:v>3.2628491794413128E-2</c:v>
                </c:pt>
                <c:pt idx="314">
                  <c:v>3.5461415062478893E-2</c:v>
                </c:pt>
                <c:pt idx="315">
                  <c:v>3.2836459291259439E-2</c:v>
                </c:pt>
                <c:pt idx="316">
                  <c:v>3.1785836542575954E-2</c:v>
                </c:pt>
                <c:pt idx="317">
                  <c:v>3.1416263020275191E-2</c:v>
                </c:pt>
                <c:pt idx="318">
                  <c:v>2.8578305937459341E-2</c:v>
                </c:pt>
                <c:pt idx="319">
                  <c:v>2.6979829104657009E-2</c:v>
                </c:pt>
                <c:pt idx="320">
                  <c:v>2.6614334021342938E-2</c:v>
                </c:pt>
                <c:pt idx="321">
                  <c:v>2.5801471236014447E-2</c:v>
                </c:pt>
                <c:pt idx="322">
                  <c:v>2.5443424399955759E-2</c:v>
                </c:pt>
                <c:pt idx="323">
                  <c:v>2.602144318889581E-2</c:v>
                </c:pt>
                <c:pt idx="324">
                  <c:v>2.5593755599354954E-2</c:v>
                </c:pt>
                <c:pt idx="325">
                  <c:v>2.494169387619111E-2</c:v>
                </c:pt>
                <c:pt idx="326">
                  <c:v>2.4671468964588664E-2</c:v>
                </c:pt>
                <c:pt idx="327">
                  <c:v>2.4783444967414917E-2</c:v>
                </c:pt>
                <c:pt idx="328">
                  <c:v>2.430894124583324E-2</c:v>
                </c:pt>
                <c:pt idx="329">
                  <c:v>2.53425E-2</c:v>
                </c:pt>
                <c:pt idx="330">
                  <c:v>2.4856656389489667E-2</c:v>
                </c:pt>
                <c:pt idx="331">
                  <c:v>2.5207736222765932E-2</c:v>
                </c:pt>
                <c:pt idx="332">
                  <c:v>2.4416265131037725E-2</c:v>
                </c:pt>
                <c:pt idx="333">
                  <c:v>2.3717034334052083E-2</c:v>
                </c:pt>
                <c:pt idx="334">
                  <c:v>2.2104120957741103E-2</c:v>
                </c:pt>
                <c:pt idx="335">
                  <c:v>2.1053753653044599E-2</c:v>
                </c:pt>
                <c:pt idx="336">
                  <c:v>1.934700772200772E-2</c:v>
                </c:pt>
                <c:pt idx="337">
                  <c:v>2.0545920567239973E-2</c:v>
                </c:pt>
                <c:pt idx="338">
                  <c:v>2.0713023694847156E-2</c:v>
                </c:pt>
                <c:pt idx="339">
                  <c:v>2.0080880370579153E-2</c:v>
                </c:pt>
                <c:pt idx="340">
                  <c:v>2.0519876923076923E-2</c:v>
                </c:pt>
                <c:pt idx="341">
                  <c:v>2.1846563586594658E-2</c:v>
                </c:pt>
                <c:pt idx="342">
                  <c:v>1.9238756910204692E-2</c:v>
                </c:pt>
                <c:pt idx="343">
                  <c:v>2.0186814844614303E-2</c:v>
                </c:pt>
                <c:pt idx="344">
                  <c:v>1.8449324750725735E-2</c:v>
                </c:pt>
                <c:pt idx="345">
                  <c:v>1.801350804411616E-2</c:v>
                </c:pt>
                <c:pt idx="346">
                  <c:v>1.8811790225851728E-2</c:v>
                </c:pt>
                <c:pt idx="347">
                  <c:v>1.8572124631362995E-2</c:v>
                </c:pt>
                <c:pt idx="348">
                  <c:v>1.728407505039541E-2</c:v>
                </c:pt>
                <c:pt idx="349">
                  <c:v>1.6597536933200194E-2</c:v>
                </c:pt>
                <c:pt idx="350">
                  <c:v>1.7957502840028918E-2</c:v>
                </c:pt>
                <c:pt idx="351">
                  <c:v>1.7485332846601132E-2</c:v>
                </c:pt>
                <c:pt idx="352">
                  <c:v>1.7933585102226854E-2</c:v>
                </c:pt>
              </c:numCache>
            </c:numRef>
          </c:xVal>
          <c:yVal>
            <c:numRef>
              <c:f>'Customer Margin Balances'!$T$2:$T$1354</c:f>
              <c:numCache>
                <c:formatCode>0%</c:formatCode>
                <c:ptCount val="1353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0.34198357056865669</c:v>
                </c:pt>
                <c:pt idx="22">
                  <c:v>0.30543614073846048</c:v>
                </c:pt>
                <c:pt idx="23">
                  <c:v>0.19559452648851394</c:v>
                </c:pt>
                <c:pt idx="24">
                  <c:v>0.30343286890976984</c:v>
                </c:pt>
                <c:pt idx="25">
                  <c:v>0.37797004978463722</c:v>
                </c:pt>
                <c:pt idx="26">
                  <c:v>0.30282527810290505</c:v>
                </c:pt>
                <c:pt idx="27">
                  <c:v>0.34394174562964674</c:v>
                </c:pt>
                <c:pt idx="28">
                  <c:v>0.41161660458349258</c:v>
                </c:pt>
                <c:pt idx="29">
                  <c:v>0.40224284722935622</c:v>
                </c:pt>
                <c:pt idx="30">
                  <c:v>0.41430447918034941</c:v>
                </c:pt>
                <c:pt idx="31">
                  <c:v>0.51160999570794985</c:v>
                </c:pt>
                <c:pt idx="32">
                  <c:v>0.44703303366332015</c:v>
                </c:pt>
                <c:pt idx="33">
                  <c:v>0.31147646450708355</c:v>
                </c:pt>
                <c:pt idx="34">
                  <c:v>0.21357780412119531</c:v>
                </c:pt>
                <c:pt idx="35">
                  <c:v>0.26098220826086771</c:v>
                </c:pt>
                <c:pt idx="36">
                  <c:v>0.42457946854297912</c:v>
                </c:pt>
                <c:pt idx="37">
                  <c:v>0.44874900467204548</c:v>
                </c:pt>
                <c:pt idx="38">
                  <c:v>0.43129381818358792</c:v>
                </c:pt>
                <c:pt idx="39">
                  <c:v>0.51943377454252349</c:v>
                </c:pt>
                <c:pt idx="40">
                  <c:v>0.39956090860030424</c:v>
                </c:pt>
                <c:pt idx="41">
                  <c:v>0.50084125537179314</c:v>
                </c:pt>
                <c:pt idx="42">
                  <c:v>0.38437444088517214</c:v>
                </c:pt>
                <c:pt idx="43">
                  <c:v>0.42622120982029865</c:v>
                </c:pt>
                <c:pt idx="44">
                  <c:v>0.52288307182579286</c:v>
                </c:pt>
                <c:pt idx="45">
                  <c:v>0.33438938053097345</c:v>
                </c:pt>
                <c:pt idx="46">
                  <c:v>0.21920978914313505</c:v>
                </c:pt>
                <c:pt idx="47">
                  <c:v>0.38806407811104826</c:v>
                </c:pt>
                <c:pt idx="48">
                  <c:v>0.23332163643623804</c:v>
                </c:pt>
                <c:pt idx="49">
                  <c:v>0.1727328391332863</c:v>
                </c:pt>
                <c:pt idx="50">
                  <c:v>5.2847314040009641E-2</c:v>
                </c:pt>
                <c:pt idx="51">
                  <c:v>4.4321595632313304E-2</c:v>
                </c:pt>
                <c:pt idx="52">
                  <c:v>-7.1253778609471685E-2</c:v>
                </c:pt>
                <c:pt idx="53">
                  <c:v>-0.1003172351862498</c:v>
                </c:pt>
                <c:pt idx="54">
                  <c:v>-1.2993212174293833E-2</c:v>
                </c:pt>
                <c:pt idx="55">
                  <c:v>-3.5653952551146784E-3</c:v>
                </c:pt>
                <c:pt idx="56">
                  <c:v>3.3160458173342677E-2</c:v>
                </c:pt>
                <c:pt idx="57">
                  <c:v>-7.5806822503471483E-2</c:v>
                </c:pt>
                <c:pt idx="58">
                  <c:v>-5.136897475917257E-2</c:v>
                </c:pt>
                <c:pt idx="59">
                  <c:v>-4.3790575916230257E-2</c:v>
                </c:pt>
                <c:pt idx="60">
                  <c:v>-5.56503041071712E-2</c:v>
                </c:pt>
                <c:pt idx="61">
                  <c:v>-2.5009746075859152E-2</c:v>
                </c:pt>
                <c:pt idx="62">
                  <c:v>-3.3575054934820714E-2</c:v>
                </c:pt>
                <c:pt idx="63">
                  <c:v>7.0571874631016884E-2</c:v>
                </c:pt>
                <c:pt idx="64">
                  <c:v>4.2468984233652085E-2</c:v>
                </c:pt>
                <c:pt idx="65">
                  <c:v>-4.5379878436770382E-2</c:v>
                </c:pt>
                <c:pt idx="66">
                  <c:v>9.2049712422306973E-2</c:v>
                </c:pt>
                <c:pt idx="67">
                  <c:v>0.26310107768902369</c:v>
                </c:pt>
                <c:pt idx="68">
                  <c:v>0.12559619387451693</c:v>
                </c:pt>
                <c:pt idx="69">
                  <c:v>0.1805097262813864</c:v>
                </c:pt>
                <c:pt idx="70">
                  <c:v>0.26315451588446792</c:v>
                </c:pt>
                <c:pt idx="71">
                  <c:v>0.46128587970802726</c:v>
                </c:pt>
                <c:pt idx="72">
                  <c:v>0.43675906855740698</c:v>
                </c:pt>
                <c:pt idx="73">
                  <c:v>0.55044069728714518</c:v>
                </c:pt>
                <c:pt idx="74">
                  <c:v>0.8440758495544749</c:v>
                </c:pt>
                <c:pt idx="75">
                  <c:v>0.54592413564324938</c:v>
                </c:pt>
                <c:pt idx="76">
                  <c:v>0.4277945881594285</c:v>
                </c:pt>
                <c:pt idx="77">
                  <c:v>0.33328174620370299</c:v>
                </c:pt>
                <c:pt idx="78">
                  <c:v>0.43989455520251641</c:v>
                </c:pt>
                <c:pt idx="79">
                  <c:v>0.44697059481952639</c:v>
                </c:pt>
                <c:pt idx="80">
                  <c:v>0.44369343644389514</c:v>
                </c:pt>
                <c:pt idx="81">
                  <c:v>0.43658549920381606</c:v>
                </c:pt>
                <c:pt idx="82">
                  <c:v>0.4028982881377543</c:v>
                </c:pt>
                <c:pt idx="83">
                  <c:v>0.35051465789187408</c:v>
                </c:pt>
                <c:pt idx="84">
                  <c:v>0.38483535969419269</c:v>
                </c:pt>
                <c:pt idx="85">
                  <c:v>0.26084668836966141</c:v>
                </c:pt>
                <c:pt idx="86">
                  <c:v>0.32517287609370582</c:v>
                </c:pt>
                <c:pt idx="87">
                  <c:v>0.30064392402199336</c:v>
                </c:pt>
                <c:pt idx="88">
                  <c:v>0.20926001257349958</c:v>
                </c:pt>
                <c:pt idx="89">
                  <c:v>0.34152422362726131</c:v>
                </c:pt>
                <c:pt idx="90">
                  <c:v>0.26815015017190968</c:v>
                </c:pt>
                <c:pt idx="91">
                  <c:v>0.20628083813344933</c:v>
                </c:pt>
                <c:pt idx="92">
                  <c:v>6.3936609036438163E-2</c:v>
                </c:pt>
                <c:pt idx="93">
                  <c:v>4.9212137086768193E-2</c:v>
                </c:pt>
                <c:pt idx="94">
                  <c:v>3.4137109459608128E-2</c:v>
                </c:pt>
                <c:pt idx="95">
                  <c:v>-4.921331533234985E-2</c:v>
                </c:pt>
                <c:pt idx="96">
                  <c:v>9.2024086320404264E-2</c:v>
                </c:pt>
                <c:pt idx="97">
                  <c:v>0.21807367685655477</c:v>
                </c:pt>
                <c:pt idx="98">
                  <c:v>0.22337714465308789</c:v>
                </c:pt>
                <c:pt idx="99">
                  <c:v>0.15739747883986843</c:v>
                </c:pt>
                <c:pt idx="100">
                  <c:v>7.5695602749476842E-2</c:v>
                </c:pt>
                <c:pt idx="101">
                  <c:v>0.11337854062484798</c:v>
                </c:pt>
                <c:pt idx="102">
                  <c:v>0.10533392758670179</c:v>
                </c:pt>
                <c:pt idx="103">
                  <c:v>0.15731227138230697</c:v>
                </c:pt>
                <c:pt idx="104">
                  <c:v>0.16766162835005716</c:v>
                </c:pt>
                <c:pt idx="105">
                  <c:v>0.11345052899884678</c:v>
                </c:pt>
                <c:pt idx="106">
                  <c:v>0.19249888677488558</c:v>
                </c:pt>
                <c:pt idx="107">
                  <c:v>0.16959160851857513</c:v>
                </c:pt>
                <c:pt idx="108">
                  <c:v>0.15452773861845914</c:v>
                </c:pt>
                <c:pt idx="109">
                  <c:v>0.13417498532002359</c:v>
                </c:pt>
                <c:pt idx="110">
                  <c:v>6.1001726823322278E-2</c:v>
                </c:pt>
                <c:pt idx="111">
                  <c:v>0.16776243421163972</c:v>
                </c:pt>
                <c:pt idx="112">
                  <c:v>0.18994940474884481</c:v>
                </c:pt>
                <c:pt idx="113">
                  <c:v>0.30156376321560829</c:v>
                </c:pt>
                <c:pt idx="114">
                  <c:v>0.31958650360877017</c:v>
                </c:pt>
                <c:pt idx="115">
                  <c:v>0.32459610093361224</c:v>
                </c:pt>
                <c:pt idx="116">
                  <c:v>0.25370456631323579</c:v>
                </c:pt>
                <c:pt idx="117">
                  <c:v>0.2461226651926578</c:v>
                </c:pt>
                <c:pt idx="118">
                  <c:v>0.21827843209422171</c:v>
                </c:pt>
                <c:pt idx="119">
                  <c:v>0.25824018753037348</c:v>
                </c:pt>
                <c:pt idx="120">
                  <c:v>0.29417967199616601</c:v>
                </c:pt>
                <c:pt idx="121">
                  <c:v>0.36726380343731124</c:v>
                </c:pt>
                <c:pt idx="122">
                  <c:v>0.2980327675707104</c:v>
                </c:pt>
                <c:pt idx="123">
                  <c:v>0.37021991520787267</c:v>
                </c:pt>
                <c:pt idx="124">
                  <c:v>0.32728941417649593</c:v>
                </c:pt>
                <c:pt idx="125">
                  <c:v>0.23259981810750108</c:v>
                </c:pt>
                <c:pt idx="126">
                  <c:v>0.18805913469905167</c:v>
                </c:pt>
                <c:pt idx="127">
                  <c:v>0.18800971086380591</c:v>
                </c:pt>
                <c:pt idx="128">
                  <c:v>0.2621729676214799</c:v>
                </c:pt>
                <c:pt idx="129">
                  <c:v>0.22291065436031166</c:v>
                </c:pt>
                <c:pt idx="130">
                  <c:v>0.13326103714968096</c:v>
                </c:pt>
                <c:pt idx="131">
                  <c:v>0.14522244426038933</c:v>
                </c:pt>
                <c:pt idx="132">
                  <c:v>0.12159596490632829</c:v>
                </c:pt>
                <c:pt idx="133">
                  <c:v>9.2715925279164946E-2</c:v>
                </c:pt>
                <c:pt idx="134">
                  <c:v>8.266402772962067E-2</c:v>
                </c:pt>
                <c:pt idx="135">
                  <c:v>4.4813494891898342E-2</c:v>
                </c:pt>
                <c:pt idx="136">
                  <c:v>6.5744695666473341E-2</c:v>
                </c:pt>
                <c:pt idx="137">
                  <c:v>5.3120648328628617E-2</c:v>
                </c:pt>
                <c:pt idx="138">
                  <c:v>5.0005774186105301E-2</c:v>
                </c:pt>
                <c:pt idx="139">
                  <c:v>7.7079332726265992E-2</c:v>
                </c:pt>
                <c:pt idx="140">
                  <c:v>6.4174111530606037E-2</c:v>
                </c:pt>
                <c:pt idx="141">
                  <c:v>4.6711269652022436E-2</c:v>
                </c:pt>
                <c:pt idx="142">
                  <c:v>6.9732270050502532E-2</c:v>
                </c:pt>
                <c:pt idx="143">
                  <c:v>5.0764456598013208E-2</c:v>
                </c:pt>
                <c:pt idx="144">
                  <c:v>4.502063570080761E-3</c:v>
                </c:pt>
                <c:pt idx="145">
                  <c:v>2.9878733788806677E-2</c:v>
                </c:pt>
                <c:pt idx="146">
                  <c:v>9.16500094632966E-2</c:v>
                </c:pt>
                <c:pt idx="147">
                  <c:v>0.11883081918835425</c:v>
                </c:pt>
                <c:pt idx="148">
                  <c:v>0.16648256037108489</c:v>
                </c:pt>
                <c:pt idx="149">
                  <c:v>3.8774938060395447E-2</c:v>
                </c:pt>
                <c:pt idx="150">
                  <c:v>9.2130395622421313E-2</c:v>
                </c:pt>
                <c:pt idx="151">
                  <c:v>0.19771826494400946</c:v>
                </c:pt>
                <c:pt idx="152">
                  <c:v>0.22690972466723247</c:v>
                </c:pt>
                <c:pt idx="153">
                  <c:v>0.29052580903905145</c:v>
                </c:pt>
                <c:pt idx="154">
                  <c:v>0.23715543647488757</c:v>
                </c:pt>
                <c:pt idx="155">
                  <c:v>0.28737819985429391</c:v>
                </c:pt>
                <c:pt idx="156">
                  <c:v>0.29051842268093786</c:v>
                </c:pt>
                <c:pt idx="157">
                  <c:v>0.24876534818927531</c:v>
                </c:pt>
                <c:pt idx="158">
                  <c:v>0.31207819271301229</c:v>
                </c:pt>
                <c:pt idx="159">
                  <c:v>0.36501438275909392</c:v>
                </c:pt>
                <c:pt idx="160">
                  <c:v>0.34706401303008882</c:v>
                </c:pt>
                <c:pt idx="161">
                  <c:v>0.38290839235465723</c:v>
                </c:pt>
                <c:pt idx="162">
                  <c:v>0.41462943915047035</c:v>
                </c:pt>
                <c:pt idx="163">
                  <c:v>0.36717510566486</c:v>
                </c:pt>
                <c:pt idx="164">
                  <c:v>0.36063770375943438</c:v>
                </c:pt>
                <c:pt idx="165">
                  <c:v>0.36755108588670127</c:v>
                </c:pt>
                <c:pt idx="166">
                  <c:v>0.36585420680711755</c:v>
                </c:pt>
                <c:pt idx="167">
                  <c:v>0.3745374396833312</c:v>
                </c:pt>
                <c:pt idx="168">
                  <c:v>0.4190700155940501</c:v>
                </c:pt>
                <c:pt idx="169">
                  <c:v>0.2751821807090431</c:v>
                </c:pt>
                <c:pt idx="170">
                  <c:v>0.31231763814520175</c:v>
                </c:pt>
                <c:pt idx="171">
                  <c:v>0.3222790020889974</c:v>
                </c:pt>
                <c:pt idx="172">
                  <c:v>0.33840796192967959</c:v>
                </c:pt>
                <c:pt idx="173">
                  <c:v>0.33711043374078753</c:v>
                </c:pt>
                <c:pt idx="174">
                  <c:v>0.30956086952094819</c:v>
                </c:pt>
                <c:pt idx="175">
                  <c:v>0.34503304459691631</c:v>
                </c:pt>
                <c:pt idx="176">
                  <c:v>0.41970264526666234</c:v>
                </c:pt>
                <c:pt idx="177">
                  <c:v>0.33788936707692074</c:v>
                </c:pt>
                <c:pt idx="178">
                  <c:v>0.23624130224954887</c:v>
                </c:pt>
                <c:pt idx="179">
                  <c:v>0.18820414647512784</c:v>
                </c:pt>
                <c:pt idx="180">
                  <c:v>0.12598878136400193</c:v>
                </c:pt>
                <c:pt idx="181">
                  <c:v>9.8635241340891078E-2</c:v>
                </c:pt>
                <c:pt idx="182">
                  <c:v>7.5695970582987826E-2</c:v>
                </c:pt>
                <c:pt idx="183">
                  <c:v>6.7027384285584413E-2</c:v>
                </c:pt>
                <c:pt idx="184">
                  <c:v>9.8000217352203878E-2</c:v>
                </c:pt>
                <c:pt idx="185">
                  <c:v>0.14553451477769186</c:v>
                </c:pt>
                <c:pt idx="186">
                  <c:v>0.19146152037428643</c:v>
                </c:pt>
                <c:pt idx="187">
                  <c:v>0.16569472043788203</c:v>
                </c:pt>
                <c:pt idx="188">
                  <c:v>0.19362083110931572</c:v>
                </c:pt>
                <c:pt idx="189">
                  <c:v>0.24873015250733665</c:v>
                </c:pt>
                <c:pt idx="190">
                  <c:v>0.26898154063242696</c:v>
                </c:pt>
                <c:pt idx="191">
                  <c:v>0.3665046657956248</c:v>
                </c:pt>
                <c:pt idx="192">
                  <c:v>0.25359599311867664</c:v>
                </c:pt>
                <c:pt idx="193">
                  <c:v>0.10594182050996337</c:v>
                </c:pt>
                <c:pt idx="194">
                  <c:v>7.539563533125504E-2</c:v>
                </c:pt>
                <c:pt idx="195">
                  <c:v>0.12899163592500007</c:v>
                </c:pt>
                <c:pt idx="196">
                  <c:v>0.1670873145974705</c:v>
                </c:pt>
                <c:pt idx="197">
                  <c:v>1.4635520327040075E-2</c:v>
                </c:pt>
                <c:pt idx="198">
                  <c:v>0.11250149157681566</c:v>
                </c:pt>
                <c:pt idx="199">
                  <c:v>0.24714589252148222</c:v>
                </c:pt>
                <c:pt idx="200">
                  <c:v>0.24932840423673142</c:v>
                </c:pt>
                <c:pt idx="201">
                  <c:v>0.31802233701821692</c:v>
                </c:pt>
                <c:pt idx="202">
                  <c:v>0.38089886612614032</c:v>
                </c:pt>
                <c:pt idx="203">
                  <c:v>0.44218546914220047</c:v>
                </c:pt>
                <c:pt idx="204">
                  <c:v>0.44398018751339929</c:v>
                </c:pt>
                <c:pt idx="205">
                  <c:v>0.47353948593015449</c:v>
                </c:pt>
                <c:pt idx="206">
                  <c:v>0.57624678499624848</c:v>
                </c:pt>
                <c:pt idx="207">
                  <c:v>0.60599383163748999</c:v>
                </c:pt>
                <c:pt idx="208">
                  <c:v>0.43272630741740525</c:v>
                </c:pt>
                <c:pt idx="209">
                  <c:v>0.26343753243496271</c:v>
                </c:pt>
                <c:pt idx="210">
                  <c:v>0.17081358507589095</c:v>
                </c:pt>
                <c:pt idx="211">
                  <c:v>0.13713545866935739</c:v>
                </c:pt>
                <c:pt idx="212">
                  <c:v>-0.11630202177518367</c:v>
                </c:pt>
                <c:pt idx="213">
                  <c:v>-0.15077596291082718</c:v>
                </c:pt>
                <c:pt idx="214">
                  <c:v>-6.3666826970353751E-2</c:v>
                </c:pt>
                <c:pt idx="215">
                  <c:v>-8.6382770538328102E-2</c:v>
                </c:pt>
                <c:pt idx="216">
                  <c:v>-0.21129265886168613</c:v>
                </c:pt>
                <c:pt idx="217">
                  <c:v>-0.22497273969400655</c:v>
                </c:pt>
                <c:pt idx="218">
                  <c:v>-0.15695167706176405</c:v>
                </c:pt>
                <c:pt idx="219">
                  <c:v>-0.17660807221966768</c:v>
                </c:pt>
                <c:pt idx="220">
                  <c:v>-0.2483479709082046</c:v>
                </c:pt>
                <c:pt idx="221">
                  <c:v>-0.28009482238675953</c:v>
                </c:pt>
                <c:pt idx="222">
                  <c:v>-0.31092267778651428</c:v>
                </c:pt>
                <c:pt idx="223">
                  <c:v>-0.36266120812405878</c:v>
                </c:pt>
                <c:pt idx="224">
                  <c:v>-0.39785819071608386</c:v>
                </c:pt>
                <c:pt idx="225">
                  <c:v>-0.37642723441949222</c:v>
                </c:pt>
                <c:pt idx="226">
                  <c:v>-0.40024188924078119</c:v>
                </c:pt>
                <c:pt idx="227">
                  <c:v>-0.46927195391996923</c:v>
                </c:pt>
                <c:pt idx="228">
                  <c:v>-0.51974361422138116</c:v>
                </c:pt>
                <c:pt idx="229">
                  <c:v>-0.4428651365022257</c:v>
                </c:pt>
                <c:pt idx="230">
                  <c:v>-0.36429344952204346</c:v>
                </c:pt>
                <c:pt idx="231">
                  <c:v>-0.36293198529172399</c:v>
                </c:pt>
                <c:pt idx="232">
                  <c:v>-0.32643369216695917</c:v>
                </c:pt>
                <c:pt idx="233">
                  <c:v>-0.17763523570680773</c:v>
                </c:pt>
                <c:pt idx="234">
                  <c:v>-8.4105044456745159E-2</c:v>
                </c:pt>
                <c:pt idx="235">
                  <c:v>-8.0235671527605579E-2</c:v>
                </c:pt>
                <c:pt idx="236">
                  <c:v>-4.180856878141781E-2</c:v>
                </c:pt>
                <c:pt idx="237">
                  <c:v>7.4059350655418132E-2</c:v>
                </c:pt>
                <c:pt idx="238">
                  <c:v>8.5324149518483328E-2</c:v>
                </c:pt>
                <c:pt idx="239">
                  <c:v>4.1332075278040836E-2</c:v>
                </c:pt>
                <c:pt idx="240">
                  <c:v>4.7665945477648908E-2</c:v>
                </c:pt>
                <c:pt idx="241">
                  <c:v>5.1838505913973876E-2</c:v>
                </c:pt>
                <c:pt idx="242">
                  <c:v>0.13398255491947553</c:v>
                </c:pt>
                <c:pt idx="243">
                  <c:v>0.15654426242571451</c:v>
                </c:pt>
                <c:pt idx="244">
                  <c:v>0.21037752177459645</c:v>
                </c:pt>
                <c:pt idx="245">
                  <c:v>0.22307312581507976</c:v>
                </c:pt>
                <c:pt idx="246">
                  <c:v>0.1796827586476446</c:v>
                </c:pt>
                <c:pt idx="247">
                  <c:v>0.20568181519375939</c:v>
                </c:pt>
                <c:pt idx="248">
                  <c:v>0.22341932756179861</c:v>
                </c:pt>
                <c:pt idx="249">
                  <c:v>0.25426732952263453</c:v>
                </c:pt>
                <c:pt idx="250">
                  <c:v>0.20109702847651034</c:v>
                </c:pt>
                <c:pt idx="251">
                  <c:v>0.19266705091257941</c:v>
                </c:pt>
                <c:pt idx="252">
                  <c:v>0.18071334140919859</c:v>
                </c:pt>
                <c:pt idx="253">
                  <c:v>0.24323812126625755</c:v>
                </c:pt>
                <c:pt idx="254">
                  <c:v>0.20134855444298294</c:v>
                </c:pt>
                <c:pt idx="255">
                  <c:v>0.16370059263332171</c:v>
                </c:pt>
                <c:pt idx="256">
                  <c:v>0.16649023392047346</c:v>
                </c:pt>
                <c:pt idx="257">
                  <c:v>0.1022591649175022</c:v>
                </c:pt>
                <c:pt idx="258">
                  <c:v>0.1107495237331626</c:v>
                </c:pt>
                <c:pt idx="259">
                  <c:v>0.12958776263965399</c:v>
                </c:pt>
                <c:pt idx="260">
                  <c:v>0.139622100928535</c:v>
                </c:pt>
                <c:pt idx="261">
                  <c:v>0.15019377766850073</c:v>
                </c:pt>
                <c:pt idx="262">
                  <c:v>0.18960354736524021</c:v>
                </c:pt>
                <c:pt idx="263">
                  <c:v>0.13501458040710057</c:v>
                </c:pt>
                <c:pt idx="264">
                  <c:v>0.14275259021431119</c:v>
                </c:pt>
                <c:pt idx="265">
                  <c:v>0.15603711695797973</c:v>
                </c:pt>
                <c:pt idx="266">
                  <c:v>0.10839903957462416</c:v>
                </c:pt>
                <c:pt idx="267">
                  <c:v>9.1306133432728975E-2</c:v>
                </c:pt>
                <c:pt idx="268">
                  <c:v>6.7083363145929109E-2</c:v>
                </c:pt>
                <c:pt idx="269">
                  <c:v>0.10512447840556183</c:v>
                </c:pt>
                <c:pt idx="270">
                  <c:v>0.15321301489691308</c:v>
                </c:pt>
                <c:pt idx="271">
                  <c:v>0.17461535494508684</c:v>
                </c:pt>
                <c:pt idx="272">
                  <c:v>0.19615047752257708</c:v>
                </c:pt>
                <c:pt idx="273">
                  <c:v>0.18203191283491793</c:v>
                </c:pt>
                <c:pt idx="274">
                  <c:v>0.16816954129304573</c:v>
                </c:pt>
                <c:pt idx="275">
                  <c:v>0.21148277662422776</c:v>
                </c:pt>
                <c:pt idx="276">
                  <c:v>0.24907890497134688</c:v>
                </c:pt>
                <c:pt idx="277">
                  <c:v>0.28830218726621015</c:v>
                </c:pt>
                <c:pt idx="278">
                  <c:v>0.42884771441262881</c:v>
                </c:pt>
                <c:pt idx="279">
                  <c:v>0.395494159447636</c:v>
                </c:pt>
                <c:pt idx="280">
                  <c:v>0.32078992059010925</c:v>
                </c:pt>
                <c:pt idx="281">
                  <c:v>0.26682724509123434</c:v>
                </c:pt>
                <c:pt idx="282">
                  <c:v>0.17935298470982852</c:v>
                </c:pt>
                <c:pt idx="283">
                  <c:v>0.24381317575472705</c:v>
                </c:pt>
                <c:pt idx="284">
                  <c:v>0.39932283979065319</c:v>
                </c:pt>
                <c:pt idx="285">
                  <c:v>0.22335634258387493</c:v>
                </c:pt>
                <c:pt idx="286">
                  <c:v>0.21465090142716492</c:v>
                </c:pt>
                <c:pt idx="287">
                  <c:v>0.13779268210791584</c:v>
                </c:pt>
                <c:pt idx="288">
                  <c:v>7.2905078705572279E-2</c:v>
                </c:pt>
                <c:pt idx="289">
                  <c:v>5.0337962639177114E-2</c:v>
                </c:pt>
                <c:pt idx="290">
                  <c:v>-3.0913612852032646E-2</c:v>
                </c:pt>
                <c:pt idx="291">
                  <c:v>-4.3849927401727551E-2</c:v>
                </c:pt>
                <c:pt idx="292">
                  <c:v>-7.0332678878598953E-2</c:v>
                </c:pt>
                <c:pt idx="293">
                  <c:v>-0.13249075950623002</c:v>
                </c:pt>
                <c:pt idx="294">
                  <c:v>-0.11535385233118767</c:v>
                </c:pt>
                <c:pt idx="295">
                  <c:v>-6.5551368980199087E-2</c:v>
                </c:pt>
                <c:pt idx="296">
                  <c:v>-6.3826872966843307E-2</c:v>
                </c:pt>
                <c:pt idx="297">
                  <c:v>-0.1499584817914863</c:v>
                </c:pt>
                <c:pt idx="298">
                  <c:v>-0.24298440618576422</c:v>
                </c:pt>
                <c:pt idx="299">
                  <c:v>-0.30725755950501377</c:v>
                </c:pt>
                <c:pt idx="300">
                  <c:v>-0.33019854725221154</c:v>
                </c:pt>
                <c:pt idx="301">
                  <c:v>-0.31514411108861895</c:v>
                </c:pt>
                <c:pt idx="302">
                  <c:v>-0.24175015672632494</c:v>
                </c:pt>
                <c:pt idx="303">
                  <c:v>-0.24487471828942053</c:v>
                </c:pt>
                <c:pt idx="304">
                  <c:v>-0.35157136226431918</c:v>
                </c:pt>
                <c:pt idx="305">
                  <c:v>-0.38249461386532113</c:v>
                </c:pt>
                <c:pt idx="306">
                  <c:v>-0.30334230096908266</c:v>
                </c:pt>
                <c:pt idx="307">
                  <c:v>-0.36223591748511452</c:v>
                </c:pt>
                <c:pt idx="308">
                  <c:v>-0.31095502252315155</c:v>
                </c:pt>
                <c:pt idx="309">
                  <c:v>-0.29686101359826567</c:v>
                </c:pt>
                <c:pt idx="310">
                  <c:v>-0.24734589222973513</c:v>
                </c:pt>
                <c:pt idx="311">
                  <c:v>-0.211198931729495</c:v>
                </c:pt>
                <c:pt idx="312">
                  <c:v>-0.22094185591389393</c:v>
                </c:pt>
                <c:pt idx="313">
                  <c:v>-0.2218558489035436</c:v>
                </c:pt>
                <c:pt idx="314">
                  <c:v>-0.23388808757509405</c:v>
                </c:pt>
                <c:pt idx="315">
                  <c:v>-0.16610565234251962</c:v>
                </c:pt>
                <c:pt idx="316">
                  <c:v>-0.24000684208646161</c:v>
                </c:pt>
                <c:pt idx="317">
                  <c:v>-0.29151611951250633</c:v>
                </c:pt>
                <c:pt idx="318">
                  <c:v>-0.18383485743610573</c:v>
                </c:pt>
                <c:pt idx="319">
                  <c:v>-0.11130437165806573</c:v>
                </c:pt>
                <c:pt idx="320">
                  <c:v>-4.5474002565676019E-2</c:v>
                </c:pt>
                <c:pt idx="321">
                  <c:v>-4.891668967871543E-2</c:v>
                </c:pt>
                <c:pt idx="322">
                  <c:v>-5.9651402487521765E-2</c:v>
                </c:pt>
                <c:pt idx="323">
                  <c:v>-0.15471586200027565</c:v>
                </c:pt>
                <c:pt idx="324">
                  <c:v>-4.7548105788145612E-2</c:v>
                </c:pt>
                <c:pt idx="325">
                  <c:v>2.3090485788034742E-2</c:v>
                </c:pt>
                <c:pt idx="326">
                  <c:v>2.6361027004987658E-2</c:v>
                </c:pt>
                <c:pt idx="327">
                  <c:v>6.1873650671668168E-2</c:v>
                </c:pt>
                <c:pt idx="328">
                  <c:v>0.11703292179931091</c:v>
                </c:pt>
                <c:pt idx="329">
                  <c:v>0.16862591426368123</c:v>
                </c:pt>
                <c:pt idx="330">
                  <c:v>0.30426342337553125</c:v>
                </c:pt>
                <c:pt idx="331">
                  <c:v>0.30232908773647638</c:v>
                </c:pt>
                <c:pt idx="332">
                  <c:v>0.43027105104026164</c:v>
                </c:pt>
                <c:pt idx="333">
                  <c:v>0.48399625199470098</c:v>
                </c:pt>
                <c:pt idx="334">
                  <c:v>0.29603718914237365</c:v>
                </c:pt>
                <c:pt idx="335">
                  <c:v>0.32168560046346406</c:v>
                </c:pt>
                <c:pt idx="336">
                  <c:v>0.25265406870660367</c:v>
                </c:pt>
                <c:pt idx="337">
                  <c:v>0.25429274651450418</c:v>
                </c:pt>
                <c:pt idx="338">
                  <c:v>0.33356024506466975</c:v>
                </c:pt>
                <c:pt idx="339">
                  <c:v>0.32360348354208046</c:v>
                </c:pt>
                <c:pt idx="340">
                  <c:v>0.39034766901099505</c:v>
                </c:pt>
                <c:pt idx="341">
                  <c:v>0.32179546244306079</c:v>
                </c:pt>
                <c:pt idx="342">
                  <c:v>0.38204940384995822</c:v>
                </c:pt>
                <c:pt idx="343">
                  <c:v>0.45275631168863129</c:v>
                </c:pt>
                <c:pt idx="344">
                  <c:v>0.44910683059200895</c:v>
                </c:pt>
                <c:pt idx="345">
                  <c:v>0.44734122118901665</c:v>
                </c:pt>
                <c:pt idx="346">
                  <c:v>0.39910517245624977</c:v>
                </c:pt>
                <c:pt idx="347">
                  <c:v>0.45329549430449556</c:v>
                </c:pt>
                <c:pt idx="348">
                  <c:v>0.4598126954386994</c:v>
                </c:pt>
                <c:pt idx="349">
                  <c:v>0.59687519874660899</c:v>
                </c:pt>
                <c:pt idx="350">
                  <c:v>0.62356031857075478</c:v>
                </c:pt>
                <c:pt idx="351">
                  <c:v>0.47142206077968773</c:v>
                </c:pt>
                <c:pt idx="352">
                  <c:v>0.3975146045031801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B9D-4D83-A155-DAFF1A4510C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4036912"/>
        <c:axId val="44037392"/>
      </c:scatterChart>
      <c:valAx>
        <c:axId val="440369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1000" b="0" i="0" u="none" strike="noStrike" baseline="0">
                    <a:effectLst/>
                  </a:rPr>
                  <a:t>Free Credit Balances : USM2</a:t>
                </a:r>
                <a:r>
                  <a:rPr lang="en-GB" sz="1000" b="0" i="0" u="none" strike="noStrike" baseline="0"/>
                  <a:t> </a:t>
                </a:r>
                <a:endParaRPr lang="en-GB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%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4037392"/>
        <c:crosses val="autoZero"/>
        <c:crossBetween val="midCat"/>
      </c:valAx>
      <c:valAx>
        <c:axId val="440373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S&amp;P 500 FwdRtn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403691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'Customer Margin Balances'!$AL$1</c:f>
              <c:strCache>
                <c:ptCount val="1"/>
                <c:pt idx="0">
                  <c:v>S&amp;P 500 FwdRtn (21M)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circle"/>
            <c:size val="3"/>
            <c:spPr>
              <a:solidFill>
                <a:schemeClr val="accent1"/>
              </a:solidFill>
              <a:ln w="9525">
                <a:noFill/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12981955380577428"/>
                  <c:y val="-0.49126130067074947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'Customer Margin Balances'!$AK$2:$AK$1121</c:f>
              <c:numCache>
                <c:formatCode>0%</c:formatCode>
                <c:ptCount val="1120"/>
                <c:pt idx="0">
                  <c:v>5.1941765025900609E-2</c:v>
                </c:pt>
                <c:pt idx="1">
                  <c:v>5.3035473390207297E-2</c:v>
                </c:pt>
                <c:pt idx="2">
                  <c:v>5.3050908676146299E-2</c:v>
                </c:pt>
                <c:pt idx="3">
                  <c:v>5.3002908628932498E-2</c:v>
                </c:pt>
                <c:pt idx="4">
                  <c:v>5.15946348733234E-2</c:v>
                </c:pt>
                <c:pt idx="5">
                  <c:v>5.2276035714793757E-2</c:v>
                </c:pt>
                <c:pt idx="6">
                  <c:v>5.0837450948410676E-2</c:v>
                </c:pt>
                <c:pt idx="7">
                  <c:v>4.8478537894030851E-2</c:v>
                </c:pt>
                <c:pt idx="8">
                  <c:v>4.8281548940078065E-2</c:v>
                </c:pt>
                <c:pt idx="9">
                  <c:v>4.7151752022862321E-2</c:v>
                </c:pt>
                <c:pt idx="10">
                  <c:v>4.5477357039559282E-2</c:v>
                </c:pt>
                <c:pt idx="11">
                  <c:v>4.7151403656169426E-2</c:v>
                </c:pt>
                <c:pt idx="12">
                  <c:v>4.8867666002479847E-2</c:v>
                </c:pt>
                <c:pt idx="13">
                  <c:v>4.9758762101651463E-2</c:v>
                </c:pt>
                <c:pt idx="14">
                  <c:v>4.8527287783084266E-2</c:v>
                </c:pt>
                <c:pt idx="15">
                  <c:v>4.6787865634570401E-2</c:v>
                </c:pt>
                <c:pt idx="16">
                  <c:v>4.5664213360933022E-2</c:v>
                </c:pt>
                <c:pt idx="17">
                  <c:v>4.6976897721119779E-2</c:v>
                </c:pt>
                <c:pt idx="18">
                  <c:v>4.6439950256048954E-2</c:v>
                </c:pt>
                <c:pt idx="19">
                  <c:v>4.7467738225449835E-2</c:v>
                </c:pt>
                <c:pt idx="20">
                  <c:v>4.5533109232727395E-2</c:v>
                </c:pt>
                <c:pt idx="21">
                  <c:v>4.7351137127492712E-2</c:v>
                </c:pt>
                <c:pt idx="22">
                  <c:v>4.8506080475229765E-2</c:v>
                </c:pt>
                <c:pt idx="23">
                  <c:v>4.9307850038824749E-2</c:v>
                </c:pt>
                <c:pt idx="24">
                  <c:v>5.049749584184654E-2</c:v>
                </c:pt>
                <c:pt idx="25">
                  <c:v>5.1179413139348172E-2</c:v>
                </c:pt>
                <c:pt idx="26">
                  <c:v>5.1807376632028945E-2</c:v>
                </c:pt>
                <c:pt idx="27">
                  <c:v>5.4747120101161222E-2</c:v>
                </c:pt>
                <c:pt idx="28">
                  <c:v>5.5031552588408944E-2</c:v>
                </c:pt>
                <c:pt idx="29">
                  <c:v>5.7178669638860216E-2</c:v>
                </c:pt>
                <c:pt idx="30">
                  <c:v>5.9263148156714004E-2</c:v>
                </c:pt>
                <c:pt idx="31">
                  <c:v>5.8701304694963513E-2</c:v>
                </c:pt>
                <c:pt idx="32">
                  <c:v>6.3446259149758544E-2</c:v>
                </c:pt>
                <c:pt idx="33">
                  <c:v>6.3957884582966529E-2</c:v>
                </c:pt>
                <c:pt idx="34">
                  <c:v>6.4499086407831335E-2</c:v>
                </c:pt>
                <c:pt idx="35">
                  <c:v>6.3832142209669568E-2</c:v>
                </c:pt>
                <c:pt idx="36">
                  <c:v>6.3971935192133775E-2</c:v>
                </c:pt>
                <c:pt idx="37">
                  <c:v>6.0960817634492133E-2</c:v>
                </c:pt>
                <c:pt idx="38">
                  <c:v>6.5709582581216397E-2</c:v>
                </c:pt>
                <c:pt idx="39">
                  <c:v>6.4449779833214427E-2</c:v>
                </c:pt>
                <c:pt idx="40">
                  <c:v>6.4029932442428134E-2</c:v>
                </c:pt>
                <c:pt idx="41">
                  <c:v>6.4085034115843584E-2</c:v>
                </c:pt>
                <c:pt idx="42">
                  <c:v>6.523312509912868E-2</c:v>
                </c:pt>
                <c:pt idx="43">
                  <c:v>6.5151466729895927E-2</c:v>
                </c:pt>
                <c:pt idx="44">
                  <c:v>6.3806829086118261E-2</c:v>
                </c:pt>
                <c:pt idx="45">
                  <c:v>6.0183219916488742E-2</c:v>
                </c:pt>
                <c:pt idx="46">
                  <c:v>5.7152125160187951E-2</c:v>
                </c:pt>
                <c:pt idx="47">
                  <c:v>5.6783515915890065E-2</c:v>
                </c:pt>
                <c:pt idx="48">
                  <c:v>5.6943350813280405E-2</c:v>
                </c:pt>
                <c:pt idx="49">
                  <c:v>5.5689217031090317E-2</c:v>
                </c:pt>
                <c:pt idx="50">
                  <c:v>5.5055151515151515E-2</c:v>
                </c:pt>
                <c:pt idx="51">
                  <c:v>5.2730171562022816E-2</c:v>
                </c:pt>
                <c:pt idx="52">
                  <c:v>5.3820021578747851E-2</c:v>
                </c:pt>
                <c:pt idx="53">
                  <c:v>5.5676660911902431E-2</c:v>
                </c:pt>
                <c:pt idx="54">
                  <c:v>5.8692601255693706E-2</c:v>
                </c:pt>
                <c:pt idx="55">
                  <c:v>5.8370379482929419E-2</c:v>
                </c:pt>
                <c:pt idx="56">
                  <c:v>5.9321771866954733E-2</c:v>
                </c:pt>
                <c:pt idx="57">
                  <c:v>5.8614916286149163E-2</c:v>
                </c:pt>
                <c:pt idx="58">
                  <c:v>5.8317779199451261E-2</c:v>
                </c:pt>
                <c:pt idx="59">
                  <c:v>5.9483337656032829E-2</c:v>
                </c:pt>
                <c:pt idx="60">
                  <c:v>5.9013664164023504E-2</c:v>
                </c:pt>
              </c:numCache>
            </c:numRef>
          </c:xVal>
          <c:yVal>
            <c:numRef>
              <c:f>'Customer Margin Balances'!$AL$2:$AL$1121</c:f>
              <c:numCache>
                <c:formatCode>0%</c:formatCode>
                <c:ptCount val="1120"/>
                <c:pt idx="0">
                  <c:v>0.34198357056865669</c:v>
                </c:pt>
                <c:pt idx="1">
                  <c:v>0.30543614073846048</c:v>
                </c:pt>
                <c:pt idx="2">
                  <c:v>0.19559452648851394</c:v>
                </c:pt>
                <c:pt idx="3">
                  <c:v>0.30343286890976984</c:v>
                </c:pt>
                <c:pt idx="4">
                  <c:v>0.37797004978463722</c:v>
                </c:pt>
                <c:pt idx="5">
                  <c:v>0.30282527810290505</c:v>
                </c:pt>
                <c:pt idx="6">
                  <c:v>0.34394174562964674</c:v>
                </c:pt>
                <c:pt idx="7">
                  <c:v>0.41161660458349258</c:v>
                </c:pt>
                <c:pt idx="8">
                  <c:v>0.40224284722935622</c:v>
                </c:pt>
                <c:pt idx="9">
                  <c:v>0.41430447918034941</c:v>
                </c:pt>
                <c:pt idx="10">
                  <c:v>0.51160999570794985</c:v>
                </c:pt>
                <c:pt idx="11">
                  <c:v>0.44703303366332015</c:v>
                </c:pt>
                <c:pt idx="12">
                  <c:v>0.31147646450708355</c:v>
                </c:pt>
                <c:pt idx="13">
                  <c:v>0.21357780412119531</c:v>
                </c:pt>
                <c:pt idx="14">
                  <c:v>0.26098220826086771</c:v>
                </c:pt>
                <c:pt idx="15">
                  <c:v>0.42457946854297912</c:v>
                </c:pt>
                <c:pt idx="16">
                  <c:v>0.44874900467204548</c:v>
                </c:pt>
                <c:pt idx="17">
                  <c:v>0.43129381818358792</c:v>
                </c:pt>
                <c:pt idx="18">
                  <c:v>0.51943377454252349</c:v>
                </c:pt>
                <c:pt idx="19">
                  <c:v>0.39956090860030424</c:v>
                </c:pt>
                <c:pt idx="20">
                  <c:v>0.50084125537179314</c:v>
                </c:pt>
                <c:pt idx="21">
                  <c:v>0.38437444088517214</c:v>
                </c:pt>
                <c:pt idx="22">
                  <c:v>0.42622120982029865</c:v>
                </c:pt>
                <c:pt idx="23">
                  <c:v>0.52288307182579286</c:v>
                </c:pt>
                <c:pt idx="24">
                  <c:v>0.33438938053097345</c:v>
                </c:pt>
                <c:pt idx="25">
                  <c:v>0.21920978914313505</c:v>
                </c:pt>
                <c:pt idx="26">
                  <c:v>0.38806407811104826</c:v>
                </c:pt>
                <c:pt idx="27">
                  <c:v>0.23332163643623804</c:v>
                </c:pt>
                <c:pt idx="28">
                  <c:v>0.1727328391332863</c:v>
                </c:pt>
                <c:pt idx="29">
                  <c:v>5.2847314040009641E-2</c:v>
                </c:pt>
                <c:pt idx="30">
                  <c:v>4.4321595632313304E-2</c:v>
                </c:pt>
                <c:pt idx="31">
                  <c:v>-7.1253778609471685E-2</c:v>
                </c:pt>
                <c:pt idx="32">
                  <c:v>-0.1003172351862498</c:v>
                </c:pt>
                <c:pt idx="33">
                  <c:v>-1.2993212174293833E-2</c:v>
                </c:pt>
                <c:pt idx="34">
                  <c:v>-3.5653952551146784E-3</c:v>
                </c:pt>
                <c:pt idx="35">
                  <c:v>3.3160458173342677E-2</c:v>
                </c:pt>
                <c:pt idx="36">
                  <c:v>-7.5806822503471483E-2</c:v>
                </c:pt>
                <c:pt idx="37">
                  <c:v>-5.136897475917257E-2</c:v>
                </c:pt>
                <c:pt idx="38">
                  <c:v>-4.3790575916230257E-2</c:v>
                </c:pt>
                <c:pt idx="39">
                  <c:v>-5.56503041071712E-2</c:v>
                </c:pt>
                <c:pt idx="40">
                  <c:v>-2.5009746075859152E-2</c:v>
                </c:pt>
                <c:pt idx="41">
                  <c:v>-3.3575054934820714E-2</c:v>
                </c:pt>
                <c:pt idx="42">
                  <c:v>7.0571874631016884E-2</c:v>
                </c:pt>
                <c:pt idx="43">
                  <c:v>4.2468984233652085E-2</c:v>
                </c:pt>
                <c:pt idx="44">
                  <c:v>-4.5379878436770382E-2</c:v>
                </c:pt>
                <c:pt idx="45">
                  <c:v>9.2049712422306973E-2</c:v>
                </c:pt>
                <c:pt idx="46">
                  <c:v>0.26310107768902369</c:v>
                </c:pt>
                <c:pt idx="47">
                  <c:v>0.12559619387451693</c:v>
                </c:pt>
                <c:pt idx="48">
                  <c:v>0.1805097262813864</c:v>
                </c:pt>
                <c:pt idx="49">
                  <c:v>0.26315451588446792</c:v>
                </c:pt>
                <c:pt idx="50">
                  <c:v>0.46128587970802726</c:v>
                </c:pt>
                <c:pt idx="51">
                  <c:v>0.43675906855740698</c:v>
                </c:pt>
                <c:pt idx="52">
                  <c:v>0.55044069728714518</c:v>
                </c:pt>
                <c:pt idx="53">
                  <c:v>0.8440758495544749</c:v>
                </c:pt>
                <c:pt idx="54">
                  <c:v>0.54592413564324938</c:v>
                </c:pt>
                <c:pt idx="55">
                  <c:v>0.4277945881594285</c:v>
                </c:pt>
                <c:pt idx="56">
                  <c:v>0.33328174620370299</c:v>
                </c:pt>
                <c:pt idx="57">
                  <c:v>0.43989455520251641</c:v>
                </c:pt>
                <c:pt idx="58">
                  <c:v>0.44697059481952639</c:v>
                </c:pt>
                <c:pt idx="59">
                  <c:v>0.44369343644389514</c:v>
                </c:pt>
                <c:pt idx="60">
                  <c:v>0.43658549920381606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D5B-417D-928A-1910F557E20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4036912"/>
        <c:axId val="44037392"/>
      </c:scatterChart>
      <c:valAx>
        <c:axId val="44036912"/>
        <c:scaling>
          <c:orientation val="minMax"/>
          <c:min val="4.0000000000000008E-2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800" b="0" i="0" u="none" strike="noStrike" baseline="0">
                    <a:effectLst/>
                  </a:rPr>
                  <a:t>Debit+Credit Balances : USM2</a:t>
                </a:r>
                <a:r>
                  <a:rPr lang="en-GB" sz="800" b="0" i="0" u="none" strike="noStrike" baseline="0"/>
                  <a:t> </a:t>
                </a:r>
                <a:endParaRPr lang="en-GB" sz="800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8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%" sourceLinked="1"/>
        <c:majorTickMark val="none"/>
        <c:minorTickMark val="none"/>
        <c:tickLblPos val="low"/>
        <c:spPr>
          <a:noFill/>
          <a:ln w="9525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4037392"/>
        <c:crosses val="autoZero"/>
        <c:crossBetween val="midCat"/>
        <c:majorUnit val="1.0000000000000002E-2"/>
      </c:valAx>
      <c:valAx>
        <c:axId val="440373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S&amp;P 500 FwdRtn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%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403691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'Customer Margin Balances'!$AN$1</c:f>
              <c:strCache>
                <c:ptCount val="1"/>
                <c:pt idx="0">
                  <c:v>S&amp;P 500 FwdRtn (21M)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circle"/>
            <c:size val="3"/>
            <c:spPr>
              <a:solidFill>
                <a:schemeClr val="accent1"/>
              </a:solidFill>
              <a:ln w="9525">
                <a:noFill/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17384951881014873"/>
                  <c:y val="-0.4691043307086614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'Customer Margin Balances'!$AM$2:$AM$1121</c:f>
              <c:numCache>
                <c:formatCode>0%</c:formatCode>
                <c:ptCount val="1120"/>
                <c:pt idx="0">
                  <c:v>3.7711379710007806E-2</c:v>
                </c:pt>
                <c:pt idx="1">
                  <c:v>3.8515086165947829E-2</c:v>
                </c:pt>
                <c:pt idx="2">
                  <c:v>3.8462949585582842E-2</c:v>
                </c:pt>
                <c:pt idx="3">
                  <c:v>3.8659021764568216E-2</c:v>
                </c:pt>
                <c:pt idx="4">
                  <c:v>3.6805224638575378E-2</c:v>
                </c:pt>
                <c:pt idx="5">
                  <c:v>3.7181698776156631E-2</c:v>
                </c:pt>
                <c:pt idx="6">
                  <c:v>3.5641580396634266E-2</c:v>
                </c:pt>
                <c:pt idx="7">
                  <c:v>3.3629155887707193E-2</c:v>
                </c:pt>
                <c:pt idx="8">
                  <c:v>3.3518309481900974E-2</c:v>
                </c:pt>
                <c:pt idx="9">
                  <c:v>3.1849515428692597E-2</c:v>
                </c:pt>
                <c:pt idx="10">
                  <c:v>3.0726325615589616E-2</c:v>
                </c:pt>
                <c:pt idx="11">
                  <c:v>3.2874911879170653E-2</c:v>
                </c:pt>
                <c:pt idx="12">
                  <c:v>3.3250430595693561E-2</c:v>
                </c:pt>
                <c:pt idx="13">
                  <c:v>3.4206724397989524E-2</c:v>
                </c:pt>
                <c:pt idx="14">
                  <c:v>3.2796757048220611E-2</c:v>
                </c:pt>
                <c:pt idx="15">
                  <c:v>3.1067544430779619E-2</c:v>
                </c:pt>
                <c:pt idx="16">
                  <c:v>3.0280548927157903E-2</c:v>
                </c:pt>
                <c:pt idx="17">
                  <c:v>3.0655593658272459E-2</c:v>
                </c:pt>
                <c:pt idx="18">
                  <c:v>2.9523838795553307E-2</c:v>
                </c:pt>
                <c:pt idx="19">
                  <c:v>3.0101350558390409E-2</c:v>
                </c:pt>
                <c:pt idx="20">
                  <c:v>2.8284185055504528E-2</c:v>
                </c:pt>
                <c:pt idx="21">
                  <c:v>3.0051861602808275E-2</c:v>
                </c:pt>
                <c:pt idx="22">
                  <c:v>3.0337835313457372E-2</c:v>
                </c:pt>
                <c:pt idx="23">
                  <c:v>3.0874231060729347E-2</c:v>
                </c:pt>
                <c:pt idx="24">
                  <c:v>3.1865447250522372E-2</c:v>
                </c:pt>
                <c:pt idx="25">
                  <c:v>3.2243601312361467E-2</c:v>
                </c:pt>
                <c:pt idx="26">
                  <c:v>3.162018487845953E-2</c:v>
                </c:pt>
                <c:pt idx="27">
                  <c:v>3.4875794953981833E-2</c:v>
                </c:pt>
                <c:pt idx="28">
                  <c:v>3.5319707001887218E-2</c:v>
                </c:pt>
                <c:pt idx="29">
                  <c:v>3.6527832339049326E-2</c:v>
                </c:pt>
                <c:pt idx="30">
                  <c:v>3.8635228271427909E-2</c:v>
                </c:pt>
                <c:pt idx="31">
                  <c:v>3.82887589475676E-2</c:v>
                </c:pt>
                <c:pt idx="32">
                  <c:v>4.197339593836049E-2</c:v>
                </c:pt>
                <c:pt idx="33">
                  <c:v>4.3014384985671207E-2</c:v>
                </c:pt>
                <c:pt idx="34">
                  <c:v>4.4300320940668582E-2</c:v>
                </c:pt>
                <c:pt idx="35">
                  <c:v>4.3086409740179195E-2</c:v>
                </c:pt>
                <c:pt idx="36">
                  <c:v>4.3850420442956381E-2</c:v>
                </c:pt>
                <c:pt idx="37">
                  <c:v>4.0994562050883664E-2</c:v>
                </c:pt>
                <c:pt idx="38">
                  <c:v>4.3150868542189483E-2</c:v>
                </c:pt>
                <c:pt idx="39">
                  <c:v>4.2391380285847824E-2</c:v>
                </c:pt>
                <c:pt idx="40">
                  <c:v>4.1776517579762314E-2</c:v>
                </c:pt>
                <c:pt idx="41">
                  <c:v>4.1207079663751041E-2</c:v>
                </c:pt>
                <c:pt idx="42">
                  <c:v>4.1630468706031626E-2</c:v>
                </c:pt>
                <c:pt idx="43">
                  <c:v>4.116456962005742E-2</c:v>
                </c:pt>
                <c:pt idx="44">
                  <c:v>4.035608139299663E-2</c:v>
                </c:pt>
                <c:pt idx="45">
                  <c:v>3.7975430440590256E-2</c:v>
                </c:pt>
                <c:pt idx="46">
                  <c:v>3.5204666809055957E-2</c:v>
                </c:pt>
                <c:pt idx="47">
                  <c:v>3.5206723629554702E-2</c:v>
                </c:pt>
                <c:pt idx="48">
                  <c:v>3.5153044832524682E-2</c:v>
                </c:pt>
                <c:pt idx="49">
                  <c:v>3.3545739221676328E-2</c:v>
                </c:pt>
                <c:pt idx="50">
                  <c:v>3.2213553719008262E-2</c:v>
                </c:pt>
                <c:pt idx="51">
                  <c:v>3.1019435462139585E-2</c:v>
                </c:pt>
                <c:pt idx="52">
                  <c:v>3.0600764004315748E-2</c:v>
                </c:pt>
                <c:pt idx="53">
                  <c:v>2.9764820587979583E-2</c:v>
                </c:pt>
                <c:pt idx="54">
                  <c:v>3.5320564738202762E-2</c:v>
                </c:pt>
                <c:pt idx="55">
                  <c:v>3.6375714646448294E-2</c:v>
                </c:pt>
                <c:pt idx="56">
                  <c:v>3.7467236762099433E-2</c:v>
                </c:pt>
                <c:pt idx="57">
                  <c:v>3.6809401558651957E-2</c:v>
                </c:pt>
                <c:pt idx="58">
                  <c:v>3.6578310392359897E-2</c:v>
                </c:pt>
                <c:pt idx="59">
                  <c:v>3.6969721152631196E-2</c:v>
                </c:pt>
                <c:pt idx="60">
                  <c:v>3.7800216806520258E-2</c:v>
                </c:pt>
              </c:numCache>
            </c:numRef>
          </c:xVal>
          <c:yVal>
            <c:numRef>
              <c:f>'Customer Margin Balances'!$AN$2:$AN$1121</c:f>
              <c:numCache>
                <c:formatCode>0%</c:formatCode>
                <c:ptCount val="1120"/>
                <c:pt idx="0">
                  <c:v>0.34198357056865669</c:v>
                </c:pt>
                <c:pt idx="1">
                  <c:v>0.30543614073846048</c:v>
                </c:pt>
                <c:pt idx="2">
                  <c:v>0.19559452648851394</c:v>
                </c:pt>
                <c:pt idx="3">
                  <c:v>0.30343286890976984</c:v>
                </c:pt>
                <c:pt idx="4">
                  <c:v>0.37797004978463722</c:v>
                </c:pt>
                <c:pt idx="5">
                  <c:v>0.30282527810290505</c:v>
                </c:pt>
                <c:pt idx="6">
                  <c:v>0.34394174562964674</c:v>
                </c:pt>
                <c:pt idx="7">
                  <c:v>0.41161660458349258</c:v>
                </c:pt>
                <c:pt idx="8">
                  <c:v>0.40224284722935622</c:v>
                </c:pt>
                <c:pt idx="9">
                  <c:v>0.41430447918034941</c:v>
                </c:pt>
                <c:pt idx="10">
                  <c:v>0.51160999570794985</c:v>
                </c:pt>
                <c:pt idx="11">
                  <c:v>0.44703303366332015</c:v>
                </c:pt>
                <c:pt idx="12">
                  <c:v>0.31147646450708355</c:v>
                </c:pt>
                <c:pt idx="13">
                  <c:v>0.21357780412119531</c:v>
                </c:pt>
                <c:pt idx="14">
                  <c:v>0.26098220826086771</c:v>
                </c:pt>
                <c:pt idx="15">
                  <c:v>0.42457946854297912</c:v>
                </c:pt>
                <c:pt idx="16">
                  <c:v>0.44874900467204548</c:v>
                </c:pt>
                <c:pt idx="17">
                  <c:v>0.43129381818358792</c:v>
                </c:pt>
                <c:pt idx="18">
                  <c:v>0.51943377454252349</c:v>
                </c:pt>
                <c:pt idx="19">
                  <c:v>0.39956090860030424</c:v>
                </c:pt>
                <c:pt idx="20">
                  <c:v>0.50084125537179314</c:v>
                </c:pt>
                <c:pt idx="21">
                  <c:v>0.38437444088517214</c:v>
                </c:pt>
                <c:pt idx="22">
                  <c:v>0.42622120982029865</c:v>
                </c:pt>
                <c:pt idx="23">
                  <c:v>0.52288307182579286</c:v>
                </c:pt>
                <c:pt idx="24">
                  <c:v>0.33438938053097345</c:v>
                </c:pt>
                <c:pt idx="25">
                  <c:v>0.21920978914313505</c:v>
                </c:pt>
                <c:pt idx="26">
                  <c:v>0.38806407811104826</c:v>
                </c:pt>
                <c:pt idx="27">
                  <c:v>0.23332163643623804</c:v>
                </c:pt>
                <c:pt idx="28">
                  <c:v>0.1727328391332863</c:v>
                </c:pt>
                <c:pt idx="29">
                  <c:v>5.2847314040009641E-2</c:v>
                </c:pt>
                <c:pt idx="30">
                  <c:v>4.4321595632313304E-2</c:v>
                </c:pt>
                <c:pt idx="31">
                  <c:v>-7.1253778609471685E-2</c:v>
                </c:pt>
                <c:pt idx="32">
                  <c:v>-0.1003172351862498</c:v>
                </c:pt>
                <c:pt idx="33">
                  <c:v>-1.2993212174293833E-2</c:v>
                </c:pt>
                <c:pt idx="34">
                  <c:v>-3.5653952551146784E-3</c:v>
                </c:pt>
                <c:pt idx="35">
                  <c:v>3.3160458173342677E-2</c:v>
                </c:pt>
                <c:pt idx="36">
                  <c:v>-7.5806822503471483E-2</c:v>
                </c:pt>
                <c:pt idx="37">
                  <c:v>-5.136897475917257E-2</c:v>
                </c:pt>
                <c:pt idx="38">
                  <c:v>-4.3790575916230257E-2</c:v>
                </c:pt>
                <c:pt idx="39">
                  <c:v>-5.56503041071712E-2</c:v>
                </c:pt>
                <c:pt idx="40">
                  <c:v>-2.5009746075859152E-2</c:v>
                </c:pt>
                <c:pt idx="41">
                  <c:v>-3.3575054934820714E-2</c:v>
                </c:pt>
                <c:pt idx="42">
                  <c:v>7.0571874631016884E-2</c:v>
                </c:pt>
                <c:pt idx="43">
                  <c:v>4.2468984233652085E-2</c:v>
                </c:pt>
                <c:pt idx="44">
                  <c:v>-4.5379878436770382E-2</c:v>
                </c:pt>
                <c:pt idx="45">
                  <c:v>9.2049712422306973E-2</c:v>
                </c:pt>
                <c:pt idx="46">
                  <c:v>0.26310107768902369</c:v>
                </c:pt>
                <c:pt idx="47">
                  <c:v>0.12559619387451693</c:v>
                </c:pt>
                <c:pt idx="48">
                  <c:v>0.1805097262813864</c:v>
                </c:pt>
                <c:pt idx="49">
                  <c:v>0.26315451588446792</c:v>
                </c:pt>
                <c:pt idx="50">
                  <c:v>0.46128587970802726</c:v>
                </c:pt>
                <c:pt idx="51">
                  <c:v>0.43675906855740698</c:v>
                </c:pt>
                <c:pt idx="52">
                  <c:v>0.55044069728714518</c:v>
                </c:pt>
                <c:pt idx="53">
                  <c:v>0.8440758495544749</c:v>
                </c:pt>
                <c:pt idx="54">
                  <c:v>0.54592413564324938</c:v>
                </c:pt>
                <c:pt idx="55">
                  <c:v>0.4277945881594285</c:v>
                </c:pt>
                <c:pt idx="56">
                  <c:v>0.33328174620370299</c:v>
                </c:pt>
                <c:pt idx="57">
                  <c:v>0.43989455520251641</c:v>
                </c:pt>
                <c:pt idx="58">
                  <c:v>0.44697059481952639</c:v>
                </c:pt>
                <c:pt idx="59">
                  <c:v>0.44369343644389514</c:v>
                </c:pt>
                <c:pt idx="60">
                  <c:v>0.43658549920381606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CE11-45B8-BF03-DAECE5391D0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4036912"/>
        <c:axId val="44037392"/>
      </c:scatterChart>
      <c:valAx>
        <c:axId val="44036912"/>
        <c:scaling>
          <c:orientation val="minMax"/>
          <c:min val="2.0000000000000004E-2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800" b="0" i="0" u="none" strike="noStrike" baseline="0">
                    <a:effectLst/>
                  </a:rPr>
                  <a:t>Debit+Credit Balances : USM2</a:t>
                </a:r>
                <a:r>
                  <a:rPr lang="en-GB" sz="800" b="0" i="0" u="none" strike="noStrike" baseline="0"/>
                  <a:t> </a:t>
                </a:r>
                <a:endParaRPr lang="en-GB" sz="800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8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%" sourceLinked="1"/>
        <c:majorTickMark val="none"/>
        <c:minorTickMark val="none"/>
        <c:tickLblPos val="low"/>
        <c:spPr>
          <a:noFill/>
          <a:ln w="9525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4037392"/>
        <c:crosses val="autoZero"/>
        <c:crossBetween val="midCat"/>
        <c:majorUnit val="1.0000000000000002E-2"/>
      </c:valAx>
      <c:valAx>
        <c:axId val="440373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S&amp;P 500 FwdRtn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%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403691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'Customer Margin Balances'!$M$1</c:f>
              <c:strCache>
                <c:ptCount val="1"/>
                <c:pt idx="0">
                  <c:v>Debit Balances : USM2</c:v>
                </c:pt>
              </c:strCache>
            </c:strRef>
          </c:tx>
          <c:spPr>
            <a:ln w="19050" cap="rnd">
              <a:solidFill>
                <a:schemeClr val="tx2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errBars>
            <c:errDir val="y"/>
            <c:errBarType val="both"/>
            <c:errValType val="stdDev"/>
            <c:noEndCap val="1"/>
            <c:val val="2"/>
            <c:spPr>
              <a:noFill/>
              <a:ln w="6350" cap="flat" cmpd="sng" algn="ctr">
                <a:solidFill>
                  <a:schemeClr val="accent2">
                    <a:alpha val="30000"/>
                  </a:schemeClr>
                </a:solidFill>
                <a:round/>
              </a:ln>
              <a:effectLst/>
            </c:spPr>
          </c:errBars>
          <c:cat>
            <c:numRef>
              <c:f>'Customer Margin Balances'!$G$2:$G$1354</c:f>
              <c:numCache>
                <c:formatCode>m/d/yyyy</c:formatCode>
                <c:ptCount val="1353"/>
                <c:pt idx="0">
                  <c:v>46173</c:v>
                </c:pt>
                <c:pt idx="1">
                  <c:v>46142</c:v>
                </c:pt>
                <c:pt idx="2">
                  <c:v>46112</c:v>
                </c:pt>
                <c:pt idx="3">
                  <c:v>46081</c:v>
                </c:pt>
                <c:pt idx="4">
                  <c:v>46053</c:v>
                </c:pt>
                <c:pt idx="5">
                  <c:v>46022</c:v>
                </c:pt>
                <c:pt idx="6">
                  <c:v>45991</c:v>
                </c:pt>
                <c:pt idx="7">
                  <c:v>45961</c:v>
                </c:pt>
                <c:pt idx="8">
                  <c:v>45930</c:v>
                </c:pt>
                <c:pt idx="9">
                  <c:v>45900</c:v>
                </c:pt>
                <c:pt idx="10">
                  <c:v>45869</c:v>
                </c:pt>
                <c:pt idx="11">
                  <c:v>45838</c:v>
                </c:pt>
                <c:pt idx="12">
                  <c:v>45808</c:v>
                </c:pt>
                <c:pt idx="13">
                  <c:v>45777</c:v>
                </c:pt>
                <c:pt idx="14">
                  <c:v>45747</c:v>
                </c:pt>
                <c:pt idx="15">
                  <c:v>45716</c:v>
                </c:pt>
                <c:pt idx="16">
                  <c:v>45688</c:v>
                </c:pt>
                <c:pt idx="17">
                  <c:v>45657</c:v>
                </c:pt>
                <c:pt idx="18">
                  <c:v>45626</c:v>
                </c:pt>
                <c:pt idx="19">
                  <c:v>45596</c:v>
                </c:pt>
                <c:pt idx="20">
                  <c:v>45565</c:v>
                </c:pt>
                <c:pt idx="21">
                  <c:v>45535</c:v>
                </c:pt>
                <c:pt idx="22">
                  <c:v>45504</c:v>
                </c:pt>
                <c:pt idx="23">
                  <c:v>45473</c:v>
                </c:pt>
                <c:pt idx="24">
                  <c:v>45443</c:v>
                </c:pt>
                <c:pt idx="25">
                  <c:v>45412</c:v>
                </c:pt>
                <c:pt idx="26">
                  <c:v>45382</c:v>
                </c:pt>
                <c:pt idx="27">
                  <c:v>45351</c:v>
                </c:pt>
                <c:pt idx="28">
                  <c:v>45322</c:v>
                </c:pt>
                <c:pt idx="29">
                  <c:v>45291</c:v>
                </c:pt>
                <c:pt idx="30">
                  <c:v>45260</c:v>
                </c:pt>
                <c:pt idx="31">
                  <c:v>45230</c:v>
                </c:pt>
                <c:pt idx="32">
                  <c:v>45199</c:v>
                </c:pt>
                <c:pt idx="33">
                  <c:v>45169</c:v>
                </c:pt>
                <c:pt idx="34">
                  <c:v>45138</c:v>
                </c:pt>
                <c:pt idx="35">
                  <c:v>45107</c:v>
                </c:pt>
                <c:pt idx="36">
                  <c:v>45077</c:v>
                </c:pt>
                <c:pt idx="37">
                  <c:v>45046</c:v>
                </c:pt>
                <c:pt idx="38">
                  <c:v>45016</c:v>
                </c:pt>
                <c:pt idx="39">
                  <c:v>44985</c:v>
                </c:pt>
                <c:pt idx="40">
                  <c:v>44957</c:v>
                </c:pt>
                <c:pt idx="41">
                  <c:v>44926</c:v>
                </c:pt>
                <c:pt idx="42">
                  <c:v>44895</c:v>
                </c:pt>
                <c:pt idx="43">
                  <c:v>44865</c:v>
                </c:pt>
                <c:pt idx="44">
                  <c:v>44834</c:v>
                </c:pt>
                <c:pt idx="45">
                  <c:v>44804</c:v>
                </c:pt>
                <c:pt idx="46">
                  <c:v>44773</c:v>
                </c:pt>
                <c:pt idx="47">
                  <c:v>44742</c:v>
                </c:pt>
                <c:pt idx="48">
                  <c:v>44712</c:v>
                </c:pt>
                <c:pt idx="49">
                  <c:v>44681</c:v>
                </c:pt>
                <c:pt idx="50">
                  <c:v>44651</c:v>
                </c:pt>
                <c:pt idx="51">
                  <c:v>44620</c:v>
                </c:pt>
                <c:pt idx="52">
                  <c:v>44592</c:v>
                </c:pt>
                <c:pt idx="53">
                  <c:v>44561</c:v>
                </c:pt>
                <c:pt idx="54">
                  <c:v>44530</c:v>
                </c:pt>
                <c:pt idx="55">
                  <c:v>44500</c:v>
                </c:pt>
                <c:pt idx="56">
                  <c:v>44469</c:v>
                </c:pt>
                <c:pt idx="57">
                  <c:v>44439</c:v>
                </c:pt>
                <c:pt idx="58">
                  <c:v>44408</c:v>
                </c:pt>
                <c:pt idx="59">
                  <c:v>44377</c:v>
                </c:pt>
                <c:pt idx="60">
                  <c:v>44347</c:v>
                </c:pt>
                <c:pt idx="61">
                  <c:v>44316</c:v>
                </c:pt>
                <c:pt idx="62">
                  <c:v>44286</c:v>
                </c:pt>
                <c:pt idx="63">
                  <c:v>44255</c:v>
                </c:pt>
                <c:pt idx="64">
                  <c:v>44227</c:v>
                </c:pt>
                <c:pt idx="65">
                  <c:v>44196</c:v>
                </c:pt>
                <c:pt idx="66">
                  <c:v>44165</c:v>
                </c:pt>
                <c:pt idx="67">
                  <c:v>44135</c:v>
                </c:pt>
                <c:pt idx="68">
                  <c:v>44104</c:v>
                </c:pt>
                <c:pt idx="69">
                  <c:v>44074</c:v>
                </c:pt>
                <c:pt idx="70">
                  <c:v>44043</c:v>
                </c:pt>
                <c:pt idx="71">
                  <c:v>44012</c:v>
                </c:pt>
                <c:pt idx="72">
                  <c:v>43982</c:v>
                </c:pt>
                <c:pt idx="73">
                  <c:v>43951</c:v>
                </c:pt>
                <c:pt idx="74">
                  <c:v>43921</c:v>
                </c:pt>
                <c:pt idx="75">
                  <c:v>43890</c:v>
                </c:pt>
                <c:pt idx="76">
                  <c:v>43861</c:v>
                </c:pt>
                <c:pt idx="77">
                  <c:v>43830</c:v>
                </c:pt>
                <c:pt idx="78">
                  <c:v>43799</c:v>
                </c:pt>
                <c:pt idx="79">
                  <c:v>43769</c:v>
                </c:pt>
                <c:pt idx="80">
                  <c:v>43738</c:v>
                </c:pt>
                <c:pt idx="81">
                  <c:v>43708</c:v>
                </c:pt>
                <c:pt idx="82">
                  <c:v>43677</c:v>
                </c:pt>
                <c:pt idx="83">
                  <c:v>43646</c:v>
                </c:pt>
                <c:pt idx="84">
                  <c:v>43616</c:v>
                </c:pt>
                <c:pt idx="85">
                  <c:v>43585</c:v>
                </c:pt>
                <c:pt idx="86">
                  <c:v>43555</c:v>
                </c:pt>
                <c:pt idx="87">
                  <c:v>43524</c:v>
                </c:pt>
                <c:pt idx="88">
                  <c:v>43496</c:v>
                </c:pt>
                <c:pt idx="89">
                  <c:v>43465</c:v>
                </c:pt>
                <c:pt idx="90">
                  <c:v>43434</c:v>
                </c:pt>
                <c:pt idx="91">
                  <c:v>43404</c:v>
                </c:pt>
                <c:pt idx="92">
                  <c:v>43373</c:v>
                </c:pt>
                <c:pt idx="93">
                  <c:v>43343</c:v>
                </c:pt>
                <c:pt idx="94">
                  <c:v>43312</c:v>
                </c:pt>
                <c:pt idx="95">
                  <c:v>43281</c:v>
                </c:pt>
                <c:pt idx="96">
                  <c:v>43251</c:v>
                </c:pt>
                <c:pt idx="97">
                  <c:v>43220</c:v>
                </c:pt>
                <c:pt idx="98">
                  <c:v>43190</c:v>
                </c:pt>
                <c:pt idx="99">
                  <c:v>43159</c:v>
                </c:pt>
                <c:pt idx="100">
                  <c:v>43131</c:v>
                </c:pt>
                <c:pt idx="101">
                  <c:v>43100</c:v>
                </c:pt>
                <c:pt idx="102">
                  <c:v>43069</c:v>
                </c:pt>
                <c:pt idx="103">
                  <c:v>43039</c:v>
                </c:pt>
                <c:pt idx="104">
                  <c:v>43008</c:v>
                </c:pt>
                <c:pt idx="105">
                  <c:v>42978</c:v>
                </c:pt>
                <c:pt idx="106">
                  <c:v>42947</c:v>
                </c:pt>
                <c:pt idx="107">
                  <c:v>42916</c:v>
                </c:pt>
                <c:pt idx="108">
                  <c:v>42886</c:v>
                </c:pt>
                <c:pt idx="109">
                  <c:v>42855</c:v>
                </c:pt>
                <c:pt idx="110">
                  <c:v>42825</c:v>
                </c:pt>
                <c:pt idx="111">
                  <c:v>42794</c:v>
                </c:pt>
                <c:pt idx="112">
                  <c:v>42766</c:v>
                </c:pt>
                <c:pt idx="113">
                  <c:v>42735</c:v>
                </c:pt>
                <c:pt idx="114">
                  <c:v>42704</c:v>
                </c:pt>
                <c:pt idx="115">
                  <c:v>42674</c:v>
                </c:pt>
                <c:pt idx="116">
                  <c:v>42643</c:v>
                </c:pt>
                <c:pt idx="117">
                  <c:v>42613</c:v>
                </c:pt>
                <c:pt idx="118">
                  <c:v>42582</c:v>
                </c:pt>
                <c:pt idx="119">
                  <c:v>42551</c:v>
                </c:pt>
                <c:pt idx="120">
                  <c:v>42521</c:v>
                </c:pt>
                <c:pt idx="121">
                  <c:v>42490</c:v>
                </c:pt>
                <c:pt idx="122">
                  <c:v>42460</c:v>
                </c:pt>
                <c:pt idx="123">
                  <c:v>42429</c:v>
                </c:pt>
                <c:pt idx="124">
                  <c:v>42400</c:v>
                </c:pt>
                <c:pt idx="125">
                  <c:v>42369</c:v>
                </c:pt>
                <c:pt idx="126">
                  <c:v>42338</c:v>
                </c:pt>
                <c:pt idx="127">
                  <c:v>42308</c:v>
                </c:pt>
                <c:pt idx="128">
                  <c:v>42277</c:v>
                </c:pt>
                <c:pt idx="129">
                  <c:v>42247</c:v>
                </c:pt>
                <c:pt idx="130">
                  <c:v>42216</c:v>
                </c:pt>
                <c:pt idx="131">
                  <c:v>42185</c:v>
                </c:pt>
                <c:pt idx="132">
                  <c:v>42155</c:v>
                </c:pt>
                <c:pt idx="133">
                  <c:v>42124</c:v>
                </c:pt>
                <c:pt idx="134">
                  <c:v>42094</c:v>
                </c:pt>
                <c:pt idx="135">
                  <c:v>42063</c:v>
                </c:pt>
                <c:pt idx="136">
                  <c:v>42035</c:v>
                </c:pt>
                <c:pt idx="137">
                  <c:v>42004</c:v>
                </c:pt>
                <c:pt idx="138">
                  <c:v>41973</c:v>
                </c:pt>
                <c:pt idx="139">
                  <c:v>41943</c:v>
                </c:pt>
                <c:pt idx="140">
                  <c:v>41912</c:v>
                </c:pt>
                <c:pt idx="141">
                  <c:v>41882</c:v>
                </c:pt>
                <c:pt idx="142">
                  <c:v>41851</c:v>
                </c:pt>
                <c:pt idx="143">
                  <c:v>41820</c:v>
                </c:pt>
                <c:pt idx="144">
                  <c:v>41790</c:v>
                </c:pt>
                <c:pt idx="145">
                  <c:v>41759</c:v>
                </c:pt>
                <c:pt idx="146">
                  <c:v>41729</c:v>
                </c:pt>
                <c:pt idx="147">
                  <c:v>41698</c:v>
                </c:pt>
                <c:pt idx="148">
                  <c:v>41670</c:v>
                </c:pt>
                <c:pt idx="149">
                  <c:v>41639</c:v>
                </c:pt>
                <c:pt idx="150">
                  <c:v>41608</c:v>
                </c:pt>
                <c:pt idx="151">
                  <c:v>41578</c:v>
                </c:pt>
                <c:pt idx="152">
                  <c:v>41547</c:v>
                </c:pt>
                <c:pt idx="153">
                  <c:v>41517</c:v>
                </c:pt>
                <c:pt idx="154">
                  <c:v>41486</c:v>
                </c:pt>
                <c:pt idx="155">
                  <c:v>41455</c:v>
                </c:pt>
                <c:pt idx="156">
                  <c:v>41425</c:v>
                </c:pt>
                <c:pt idx="157">
                  <c:v>41394</c:v>
                </c:pt>
                <c:pt idx="158">
                  <c:v>41364</c:v>
                </c:pt>
                <c:pt idx="159">
                  <c:v>41333</c:v>
                </c:pt>
                <c:pt idx="160">
                  <c:v>41305</c:v>
                </c:pt>
                <c:pt idx="161">
                  <c:v>41274</c:v>
                </c:pt>
                <c:pt idx="162">
                  <c:v>41243</c:v>
                </c:pt>
                <c:pt idx="163">
                  <c:v>41213</c:v>
                </c:pt>
                <c:pt idx="164">
                  <c:v>41182</c:v>
                </c:pt>
                <c:pt idx="165">
                  <c:v>41152</c:v>
                </c:pt>
                <c:pt idx="166">
                  <c:v>41121</c:v>
                </c:pt>
                <c:pt idx="167">
                  <c:v>41090</c:v>
                </c:pt>
                <c:pt idx="168">
                  <c:v>41060</c:v>
                </c:pt>
                <c:pt idx="169">
                  <c:v>41029</c:v>
                </c:pt>
                <c:pt idx="170">
                  <c:v>40999</c:v>
                </c:pt>
                <c:pt idx="171">
                  <c:v>40968</c:v>
                </c:pt>
                <c:pt idx="172">
                  <c:v>40939</c:v>
                </c:pt>
                <c:pt idx="173">
                  <c:v>40908</c:v>
                </c:pt>
                <c:pt idx="174">
                  <c:v>40877</c:v>
                </c:pt>
                <c:pt idx="175">
                  <c:v>40847</c:v>
                </c:pt>
                <c:pt idx="176">
                  <c:v>40816</c:v>
                </c:pt>
                <c:pt idx="177">
                  <c:v>40786</c:v>
                </c:pt>
                <c:pt idx="178">
                  <c:v>40755</c:v>
                </c:pt>
                <c:pt idx="179">
                  <c:v>40724</c:v>
                </c:pt>
                <c:pt idx="180">
                  <c:v>40694</c:v>
                </c:pt>
                <c:pt idx="181">
                  <c:v>40663</c:v>
                </c:pt>
                <c:pt idx="182">
                  <c:v>40633</c:v>
                </c:pt>
                <c:pt idx="183">
                  <c:v>40602</c:v>
                </c:pt>
                <c:pt idx="184">
                  <c:v>40574</c:v>
                </c:pt>
                <c:pt idx="185">
                  <c:v>40543</c:v>
                </c:pt>
                <c:pt idx="186">
                  <c:v>40512</c:v>
                </c:pt>
                <c:pt idx="187">
                  <c:v>40482</c:v>
                </c:pt>
                <c:pt idx="188">
                  <c:v>40451</c:v>
                </c:pt>
                <c:pt idx="189">
                  <c:v>40421</c:v>
                </c:pt>
                <c:pt idx="190">
                  <c:v>40390</c:v>
                </c:pt>
                <c:pt idx="191">
                  <c:v>40359</c:v>
                </c:pt>
                <c:pt idx="192">
                  <c:v>40329</c:v>
                </c:pt>
                <c:pt idx="193">
                  <c:v>40298</c:v>
                </c:pt>
                <c:pt idx="194">
                  <c:v>40268</c:v>
                </c:pt>
                <c:pt idx="195">
                  <c:v>40237</c:v>
                </c:pt>
                <c:pt idx="196">
                  <c:v>40209</c:v>
                </c:pt>
                <c:pt idx="197">
                  <c:v>40178</c:v>
                </c:pt>
                <c:pt idx="198">
                  <c:v>40147</c:v>
                </c:pt>
                <c:pt idx="199">
                  <c:v>40117</c:v>
                </c:pt>
                <c:pt idx="200">
                  <c:v>40086</c:v>
                </c:pt>
                <c:pt idx="201">
                  <c:v>40056</c:v>
                </c:pt>
                <c:pt idx="202">
                  <c:v>40025</c:v>
                </c:pt>
                <c:pt idx="203">
                  <c:v>39994</c:v>
                </c:pt>
                <c:pt idx="204">
                  <c:v>39964</c:v>
                </c:pt>
                <c:pt idx="205">
                  <c:v>39933</c:v>
                </c:pt>
                <c:pt idx="206">
                  <c:v>39903</c:v>
                </c:pt>
                <c:pt idx="207">
                  <c:v>39872</c:v>
                </c:pt>
                <c:pt idx="208">
                  <c:v>39844</c:v>
                </c:pt>
                <c:pt idx="209">
                  <c:v>39813</c:v>
                </c:pt>
                <c:pt idx="210">
                  <c:v>39782</c:v>
                </c:pt>
                <c:pt idx="211">
                  <c:v>39752</c:v>
                </c:pt>
                <c:pt idx="212">
                  <c:v>39721</c:v>
                </c:pt>
                <c:pt idx="213">
                  <c:v>39691</c:v>
                </c:pt>
                <c:pt idx="214">
                  <c:v>39660</c:v>
                </c:pt>
                <c:pt idx="215">
                  <c:v>39629</c:v>
                </c:pt>
                <c:pt idx="216">
                  <c:v>39599</c:v>
                </c:pt>
                <c:pt idx="217">
                  <c:v>39568</c:v>
                </c:pt>
                <c:pt idx="218">
                  <c:v>39538</c:v>
                </c:pt>
                <c:pt idx="219">
                  <c:v>39507</c:v>
                </c:pt>
                <c:pt idx="220">
                  <c:v>39478</c:v>
                </c:pt>
                <c:pt idx="221">
                  <c:v>39447</c:v>
                </c:pt>
                <c:pt idx="222">
                  <c:v>39416</c:v>
                </c:pt>
                <c:pt idx="223">
                  <c:v>39386</c:v>
                </c:pt>
                <c:pt idx="224">
                  <c:v>39355</c:v>
                </c:pt>
                <c:pt idx="225">
                  <c:v>39325</c:v>
                </c:pt>
                <c:pt idx="226">
                  <c:v>39294</c:v>
                </c:pt>
                <c:pt idx="227">
                  <c:v>39263</c:v>
                </c:pt>
                <c:pt idx="228">
                  <c:v>39233</c:v>
                </c:pt>
                <c:pt idx="229">
                  <c:v>39202</c:v>
                </c:pt>
                <c:pt idx="230">
                  <c:v>39172</c:v>
                </c:pt>
                <c:pt idx="231">
                  <c:v>39141</c:v>
                </c:pt>
                <c:pt idx="232">
                  <c:v>39113</c:v>
                </c:pt>
                <c:pt idx="233">
                  <c:v>39082</c:v>
                </c:pt>
                <c:pt idx="234">
                  <c:v>39051</c:v>
                </c:pt>
                <c:pt idx="235">
                  <c:v>39021</c:v>
                </c:pt>
                <c:pt idx="236">
                  <c:v>38990</c:v>
                </c:pt>
                <c:pt idx="237">
                  <c:v>38960</c:v>
                </c:pt>
                <c:pt idx="238">
                  <c:v>38929</c:v>
                </c:pt>
                <c:pt idx="239">
                  <c:v>38898</c:v>
                </c:pt>
                <c:pt idx="240">
                  <c:v>38868</c:v>
                </c:pt>
                <c:pt idx="241">
                  <c:v>38837</c:v>
                </c:pt>
                <c:pt idx="242">
                  <c:v>38807</c:v>
                </c:pt>
                <c:pt idx="243">
                  <c:v>38776</c:v>
                </c:pt>
                <c:pt idx="244">
                  <c:v>38748</c:v>
                </c:pt>
                <c:pt idx="245">
                  <c:v>38717</c:v>
                </c:pt>
                <c:pt idx="246">
                  <c:v>38686</c:v>
                </c:pt>
                <c:pt idx="247">
                  <c:v>38656</c:v>
                </c:pt>
                <c:pt idx="248">
                  <c:v>38625</c:v>
                </c:pt>
                <c:pt idx="249">
                  <c:v>38595</c:v>
                </c:pt>
                <c:pt idx="250">
                  <c:v>38564</c:v>
                </c:pt>
                <c:pt idx="251">
                  <c:v>38533</c:v>
                </c:pt>
                <c:pt idx="252">
                  <c:v>38503</c:v>
                </c:pt>
                <c:pt idx="253">
                  <c:v>38472</c:v>
                </c:pt>
                <c:pt idx="254">
                  <c:v>38442</c:v>
                </c:pt>
                <c:pt idx="255">
                  <c:v>38411</c:v>
                </c:pt>
                <c:pt idx="256">
                  <c:v>38383</c:v>
                </c:pt>
                <c:pt idx="257">
                  <c:v>38352</c:v>
                </c:pt>
                <c:pt idx="258">
                  <c:v>38321</c:v>
                </c:pt>
                <c:pt idx="259">
                  <c:v>38291</c:v>
                </c:pt>
                <c:pt idx="260">
                  <c:v>38260</c:v>
                </c:pt>
                <c:pt idx="261">
                  <c:v>38230</c:v>
                </c:pt>
                <c:pt idx="262">
                  <c:v>38199</c:v>
                </c:pt>
                <c:pt idx="263">
                  <c:v>38168</c:v>
                </c:pt>
                <c:pt idx="264">
                  <c:v>38138</c:v>
                </c:pt>
                <c:pt idx="265">
                  <c:v>38107</c:v>
                </c:pt>
                <c:pt idx="266">
                  <c:v>38077</c:v>
                </c:pt>
                <c:pt idx="267">
                  <c:v>38046</c:v>
                </c:pt>
                <c:pt idx="268">
                  <c:v>38017</c:v>
                </c:pt>
                <c:pt idx="269">
                  <c:v>37986</c:v>
                </c:pt>
                <c:pt idx="270">
                  <c:v>37955</c:v>
                </c:pt>
                <c:pt idx="271">
                  <c:v>37925</c:v>
                </c:pt>
                <c:pt idx="272">
                  <c:v>37894</c:v>
                </c:pt>
                <c:pt idx="273">
                  <c:v>37864</c:v>
                </c:pt>
                <c:pt idx="274">
                  <c:v>37833</c:v>
                </c:pt>
                <c:pt idx="275">
                  <c:v>37802</c:v>
                </c:pt>
                <c:pt idx="276">
                  <c:v>37772</c:v>
                </c:pt>
                <c:pt idx="277">
                  <c:v>37741</c:v>
                </c:pt>
                <c:pt idx="278">
                  <c:v>37711</c:v>
                </c:pt>
                <c:pt idx="279">
                  <c:v>37680</c:v>
                </c:pt>
                <c:pt idx="280">
                  <c:v>37652</c:v>
                </c:pt>
                <c:pt idx="281">
                  <c:v>37621</c:v>
                </c:pt>
                <c:pt idx="282">
                  <c:v>37590</c:v>
                </c:pt>
                <c:pt idx="283">
                  <c:v>37560</c:v>
                </c:pt>
                <c:pt idx="284">
                  <c:v>37529</c:v>
                </c:pt>
                <c:pt idx="285">
                  <c:v>37499</c:v>
                </c:pt>
                <c:pt idx="286">
                  <c:v>37468</c:v>
                </c:pt>
                <c:pt idx="287">
                  <c:v>37437</c:v>
                </c:pt>
                <c:pt idx="288">
                  <c:v>37407</c:v>
                </c:pt>
                <c:pt idx="289">
                  <c:v>37376</c:v>
                </c:pt>
                <c:pt idx="290">
                  <c:v>37346</c:v>
                </c:pt>
                <c:pt idx="291">
                  <c:v>37315</c:v>
                </c:pt>
                <c:pt idx="292">
                  <c:v>37287</c:v>
                </c:pt>
                <c:pt idx="293">
                  <c:v>37256</c:v>
                </c:pt>
                <c:pt idx="294">
                  <c:v>37225</c:v>
                </c:pt>
                <c:pt idx="295">
                  <c:v>37195</c:v>
                </c:pt>
                <c:pt idx="296">
                  <c:v>37164</c:v>
                </c:pt>
                <c:pt idx="297">
                  <c:v>37134</c:v>
                </c:pt>
                <c:pt idx="298">
                  <c:v>37103</c:v>
                </c:pt>
                <c:pt idx="299">
                  <c:v>37072</c:v>
                </c:pt>
                <c:pt idx="300">
                  <c:v>37042</c:v>
                </c:pt>
                <c:pt idx="301">
                  <c:v>37011</c:v>
                </c:pt>
                <c:pt idx="302">
                  <c:v>36981</c:v>
                </c:pt>
                <c:pt idx="303">
                  <c:v>36950</c:v>
                </c:pt>
                <c:pt idx="304">
                  <c:v>36922</c:v>
                </c:pt>
                <c:pt idx="305">
                  <c:v>36891</c:v>
                </c:pt>
                <c:pt idx="306">
                  <c:v>36860</c:v>
                </c:pt>
                <c:pt idx="307">
                  <c:v>36830</c:v>
                </c:pt>
                <c:pt idx="308">
                  <c:v>36799</c:v>
                </c:pt>
                <c:pt idx="309">
                  <c:v>36769</c:v>
                </c:pt>
                <c:pt idx="310">
                  <c:v>36738</c:v>
                </c:pt>
                <c:pt idx="311">
                  <c:v>36707</c:v>
                </c:pt>
                <c:pt idx="312">
                  <c:v>36677</c:v>
                </c:pt>
                <c:pt idx="313">
                  <c:v>36646</c:v>
                </c:pt>
                <c:pt idx="314">
                  <c:v>36616</c:v>
                </c:pt>
                <c:pt idx="315">
                  <c:v>36585</c:v>
                </c:pt>
                <c:pt idx="316">
                  <c:v>36556</c:v>
                </c:pt>
                <c:pt idx="317">
                  <c:v>36525</c:v>
                </c:pt>
                <c:pt idx="318">
                  <c:v>36494</c:v>
                </c:pt>
                <c:pt idx="319">
                  <c:v>36464</c:v>
                </c:pt>
                <c:pt idx="320">
                  <c:v>36433</c:v>
                </c:pt>
                <c:pt idx="321">
                  <c:v>36403</c:v>
                </c:pt>
                <c:pt idx="322">
                  <c:v>36372</c:v>
                </c:pt>
                <c:pt idx="323">
                  <c:v>36341</c:v>
                </c:pt>
                <c:pt idx="324">
                  <c:v>36311</c:v>
                </c:pt>
                <c:pt idx="325">
                  <c:v>36280</c:v>
                </c:pt>
                <c:pt idx="326">
                  <c:v>36250</c:v>
                </c:pt>
                <c:pt idx="327">
                  <c:v>36219</c:v>
                </c:pt>
                <c:pt idx="328">
                  <c:v>36191</c:v>
                </c:pt>
                <c:pt idx="329">
                  <c:v>36160</c:v>
                </c:pt>
                <c:pt idx="330">
                  <c:v>36129</c:v>
                </c:pt>
                <c:pt idx="331">
                  <c:v>36099</c:v>
                </c:pt>
                <c:pt idx="332">
                  <c:v>36068</c:v>
                </c:pt>
                <c:pt idx="333">
                  <c:v>36038</c:v>
                </c:pt>
                <c:pt idx="334">
                  <c:v>36007</c:v>
                </c:pt>
                <c:pt idx="335">
                  <c:v>35976</c:v>
                </c:pt>
                <c:pt idx="336">
                  <c:v>35946</c:v>
                </c:pt>
                <c:pt idx="337">
                  <c:v>35915</c:v>
                </c:pt>
                <c:pt idx="338">
                  <c:v>35885</c:v>
                </c:pt>
                <c:pt idx="339">
                  <c:v>35854</c:v>
                </c:pt>
                <c:pt idx="340">
                  <c:v>35826</c:v>
                </c:pt>
                <c:pt idx="341">
                  <c:v>35795</c:v>
                </c:pt>
                <c:pt idx="342">
                  <c:v>35764</c:v>
                </c:pt>
                <c:pt idx="343">
                  <c:v>35734</c:v>
                </c:pt>
                <c:pt idx="344">
                  <c:v>35703</c:v>
                </c:pt>
                <c:pt idx="345">
                  <c:v>35673</c:v>
                </c:pt>
                <c:pt idx="346">
                  <c:v>35642</c:v>
                </c:pt>
                <c:pt idx="347">
                  <c:v>35611</c:v>
                </c:pt>
                <c:pt idx="348">
                  <c:v>35581</c:v>
                </c:pt>
                <c:pt idx="349">
                  <c:v>35550</c:v>
                </c:pt>
                <c:pt idx="350">
                  <c:v>35520</c:v>
                </c:pt>
                <c:pt idx="351">
                  <c:v>35489</c:v>
                </c:pt>
                <c:pt idx="352">
                  <c:v>35461</c:v>
                </c:pt>
              </c:numCache>
            </c:numRef>
          </c:cat>
          <c:val>
            <c:numRef>
              <c:f>'Customer Margin Balances'!$M$2:$M$1354</c:f>
              <c:numCache>
                <c:formatCode>0.0%</c:formatCode>
                <c:ptCount val="1353"/>
                <c:pt idx="0">
                  <c:v>6.1621778100880646E-2</c:v>
                </c:pt>
                <c:pt idx="1">
                  <c:v>5.6865609822028061E-2</c:v>
                </c:pt>
                <c:pt idx="2">
                  <c:v>5.351189302197152E-2</c:v>
                </c:pt>
                <c:pt idx="3">
                  <c:v>5.561807377030991E-2</c:v>
                </c:pt>
                <c:pt idx="4">
                  <c:v>5.693158196943867E-2</c:v>
                </c:pt>
                <c:pt idx="5">
                  <c:v>5.4462989872596464E-2</c:v>
                </c:pt>
                <c:pt idx="6">
                  <c:v>5.4528925471388864E-2</c:v>
                </c:pt>
                <c:pt idx="7">
                  <c:v>5.3368231209702875E-2</c:v>
                </c:pt>
                <c:pt idx="8">
                  <c:v>5.0946068787734888E-2</c:v>
                </c:pt>
                <c:pt idx="9">
                  <c:v>4.8097299946897591E-2</c:v>
                </c:pt>
                <c:pt idx="10">
                  <c:v>4.655309307449966E-2</c:v>
                </c:pt>
                <c:pt idx="11">
                  <c:v>4.6008599559067193E-2</c:v>
                </c:pt>
                <c:pt idx="12">
                  <c:v>4.2335591942557163E-2</c:v>
                </c:pt>
                <c:pt idx="13">
                  <c:v>3.8844118063452483E-2</c:v>
                </c:pt>
                <c:pt idx="14">
                  <c:v>4.0346118767501868E-2</c:v>
                </c:pt>
                <c:pt idx="15">
                  <c:v>4.2640906557681588E-2</c:v>
                </c:pt>
                <c:pt idx="16">
                  <c:v>4.3422502258565171E-2</c:v>
                </c:pt>
                <c:pt idx="17">
                  <c:v>4.1592717314879915E-2</c:v>
                </c:pt>
                <c:pt idx="18">
                  <c:v>4.1530593692454723E-2</c:v>
                </c:pt>
                <c:pt idx="19">
                  <c:v>3.8337110454947247E-2</c:v>
                </c:pt>
                <c:pt idx="20">
                  <c:v>3.8324661859654087E-2</c:v>
                </c:pt>
                <c:pt idx="21">
                  <c:v>3.7711379710007806E-2</c:v>
                </c:pt>
                <c:pt idx="22">
                  <c:v>3.8515086165947829E-2</c:v>
                </c:pt>
                <c:pt idx="23">
                  <c:v>3.8462949585582842E-2</c:v>
                </c:pt>
                <c:pt idx="24">
                  <c:v>3.8659021764568216E-2</c:v>
                </c:pt>
                <c:pt idx="25">
                  <c:v>3.6805224638575378E-2</c:v>
                </c:pt>
                <c:pt idx="26">
                  <c:v>3.7181698776156631E-2</c:v>
                </c:pt>
                <c:pt idx="27">
                  <c:v>3.5641580396634266E-2</c:v>
                </c:pt>
                <c:pt idx="28">
                  <c:v>3.3629155887707193E-2</c:v>
                </c:pt>
                <c:pt idx="29">
                  <c:v>3.3518309481900974E-2</c:v>
                </c:pt>
                <c:pt idx="30">
                  <c:v>3.1849515428692597E-2</c:v>
                </c:pt>
                <c:pt idx="31">
                  <c:v>3.0726325615589616E-2</c:v>
                </c:pt>
                <c:pt idx="32">
                  <c:v>3.2874911879170653E-2</c:v>
                </c:pt>
                <c:pt idx="33">
                  <c:v>3.3250430595693561E-2</c:v>
                </c:pt>
                <c:pt idx="34">
                  <c:v>3.4206724397989524E-2</c:v>
                </c:pt>
                <c:pt idx="35">
                  <c:v>3.2796757048220611E-2</c:v>
                </c:pt>
                <c:pt idx="36">
                  <c:v>3.1067544430779619E-2</c:v>
                </c:pt>
                <c:pt idx="37">
                  <c:v>3.0280548927157903E-2</c:v>
                </c:pt>
                <c:pt idx="38">
                  <c:v>3.0655593658272459E-2</c:v>
                </c:pt>
                <c:pt idx="39">
                  <c:v>2.9523838795553307E-2</c:v>
                </c:pt>
                <c:pt idx="40">
                  <c:v>3.0101350558390409E-2</c:v>
                </c:pt>
                <c:pt idx="41">
                  <c:v>2.8284185055504528E-2</c:v>
                </c:pt>
                <c:pt idx="42">
                  <c:v>3.0051861602808275E-2</c:v>
                </c:pt>
                <c:pt idx="43">
                  <c:v>3.0337835313457372E-2</c:v>
                </c:pt>
                <c:pt idx="44">
                  <c:v>3.0874231060729347E-2</c:v>
                </c:pt>
                <c:pt idx="45">
                  <c:v>3.1865447250522372E-2</c:v>
                </c:pt>
                <c:pt idx="46">
                  <c:v>3.2243601312361467E-2</c:v>
                </c:pt>
                <c:pt idx="47">
                  <c:v>3.162018487845953E-2</c:v>
                </c:pt>
                <c:pt idx="48">
                  <c:v>3.4875794953981833E-2</c:v>
                </c:pt>
                <c:pt idx="49">
                  <c:v>3.5319707001887218E-2</c:v>
                </c:pt>
                <c:pt idx="50">
                  <c:v>3.6527832339049326E-2</c:v>
                </c:pt>
                <c:pt idx="51">
                  <c:v>3.8635228271427909E-2</c:v>
                </c:pt>
                <c:pt idx="52">
                  <c:v>3.82887589475676E-2</c:v>
                </c:pt>
                <c:pt idx="53">
                  <c:v>4.197339593836049E-2</c:v>
                </c:pt>
                <c:pt idx="54">
                  <c:v>4.3014384985671207E-2</c:v>
                </c:pt>
                <c:pt idx="55">
                  <c:v>4.4300320940668582E-2</c:v>
                </c:pt>
                <c:pt idx="56">
                  <c:v>4.3086409740179195E-2</c:v>
                </c:pt>
                <c:pt idx="57">
                  <c:v>4.3850420442956381E-2</c:v>
                </c:pt>
                <c:pt idx="58">
                  <c:v>4.0994562050883664E-2</c:v>
                </c:pt>
                <c:pt idx="59">
                  <c:v>4.3150868542189483E-2</c:v>
                </c:pt>
                <c:pt idx="60">
                  <c:v>4.2391380285847824E-2</c:v>
                </c:pt>
                <c:pt idx="61">
                  <c:v>4.1776517579762314E-2</c:v>
                </c:pt>
                <c:pt idx="62">
                  <c:v>4.1207079663751041E-2</c:v>
                </c:pt>
                <c:pt idx="63">
                  <c:v>4.1630468706031626E-2</c:v>
                </c:pt>
                <c:pt idx="64">
                  <c:v>4.116456962005742E-2</c:v>
                </c:pt>
                <c:pt idx="65">
                  <c:v>4.035608139299663E-2</c:v>
                </c:pt>
                <c:pt idx="66">
                  <c:v>3.7975430440590256E-2</c:v>
                </c:pt>
                <c:pt idx="67">
                  <c:v>3.5204666809055957E-2</c:v>
                </c:pt>
                <c:pt idx="68">
                  <c:v>3.5206723629554702E-2</c:v>
                </c:pt>
                <c:pt idx="69">
                  <c:v>3.5153044832524682E-2</c:v>
                </c:pt>
                <c:pt idx="70">
                  <c:v>3.3545739221676328E-2</c:v>
                </c:pt>
                <c:pt idx="71">
                  <c:v>3.2213553719008262E-2</c:v>
                </c:pt>
                <c:pt idx="72">
                  <c:v>3.1019435462139585E-2</c:v>
                </c:pt>
                <c:pt idx="73">
                  <c:v>3.0600764004315748E-2</c:v>
                </c:pt>
                <c:pt idx="74">
                  <c:v>2.9764820587979583E-2</c:v>
                </c:pt>
                <c:pt idx="75">
                  <c:v>3.5320564738202762E-2</c:v>
                </c:pt>
                <c:pt idx="76">
                  <c:v>3.6375714646448294E-2</c:v>
                </c:pt>
                <c:pt idx="77">
                  <c:v>3.7467236762099433E-2</c:v>
                </c:pt>
                <c:pt idx="78">
                  <c:v>3.6809401558651957E-2</c:v>
                </c:pt>
                <c:pt idx="79">
                  <c:v>3.6578310392359897E-2</c:v>
                </c:pt>
                <c:pt idx="80">
                  <c:v>3.6969721152631196E-2</c:v>
                </c:pt>
                <c:pt idx="81">
                  <c:v>3.7800216806520258E-2</c:v>
                </c:pt>
                <c:pt idx="82">
                  <c:v>4.0518885382249827E-2</c:v>
                </c:pt>
                <c:pt idx="83">
                  <c:v>4.0347242426907903E-2</c:v>
                </c:pt>
                <c:pt idx="84">
                  <c:v>3.8907313535958846E-2</c:v>
                </c:pt>
                <c:pt idx="85">
                  <c:v>4.0144630071599047E-2</c:v>
                </c:pt>
                <c:pt idx="86">
                  <c:v>3.927748848730353E-2</c:v>
                </c:pt>
                <c:pt idx="87">
                  <c:v>4.0240736124958459E-2</c:v>
                </c:pt>
                <c:pt idx="88">
                  <c:v>3.9296587672482924E-2</c:v>
                </c:pt>
                <c:pt idx="89">
                  <c:v>3.8255573193457106E-2</c:v>
                </c:pt>
                <c:pt idx="90">
                  <c:v>4.1458914891384195E-2</c:v>
                </c:pt>
                <c:pt idx="91">
                  <c:v>4.2675295670983507E-2</c:v>
                </c:pt>
                <c:pt idx="92">
                  <c:v>4.5523417525918021E-2</c:v>
                </c:pt>
                <c:pt idx="93">
                  <c:v>4.5932958769854683E-2</c:v>
                </c:pt>
                <c:pt idx="94">
                  <c:v>4.6139438232425327E-2</c:v>
                </c:pt>
                <c:pt idx="95">
                  <c:v>4.5840342386644653E-2</c:v>
                </c:pt>
                <c:pt idx="96">
                  <c:v>4.7722116797694294E-2</c:v>
                </c:pt>
                <c:pt idx="97">
                  <c:v>4.6243601922613391E-2</c:v>
                </c:pt>
                <c:pt idx="98">
                  <c:v>4.586837372308436E-2</c:v>
                </c:pt>
                <c:pt idx="99">
                  <c:v>4.6459958370245531E-2</c:v>
                </c:pt>
                <c:pt idx="100">
                  <c:v>4.7901852851232239E-2</c:v>
                </c:pt>
                <c:pt idx="101">
                  <c:v>4.5983446480052079E-2</c:v>
                </c:pt>
                <c:pt idx="102">
                  <c:v>4.5290763144977333E-2</c:v>
                </c:pt>
                <c:pt idx="103">
                  <c:v>4.4098958900134218E-2</c:v>
                </c:pt>
                <c:pt idx="104">
                  <c:v>4.4137142857142854E-2</c:v>
                </c:pt>
                <c:pt idx="105">
                  <c:v>4.3592765801972966E-2</c:v>
                </c:pt>
                <c:pt idx="106">
                  <c:v>4.3659079390961371E-2</c:v>
                </c:pt>
                <c:pt idx="107">
                  <c:v>4.3113580684199654E-2</c:v>
                </c:pt>
                <c:pt idx="108">
                  <c:v>4.3159391524595261E-2</c:v>
                </c:pt>
                <c:pt idx="109">
                  <c:v>4.3463966217409215E-2</c:v>
                </c:pt>
                <c:pt idx="110">
                  <c:v>4.2730211330635919E-2</c:v>
                </c:pt>
                <c:pt idx="111">
                  <c:v>4.2650440652540783E-2</c:v>
                </c:pt>
                <c:pt idx="112">
                  <c:v>4.1595807033363394E-2</c:v>
                </c:pt>
                <c:pt idx="113">
                  <c:v>3.9724748611736457E-2</c:v>
                </c:pt>
                <c:pt idx="114">
                  <c:v>4.0853117859790879E-2</c:v>
                </c:pt>
                <c:pt idx="115">
                  <c:v>3.9964595287510681E-2</c:v>
                </c:pt>
                <c:pt idx="116">
                  <c:v>4.1435644702654227E-2</c:v>
                </c:pt>
                <c:pt idx="117">
                  <c:v>3.9299376795852499E-2</c:v>
                </c:pt>
                <c:pt idx="118">
                  <c:v>3.983336179196225E-2</c:v>
                </c:pt>
                <c:pt idx="119">
                  <c:v>3.8029416810943177E-2</c:v>
                </c:pt>
                <c:pt idx="120">
                  <c:v>3.8444460140321136E-2</c:v>
                </c:pt>
                <c:pt idx="121">
                  <c:v>3.8654072830880917E-2</c:v>
                </c:pt>
                <c:pt idx="122">
                  <c:v>3.8053331865435733E-2</c:v>
                </c:pt>
                <c:pt idx="123">
                  <c:v>3.7785569704987011E-2</c:v>
                </c:pt>
                <c:pt idx="124">
                  <c:v>3.8946089403338234E-2</c:v>
                </c:pt>
                <c:pt idx="125">
                  <c:v>4.0411301974634772E-2</c:v>
                </c:pt>
                <c:pt idx="126">
                  <c:v>4.1806722689075627E-2</c:v>
                </c:pt>
                <c:pt idx="127">
                  <c:v>4.2122858782067042E-2</c:v>
                </c:pt>
                <c:pt idx="128">
                  <c:v>4.0872470534085117E-2</c:v>
                </c:pt>
                <c:pt idx="129">
                  <c:v>4.2643436864637917E-2</c:v>
                </c:pt>
                <c:pt idx="130">
                  <c:v>4.4074772253548028E-2</c:v>
                </c:pt>
                <c:pt idx="131">
                  <c:v>4.5698880789952129E-2</c:v>
                </c:pt>
                <c:pt idx="132">
                  <c:v>4.5386226717051954E-2</c:v>
                </c:pt>
                <c:pt idx="133">
                  <c:v>4.5711103538271007E-2</c:v>
                </c:pt>
                <c:pt idx="134">
                  <c:v>4.3232496036051074E-2</c:v>
                </c:pt>
                <c:pt idx="135">
                  <c:v>4.2525203183560026E-2</c:v>
                </c:pt>
                <c:pt idx="136">
                  <c:v>4.1227302039846585E-2</c:v>
                </c:pt>
                <c:pt idx="137">
                  <c:v>4.2062768854837479E-2</c:v>
                </c:pt>
                <c:pt idx="138">
                  <c:v>4.2640613053152462E-2</c:v>
                </c:pt>
                <c:pt idx="139">
                  <c:v>4.2624833526471451E-2</c:v>
                </c:pt>
                <c:pt idx="140">
                  <c:v>4.3833487012648095E-2</c:v>
                </c:pt>
                <c:pt idx="141">
                  <c:v>4.3762720451428622E-2</c:v>
                </c:pt>
                <c:pt idx="142">
                  <c:v>4.3676406187047837E-2</c:v>
                </c:pt>
                <c:pt idx="143">
                  <c:v>4.4208849339424185E-2</c:v>
                </c:pt>
                <c:pt idx="144">
                  <c:v>4.2069667415968987E-2</c:v>
                </c:pt>
                <c:pt idx="145">
                  <c:v>4.1843806135747244E-2</c:v>
                </c:pt>
                <c:pt idx="146">
                  <c:v>4.3167598556161084E-2</c:v>
                </c:pt>
                <c:pt idx="147">
                  <c:v>4.4913945791215673E-2</c:v>
                </c:pt>
                <c:pt idx="148">
                  <c:v>4.3817933439384546E-2</c:v>
                </c:pt>
                <c:pt idx="149">
                  <c:v>4.2992093441150042E-2</c:v>
                </c:pt>
                <c:pt idx="150">
                  <c:v>4.1478350965208854E-2</c:v>
                </c:pt>
                <c:pt idx="151">
                  <c:v>4.0612349194181316E-2</c:v>
                </c:pt>
                <c:pt idx="152">
                  <c:v>3.9965652872417039E-2</c:v>
                </c:pt>
                <c:pt idx="153">
                  <c:v>3.8508325280606555E-2</c:v>
                </c:pt>
                <c:pt idx="154">
                  <c:v>3.84907299304161E-2</c:v>
                </c:pt>
                <c:pt idx="155">
                  <c:v>3.8216391537069849E-2</c:v>
                </c:pt>
                <c:pt idx="156">
                  <c:v>3.7874852642995234E-2</c:v>
                </c:pt>
                <c:pt idx="157">
                  <c:v>3.8262054114783263E-2</c:v>
                </c:pt>
                <c:pt idx="158">
                  <c:v>3.7918368113248287E-2</c:v>
                </c:pt>
                <c:pt idx="159">
                  <c:v>3.7154346957034894E-2</c:v>
                </c:pt>
                <c:pt idx="160">
                  <c:v>3.6851085243348965E-2</c:v>
                </c:pt>
                <c:pt idx="161">
                  <c:v>3.3629741199651397E-2</c:v>
                </c:pt>
                <c:pt idx="162">
                  <c:v>3.3899644066325202E-2</c:v>
                </c:pt>
                <c:pt idx="163">
                  <c:v>3.3329601106037443E-2</c:v>
                </c:pt>
                <c:pt idx="164">
                  <c:v>3.3282860002747737E-2</c:v>
                </c:pt>
                <c:pt idx="165">
                  <c:v>3.1744278212622608E-2</c:v>
                </c:pt>
                <c:pt idx="166">
                  <c:v>3.1263399311960913E-2</c:v>
                </c:pt>
                <c:pt idx="167">
                  <c:v>3.2150498858035823E-2</c:v>
                </c:pt>
                <c:pt idx="168">
                  <c:v>3.1815033920206751E-2</c:v>
                </c:pt>
                <c:pt idx="169">
                  <c:v>3.360916958313695E-2</c:v>
                </c:pt>
                <c:pt idx="170">
                  <c:v>3.3326113674369877E-2</c:v>
                </c:pt>
                <c:pt idx="171">
                  <c:v>3.2924035021557219E-2</c:v>
                </c:pt>
                <c:pt idx="172">
                  <c:v>3.1659701431534633E-2</c:v>
                </c:pt>
                <c:pt idx="173">
                  <c:v>3.0923873481314399E-2</c:v>
                </c:pt>
                <c:pt idx="174">
                  <c:v>3.1472832896685274E-2</c:v>
                </c:pt>
                <c:pt idx="175">
                  <c:v>3.3118621049882474E-2</c:v>
                </c:pt>
                <c:pt idx="176">
                  <c:v>3.1320760660695349E-2</c:v>
                </c:pt>
                <c:pt idx="177">
                  <c:v>3.2563283465646117E-2</c:v>
                </c:pt>
                <c:pt idx="178">
                  <c:v>3.7075070745327579E-2</c:v>
                </c:pt>
                <c:pt idx="179">
                  <c:v>3.7757036939833344E-2</c:v>
                </c:pt>
                <c:pt idx="180">
                  <c:v>3.9275730342040766E-2</c:v>
                </c:pt>
                <c:pt idx="181">
                  <c:v>3.9719452332210706E-2</c:v>
                </c:pt>
                <c:pt idx="182">
                  <c:v>3.9363931375915116E-2</c:v>
                </c:pt>
                <c:pt idx="183">
                  <c:v>3.9150857668532706E-2</c:v>
                </c:pt>
                <c:pt idx="184">
                  <c:v>3.6823973412944293E-2</c:v>
                </c:pt>
                <c:pt idx="185">
                  <c:v>3.532728173709343E-2</c:v>
                </c:pt>
                <c:pt idx="186">
                  <c:v>3.5174656599654325E-2</c:v>
                </c:pt>
                <c:pt idx="187">
                  <c:v>3.4759717274008228E-2</c:v>
                </c:pt>
                <c:pt idx="188">
                  <c:v>3.3287955699123212E-2</c:v>
                </c:pt>
                <c:pt idx="189">
                  <c:v>3.1110789098454727E-2</c:v>
                </c:pt>
                <c:pt idx="190">
                  <c:v>3.1110335682880869E-2</c:v>
                </c:pt>
                <c:pt idx="191">
                  <c:v>3.0515112517825467E-2</c:v>
                </c:pt>
                <c:pt idx="192">
                  <c:v>3.1217714750668372E-2</c:v>
                </c:pt>
                <c:pt idx="193">
                  <c:v>3.428018001299063E-2</c:v>
                </c:pt>
                <c:pt idx="194">
                  <c:v>3.2317124243834344E-2</c:v>
                </c:pt>
                <c:pt idx="195">
                  <c:v>3.0914090072343969E-2</c:v>
                </c:pt>
                <c:pt idx="196">
                  <c:v>3.1406025317649279E-2</c:v>
                </c:pt>
                <c:pt idx="197">
                  <c:v>3.0654088785046728E-2</c:v>
                </c:pt>
                <c:pt idx="198">
                  <c:v>2.9468023904288917E-2</c:v>
                </c:pt>
                <c:pt idx="199">
                  <c:v>3.1434798057562476E-2</c:v>
                </c:pt>
                <c:pt idx="200">
                  <c:v>3.0206961318085639E-2</c:v>
                </c:pt>
                <c:pt idx="201">
                  <c:v>2.8109725626442664E-2</c:v>
                </c:pt>
                <c:pt idx="202">
                  <c:v>2.7146858458543997E-2</c:v>
                </c:pt>
                <c:pt idx="203">
                  <c:v>2.566697005874774E-2</c:v>
                </c:pt>
                <c:pt idx="204">
                  <c:v>2.5382211225419976E-2</c:v>
                </c:pt>
                <c:pt idx="205">
                  <c:v>2.4588051726991182E-2</c:v>
                </c:pt>
                <c:pt idx="206">
                  <c:v>2.4113564892535407E-2</c:v>
                </c:pt>
                <c:pt idx="207">
                  <c:v>2.3992381272832149E-2</c:v>
                </c:pt>
                <c:pt idx="208">
                  <c:v>2.4723468403280269E-2</c:v>
                </c:pt>
                <c:pt idx="209">
                  <c:v>2.5495202629759465E-2</c:v>
                </c:pt>
                <c:pt idx="210">
                  <c:v>2.8333167156887183E-2</c:v>
                </c:pt>
                <c:pt idx="211">
                  <c:v>3.4995209037268646E-2</c:v>
                </c:pt>
                <c:pt idx="212">
                  <c:v>4.4164910263779777E-2</c:v>
                </c:pt>
                <c:pt idx="213">
                  <c:v>4.186718568740172E-2</c:v>
                </c:pt>
                <c:pt idx="214">
                  <c:v>4.4235883823415714E-2</c:v>
                </c:pt>
                <c:pt idx="215">
                  <c:v>4.4780481507777706E-2</c:v>
                </c:pt>
                <c:pt idx="216">
                  <c:v>4.4232811083775733E-2</c:v>
                </c:pt>
                <c:pt idx="217">
                  <c:v>4.2707527406855246E-2</c:v>
                </c:pt>
                <c:pt idx="218">
                  <c:v>4.5183686136578173E-2</c:v>
                </c:pt>
                <c:pt idx="219">
                  <c:v>4.962533064866359E-2</c:v>
                </c:pt>
                <c:pt idx="220">
                  <c:v>4.8650245518783185E-2</c:v>
                </c:pt>
                <c:pt idx="221">
                  <c:v>4.7268276458458061E-2</c:v>
                </c:pt>
                <c:pt idx="222">
                  <c:v>5.0962341411022356E-2</c:v>
                </c:pt>
                <c:pt idx="223">
                  <c:v>5.1016185346577529E-2</c:v>
                </c:pt>
                <c:pt idx="224">
                  <c:v>4.8676227397186002E-2</c:v>
                </c:pt>
                <c:pt idx="225">
                  <c:v>4.9270742714223575E-2</c:v>
                </c:pt>
                <c:pt idx="226">
                  <c:v>5.7060266388949794E-2</c:v>
                </c:pt>
                <c:pt idx="227">
                  <c:v>5.5995722628938059E-2</c:v>
                </c:pt>
                <c:pt idx="228">
                  <c:v>5.2731235000413781E-2</c:v>
                </c:pt>
                <c:pt idx="229">
                  <c:v>4.6822978688457272E-2</c:v>
                </c:pt>
                <c:pt idx="230">
                  <c:v>4.4027408269593171E-2</c:v>
                </c:pt>
                <c:pt idx="231">
                  <c:v>4.5115890318593019E-2</c:v>
                </c:pt>
                <c:pt idx="232">
                  <c:v>4.3831487709127752E-2</c:v>
                </c:pt>
                <c:pt idx="233">
                  <c:v>4.2664941057310862E-2</c:v>
                </c:pt>
                <c:pt idx="234">
                  <c:v>4.1926582026529421E-2</c:v>
                </c:pt>
                <c:pt idx="235">
                  <c:v>3.8404487289837606E-2</c:v>
                </c:pt>
                <c:pt idx="236">
                  <c:v>3.7785299806576404E-2</c:v>
                </c:pt>
                <c:pt idx="237">
                  <c:v>3.6139242340801715E-2</c:v>
                </c:pt>
                <c:pt idx="238">
                  <c:v>3.7206760743507393E-2</c:v>
                </c:pt>
                <c:pt idx="239">
                  <c:v>3.6666423676920835E-2</c:v>
                </c:pt>
                <c:pt idx="240">
                  <c:v>3.7560688884970314E-2</c:v>
                </c:pt>
                <c:pt idx="241">
                  <c:v>3.8615366691908896E-2</c:v>
                </c:pt>
                <c:pt idx="242">
                  <c:v>3.8124706020696141E-2</c:v>
                </c:pt>
                <c:pt idx="243">
                  <c:v>3.7086800190181859E-2</c:v>
                </c:pt>
                <c:pt idx="244">
                  <c:v>3.8104424251452405E-2</c:v>
                </c:pt>
                <c:pt idx="245">
                  <c:v>3.6351695483179201E-2</c:v>
                </c:pt>
                <c:pt idx="246">
                  <c:v>3.6464954288202005E-2</c:v>
                </c:pt>
                <c:pt idx="247">
                  <c:v>3.6232194915638262E-2</c:v>
                </c:pt>
                <c:pt idx="248">
                  <c:v>3.7108168774835443E-2</c:v>
                </c:pt>
                <c:pt idx="249">
                  <c:v>3.5268476322567861E-2</c:v>
                </c:pt>
                <c:pt idx="250">
                  <c:v>3.5733845306572025E-2</c:v>
                </c:pt>
                <c:pt idx="251">
                  <c:v>3.4391954093531359E-2</c:v>
                </c:pt>
                <c:pt idx="252">
                  <c:v>3.3934575825535537E-2</c:v>
                </c:pt>
                <c:pt idx="253">
                  <c:v>3.3379948728182611E-2</c:v>
                </c:pt>
                <c:pt idx="254">
                  <c:v>3.5058256327842506E-2</c:v>
                </c:pt>
                <c:pt idx="255">
                  <c:v>3.4803799245141771E-2</c:v>
                </c:pt>
                <c:pt idx="256">
                  <c:v>3.4337727166367675E-2</c:v>
                </c:pt>
                <c:pt idx="257">
                  <c:v>3.3712908873979271E-2</c:v>
                </c:pt>
                <c:pt idx="258">
                  <c:v>3.2910460564280923E-2</c:v>
                </c:pt>
                <c:pt idx="259">
                  <c:v>3.1121642225051475E-2</c:v>
                </c:pt>
                <c:pt idx="260">
                  <c:v>3.0542667444684507E-2</c:v>
                </c:pt>
                <c:pt idx="261">
                  <c:v>2.977568523010098E-2</c:v>
                </c:pt>
                <c:pt idx="262">
                  <c:v>2.9883865220019727E-2</c:v>
                </c:pt>
                <c:pt idx="263">
                  <c:v>3.0889621349638546E-2</c:v>
                </c:pt>
                <c:pt idx="264">
                  <c:v>3.0979687075482251E-2</c:v>
                </c:pt>
                <c:pt idx="265">
                  <c:v>3.1837081171119226E-2</c:v>
                </c:pt>
                <c:pt idx="266">
                  <c:v>3.0996680968185867E-2</c:v>
                </c:pt>
                <c:pt idx="267">
                  <c:v>3.1238907569917165E-2</c:v>
                </c:pt>
                <c:pt idx="268">
                  <c:v>3.1230566317698459E-2</c:v>
                </c:pt>
                <c:pt idx="269">
                  <c:v>2.9722527067533703E-2</c:v>
                </c:pt>
                <c:pt idx="270">
                  <c:v>3.0013479082764857E-2</c:v>
                </c:pt>
                <c:pt idx="271">
                  <c:v>2.8973855021718665E-2</c:v>
                </c:pt>
                <c:pt idx="272">
                  <c:v>2.820004282866885E-2</c:v>
                </c:pt>
                <c:pt idx="273">
                  <c:v>2.7417926601292185E-2</c:v>
                </c:pt>
                <c:pt idx="274">
                  <c:v>2.8870516576460267E-2</c:v>
                </c:pt>
                <c:pt idx="275">
                  <c:v>2.8053846795032093E-2</c:v>
                </c:pt>
                <c:pt idx="276">
                  <c:v>2.5861343830961274E-2</c:v>
                </c:pt>
                <c:pt idx="277">
                  <c:v>2.4092881652425485E-2</c:v>
                </c:pt>
                <c:pt idx="278">
                  <c:v>2.4496875636758814E-2</c:v>
                </c:pt>
                <c:pt idx="279">
                  <c:v>2.4108432701381143E-2</c:v>
                </c:pt>
                <c:pt idx="280">
                  <c:v>2.4373136129354777E-2</c:v>
                </c:pt>
                <c:pt idx="281">
                  <c:v>2.3995698184633915E-2</c:v>
                </c:pt>
                <c:pt idx="282">
                  <c:v>2.4193307776370795E-2</c:v>
                </c:pt>
                <c:pt idx="283">
                  <c:v>2.4358650011419736E-2</c:v>
                </c:pt>
                <c:pt idx="284">
                  <c:v>2.4077376213978666E-2</c:v>
                </c:pt>
                <c:pt idx="285">
                  <c:v>2.4722123516452279E-2</c:v>
                </c:pt>
                <c:pt idx="286">
                  <c:v>2.5764031868230237E-2</c:v>
                </c:pt>
                <c:pt idx="287">
                  <c:v>2.7769721891570176E-2</c:v>
                </c:pt>
                <c:pt idx="288">
                  <c:v>2.8656884465913631E-2</c:v>
                </c:pt>
                <c:pt idx="289">
                  <c:v>2.8712320854842786E-2</c:v>
                </c:pt>
                <c:pt idx="290">
                  <c:v>2.8969616908850727E-2</c:v>
                </c:pt>
                <c:pt idx="291">
                  <c:v>2.8286533265171984E-2</c:v>
                </c:pt>
                <c:pt idx="292">
                  <c:v>2.9481842500641283E-2</c:v>
                </c:pt>
                <c:pt idx="293">
                  <c:v>2.9328350025586664E-2</c:v>
                </c:pt>
                <c:pt idx="294">
                  <c:v>2.9572475192432533E-2</c:v>
                </c:pt>
                <c:pt idx="295">
                  <c:v>2.8595263118384506E-2</c:v>
                </c:pt>
                <c:pt idx="296">
                  <c:v>2.9556828177343588E-2</c:v>
                </c:pt>
                <c:pt idx="297">
                  <c:v>3.2364095114305373E-2</c:v>
                </c:pt>
                <c:pt idx="298">
                  <c:v>3.3427642088650233E-2</c:v>
                </c:pt>
                <c:pt idx="299">
                  <c:v>3.4755472121693019E-2</c:v>
                </c:pt>
                <c:pt idx="300">
                  <c:v>3.5782343511748839E-2</c:v>
                </c:pt>
                <c:pt idx="301">
                  <c:v>3.4012438675783213E-2</c:v>
                </c:pt>
                <c:pt idx="302">
                  <c:v>3.4265859013565436E-2</c:v>
                </c:pt>
                <c:pt idx="303">
                  <c:v>3.96908738949091E-2</c:v>
                </c:pt>
                <c:pt idx="304">
                  <c:v>4.189156094427493E-2</c:v>
                </c:pt>
                <c:pt idx="305">
                  <c:v>4.2454848148521844E-2</c:v>
                </c:pt>
                <c:pt idx="306">
                  <c:v>4.8708746212431417E-2</c:v>
                </c:pt>
                <c:pt idx="307">
                  <c:v>5.1682489342861258E-2</c:v>
                </c:pt>
                <c:pt idx="308">
                  <c:v>5.5805039239983478E-2</c:v>
                </c:pt>
                <c:pt idx="309">
                  <c:v>5.5169357523302265E-2</c:v>
                </c:pt>
                <c:pt idx="310">
                  <c:v>5.5223108654228699E-2</c:v>
                </c:pt>
                <c:pt idx="311">
                  <c:v>5.5566971320516863E-2</c:v>
                </c:pt>
                <c:pt idx="312">
                  <c:v>5.4257831478000042E-2</c:v>
                </c:pt>
                <c:pt idx="313">
                  <c:v>5.5892838571458284E-2</c:v>
                </c:pt>
                <c:pt idx="314">
                  <c:v>6.330905943937859E-2</c:v>
                </c:pt>
                <c:pt idx="315">
                  <c:v>6.0781026112620033E-2</c:v>
                </c:pt>
                <c:pt idx="316">
                  <c:v>5.5714377406931963E-2</c:v>
                </c:pt>
                <c:pt idx="317">
                  <c:v>5.1859702516181577E-2</c:v>
                </c:pt>
                <c:pt idx="318">
                  <c:v>4.7340070260658368E-2</c:v>
                </c:pt>
                <c:pt idx="319">
                  <c:v>4.2452632269061825E-2</c:v>
                </c:pt>
                <c:pt idx="320">
                  <c:v>4.1662860656097665E-2</c:v>
                </c:pt>
                <c:pt idx="321">
                  <c:v>4.1321469474055149E-2</c:v>
                </c:pt>
                <c:pt idx="322">
                  <c:v>4.1920805220661432E-2</c:v>
                </c:pt>
                <c:pt idx="323">
                  <c:v>4.1750823026959691E-2</c:v>
                </c:pt>
                <c:pt idx="324">
                  <c:v>4.2543898942841787E-2</c:v>
                </c:pt>
                <c:pt idx="325">
                  <c:v>4.0942893316452324E-2</c:v>
                </c:pt>
                <c:pt idx="326">
                  <c:v>3.7299044028544497E-2</c:v>
                </c:pt>
                <c:pt idx="327">
                  <c:v>3.6863912020275162E-2</c:v>
                </c:pt>
                <c:pt idx="328">
                  <c:v>3.6808544411437903E-2</c:v>
                </c:pt>
                <c:pt idx="329">
                  <c:v>3.3789545454545454E-2</c:v>
                </c:pt>
                <c:pt idx="330">
                  <c:v>3.4213105701532374E-2</c:v>
                </c:pt>
                <c:pt idx="331">
                  <c:v>3.224956308982873E-2</c:v>
                </c:pt>
                <c:pt idx="332">
                  <c:v>3.3973674932424494E-2</c:v>
                </c:pt>
                <c:pt idx="333">
                  <c:v>3.6935525910480299E-2</c:v>
                </c:pt>
                <c:pt idx="334">
                  <c:v>3.8390727845082517E-2</c:v>
                </c:pt>
                <c:pt idx="335">
                  <c:v>3.6975279068653277E-2</c:v>
                </c:pt>
                <c:pt idx="336">
                  <c:v>3.6267615830115833E-2</c:v>
                </c:pt>
                <c:pt idx="337">
                  <c:v>3.5114501988214433E-2</c:v>
                </c:pt>
                <c:pt idx="338">
                  <c:v>3.5466272962703001E-2</c:v>
                </c:pt>
                <c:pt idx="339">
                  <c:v>3.4638366706698363E-2</c:v>
                </c:pt>
                <c:pt idx="340">
                  <c:v>3.2716799999999997E-2</c:v>
                </c:pt>
                <c:pt idx="341">
                  <c:v>3.2443096347808932E-2</c:v>
                </c:pt>
                <c:pt idx="342">
                  <c:v>3.3054683998207081E-2</c:v>
                </c:pt>
                <c:pt idx="343">
                  <c:v>3.3815498340541081E-2</c:v>
                </c:pt>
                <c:pt idx="344">
                  <c:v>3.3311119525432288E-2</c:v>
                </c:pt>
                <c:pt idx="345">
                  <c:v>3.146918951735303E-2</c:v>
                </c:pt>
                <c:pt idx="346">
                  <c:v>3.0902130917442899E-2</c:v>
                </c:pt>
                <c:pt idx="347">
                  <c:v>3.0476471342479806E-2</c:v>
                </c:pt>
                <c:pt idx="348">
                  <c:v>2.8711686566392721E-2</c:v>
                </c:pt>
                <c:pt idx="349">
                  <c:v>2.633125944132934E-2</c:v>
                </c:pt>
                <c:pt idx="350">
                  <c:v>2.7066766497986162E-2</c:v>
                </c:pt>
                <c:pt idx="351">
                  <c:v>2.7088211519908215E-2</c:v>
                </c:pt>
                <c:pt idx="352">
                  <c:v>2.6914181534053915E-2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2C9-434A-8331-CE945E88D2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11339136"/>
        <c:axId val="411340576"/>
      </c:lineChart>
      <c:lineChart>
        <c:grouping val="standard"/>
        <c:varyColors val="0"/>
        <c:ser>
          <c:idx val="1"/>
          <c:order val="1"/>
          <c:tx>
            <c:strRef>
              <c:f>'Customer Margin Balances'!$T$1</c:f>
              <c:strCache>
                <c:ptCount val="1"/>
                <c:pt idx="0">
                  <c:v>S&amp;P 500 FwdRtn (21M)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'Customer Margin Balances'!$G$2:$G$1354</c:f>
              <c:numCache>
                <c:formatCode>m/d/yyyy</c:formatCode>
                <c:ptCount val="1353"/>
                <c:pt idx="0">
                  <c:v>46173</c:v>
                </c:pt>
                <c:pt idx="1">
                  <c:v>46142</c:v>
                </c:pt>
                <c:pt idx="2">
                  <c:v>46112</c:v>
                </c:pt>
                <c:pt idx="3">
                  <c:v>46081</c:v>
                </c:pt>
                <c:pt idx="4">
                  <c:v>46053</c:v>
                </c:pt>
                <c:pt idx="5">
                  <c:v>46022</c:v>
                </c:pt>
                <c:pt idx="6">
                  <c:v>45991</c:v>
                </c:pt>
                <c:pt idx="7">
                  <c:v>45961</c:v>
                </c:pt>
                <c:pt idx="8">
                  <c:v>45930</c:v>
                </c:pt>
                <c:pt idx="9">
                  <c:v>45900</c:v>
                </c:pt>
                <c:pt idx="10">
                  <c:v>45869</c:v>
                </c:pt>
                <c:pt idx="11">
                  <c:v>45838</c:v>
                </c:pt>
                <c:pt idx="12">
                  <c:v>45808</c:v>
                </c:pt>
                <c:pt idx="13">
                  <c:v>45777</c:v>
                </c:pt>
                <c:pt idx="14">
                  <c:v>45747</c:v>
                </c:pt>
                <c:pt idx="15">
                  <c:v>45716</c:v>
                </c:pt>
                <c:pt idx="16">
                  <c:v>45688</c:v>
                </c:pt>
                <c:pt idx="17">
                  <c:v>45657</c:v>
                </c:pt>
                <c:pt idx="18">
                  <c:v>45626</c:v>
                </c:pt>
                <c:pt idx="19">
                  <c:v>45596</c:v>
                </c:pt>
                <c:pt idx="20">
                  <c:v>45565</c:v>
                </c:pt>
                <c:pt idx="21">
                  <c:v>45535</c:v>
                </c:pt>
                <c:pt idx="22">
                  <c:v>45504</c:v>
                </c:pt>
                <c:pt idx="23">
                  <c:v>45473</c:v>
                </c:pt>
                <c:pt idx="24">
                  <c:v>45443</c:v>
                </c:pt>
                <c:pt idx="25">
                  <c:v>45412</c:v>
                </c:pt>
                <c:pt idx="26">
                  <c:v>45382</c:v>
                </c:pt>
                <c:pt idx="27">
                  <c:v>45351</c:v>
                </c:pt>
                <c:pt idx="28">
                  <c:v>45322</c:v>
                </c:pt>
                <c:pt idx="29">
                  <c:v>45291</c:v>
                </c:pt>
                <c:pt idx="30">
                  <c:v>45260</c:v>
                </c:pt>
                <c:pt idx="31">
                  <c:v>45230</c:v>
                </c:pt>
                <c:pt idx="32">
                  <c:v>45199</c:v>
                </c:pt>
                <c:pt idx="33">
                  <c:v>45169</c:v>
                </c:pt>
                <c:pt idx="34">
                  <c:v>45138</c:v>
                </c:pt>
                <c:pt idx="35">
                  <c:v>45107</c:v>
                </c:pt>
                <c:pt idx="36">
                  <c:v>45077</c:v>
                </c:pt>
                <c:pt idx="37">
                  <c:v>45046</c:v>
                </c:pt>
                <c:pt idx="38">
                  <c:v>45016</c:v>
                </c:pt>
                <c:pt idx="39">
                  <c:v>44985</c:v>
                </c:pt>
                <c:pt idx="40">
                  <c:v>44957</c:v>
                </c:pt>
                <c:pt idx="41">
                  <c:v>44926</c:v>
                </c:pt>
                <c:pt idx="42">
                  <c:v>44895</c:v>
                </c:pt>
                <c:pt idx="43">
                  <c:v>44865</c:v>
                </c:pt>
                <c:pt idx="44">
                  <c:v>44834</c:v>
                </c:pt>
                <c:pt idx="45">
                  <c:v>44804</c:v>
                </c:pt>
                <c:pt idx="46">
                  <c:v>44773</c:v>
                </c:pt>
                <c:pt idx="47">
                  <c:v>44742</c:v>
                </c:pt>
                <c:pt idx="48">
                  <c:v>44712</c:v>
                </c:pt>
                <c:pt idx="49">
                  <c:v>44681</c:v>
                </c:pt>
                <c:pt idx="50">
                  <c:v>44651</c:v>
                </c:pt>
                <c:pt idx="51">
                  <c:v>44620</c:v>
                </c:pt>
                <c:pt idx="52">
                  <c:v>44592</c:v>
                </c:pt>
                <c:pt idx="53">
                  <c:v>44561</c:v>
                </c:pt>
                <c:pt idx="54">
                  <c:v>44530</c:v>
                </c:pt>
                <c:pt idx="55">
                  <c:v>44500</c:v>
                </c:pt>
                <c:pt idx="56">
                  <c:v>44469</c:v>
                </c:pt>
                <c:pt idx="57">
                  <c:v>44439</c:v>
                </c:pt>
                <c:pt idx="58">
                  <c:v>44408</c:v>
                </c:pt>
                <c:pt idx="59">
                  <c:v>44377</c:v>
                </c:pt>
                <c:pt idx="60">
                  <c:v>44347</c:v>
                </c:pt>
                <c:pt idx="61">
                  <c:v>44316</c:v>
                </c:pt>
                <c:pt idx="62">
                  <c:v>44286</c:v>
                </c:pt>
                <c:pt idx="63">
                  <c:v>44255</c:v>
                </c:pt>
                <c:pt idx="64">
                  <c:v>44227</c:v>
                </c:pt>
                <c:pt idx="65">
                  <c:v>44196</c:v>
                </c:pt>
                <c:pt idx="66">
                  <c:v>44165</c:v>
                </c:pt>
                <c:pt idx="67">
                  <c:v>44135</c:v>
                </c:pt>
                <c:pt idx="68">
                  <c:v>44104</c:v>
                </c:pt>
                <c:pt idx="69">
                  <c:v>44074</c:v>
                </c:pt>
                <c:pt idx="70">
                  <c:v>44043</c:v>
                </c:pt>
                <c:pt idx="71">
                  <c:v>44012</c:v>
                </c:pt>
                <c:pt idx="72">
                  <c:v>43982</c:v>
                </c:pt>
                <c:pt idx="73">
                  <c:v>43951</c:v>
                </c:pt>
                <c:pt idx="74">
                  <c:v>43921</c:v>
                </c:pt>
                <c:pt idx="75">
                  <c:v>43890</c:v>
                </c:pt>
                <c:pt idx="76">
                  <c:v>43861</c:v>
                </c:pt>
                <c:pt idx="77">
                  <c:v>43830</c:v>
                </c:pt>
                <c:pt idx="78">
                  <c:v>43799</c:v>
                </c:pt>
                <c:pt idx="79">
                  <c:v>43769</c:v>
                </c:pt>
                <c:pt idx="80">
                  <c:v>43738</c:v>
                </c:pt>
                <c:pt idx="81">
                  <c:v>43708</c:v>
                </c:pt>
                <c:pt idx="82">
                  <c:v>43677</c:v>
                </c:pt>
                <c:pt idx="83">
                  <c:v>43646</c:v>
                </c:pt>
                <c:pt idx="84">
                  <c:v>43616</c:v>
                </c:pt>
                <c:pt idx="85">
                  <c:v>43585</c:v>
                </c:pt>
                <c:pt idx="86">
                  <c:v>43555</c:v>
                </c:pt>
                <c:pt idx="87">
                  <c:v>43524</c:v>
                </c:pt>
                <c:pt idx="88">
                  <c:v>43496</c:v>
                </c:pt>
                <c:pt idx="89">
                  <c:v>43465</c:v>
                </c:pt>
                <c:pt idx="90">
                  <c:v>43434</c:v>
                </c:pt>
                <c:pt idx="91">
                  <c:v>43404</c:v>
                </c:pt>
                <c:pt idx="92">
                  <c:v>43373</c:v>
                </c:pt>
                <c:pt idx="93">
                  <c:v>43343</c:v>
                </c:pt>
                <c:pt idx="94">
                  <c:v>43312</c:v>
                </c:pt>
                <c:pt idx="95">
                  <c:v>43281</c:v>
                </c:pt>
                <c:pt idx="96">
                  <c:v>43251</c:v>
                </c:pt>
                <c:pt idx="97">
                  <c:v>43220</c:v>
                </c:pt>
                <c:pt idx="98">
                  <c:v>43190</c:v>
                </c:pt>
                <c:pt idx="99">
                  <c:v>43159</c:v>
                </c:pt>
                <c:pt idx="100">
                  <c:v>43131</c:v>
                </c:pt>
                <c:pt idx="101">
                  <c:v>43100</c:v>
                </c:pt>
                <c:pt idx="102">
                  <c:v>43069</c:v>
                </c:pt>
                <c:pt idx="103">
                  <c:v>43039</c:v>
                </c:pt>
                <c:pt idx="104">
                  <c:v>43008</c:v>
                </c:pt>
                <c:pt idx="105">
                  <c:v>42978</c:v>
                </c:pt>
                <c:pt idx="106">
                  <c:v>42947</c:v>
                </c:pt>
                <c:pt idx="107">
                  <c:v>42916</c:v>
                </c:pt>
                <c:pt idx="108">
                  <c:v>42886</c:v>
                </c:pt>
                <c:pt idx="109">
                  <c:v>42855</c:v>
                </c:pt>
                <c:pt idx="110">
                  <c:v>42825</c:v>
                </c:pt>
                <c:pt idx="111">
                  <c:v>42794</c:v>
                </c:pt>
                <c:pt idx="112">
                  <c:v>42766</c:v>
                </c:pt>
                <c:pt idx="113">
                  <c:v>42735</c:v>
                </c:pt>
                <c:pt idx="114">
                  <c:v>42704</c:v>
                </c:pt>
                <c:pt idx="115">
                  <c:v>42674</c:v>
                </c:pt>
                <c:pt idx="116">
                  <c:v>42643</c:v>
                </c:pt>
                <c:pt idx="117">
                  <c:v>42613</c:v>
                </c:pt>
                <c:pt idx="118">
                  <c:v>42582</c:v>
                </c:pt>
                <c:pt idx="119">
                  <c:v>42551</c:v>
                </c:pt>
                <c:pt idx="120">
                  <c:v>42521</c:v>
                </c:pt>
                <c:pt idx="121">
                  <c:v>42490</c:v>
                </c:pt>
                <c:pt idx="122">
                  <c:v>42460</c:v>
                </c:pt>
                <c:pt idx="123">
                  <c:v>42429</c:v>
                </c:pt>
                <c:pt idx="124">
                  <c:v>42400</c:v>
                </c:pt>
                <c:pt idx="125">
                  <c:v>42369</c:v>
                </c:pt>
                <c:pt idx="126">
                  <c:v>42338</c:v>
                </c:pt>
                <c:pt idx="127">
                  <c:v>42308</c:v>
                </c:pt>
                <c:pt idx="128">
                  <c:v>42277</c:v>
                </c:pt>
                <c:pt idx="129">
                  <c:v>42247</c:v>
                </c:pt>
                <c:pt idx="130">
                  <c:v>42216</c:v>
                </c:pt>
                <c:pt idx="131">
                  <c:v>42185</c:v>
                </c:pt>
                <c:pt idx="132">
                  <c:v>42155</c:v>
                </c:pt>
                <c:pt idx="133">
                  <c:v>42124</c:v>
                </c:pt>
                <c:pt idx="134">
                  <c:v>42094</c:v>
                </c:pt>
                <c:pt idx="135">
                  <c:v>42063</c:v>
                </c:pt>
                <c:pt idx="136">
                  <c:v>42035</c:v>
                </c:pt>
                <c:pt idx="137">
                  <c:v>42004</c:v>
                </c:pt>
                <c:pt idx="138">
                  <c:v>41973</c:v>
                </c:pt>
                <c:pt idx="139">
                  <c:v>41943</c:v>
                </c:pt>
                <c:pt idx="140">
                  <c:v>41912</c:v>
                </c:pt>
                <c:pt idx="141">
                  <c:v>41882</c:v>
                </c:pt>
                <c:pt idx="142">
                  <c:v>41851</c:v>
                </c:pt>
                <c:pt idx="143">
                  <c:v>41820</c:v>
                </c:pt>
                <c:pt idx="144">
                  <c:v>41790</c:v>
                </c:pt>
                <c:pt idx="145">
                  <c:v>41759</c:v>
                </c:pt>
                <c:pt idx="146">
                  <c:v>41729</c:v>
                </c:pt>
                <c:pt idx="147">
                  <c:v>41698</c:v>
                </c:pt>
                <c:pt idx="148">
                  <c:v>41670</c:v>
                </c:pt>
                <c:pt idx="149">
                  <c:v>41639</c:v>
                </c:pt>
                <c:pt idx="150">
                  <c:v>41608</c:v>
                </c:pt>
                <c:pt idx="151">
                  <c:v>41578</c:v>
                </c:pt>
                <c:pt idx="152">
                  <c:v>41547</c:v>
                </c:pt>
                <c:pt idx="153">
                  <c:v>41517</c:v>
                </c:pt>
                <c:pt idx="154">
                  <c:v>41486</c:v>
                </c:pt>
                <c:pt idx="155">
                  <c:v>41455</c:v>
                </c:pt>
                <c:pt idx="156">
                  <c:v>41425</c:v>
                </c:pt>
                <c:pt idx="157">
                  <c:v>41394</c:v>
                </c:pt>
                <c:pt idx="158">
                  <c:v>41364</c:v>
                </c:pt>
                <c:pt idx="159">
                  <c:v>41333</c:v>
                </c:pt>
                <c:pt idx="160">
                  <c:v>41305</c:v>
                </c:pt>
                <c:pt idx="161">
                  <c:v>41274</c:v>
                </c:pt>
                <c:pt idx="162">
                  <c:v>41243</c:v>
                </c:pt>
                <c:pt idx="163">
                  <c:v>41213</c:v>
                </c:pt>
                <c:pt idx="164">
                  <c:v>41182</c:v>
                </c:pt>
                <c:pt idx="165">
                  <c:v>41152</c:v>
                </c:pt>
                <c:pt idx="166">
                  <c:v>41121</c:v>
                </c:pt>
                <c:pt idx="167">
                  <c:v>41090</c:v>
                </c:pt>
                <c:pt idx="168">
                  <c:v>41060</c:v>
                </c:pt>
                <c:pt idx="169">
                  <c:v>41029</c:v>
                </c:pt>
                <c:pt idx="170">
                  <c:v>40999</c:v>
                </c:pt>
                <c:pt idx="171">
                  <c:v>40968</c:v>
                </c:pt>
                <c:pt idx="172">
                  <c:v>40939</c:v>
                </c:pt>
                <c:pt idx="173">
                  <c:v>40908</c:v>
                </c:pt>
                <c:pt idx="174">
                  <c:v>40877</c:v>
                </c:pt>
                <c:pt idx="175">
                  <c:v>40847</c:v>
                </c:pt>
                <c:pt idx="176">
                  <c:v>40816</c:v>
                </c:pt>
                <c:pt idx="177">
                  <c:v>40786</c:v>
                </c:pt>
                <c:pt idx="178">
                  <c:v>40755</c:v>
                </c:pt>
                <c:pt idx="179">
                  <c:v>40724</c:v>
                </c:pt>
                <c:pt idx="180">
                  <c:v>40694</c:v>
                </c:pt>
                <c:pt idx="181">
                  <c:v>40663</c:v>
                </c:pt>
                <c:pt idx="182">
                  <c:v>40633</c:v>
                </c:pt>
                <c:pt idx="183">
                  <c:v>40602</c:v>
                </c:pt>
                <c:pt idx="184">
                  <c:v>40574</c:v>
                </c:pt>
                <c:pt idx="185">
                  <c:v>40543</c:v>
                </c:pt>
                <c:pt idx="186">
                  <c:v>40512</c:v>
                </c:pt>
                <c:pt idx="187">
                  <c:v>40482</c:v>
                </c:pt>
                <c:pt idx="188">
                  <c:v>40451</c:v>
                </c:pt>
                <c:pt idx="189">
                  <c:v>40421</c:v>
                </c:pt>
                <c:pt idx="190">
                  <c:v>40390</c:v>
                </c:pt>
                <c:pt idx="191">
                  <c:v>40359</c:v>
                </c:pt>
                <c:pt idx="192">
                  <c:v>40329</c:v>
                </c:pt>
                <c:pt idx="193">
                  <c:v>40298</c:v>
                </c:pt>
                <c:pt idx="194">
                  <c:v>40268</c:v>
                </c:pt>
                <c:pt idx="195">
                  <c:v>40237</c:v>
                </c:pt>
                <c:pt idx="196">
                  <c:v>40209</c:v>
                </c:pt>
                <c:pt idx="197">
                  <c:v>40178</c:v>
                </c:pt>
                <c:pt idx="198">
                  <c:v>40147</c:v>
                </c:pt>
                <c:pt idx="199">
                  <c:v>40117</c:v>
                </c:pt>
                <c:pt idx="200">
                  <c:v>40086</c:v>
                </c:pt>
                <c:pt idx="201">
                  <c:v>40056</c:v>
                </c:pt>
                <c:pt idx="202">
                  <c:v>40025</c:v>
                </c:pt>
                <c:pt idx="203">
                  <c:v>39994</c:v>
                </c:pt>
                <c:pt idx="204">
                  <c:v>39964</c:v>
                </c:pt>
                <c:pt idx="205">
                  <c:v>39933</c:v>
                </c:pt>
                <c:pt idx="206">
                  <c:v>39903</c:v>
                </c:pt>
                <c:pt idx="207">
                  <c:v>39872</c:v>
                </c:pt>
                <c:pt idx="208">
                  <c:v>39844</c:v>
                </c:pt>
                <c:pt idx="209">
                  <c:v>39813</c:v>
                </c:pt>
                <c:pt idx="210">
                  <c:v>39782</c:v>
                </c:pt>
                <c:pt idx="211">
                  <c:v>39752</c:v>
                </c:pt>
                <c:pt idx="212">
                  <c:v>39721</c:v>
                </c:pt>
                <c:pt idx="213">
                  <c:v>39691</c:v>
                </c:pt>
                <c:pt idx="214">
                  <c:v>39660</c:v>
                </c:pt>
                <c:pt idx="215">
                  <c:v>39629</c:v>
                </c:pt>
                <c:pt idx="216">
                  <c:v>39599</c:v>
                </c:pt>
                <c:pt idx="217">
                  <c:v>39568</c:v>
                </c:pt>
                <c:pt idx="218">
                  <c:v>39538</c:v>
                </c:pt>
                <c:pt idx="219">
                  <c:v>39507</c:v>
                </c:pt>
                <c:pt idx="220">
                  <c:v>39478</c:v>
                </c:pt>
                <c:pt idx="221">
                  <c:v>39447</c:v>
                </c:pt>
                <c:pt idx="222">
                  <c:v>39416</c:v>
                </c:pt>
                <c:pt idx="223">
                  <c:v>39386</c:v>
                </c:pt>
                <c:pt idx="224">
                  <c:v>39355</c:v>
                </c:pt>
                <c:pt idx="225">
                  <c:v>39325</c:v>
                </c:pt>
                <c:pt idx="226">
                  <c:v>39294</c:v>
                </c:pt>
                <c:pt idx="227">
                  <c:v>39263</c:v>
                </c:pt>
                <c:pt idx="228">
                  <c:v>39233</c:v>
                </c:pt>
                <c:pt idx="229">
                  <c:v>39202</c:v>
                </c:pt>
                <c:pt idx="230">
                  <c:v>39172</c:v>
                </c:pt>
                <c:pt idx="231">
                  <c:v>39141</c:v>
                </c:pt>
                <c:pt idx="232">
                  <c:v>39113</c:v>
                </c:pt>
                <c:pt idx="233">
                  <c:v>39082</c:v>
                </c:pt>
                <c:pt idx="234">
                  <c:v>39051</c:v>
                </c:pt>
                <c:pt idx="235">
                  <c:v>39021</c:v>
                </c:pt>
                <c:pt idx="236">
                  <c:v>38990</c:v>
                </c:pt>
                <c:pt idx="237">
                  <c:v>38960</c:v>
                </c:pt>
                <c:pt idx="238">
                  <c:v>38929</c:v>
                </c:pt>
                <c:pt idx="239">
                  <c:v>38898</c:v>
                </c:pt>
                <c:pt idx="240">
                  <c:v>38868</c:v>
                </c:pt>
                <c:pt idx="241">
                  <c:v>38837</c:v>
                </c:pt>
                <c:pt idx="242">
                  <c:v>38807</c:v>
                </c:pt>
                <c:pt idx="243">
                  <c:v>38776</c:v>
                </c:pt>
                <c:pt idx="244">
                  <c:v>38748</c:v>
                </c:pt>
                <c:pt idx="245">
                  <c:v>38717</c:v>
                </c:pt>
                <c:pt idx="246">
                  <c:v>38686</c:v>
                </c:pt>
                <c:pt idx="247">
                  <c:v>38656</c:v>
                </c:pt>
                <c:pt idx="248">
                  <c:v>38625</c:v>
                </c:pt>
                <c:pt idx="249">
                  <c:v>38595</c:v>
                </c:pt>
                <c:pt idx="250">
                  <c:v>38564</c:v>
                </c:pt>
                <c:pt idx="251">
                  <c:v>38533</c:v>
                </c:pt>
                <c:pt idx="252">
                  <c:v>38503</c:v>
                </c:pt>
                <c:pt idx="253">
                  <c:v>38472</c:v>
                </c:pt>
                <c:pt idx="254">
                  <c:v>38442</c:v>
                </c:pt>
                <c:pt idx="255">
                  <c:v>38411</c:v>
                </c:pt>
                <c:pt idx="256">
                  <c:v>38383</c:v>
                </c:pt>
                <c:pt idx="257">
                  <c:v>38352</c:v>
                </c:pt>
                <c:pt idx="258">
                  <c:v>38321</c:v>
                </c:pt>
                <c:pt idx="259">
                  <c:v>38291</c:v>
                </c:pt>
                <c:pt idx="260">
                  <c:v>38260</c:v>
                </c:pt>
                <c:pt idx="261">
                  <c:v>38230</c:v>
                </c:pt>
                <c:pt idx="262">
                  <c:v>38199</c:v>
                </c:pt>
                <c:pt idx="263">
                  <c:v>38168</c:v>
                </c:pt>
                <c:pt idx="264">
                  <c:v>38138</c:v>
                </c:pt>
                <c:pt idx="265">
                  <c:v>38107</c:v>
                </c:pt>
                <c:pt idx="266">
                  <c:v>38077</c:v>
                </c:pt>
                <c:pt idx="267">
                  <c:v>38046</c:v>
                </c:pt>
                <c:pt idx="268">
                  <c:v>38017</c:v>
                </c:pt>
                <c:pt idx="269">
                  <c:v>37986</c:v>
                </c:pt>
                <c:pt idx="270">
                  <c:v>37955</c:v>
                </c:pt>
                <c:pt idx="271">
                  <c:v>37925</c:v>
                </c:pt>
                <c:pt idx="272">
                  <c:v>37894</c:v>
                </c:pt>
                <c:pt idx="273">
                  <c:v>37864</c:v>
                </c:pt>
                <c:pt idx="274">
                  <c:v>37833</c:v>
                </c:pt>
                <c:pt idx="275">
                  <c:v>37802</c:v>
                </c:pt>
                <c:pt idx="276">
                  <c:v>37772</c:v>
                </c:pt>
                <c:pt idx="277">
                  <c:v>37741</c:v>
                </c:pt>
                <c:pt idx="278">
                  <c:v>37711</c:v>
                </c:pt>
                <c:pt idx="279">
                  <c:v>37680</c:v>
                </c:pt>
                <c:pt idx="280">
                  <c:v>37652</c:v>
                </c:pt>
                <c:pt idx="281">
                  <c:v>37621</c:v>
                </c:pt>
                <c:pt idx="282">
                  <c:v>37590</c:v>
                </c:pt>
                <c:pt idx="283">
                  <c:v>37560</c:v>
                </c:pt>
                <c:pt idx="284">
                  <c:v>37529</c:v>
                </c:pt>
                <c:pt idx="285">
                  <c:v>37499</c:v>
                </c:pt>
                <c:pt idx="286">
                  <c:v>37468</c:v>
                </c:pt>
                <c:pt idx="287">
                  <c:v>37437</c:v>
                </c:pt>
                <c:pt idx="288">
                  <c:v>37407</c:v>
                </c:pt>
                <c:pt idx="289">
                  <c:v>37376</c:v>
                </c:pt>
                <c:pt idx="290">
                  <c:v>37346</c:v>
                </c:pt>
                <c:pt idx="291">
                  <c:v>37315</c:v>
                </c:pt>
                <c:pt idx="292">
                  <c:v>37287</c:v>
                </c:pt>
                <c:pt idx="293">
                  <c:v>37256</c:v>
                </c:pt>
                <c:pt idx="294">
                  <c:v>37225</c:v>
                </c:pt>
                <c:pt idx="295">
                  <c:v>37195</c:v>
                </c:pt>
                <c:pt idx="296">
                  <c:v>37164</c:v>
                </c:pt>
                <c:pt idx="297">
                  <c:v>37134</c:v>
                </c:pt>
                <c:pt idx="298">
                  <c:v>37103</c:v>
                </c:pt>
                <c:pt idx="299">
                  <c:v>37072</c:v>
                </c:pt>
                <c:pt idx="300">
                  <c:v>37042</c:v>
                </c:pt>
                <c:pt idx="301">
                  <c:v>37011</c:v>
                </c:pt>
                <c:pt idx="302">
                  <c:v>36981</c:v>
                </c:pt>
                <c:pt idx="303">
                  <c:v>36950</c:v>
                </c:pt>
                <c:pt idx="304">
                  <c:v>36922</c:v>
                </c:pt>
                <c:pt idx="305">
                  <c:v>36891</c:v>
                </c:pt>
                <c:pt idx="306">
                  <c:v>36860</c:v>
                </c:pt>
                <c:pt idx="307">
                  <c:v>36830</c:v>
                </c:pt>
                <c:pt idx="308">
                  <c:v>36799</c:v>
                </c:pt>
                <c:pt idx="309">
                  <c:v>36769</c:v>
                </c:pt>
                <c:pt idx="310">
                  <c:v>36738</c:v>
                </c:pt>
                <c:pt idx="311">
                  <c:v>36707</c:v>
                </c:pt>
                <c:pt idx="312">
                  <c:v>36677</c:v>
                </c:pt>
                <c:pt idx="313">
                  <c:v>36646</c:v>
                </c:pt>
                <c:pt idx="314">
                  <c:v>36616</c:v>
                </c:pt>
                <c:pt idx="315">
                  <c:v>36585</c:v>
                </c:pt>
                <c:pt idx="316">
                  <c:v>36556</c:v>
                </c:pt>
                <c:pt idx="317">
                  <c:v>36525</c:v>
                </c:pt>
                <c:pt idx="318">
                  <c:v>36494</c:v>
                </c:pt>
                <c:pt idx="319">
                  <c:v>36464</c:v>
                </c:pt>
                <c:pt idx="320">
                  <c:v>36433</c:v>
                </c:pt>
                <c:pt idx="321">
                  <c:v>36403</c:v>
                </c:pt>
                <c:pt idx="322">
                  <c:v>36372</c:v>
                </c:pt>
                <c:pt idx="323">
                  <c:v>36341</c:v>
                </c:pt>
                <c:pt idx="324">
                  <c:v>36311</c:v>
                </c:pt>
                <c:pt idx="325">
                  <c:v>36280</c:v>
                </c:pt>
                <c:pt idx="326">
                  <c:v>36250</c:v>
                </c:pt>
                <c:pt idx="327">
                  <c:v>36219</c:v>
                </c:pt>
                <c:pt idx="328">
                  <c:v>36191</c:v>
                </c:pt>
                <c:pt idx="329">
                  <c:v>36160</c:v>
                </c:pt>
                <c:pt idx="330">
                  <c:v>36129</c:v>
                </c:pt>
                <c:pt idx="331">
                  <c:v>36099</c:v>
                </c:pt>
                <c:pt idx="332">
                  <c:v>36068</c:v>
                </c:pt>
                <c:pt idx="333">
                  <c:v>36038</c:v>
                </c:pt>
                <c:pt idx="334">
                  <c:v>36007</c:v>
                </c:pt>
                <c:pt idx="335">
                  <c:v>35976</c:v>
                </c:pt>
                <c:pt idx="336">
                  <c:v>35946</c:v>
                </c:pt>
                <c:pt idx="337">
                  <c:v>35915</c:v>
                </c:pt>
                <c:pt idx="338">
                  <c:v>35885</c:v>
                </c:pt>
                <c:pt idx="339">
                  <c:v>35854</c:v>
                </c:pt>
                <c:pt idx="340">
                  <c:v>35826</c:v>
                </c:pt>
                <c:pt idx="341">
                  <c:v>35795</c:v>
                </c:pt>
                <c:pt idx="342">
                  <c:v>35764</c:v>
                </c:pt>
                <c:pt idx="343">
                  <c:v>35734</c:v>
                </c:pt>
                <c:pt idx="344">
                  <c:v>35703</c:v>
                </c:pt>
                <c:pt idx="345">
                  <c:v>35673</c:v>
                </c:pt>
                <c:pt idx="346">
                  <c:v>35642</c:v>
                </c:pt>
                <c:pt idx="347">
                  <c:v>35611</c:v>
                </c:pt>
                <c:pt idx="348">
                  <c:v>35581</c:v>
                </c:pt>
                <c:pt idx="349">
                  <c:v>35550</c:v>
                </c:pt>
                <c:pt idx="350">
                  <c:v>35520</c:v>
                </c:pt>
                <c:pt idx="351">
                  <c:v>35489</c:v>
                </c:pt>
                <c:pt idx="352">
                  <c:v>35461</c:v>
                </c:pt>
              </c:numCache>
            </c:numRef>
          </c:cat>
          <c:val>
            <c:numRef>
              <c:f>'Customer Margin Balances'!$T$2:$T$1354</c:f>
              <c:numCache>
                <c:formatCode>0%</c:formatCode>
                <c:ptCount val="1353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0.34198357056865669</c:v>
                </c:pt>
                <c:pt idx="22">
                  <c:v>0.30543614073846048</c:v>
                </c:pt>
                <c:pt idx="23">
                  <c:v>0.19559452648851394</c:v>
                </c:pt>
                <c:pt idx="24">
                  <c:v>0.30343286890976984</c:v>
                </c:pt>
                <c:pt idx="25">
                  <c:v>0.37797004978463722</c:v>
                </c:pt>
                <c:pt idx="26">
                  <c:v>0.30282527810290505</c:v>
                </c:pt>
                <c:pt idx="27">
                  <c:v>0.34394174562964674</c:v>
                </c:pt>
                <c:pt idx="28">
                  <c:v>0.41161660458349258</c:v>
                </c:pt>
                <c:pt idx="29">
                  <c:v>0.40224284722935622</c:v>
                </c:pt>
                <c:pt idx="30">
                  <c:v>0.41430447918034941</c:v>
                </c:pt>
                <c:pt idx="31">
                  <c:v>0.51160999570794985</c:v>
                </c:pt>
                <c:pt idx="32">
                  <c:v>0.44703303366332015</c:v>
                </c:pt>
                <c:pt idx="33">
                  <c:v>0.31147646450708355</c:v>
                </c:pt>
                <c:pt idx="34">
                  <c:v>0.21357780412119531</c:v>
                </c:pt>
                <c:pt idx="35">
                  <c:v>0.26098220826086771</c:v>
                </c:pt>
                <c:pt idx="36">
                  <c:v>0.42457946854297912</c:v>
                </c:pt>
                <c:pt idx="37">
                  <c:v>0.44874900467204548</c:v>
                </c:pt>
                <c:pt idx="38">
                  <c:v>0.43129381818358792</c:v>
                </c:pt>
                <c:pt idx="39">
                  <c:v>0.51943377454252349</c:v>
                </c:pt>
                <c:pt idx="40">
                  <c:v>0.39956090860030424</c:v>
                </c:pt>
                <c:pt idx="41">
                  <c:v>0.50084125537179314</c:v>
                </c:pt>
                <c:pt idx="42">
                  <c:v>0.38437444088517214</c:v>
                </c:pt>
                <c:pt idx="43">
                  <c:v>0.42622120982029865</c:v>
                </c:pt>
                <c:pt idx="44">
                  <c:v>0.52288307182579286</c:v>
                </c:pt>
                <c:pt idx="45">
                  <c:v>0.33438938053097345</c:v>
                </c:pt>
                <c:pt idx="46">
                  <c:v>0.21920978914313505</c:v>
                </c:pt>
                <c:pt idx="47">
                  <c:v>0.38806407811104826</c:v>
                </c:pt>
                <c:pt idx="48">
                  <c:v>0.23332163643623804</c:v>
                </c:pt>
                <c:pt idx="49">
                  <c:v>0.1727328391332863</c:v>
                </c:pt>
                <c:pt idx="50">
                  <c:v>5.2847314040009641E-2</c:v>
                </c:pt>
                <c:pt idx="51">
                  <c:v>4.4321595632313304E-2</c:v>
                </c:pt>
                <c:pt idx="52">
                  <c:v>-7.1253778609471685E-2</c:v>
                </c:pt>
                <c:pt idx="53">
                  <c:v>-0.1003172351862498</c:v>
                </c:pt>
                <c:pt idx="54">
                  <c:v>-1.2993212174293833E-2</c:v>
                </c:pt>
                <c:pt idx="55">
                  <c:v>-3.5653952551146784E-3</c:v>
                </c:pt>
                <c:pt idx="56">
                  <c:v>3.3160458173342677E-2</c:v>
                </c:pt>
                <c:pt idx="57">
                  <c:v>-7.5806822503471483E-2</c:v>
                </c:pt>
                <c:pt idx="58">
                  <c:v>-5.136897475917257E-2</c:v>
                </c:pt>
                <c:pt idx="59">
                  <c:v>-4.3790575916230257E-2</c:v>
                </c:pt>
                <c:pt idx="60">
                  <c:v>-5.56503041071712E-2</c:v>
                </c:pt>
                <c:pt idx="61">
                  <c:v>-2.5009746075859152E-2</c:v>
                </c:pt>
                <c:pt idx="62">
                  <c:v>-3.3575054934820714E-2</c:v>
                </c:pt>
                <c:pt idx="63">
                  <c:v>7.0571874631016884E-2</c:v>
                </c:pt>
                <c:pt idx="64">
                  <c:v>4.2468984233652085E-2</c:v>
                </c:pt>
                <c:pt idx="65">
                  <c:v>-4.5379878436770382E-2</c:v>
                </c:pt>
                <c:pt idx="66">
                  <c:v>9.2049712422306973E-2</c:v>
                </c:pt>
                <c:pt idx="67">
                  <c:v>0.26310107768902369</c:v>
                </c:pt>
                <c:pt idx="68">
                  <c:v>0.12559619387451693</c:v>
                </c:pt>
                <c:pt idx="69">
                  <c:v>0.1805097262813864</c:v>
                </c:pt>
                <c:pt idx="70">
                  <c:v>0.26315451588446792</c:v>
                </c:pt>
                <c:pt idx="71">
                  <c:v>0.46128587970802726</c:v>
                </c:pt>
                <c:pt idx="72">
                  <c:v>0.43675906855740698</c:v>
                </c:pt>
                <c:pt idx="73">
                  <c:v>0.55044069728714518</c:v>
                </c:pt>
                <c:pt idx="74">
                  <c:v>0.8440758495544749</c:v>
                </c:pt>
                <c:pt idx="75">
                  <c:v>0.54592413564324938</c:v>
                </c:pt>
                <c:pt idx="76">
                  <c:v>0.4277945881594285</c:v>
                </c:pt>
                <c:pt idx="77">
                  <c:v>0.33328174620370299</c:v>
                </c:pt>
                <c:pt idx="78">
                  <c:v>0.43989455520251641</c:v>
                </c:pt>
                <c:pt idx="79">
                  <c:v>0.44697059481952639</c:v>
                </c:pt>
                <c:pt idx="80">
                  <c:v>0.44369343644389514</c:v>
                </c:pt>
                <c:pt idx="81">
                  <c:v>0.43658549920381606</c:v>
                </c:pt>
                <c:pt idx="82">
                  <c:v>0.4028982881377543</c:v>
                </c:pt>
                <c:pt idx="83">
                  <c:v>0.35051465789187408</c:v>
                </c:pt>
                <c:pt idx="84">
                  <c:v>0.38483535969419269</c:v>
                </c:pt>
                <c:pt idx="85">
                  <c:v>0.26084668836966141</c:v>
                </c:pt>
                <c:pt idx="86">
                  <c:v>0.32517287609370582</c:v>
                </c:pt>
                <c:pt idx="87">
                  <c:v>0.30064392402199336</c:v>
                </c:pt>
                <c:pt idx="88">
                  <c:v>0.20926001257349958</c:v>
                </c:pt>
                <c:pt idx="89">
                  <c:v>0.34152422362726131</c:v>
                </c:pt>
                <c:pt idx="90">
                  <c:v>0.26815015017190968</c:v>
                </c:pt>
                <c:pt idx="91">
                  <c:v>0.20628083813344933</c:v>
                </c:pt>
                <c:pt idx="92">
                  <c:v>6.3936609036438163E-2</c:v>
                </c:pt>
                <c:pt idx="93">
                  <c:v>4.9212137086768193E-2</c:v>
                </c:pt>
                <c:pt idx="94">
                  <c:v>3.4137109459608128E-2</c:v>
                </c:pt>
                <c:pt idx="95">
                  <c:v>-4.921331533234985E-2</c:v>
                </c:pt>
                <c:pt idx="96">
                  <c:v>9.2024086320404264E-2</c:v>
                </c:pt>
                <c:pt idx="97">
                  <c:v>0.21807367685655477</c:v>
                </c:pt>
                <c:pt idx="98">
                  <c:v>0.22337714465308789</c:v>
                </c:pt>
                <c:pt idx="99">
                  <c:v>0.15739747883986843</c:v>
                </c:pt>
                <c:pt idx="100">
                  <c:v>7.5695602749476842E-2</c:v>
                </c:pt>
                <c:pt idx="101">
                  <c:v>0.11337854062484798</c:v>
                </c:pt>
                <c:pt idx="102">
                  <c:v>0.10533392758670179</c:v>
                </c:pt>
                <c:pt idx="103">
                  <c:v>0.15731227138230697</c:v>
                </c:pt>
                <c:pt idx="104">
                  <c:v>0.16766162835005716</c:v>
                </c:pt>
                <c:pt idx="105">
                  <c:v>0.11345052899884678</c:v>
                </c:pt>
                <c:pt idx="106">
                  <c:v>0.19249888677488558</c:v>
                </c:pt>
                <c:pt idx="107">
                  <c:v>0.16959160851857513</c:v>
                </c:pt>
                <c:pt idx="108">
                  <c:v>0.15452773861845914</c:v>
                </c:pt>
                <c:pt idx="109">
                  <c:v>0.13417498532002359</c:v>
                </c:pt>
                <c:pt idx="110">
                  <c:v>6.1001726823322278E-2</c:v>
                </c:pt>
                <c:pt idx="111">
                  <c:v>0.16776243421163972</c:v>
                </c:pt>
                <c:pt idx="112">
                  <c:v>0.18994940474884481</c:v>
                </c:pt>
                <c:pt idx="113">
                  <c:v>0.30156376321560829</c:v>
                </c:pt>
                <c:pt idx="114">
                  <c:v>0.31958650360877017</c:v>
                </c:pt>
                <c:pt idx="115">
                  <c:v>0.32459610093361224</c:v>
                </c:pt>
                <c:pt idx="116">
                  <c:v>0.25370456631323579</c:v>
                </c:pt>
                <c:pt idx="117">
                  <c:v>0.2461226651926578</c:v>
                </c:pt>
                <c:pt idx="118">
                  <c:v>0.21827843209422171</c:v>
                </c:pt>
                <c:pt idx="119">
                  <c:v>0.25824018753037348</c:v>
                </c:pt>
                <c:pt idx="120">
                  <c:v>0.29417967199616601</c:v>
                </c:pt>
                <c:pt idx="121">
                  <c:v>0.36726380343731124</c:v>
                </c:pt>
                <c:pt idx="122">
                  <c:v>0.2980327675707104</c:v>
                </c:pt>
                <c:pt idx="123">
                  <c:v>0.37021991520787267</c:v>
                </c:pt>
                <c:pt idx="124">
                  <c:v>0.32728941417649593</c:v>
                </c:pt>
                <c:pt idx="125">
                  <c:v>0.23259981810750108</c:v>
                </c:pt>
                <c:pt idx="126">
                  <c:v>0.18805913469905167</c:v>
                </c:pt>
                <c:pt idx="127">
                  <c:v>0.18800971086380591</c:v>
                </c:pt>
                <c:pt idx="128">
                  <c:v>0.2621729676214799</c:v>
                </c:pt>
                <c:pt idx="129">
                  <c:v>0.22291065436031166</c:v>
                </c:pt>
                <c:pt idx="130">
                  <c:v>0.13326103714968096</c:v>
                </c:pt>
                <c:pt idx="131">
                  <c:v>0.14522244426038933</c:v>
                </c:pt>
                <c:pt idx="132">
                  <c:v>0.12159596490632829</c:v>
                </c:pt>
                <c:pt idx="133">
                  <c:v>9.2715925279164946E-2</c:v>
                </c:pt>
                <c:pt idx="134">
                  <c:v>8.266402772962067E-2</c:v>
                </c:pt>
                <c:pt idx="135">
                  <c:v>4.4813494891898342E-2</c:v>
                </c:pt>
                <c:pt idx="136">
                  <c:v>6.5744695666473341E-2</c:v>
                </c:pt>
                <c:pt idx="137">
                  <c:v>5.3120648328628617E-2</c:v>
                </c:pt>
                <c:pt idx="138">
                  <c:v>5.0005774186105301E-2</c:v>
                </c:pt>
                <c:pt idx="139">
                  <c:v>7.7079332726265992E-2</c:v>
                </c:pt>
                <c:pt idx="140">
                  <c:v>6.4174111530606037E-2</c:v>
                </c:pt>
                <c:pt idx="141">
                  <c:v>4.6711269652022436E-2</c:v>
                </c:pt>
                <c:pt idx="142">
                  <c:v>6.9732270050502532E-2</c:v>
                </c:pt>
                <c:pt idx="143">
                  <c:v>5.0764456598013208E-2</c:v>
                </c:pt>
                <c:pt idx="144">
                  <c:v>4.502063570080761E-3</c:v>
                </c:pt>
                <c:pt idx="145">
                  <c:v>2.9878733788806677E-2</c:v>
                </c:pt>
                <c:pt idx="146">
                  <c:v>9.16500094632966E-2</c:v>
                </c:pt>
                <c:pt idx="147">
                  <c:v>0.11883081918835425</c:v>
                </c:pt>
                <c:pt idx="148">
                  <c:v>0.16648256037108489</c:v>
                </c:pt>
                <c:pt idx="149">
                  <c:v>3.8774938060395447E-2</c:v>
                </c:pt>
                <c:pt idx="150">
                  <c:v>9.2130395622421313E-2</c:v>
                </c:pt>
                <c:pt idx="151">
                  <c:v>0.19771826494400946</c:v>
                </c:pt>
                <c:pt idx="152">
                  <c:v>0.22690972466723247</c:v>
                </c:pt>
                <c:pt idx="153">
                  <c:v>0.29052580903905145</c:v>
                </c:pt>
                <c:pt idx="154">
                  <c:v>0.23715543647488757</c:v>
                </c:pt>
                <c:pt idx="155">
                  <c:v>0.28737819985429391</c:v>
                </c:pt>
                <c:pt idx="156">
                  <c:v>0.29051842268093786</c:v>
                </c:pt>
                <c:pt idx="157">
                  <c:v>0.24876534818927531</c:v>
                </c:pt>
                <c:pt idx="158">
                  <c:v>0.31207819271301229</c:v>
                </c:pt>
                <c:pt idx="159">
                  <c:v>0.36501438275909392</c:v>
                </c:pt>
                <c:pt idx="160">
                  <c:v>0.34706401303008882</c:v>
                </c:pt>
                <c:pt idx="161">
                  <c:v>0.38290839235465723</c:v>
                </c:pt>
                <c:pt idx="162">
                  <c:v>0.41462943915047035</c:v>
                </c:pt>
                <c:pt idx="163">
                  <c:v>0.36717510566486</c:v>
                </c:pt>
                <c:pt idx="164">
                  <c:v>0.36063770375943438</c:v>
                </c:pt>
                <c:pt idx="165">
                  <c:v>0.36755108588670127</c:v>
                </c:pt>
                <c:pt idx="166">
                  <c:v>0.36585420680711755</c:v>
                </c:pt>
                <c:pt idx="167">
                  <c:v>0.3745374396833312</c:v>
                </c:pt>
                <c:pt idx="168">
                  <c:v>0.4190700155940501</c:v>
                </c:pt>
                <c:pt idx="169">
                  <c:v>0.2751821807090431</c:v>
                </c:pt>
                <c:pt idx="170">
                  <c:v>0.31231763814520175</c:v>
                </c:pt>
                <c:pt idx="171">
                  <c:v>0.3222790020889974</c:v>
                </c:pt>
                <c:pt idx="172">
                  <c:v>0.33840796192967959</c:v>
                </c:pt>
                <c:pt idx="173">
                  <c:v>0.33711043374078753</c:v>
                </c:pt>
                <c:pt idx="174">
                  <c:v>0.30956086952094819</c:v>
                </c:pt>
                <c:pt idx="175">
                  <c:v>0.34503304459691631</c:v>
                </c:pt>
                <c:pt idx="176">
                  <c:v>0.41970264526666234</c:v>
                </c:pt>
                <c:pt idx="177">
                  <c:v>0.33788936707692074</c:v>
                </c:pt>
                <c:pt idx="178">
                  <c:v>0.23624130224954887</c:v>
                </c:pt>
                <c:pt idx="179">
                  <c:v>0.18820414647512784</c:v>
                </c:pt>
                <c:pt idx="180">
                  <c:v>0.12598878136400193</c:v>
                </c:pt>
                <c:pt idx="181">
                  <c:v>9.8635241340891078E-2</c:v>
                </c:pt>
                <c:pt idx="182">
                  <c:v>7.5695970582987826E-2</c:v>
                </c:pt>
                <c:pt idx="183">
                  <c:v>6.7027384285584413E-2</c:v>
                </c:pt>
                <c:pt idx="184">
                  <c:v>9.8000217352203878E-2</c:v>
                </c:pt>
                <c:pt idx="185">
                  <c:v>0.14553451477769186</c:v>
                </c:pt>
                <c:pt idx="186">
                  <c:v>0.19146152037428643</c:v>
                </c:pt>
                <c:pt idx="187">
                  <c:v>0.16569472043788203</c:v>
                </c:pt>
                <c:pt idx="188">
                  <c:v>0.19362083110931572</c:v>
                </c:pt>
                <c:pt idx="189">
                  <c:v>0.24873015250733665</c:v>
                </c:pt>
                <c:pt idx="190">
                  <c:v>0.26898154063242696</c:v>
                </c:pt>
                <c:pt idx="191">
                  <c:v>0.3665046657956248</c:v>
                </c:pt>
                <c:pt idx="192">
                  <c:v>0.25359599311867664</c:v>
                </c:pt>
                <c:pt idx="193">
                  <c:v>0.10594182050996337</c:v>
                </c:pt>
                <c:pt idx="194">
                  <c:v>7.539563533125504E-2</c:v>
                </c:pt>
                <c:pt idx="195">
                  <c:v>0.12899163592500007</c:v>
                </c:pt>
                <c:pt idx="196">
                  <c:v>0.1670873145974705</c:v>
                </c:pt>
                <c:pt idx="197">
                  <c:v>1.4635520327040075E-2</c:v>
                </c:pt>
                <c:pt idx="198">
                  <c:v>0.11250149157681566</c:v>
                </c:pt>
                <c:pt idx="199">
                  <c:v>0.24714589252148222</c:v>
                </c:pt>
                <c:pt idx="200">
                  <c:v>0.24932840423673142</c:v>
                </c:pt>
                <c:pt idx="201">
                  <c:v>0.31802233701821692</c:v>
                </c:pt>
                <c:pt idx="202">
                  <c:v>0.38089886612614032</c:v>
                </c:pt>
                <c:pt idx="203">
                  <c:v>0.44218546914220047</c:v>
                </c:pt>
                <c:pt idx="204">
                  <c:v>0.44398018751339929</c:v>
                </c:pt>
                <c:pt idx="205">
                  <c:v>0.47353948593015449</c:v>
                </c:pt>
                <c:pt idx="206">
                  <c:v>0.57624678499624848</c:v>
                </c:pt>
                <c:pt idx="207">
                  <c:v>0.60599383163748999</c:v>
                </c:pt>
                <c:pt idx="208">
                  <c:v>0.43272630741740525</c:v>
                </c:pt>
                <c:pt idx="209">
                  <c:v>0.26343753243496271</c:v>
                </c:pt>
                <c:pt idx="210">
                  <c:v>0.17081358507589095</c:v>
                </c:pt>
                <c:pt idx="211">
                  <c:v>0.13713545866935739</c:v>
                </c:pt>
                <c:pt idx="212">
                  <c:v>-0.11630202177518367</c:v>
                </c:pt>
                <c:pt idx="213">
                  <c:v>-0.15077596291082718</c:v>
                </c:pt>
                <c:pt idx="214">
                  <c:v>-6.3666826970353751E-2</c:v>
                </c:pt>
                <c:pt idx="215">
                  <c:v>-8.6382770538328102E-2</c:v>
                </c:pt>
                <c:pt idx="216">
                  <c:v>-0.21129265886168613</c:v>
                </c:pt>
                <c:pt idx="217">
                  <c:v>-0.22497273969400655</c:v>
                </c:pt>
                <c:pt idx="218">
                  <c:v>-0.15695167706176405</c:v>
                </c:pt>
                <c:pt idx="219">
                  <c:v>-0.17660807221966768</c:v>
                </c:pt>
                <c:pt idx="220">
                  <c:v>-0.2483479709082046</c:v>
                </c:pt>
                <c:pt idx="221">
                  <c:v>-0.28009482238675953</c:v>
                </c:pt>
                <c:pt idx="222">
                  <c:v>-0.31092267778651428</c:v>
                </c:pt>
                <c:pt idx="223">
                  <c:v>-0.36266120812405878</c:v>
                </c:pt>
                <c:pt idx="224">
                  <c:v>-0.39785819071608386</c:v>
                </c:pt>
                <c:pt idx="225">
                  <c:v>-0.37642723441949222</c:v>
                </c:pt>
                <c:pt idx="226">
                  <c:v>-0.40024188924078119</c:v>
                </c:pt>
                <c:pt idx="227">
                  <c:v>-0.46927195391996923</c:v>
                </c:pt>
                <c:pt idx="228">
                  <c:v>-0.51974361422138116</c:v>
                </c:pt>
                <c:pt idx="229">
                  <c:v>-0.4428651365022257</c:v>
                </c:pt>
                <c:pt idx="230">
                  <c:v>-0.36429344952204346</c:v>
                </c:pt>
                <c:pt idx="231">
                  <c:v>-0.36293198529172399</c:v>
                </c:pt>
                <c:pt idx="232">
                  <c:v>-0.32643369216695917</c:v>
                </c:pt>
                <c:pt idx="233">
                  <c:v>-0.17763523570680773</c:v>
                </c:pt>
                <c:pt idx="234">
                  <c:v>-8.4105044456745159E-2</c:v>
                </c:pt>
                <c:pt idx="235">
                  <c:v>-8.0235671527605579E-2</c:v>
                </c:pt>
                <c:pt idx="236">
                  <c:v>-4.180856878141781E-2</c:v>
                </c:pt>
                <c:pt idx="237">
                  <c:v>7.4059350655418132E-2</c:v>
                </c:pt>
                <c:pt idx="238">
                  <c:v>8.5324149518483328E-2</c:v>
                </c:pt>
                <c:pt idx="239">
                  <c:v>4.1332075278040836E-2</c:v>
                </c:pt>
                <c:pt idx="240">
                  <c:v>4.7665945477648908E-2</c:v>
                </c:pt>
                <c:pt idx="241">
                  <c:v>5.1838505913973876E-2</c:v>
                </c:pt>
                <c:pt idx="242">
                  <c:v>0.13398255491947553</c:v>
                </c:pt>
                <c:pt idx="243">
                  <c:v>0.15654426242571451</c:v>
                </c:pt>
                <c:pt idx="244">
                  <c:v>0.21037752177459645</c:v>
                </c:pt>
                <c:pt idx="245">
                  <c:v>0.22307312581507976</c:v>
                </c:pt>
                <c:pt idx="246">
                  <c:v>0.1796827586476446</c:v>
                </c:pt>
                <c:pt idx="247">
                  <c:v>0.20568181519375939</c:v>
                </c:pt>
                <c:pt idx="248">
                  <c:v>0.22341932756179861</c:v>
                </c:pt>
                <c:pt idx="249">
                  <c:v>0.25426732952263453</c:v>
                </c:pt>
                <c:pt idx="250">
                  <c:v>0.20109702847651034</c:v>
                </c:pt>
                <c:pt idx="251">
                  <c:v>0.19266705091257941</c:v>
                </c:pt>
                <c:pt idx="252">
                  <c:v>0.18071334140919859</c:v>
                </c:pt>
                <c:pt idx="253">
                  <c:v>0.24323812126625755</c:v>
                </c:pt>
                <c:pt idx="254">
                  <c:v>0.20134855444298294</c:v>
                </c:pt>
                <c:pt idx="255">
                  <c:v>0.16370059263332171</c:v>
                </c:pt>
                <c:pt idx="256">
                  <c:v>0.16649023392047346</c:v>
                </c:pt>
                <c:pt idx="257">
                  <c:v>0.1022591649175022</c:v>
                </c:pt>
                <c:pt idx="258">
                  <c:v>0.1107495237331626</c:v>
                </c:pt>
                <c:pt idx="259">
                  <c:v>0.12958776263965399</c:v>
                </c:pt>
                <c:pt idx="260">
                  <c:v>0.139622100928535</c:v>
                </c:pt>
                <c:pt idx="261">
                  <c:v>0.15019377766850073</c:v>
                </c:pt>
                <c:pt idx="262">
                  <c:v>0.18960354736524021</c:v>
                </c:pt>
                <c:pt idx="263">
                  <c:v>0.13501458040710057</c:v>
                </c:pt>
                <c:pt idx="264">
                  <c:v>0.14275259021431119</c:v>
                </c:pt>
                <c:pt idx="265">
                  <c:v>0.15603711695797973</c:v>
                </c:pt>
                <c:pt idx="266">
                  <c:v>0.10839903957462416</c:v>
                </c:pt>
                <c:pt idx="267">
                  <c:v>9.1306133432728975E-2</c:v>
                </c:pt>
                <c:pt idx="268">
                  <c:v>6.7083363145929109E-2</c:v>
                </c:pt>
                <c:pt idx="269">
                  <c:v>0.10512447840556183</c:v>
                </c:pt>
                <c:pt idx="270">
                  <c:v>0.15321301489691308</c:v>
                </c:pt>
                <c:pt idx="271">
                  <c:v>0.17461535494508684</c:v>
                </c:pt>
                <c:pt idx="272">
                  <c:v>0.19615047752257708</c:v>
                </c:pt>
                <c:pt idx="273">
                  <c:v>0.18203191283491793</c:v>
                </c:pt>
                <c:pt idx="274">
                  <c:v>0.16816954129304573</c:v>
                </c:pt>
                <c:pt idx="275">
                  <c:v>0.21148277662422776</c:v>
                </c:pt>
                <c:pt idx="276">
                  <c:v>0.24907890497134688</c:v>
                </c:pt>
                <c:pt idx="277">
                  <c:v>0.28830218726621015</c:v>
                </c:pt>
                <c:pt idx="278">
                  <c:v>0.42884771441262881</c:v>
                </c:pt>
                <c:pt idx="279">
                  <c:v>0.395494159447636</c:v>
                </c:pt>
                <c:pt idx="280">
                  <c:v>0.32078992059010925</c:v>
                </c:pt>
                <c:pt idx="281">
                  <c:v>0.26682724509123434</c:v>
                </c:pt>
                <c:pt idx="282">
                  <c:v>0.17935298470982852</c:v>
                </c:pt>
                <c:pt idx="283">
                  <c:v>0.24381317575472705</c:v>
                </c:pt>
                <c:pt idx="284">
                  <c:v>0.39932283979065319</c:v>
                </c:pt>
                <c:pt idx="285">
                  <c:v>0.22335634258387493</c:v>
                </c:pt>
                <c:pt idx="286">
                  <c:v>0.21465090142716492</c:v>
                </c:pt>
                <c:pt idx="287">
                  <c:v>0.13779268210791584</c:v>
                </c:pt>
                <c:pt idx="288">
                  <c:v>7.2905078705572279E-2</c:v>
                </c:pt>
                <c:pt idx="289">
                  <c:v>5.0337962639177114E-2</c:v>
                </c:pt>
                <c:pt idx="290">
                  <c:v>-3.0913612852032646E-2</c:v>
                </c:pt>
                <c:pt idx="291">
                  <c:v>-4.3849927401727551E-2</c:v>
                </c:pt>
                <c:pt idx="292">
                  <c:v>-7.0332678878598953E-2</c:v>
                </c:pt>
                <c:pt idx="293">
                  <c:v>-0.13249075950623002</c:v>
                </c:pt>
                <c:pt idx="294">
                  <c:v>-0.11535385233118767</c:v>
                </c:pt>
                <c:pt idx="295">
                  <c:v>-6.5551368980199087E-2</c:v>
                </c:pt>
                <c:pt idx="296">
                  <c:v>-6.3826872966843307E-2</c:v>
                </c:pt>
                <c:pt idx="297">
                  <c:v>-0.1499584817914863</c:v>
                </c:pt>
                <c:pt idx="298">
                  <c:v>-0.24298440618576422</c:v>
                </c:pt>
                <c:pt idx="299">
                  <c:v>-0.30725755950501377</c:v>
                </c:pt>
                <c:pt idx="300">
                  <c:v>-0.33019854725221154</c:v>
                </c:pt>
                <c:pt idx="301">
                  <c:v>-0.31514411108861895</c:v>
                </c:pt>
                <c:pt idx="302">
                  <c:v>-0.24175015672632494</c:v>
                </c:pt>
                <c:pt idx="303">
                  <c:v>-0.24487471828942053</c:v>
                </c:pt>
                <c:pt idx="304">
                  <c:v>-0.35157136226431918</c:v>
                </c:pt>
                <c:pt idx="305">
                  <c:v>-0.38249461386532113</c:v>
                </c:pt>
                <c:pt idx="306">
                  <c:v>-0.30334230096908266</c:v>
                </c:pt>
                <c:pt idx="307">
                  <c:v>-0.36223591748511452</c:v>
                </c:pt>
                <c:pt idx="308">
                  <c:v>-0.31095502252315155</c:v>
                </c:pt>
                <c:pt idx="309">
                  <c:v>-0.29686101359826567</c:v>
                </c:pt>
                <c:pt idx="310">
                  <c:v>-0.24734589222973513</c:v>
                </c:pt>
                <c:pt idx="311">
                  <c:v>-0.211198931729495</c:v>
                </c:pt>
                <c:pt idx="312">
                  <c:v>-0.22094185591389393</c:v>
                </c:pt>
                <c:pt idx="313">
                  <c:v>-0.2218558489035436</c:v>
                </c:pt>
                <c:pt idx="314">
                  <c:v>-0.23388808757509405</c:v>
                </c:pt>
                <c:pt idx="315">
                  <c:v>-0.16610565234251962</c:v>
                </c:pt>
                <c:pt idx="316">
                  <c:v>-0.24000684208646161</c:v>
                </c:pt>
                <c:pt idx="317">
                  <c:v>-0.29151611951250633</c:v>
                </c:pt>
                <c:pt idx="318">
                  <c:v>-0.18383485743610573</c:v>
                </c:pt>
                <c:pt idx="319">
                  <c:v>-0.11130437165806573</c:v>
                </c:pt>
                <c:pt idx="320">
                  <c:v>-4.5474002565676019E-2</c:v>
                </c:pt>
                <c:pt idx="321">
                  <c:v>-4.891668967871543E-2</c:v>
                </c:pt>
                <c:pt idx="322">
                  <c:v>-5.9651402487521765E-2</c:v>
                </c:pt>
                <c:pt idx="323">
                  <c:v>-0.15471586200027565</c:v>
                </c:pt>
                <c:pt idx="324">
                  <c:v>-4.7548105788145612E-2</c:v>
                </c:pt>
                <c:pt idx="325">
                  <c:v>2.3090485788034742E-2</c:v>
                </c:pt>
                <c:pt idx="326">
                  <c:v>2.6361027004987658E-2</c:v>
                </c:pt>
                <c:pt idx="327">
                  <c:v>6.1873650671668168E-2</c:v>
                </c:pt>
                <c:pt idx="328">
                  <c:v>0.11703292179931091</c:v>
                </c:pt>
                <c:pt idx="329">
                  <c:v>0.16862591426368123</c:v>
                </c:pt>
                <c:pt idx="330">
                  <c:v>0.30426342337553125</c:v>
                </c:pt>
                <c:pt idx="331">
                  <c:v>0.30232908773647638</c:v>
                </c:pt>
                <c:pt idx="332">
                  <c:v>0.43027105104026164</c:v>
                </c:pt>
                <c:pt idx="333">
                  <c:v>0.48399625199470098</c:v>
                </c:pt>
                <c:pt idx="334">
                  <c:v>0.29603718914237365</c:v>
                </c:pt>
                <c:pt idx="335">
                  <c:v>0.32168560046346406</c:v>
                </c:pt>
                <c:pt idx="336">
                  <c:v>0.25265406870660367</c:v>
                </c:pt>
                <c:pt idx="337">
                  <c:v>0.25429274651450418</c:v>
                </c:pt>
                <c:pt idx="338">
                  <c:v>0.33356024506466975</c:v>
                </c:pt>
                <c:pt idx="339">
                  <c:v>0.32360348354208046</c:v>
                </c:pt>
                <c:pt idx="340">
                  <c:v>0.39034766901099505</c:v>
                </c:pt>
                <c:pt idx="341">
                  <c:v>0.32179546244306079</c:v>
                </c:pt>
                <c:pt idx="342">
                  <c:v>0.38204940384995822</c:v>
                </c:pt>
                <c:pt idx="343">
                  <c:v>0.45275631168863129</c:v>
                </c:pt>
                <c:pt idx="344">
                  <c:v>0.44910683059200895</c:v>
                </c:pt>
                <c:pt idx="345">
                  <c:v>0.44734122118901665</c:v>
                </c:pt>
                <c:pt idx="346">
                  <c:v>0.39910517245624977</c:v>
                </c:pt>
                <c:pt idx="347">
                  <c:v>0.45329549430449556</c:v>
                </c:pt>
                <c:pt idx="348">
                  <c:v>0.4598126954386994</c:v>
                </c:pt>
                <c:pt idx="349">
                  <c:v>0.59687519874660899</c:v>
                </c:pt>
                <c:pt idx="350">
                  <c:v>0.62356031857075478</c:v>
                </c:pt>
                <c:pt idx="351">
                  <c:v>0.47142206077968773</c:v>
                </c:pt>
                <c:pt idx="352">
                  <c:v>0.3975146045031801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2C9-434A-8331-CE945E88D22B}"/>
            </c:ext>
          </c:extLst>
        </c:ser>
        <c:ser>
          <c:idx val="2"/>
          <c:order val="2"/>
          <c:tx>
            <c:strRef>
              <c:f>'Customer Margin Balances'!$V$1</c:f>
              <c:strCache>
                <c:ptCount val="1"/>
                <c:pt idx="0">
                  <c:v>FwdRtn Predict (Debit)</c:v>
                </c:pt>
              </c:strCache>
            </c:strRef>
          </c:tx>
          <c:spPr>
            <a:ln w="19050" cap="rnd">
              <a:solidFill>
                <a:srgbClr val="00B0F0"/>
              </a:solidFill>
              <a:prstDash val="sysDot"/>
              <a:round/>
            </a:ln>
            <a:effectLst/>
          </c:spPr>
          <c:marker>
            <c:symbol val="none"/>
          </c:marker>
          <c:cat>
            <c:numRef>
              <c:f>'Customer Margin Balances'!$G$2:$G$1354</c:f>
              <c:numCache>
                <c:formatCode>m/d/yyyy</c:formatCode>
                <c:ptCount val="1353"/>
                <c:pt idx="0">
                  <c:v>46173</c:v>
                </c:pt>
                <c:pt idx="1">
                  <c:v>46142</c:v>
                </c:pt>
                <c:pt idx="2">
                  <c:v>46112</c:v>
                </c:pt>
                <c:pt idx="3">
                  <c:v>46081</c:v>
                </c:pt>
                <c:pt idx="4">
                  <c:v>46053</c:v>
                </c:pt>
                <c:pt idx="5">
                  <c:v>46022</c:v>
                </c:pt>
                <c:pt idx="6">
                  <c:v>45991</c:v>
                </c:pt>
                <c:pt idx="7">
                  <c:v>45961</c:v>
                </c:pt>
                <c:pt idx="8">
                  <c:v>45930</c:v>
                </c:pt>
                <c:pt idx="9">
                  <c:v>45900</c:v>
                </c:pt>
                <c:pt idx="10">
                  <c:v>45869</c:v>
                </c:pt>
                <c:pt idx="11">
                  <c:v>45838</c:v>
                </c:pt>
                <c:pt idx="12">
                  <c:v>45808</c:v>
                </c:pt>
                <c:pt idx="13">
                  <c:v>45777</c:v>
                </c:pt>
                <c:pt idx="14">
                  <c:v>45747</c:v>
                </c:pt>
                <c:pt idx="15">
                  <c:v>45716</c:v>
                </c:pt>
                <c:pt idx="16">
                  <c:v>45688</c:v>
                </c:pt>
                <c:pt idx="17">
                  <c:v>45657</c:v>
                </c:pt>
                <c:pt idx="18">
                  <c:v>45626</c:v>
                </c:pt>
                <c:pt idx="19">
                  <c:v>45596</c:v>
                </c:pt>
                <c:pt idx="20">
                  <c:v>45565</c:v>
                </c:pt>
                <c:pt idx="21">
                  <c:v>45535</c:v>
                </c:pt>
                <c:pt idx="22">
                  <c:v>45504</c:v>
                </c:pt>
                <c:pt idx="23">
                  <c:v>45473</c:v>
                </c:pt>
                <c:pt idx="24">
                  <c:v>45443</c:v>
                </c:pt>
                <c:pt idx="25">
                  <c:v>45412</c:v>
                </c:pt>
                <c:pt idx="26">
                  <c:v>45382</c:v>
                </c:pt>
                <c:pt idx="27">
                  <c:v>45351</c:v>
                </c:pt>
                <c:pt idx="28">
                  <c:v>45322</c:v>
                </c:pt>
                <c:pt idx="29">
                  <c:v>45291</c:v>
                </c:pt>
                <c:pt idx="30">
                  <c:v>45260</c:v>
                </c:pt>
                <c:pt idx="31">
                  <c:v>45230</c:v>
                </c:pt>
                <c:pt idx="32">
                  <c:v>45199</c:v>
                </c:pt>
                <c:pt idx="33">
                  <c:v>45169</c:v>
                </c:pt>
                <c:pt idx="34">
                  <c:v>45138</c:v>
                </c:pt>
                <c:pt idx="35">
                  <c:v>45107</c:v>
                </c:pt>
                <c:pt idx="36">
                  <c:v>45077</c:v>
                </c:pt>
                <c:pt idx="37">
                  <c:v>45046</c:v>
                </c:pt>
                <c:pt idx="38">
                  <c:v>45016</c:v>
                </c:pt>
                <c:pt idx="39">
                  <c:v>44985</c:v>
                </c:pt>
                <c:pt idx="40">
                  <c:v>44957</c:v>
                </c:pt>
                <c:pt idx="41">
                  <c:v>44926</c:v>
                </c:pt>
                <c:pt idx="42">
                  <c:v>44895</c:v>
                </c:pt>
                <c:pt idx="43">
                  <c:v>44865</c:v>
                </c:pt>
                <c:pt idx="44">
                  <c:v>44834</c:v>
                </c:pt>
                <c:pt idx="45">
                  <c:v>44804</c:v>
                </c:pt>
                <c:pt idx="46">
                  <c:v>44773</c:v>
                </c:pt>
                <c:pt idx="47">
                  <c:v>44742</c:v>
                </c:pt>
                <c:pt idx="48">
                  <c:v>44712</c:v>
                </c:pt>
                <c:pt idx="49">
                  <c:v>44681</c:v>
                </c:pt>
                <c:pt idx="50">
                  <c:v>44651</c:v>
                </c:pt>
                <c:pt idx="51">
                  <c:v>44620</c:v>
                </c:pt>
                <c:pt idx="52">
                  <c:v>44592</c:v>
                </c:pt>
                <c:pt idx="53">
                  <c:v>44561</c:v>
                </c:pt>
                <c:pt idx="54">
                  <c:v>44530</c:v>
                </c:pt>
                <c:pt idx="55">
                  <c:v>44500</c:v>
                </c:pt>
                <c:pt idx="56">
                  <c:v>44469</c:v>
                </c:pt>
                <c:pt idx="57">
                  <c:v>44439</c:v>
                </c:pt>
                <c:pt idx="58">
                  <c:v>44408</c:v>
                </c:pt>
                <c:pt idx="59">
                  <c:v>44377</c:v>
                </c:pt>
                <c:pt idx="60">
                  <c:v>44347</c:v>
                </c:pt>
                <c:pt idx="61">
                  <c:v>44316</c:v>
                </c:pt>
                <c:pt idx="62">
                  <c:v>44286</c:v>
                </c:pt>
                <c:pt idx="63">
                  <c:v>44255</c:v>
                </c:pt>
                <c:pt idx="64">
                  <c:v>44227</c:v>
                </c:pt>
                <c:pt idx="65">
                  <c:v>44196</c:v>
                </c:pt>
                <c:pt idx="66">
                  <c:v>44165</c:v>
                </c:pt>
                <c:pt idx="67">
                  <c:v>44135</c:v>
                </c:pt>
                <c:pt idx="68">
                  <c:v>44104</c:v>
                </c:pt>
                <c:pt idx="69">
                  <c:v>44074</c:v>
                </c:pt>
                <c:pt idx="70">
                  <c:v>44043</c:v>
                </c:pt>
                <c:pt idx="71">
                  <c:v>44012</c:v>
                </c:pt>
                <c:pt idx="72">
                  <c:v>43982</c:v>
                </c:pt>
                <c:pt idx="73">
                  <c:v>43951</c:v>
                </c:pt>
                <c:pt idx="74">
                  <c:v>43921</c:v>
                </c:pt>
                <c:pt idx="75">
                  <c:v>43890</c:v>
                </c:pt>
                <c:pt idx="76">
                  <c:v>43861</c:v>
                </c:pt>
                <c:pt idx="77">
                  <c:v>43830</c:v>
                </c:pt>
                <c:pt idx="78">
                  <c:v>43799</c:v>
                </c:pt>
                <c:pt idx="79">
                  <c:v>43769</c:v>
                </c:pt>
                <c:pt idx="80">
                  <c:v>43738</c:v>
                </c:pt>
                <c:pt idx="81">
                  <c:v>43708</c:v>
                </c:pt>
                <c:pt idx="82">
                  <c:v>43677</c:v>
                </c:pt>
                <c:pt idx="83">
                  <c:v>43646</c:v>
                </c:pt>
                <c:pt idx="84">
                  <c:v>43616</c:v>
                </c:pt>
                <c:pt idx="85">
                  <c:v>43585</c:v>
                </c:pt>
                <c:pt idx="86">
                  <c:v>43555</c:v>
                </c:pt>
                <c:pt idx="87">
                  <c:v>43524</c:v>
                </c:pt>
                <c:pt idx="88">
                  <c:v>43496</c:v>
                </c:pt>
                <c:pt idx="89">
                  <c:v>43465</c:v>
                </c:pt>
                <c:pt idx="90">
                  <c:v>43434</c:v>
                </c:pt>
                <c:pt idx="91">
                  <c:v>43404</c:v>
                </c:pt>
                <c:pt idx="92">
                  <c:v>43373</c:v>
                </c:pt>
                <c:pt idx="93">
                  <c:v>43343</c:v>
                </c:pt>
                <c:pt idx="94">
                  <c:v>43312</c:v>
                </c:pt>
                <c:pt idx="95">
                  <c:v>43281</c:v>
                </c:pt>
                <c:pt idx="96">
                  <c:v>43251</c:v>
                </c:pt>
                <c:pt idx="97">
                  <c:v>43220</c:v>
                </c:pt>
                <c:pt idx="98">
                  <c:v>43190</c:v>
                </c:pt>
                <c:pt idx="99">
                  <c:v>43159</c:v>
                </c:pt>
                <c:pt idx="100">
                  <c:v>43131</c:v>
                </c:pt>
                <c:pt idx="101">
                  <c:v>43100</c:v>
                </c:pt>
                <c:pt idx="102">
                  <c:v>43069</c:v>
                </c:pt>
                <c:pt idx="103">
                  <c:v>43039</c:v>
                </c:pt>
                <c:pt idx="104">
                  <c:v>43008</c:v>
                </c:pt>
                <c:pt idx="105">
                  <c:v>42978</c:v>
                </c:pt>
                <c:pt idx="106">
                  <c:v>42947</c:v>
                </c:pt>
                <c:pt idx="107">
                  <c:v>42916</c:v>
                </c:pt>
                <c:pt idx="108">
                  <c:v>42886</c:v>
                </c:pt>
                <c:pt idx="109">
                  <c:v>42855</c:v>
                </c:pt>
                <c:pt idx="110">
                  <c:v>42825</c:v>
                </c:pt>
                <c:pt idx="111">
                  <c:v>42794</c:v>
                </c:pt>
                <c:pt idx="112">
                  <c:v>42766</c:v>
                </c:pt>
                <c:pt idx="113">
                  <c:v>42735</c:v>
                </c:pt>
                <c:pt idx="114">
                  <c:v>42704</c:v>
                </c:pt>
                <c:pt idx="115">
                  <c:v>42674</c:v>
                </c:pt>
                <c:pt idx="116">
                  <c:v>42643</c:v>
                </c:pt>
                <c:pt idx="117">
                  <c:v>42613</c:v>
                </c:pt>
                <c:pt idx="118">
                  <c:v>42582</c:v>
                </c:pt>
                <c:pt idx="119">
                  <c:v>42551</c:v>
                </c:pt>
                <c:pt idx="120">
                  <c:v>42521</c:v>
                </c:pt>
                <c:pt idx="121">
                  <c:v>42490</c:v>
                </c:pt>
                <c:pt idx="122">
                  <c:v>42460</c:v>
                </c:pt>
                <c:pt idx="123">
                  <c:v>42429</c:v>
                </c:pt>
                <c:pt idx="124">
                  <c:v>42400</c:v>
                </c:pt>
                <c:pt idx="125">
                  <c:v>42369</c:v>
                </c:pt>
                <c:pt idx="126">
                  <c:v>42338</c:v>
                </c:pt>
                <c:pt idx="127">
                  <c:v>42308</c:v>
                </c:pt>
                <c:pt idx="128">
                  <c:v>42277</c:v>
                </c:pt>
                <c:pt idx="129">
                  <c:v>42247</c:v>
                </c:pt>
                <c:pt idx="130">
                  <c:v>42216</c:v>
                </c:pt>
                <c:pt idx="131">
                  <c:v>42185</c:v>
                </c:pt>
                <c:pt idx="132">
                  <c:v>42155</c:v>
                </c:pt>
                <c:pt idx="133">
                  <c:v>42124</c:v>
                </c:pt>
                <c:pt idx="134">
                  <c:v>42094</c:v>
                </c:pt>
                <c:pt idx="135">
                  <c:v>42063</c:v>
                </c:pt>
                <c:pt idx="136">
                  <c:v>42035</c:v>
                </c:pt>
                <c:pt idx="137">
                  <c:v>42004</c:v>
                </c:pt>
                <c:pt idx="138">
                  <c:v>41973</c:v>
                </c:pt>
                <c:pt idx="139">
                  <c:v>41943</c:v>
                </c:pt>
                <c:pt idx="140">
                  <c:v>41912</c:v>
                </c:pt>
                <c:pt idx="141">
                  <c:v>41882</c:v>
                </c:pt>
                <c:pt idx="142">
                  <c:v>41851</c:v>
                </c:pt>
                <c:pt idx="143">
                  <c:v>41820</c:v>
                </c:pt>
                <c:pt idx="144">
                  <c:v>41790</c:v>
                </c:pt>
                <c:pt idx="145">
                  <c:v>41759</c:v>
                </c:pt>
                <c:pt idx="146">
                  <c:v>41729</c:v>
                </c:pt>
                <c:pt idx="147">
                  <c:v>41698</c:v>
                </c:pt>
                <c:pt idx="148">
                  <c:v>41670</c:v>
                </c:pt>
                <c:pt idx="149">
                  <c:v>41639</c:v>
                </c:pt>
                <c:pt idx="150">
                  <c:v>41608</c:v>
                </c:pt>
                <c:pt idx="151">
                  <c:v>41578</c:v>
                </c:pt>
                <c:pt idx="152">
                  <c:v>41547</c:v>
                </c:pt>
                <c:pt idx="153">
                  <c:v>41517</c:v>
                </c:pt>
                <c:pt idx="154">
                  <c:v>41486</c:v>
                </c:pt>
                <c:pt idx="155">
                  <c:v>41455</c:v>
                </c:pt>
                <c:pt idx="156">
                  <c:v>41425</c:v>
                </c:pt>
                <c:pt idx="157">
                  <c:v>41394</c:v>
                </c:pt>
                <c:pt idx="158">
                  <c:v>41364</c:v>
                </c:pt>
                <c:pt idx="159">
                  <c:v>41333</c:v>
                </c:pt>
                <c:pt idx="160">
                  <c:v>41305</c:v>
                </c:pt>
                <c:pt idx="161">
                  <c:v>41274</c:v>
                </c:pt>
                <c:pt idx="162">
                  <c:v>41243</c:v>
                </c:pt>
                <c:pt idx="163">
                  <c:v>41213</c:v>
                </c:pt>
                <c:pt idx="164">
                  <c:v>41182</c:v>
                </c:pt>
                <c:pt idx="165">
                  <c:v>41152</c:v>
                </c:pt>
                <c:pt idx="166">
                  <c:v>41121</c:v>
                </c:pt>
                <c:pt idx="167">
                  <c:v>41090</c:v>
                </c:pt>
                <c:pt idx="168">
                  <c:v>41060</c:v>
                </c:pt>
                <c:pt idx="169">
                  <c:v>41029</c:v>
                </c:pt>
                <c:pt idx="170">
                  <c:v>40999</c:v>
                </c:pt>
                <c:pt idx="171">
                  <c:v>40968</c:v>
                </c:pt>
                <c:pt idx="172">
                  <c:v>40939</c:v>
                </c:pt>
                <c:pt idx="173">
                  <c:v>40908</c:v>
                </c:pt>
                <c:pt idx="174">
                  <c:v>40877</c:v>
                </c:pt>
                <c:pt idx="175">
                  <c:v>40847</c:v>
                </c:pt>
                <c:pt idx="176">
                  <c:v>40816</c:v>
                </c:pt>
                <c:pt idx="177">
                  <c:v>40786</c:v>
                </c:pt>
                <c:pt idx="178">
                  <c:v>40755</c:v>
                </c:pt>
                <c:pt idx="179">
                  <c:v>40724</c:v>
                </c:pt>
                <c:pt idx="180">
                  <c:v>40694</c:v>
                </c:pt>
                <c:pt idx="181">
                  <c:v>40663</c:v>
                </c:pt>
                <c:pt idx="182">
                  <c:v>40633</c:v>
                </c:pt>
                <c:pt idx="183">
                  <c:v>40602</c:v>
                </c:pt>
                <c:pt idx="184">
                  <c:v>40574</c:v>
                </c:pt>
                <c:pt idx="185">
                  <c:v>40543</c:v>
                </c:pt>
                <c:pt idx="186">
                  <c:v>40512</c:v>
                </c:pt>
                <c:pt idx="187">
                  <c:v>40482</c:v>
                </c:pt>
                <c:pt idx="188">
                  <c:v>40451</c:v>
                </c:pt>
                <c:pt idx="189">
                  <c:v>40421</c:v>
                </c:pt>
                <c:pt idx="190">
                  <c:v>40390</c:v>
                </c:pt>
                <c:pt idx="191">
                  <c:v>40359</c:v>
                </c:pt>
                <c:pt idx="192">
                  <c:v>40329</c:v>
                </c:pt>
                <c:pt idx="193">
                  <c:v>40298</c:v>
                </c:pt>
                <c:pt idx="194">
                  <c:v>40268</c:v>
                </c:pt>
                <c:pt idx="195">
                  <c:v>40237</c:v>
                </c:pt>
                <c:pt idx="196">
                  <c:v>40209</c:v>
                </c:pt>
                <c:pt idx="197">
                  <c:v>40178</c:v>
                </c:pt>
                <c:pt idx="198">
                  <c:v>40147</c:v>
                </c:pt>
                <c:pt idx="199">
                  <c:v>40117</c:v>
                </c:pt>
                <c:pt idx="200">
                  <c:v>40086</c:v>
                </c:pt>
                <c:pt idx="201">
                  <c:v>40056</c:v>
                </c:pt>
                <c:pt idx="202">
                  <c:v>40025</c:v>
                </c:pt>
                <c:pt idx="203">
                  <c:v>39994</c:v>
                </c:pt>
                <c:pt idx="204">
                  <c:v>39964</c:v>
                </c:pt>
                <c:pt idx="205">
                  <c:v>39933</c:v>
                </c:pt>
                <c:pt idx="206">
                  <c:v>39903</c:v>
                </c:pt>
                <c:pt idx="207">
                  <c:v>39872</c:v>
                </c:pt>
                <c:pt idx="208">
                  <c:v>39844</c:v>
                </c:pt>
                <c:pt idx="209">
                  <c:v>39813</c:v>
                </c:pt>
                <c:pt idx="210">
                  <c:v>39782</c:v>
                </c:pt>
                <c:pt idx="211">
                  <c:v>39752</c:v>
                </c:pt>
                <c:pt idx="212">
                  <c:v>39721</c:v>
                </c:pt>
                <c:pt idx="213">
                  <c:v>39691</c:v>
                </c:pt>
                <c:pt idx="214">
                  <c:v>39660</c:v>
                </c:pt>
                <c:pt idx="215">
                  <c:v>39629</c:v>
                </c:pt>
                <c:pt idx="216">
                  <c:v>39599</c:v>
                </c:pt>
                <c:pt idx="217">
                  <c:v>39568</c:v>
                </c:pt>
                <c:pt idx="218">
                  <c:v>39538</c:v>
                </c:pt>
                <c:pt idx="219">
                  <c:v>39507</c:v>
                </c:pt>
                <c:pt idx="220">
                  <c:v>39478</c:v>
                </c:pt>
                <c:pt idx="221">
                  <c:v>39447</c:v>
                </c:pt>
                <c:pt idx="222">
                  <c:v>39416</c:v>
                </c:pt>
                <c:pt idx="223">
                  <c:v>39386</c:v>
                </c:pt>
                <c:pt idx="224">
                  <c:v>39355</c:v>
                </c:pt>
                <c:pt idx="225">
                  <c:v>39325</c:v>
                </c:pt>
                <c:pt idx="226">
                  <c:v>39294</c:v>
                </c:pt>
                <c:pt idx="227">
                  <c:v>39263</c:v>
                </c:pt>
                <c:pt idx="228">
                  <c:v>39233</c:v>
                </c:pt>
                <c:pt idx="229">
                  <c:v>39202</c:v>
                </c:pt>
                <c:pt idx="230">
                  <c:v>39172</c:v>
                </c:pt>
                <c:pt idx="231">
                  <c:v>39141</c:v>
                </c:pt>
                <c:pt idx="232">
                  <c:v>39113</c:v>
                </c:pt>
                <c:pt idx="233">
                  <c:v>39082</c:v>
                </c:pt>
                <c:pt idx="234">
                  <c:v>39051</c:v>
                </c:pt>
                <c:pt idx="235">
                  <c:v>39021</c:v>
                </c:pt>
                <c:pt idx="236">
                  <c:v>38990</c:v>
                </c:pt>
                <c:pt idx="237">
                  <c:v>38960</c:v>
                </c:pt>
                <c:pt idx="238">
                  <c:v>38929</c:v>
                </c:pt>
                <c:pt idx="239">
                  <c:v>38898</c:v>
                </c:pt>
                <c:pt idx="240">
                  <c:v>38868</c:v>
                </c:pt>
                <c:pt idx="241">
                  <c:v>38837</c:v>
                </c:pt>
                <c:pt idx="242">
                  <c:v>38807</c:v>
                </c:pt>
                <c:pt idx="243">
                  <c:v>38776</c:v>
                </c:pt>
                <c:pt idx="244">
                  <c:v>38748</c:v>
                </c:pt>
                <c:pt idx="245">
                  <c:v>38717</c:v>
                </c:pt>
                <c:pt idx="246">
                  <c:v>38686</c:v>
                </c:pt>
                <c:pt idx="247">
                  <c:v>38656</c:v>
                </c:pt>
                <c:pt idx="248">
                  <c:v>38625</c:v>
                </c:pt>
                <c:pt idx="249">
                  <c:v>38595</c:v>
                </c:pt>
                <c:pt idx="250">
                  <c:v>38564</c:v>
                </c:pt>
                <c:pt idx="251">
                  <c:v>38533</c:v>
                </c:pt>
                <c:pt idx="252">
                  <c:v>38503</c:v>
                </c:pt>
                <c:pt idx="253">
                  <c:v>38472</c:v>
                </c:pt>
                <c:pt idx="254">
                  <c:v>38442</c:v>
                </c:pt>
                <c:pt idx="255">
                  <c:v>38411</c:v>
                </c:pt>
                <c:pt idx="256">
                  <c:v>38383</c:v>
                </c:pt>
                <c:pt idx="257">
                  <c:v>38352</c:v>
                </c:pt>
                <c:pt idx="258">
                  <c:v>38321</c:v>
                </c:pt>
                <c:pt idx="259">
                  <c:v>38291</c:v>
                </c:pt>
                <c:pt idx="260">
                  <c:v>38260</c:v>
                </c:pt>
                <c:pt idx="261">
                  <c:v>38230</c:v>
                </c:pt>
                <c:pt idx="262">
                  <c:v>38199</c:v>
                </c:pt>
                <c:pt idx="263">
                  <c:v>38168</c:v>
                </c:pt>
                <c:pt idx="264">
                  <c:v>38138</c:v>
                </c:pt>
                <c:pt idx="265">
                  <c:v>38107</c:v>
                </c:pt>
                <c:pt idx="266">
                  <c:v>38077</c:v>
                </c:pt>
                <c:pt idx="267">
                  <c:v>38046</c:v>
                </c:pt>
                <c:pt idx="268">
                  <c:v>38017</c:v>
                </c:pt>
                <c:pt idx="269">
                  <c:v>37986</c:v>
                </c:pt>
                <c:pt idx="270">
                  <c:v>37955</c:v>
                </c:pt>
                <c:pt idx="271">
                  <c:v>37925</c:v>
                </c:pt>
                <c:pt idx="272">
                  <c:v>37894</c:v>
                </c:pt>
                <c:pt idx="273">
                  <c:v>37864</c:v>
                </c:pt>
                <c:pt idx="274">
                  <c:v>37833</c:v>
                </c:pt>
                <c:pt idx="275">
                  <c:v>37802</c:v>
                </c:pt>
                <c:pt idx="276">
                  <c:v>37772</c:v>
                </c:pt>
                <c:pt idx="277">
                  <c:v>37741</c:v>
                </c:pt>
                <c:pt idx="278">
                  <c:v>37711</c:v>
                </c:pt>
                <c:pt idx="279">
                  <c:v>37680</c:v>
                </c:pt>
                <c:pt idx="280">
                  <c:v>37652</c:v>
                </c:pt>
                <c:pt idx="281">
                  <c:v>37621</c:v>
                </c:pt>
                <c:pt idx="282">
                  <c:v>37590</c:v>
                </c:pt>
                <c:pt idx="283">
                  <c:v>37560</c:v>
                </c:pt>
                <c:pt idx="284">
                  <c:v>37529</c:v>
                </c:pt>
                <c:pt idx="285">
                  <c:v>37499</c:v>
                </c:pt>
                <c:pt idx="286">
                  <c:v>37468</c:v>
                </c:pt>
                <c:pt idx="287">
                  <c:v>37437</c:v>
                </c:pt>
                <c:pt idx="288">
                  <c:v>37407</c:v>
                </c:pt>
                <c:pt idx="289">
                  <c:v>37376</c:v>
                </c:pt>
                <c:pt idx="290">
                  <c:v>37346</c:v>
                </c:pt>
                <c:pt idx="291">
                  <c:v>37315</c:v>
                </c:pt>
                <c:pt idx="292">
                  <c:v>37287</c:v>
                </c:pt>
                <c:pt idx="293">
                  <c:v>37256</c:v>
                </c:pt>
                <c:pt idx="294">
                  <c:v>37225</c:v>
                </c:pt>
                <c:pt idx="295">
                  <c:v>37195</c:v>
                </c:pt>
                <c:pt idx="296">
                  <c:v>37164</c:v>
                </c:pt>
                <c:pt idx="297">
                  <c:v>37134</c:v>
                </c:pt>
                <c:pt idx="298">
                  <c:v>37103</c:v>
                </c:pt>
                <c:pt idx="299">
                  <c:v>37072</c:v>
                </c:pt>
                <c:pt idx="300">
                  <c:v>37042</c:v>
                </c:pt>
                <c:pt idx="301">
                  <c:v>37011</c:v>
                </c:pt>
                <c:pt idx="302">
                  <c:v>36981</c:v>
                </c:pt>
                <c:pt idx="303">
                  <c:v>36950</c:v>
                </c:pt>
                <c:pt idx="304">
                  <c:v>36922</c:v>
                </c:pt>
                <c:pt idx="305">
                  <c:v>36891</c:v>
                </c:pt>
                <c:pt idx="306">
                  <c:v>36860</c:v>
                </c:pt>
                <c:pt idx="307">
                  <c:v>36830</c:v>
                </c:pt>
                <c:pt idx="308">
                  <c:v>36799</c:v>
                </c:pt>
                <c:pt idx="309">
                  <c:v>36769</c:v>
                </c:pt>
                <c:pt idx="310">
                  <c:v>36738</c:v>
                </c:pt>
                <c:pt idx="311">
                  <c:v>36707</c:v>
                </c:pt>
                <c:pt idx="312">
                  <c:v>36677</c:v>
                </c:pt>
                <c:pt idx="313">
                  <c:v>36646</c:v>
                </c:pt>
                <c:pt idx="314">
                  <c:v>36616</c:v>
                </c:pt>
                <c:pt idx="315">
                  <c:v>36585</c:v>
                </c:pt>
                <c:pt idx="316">
                  <c:v>36556</c:v>
                </c:pt>
                <c:pt idx="317">
                  <c:v>36525</c:v>
                </c:pt>
                <c:pt idx="318">
                  <c:v>36494</c:v>
                </c:pt>
                <c:pt idx="319">
                  <c:v>36464</c:v>
                </c:pt>
                <c:pt idx="320">
                  <c:v>36433</c:v>
                </c:pt>
                <c:pt idx="321">
                  <c:v>36403</c:v>
                </c:pt>
                <c:pt idx="322">
                  <c:v>36372</c:v>
                </c:pt>
                <c:pt idx="323">
                  <c:v>36341</c:v>
                </c:pt>
                <c:pt idx="324">
                  <c:v>36311</c:v>
                </c:pt>
                <c:pt idx="325">
                  <c:v>36280</c:v>
                </c:pt>
                <c:pt idx="326">
                  <c:v>36250</c:v>
                </c:pt>
                <c:pt idx="327">
                  <c:v>36219</c:v>
                </c:pt>
                <c:pt idx="328">
                  <c:v>36191</c:v>
                </c:pt>
                <c:pt idx="329">
                  <c:v>36160</c:v>
                </c:pt>
                <c:pt idx="330">
                  <c:v>36129</c:v>
                </c:pt>
                <c:pt idx="331">
                  <c:v>36099</c:v>
                </c:pt>
                <c:pt idx="332">
                  <c:v>36068</c:v>
                </c:pt>
                <c:pt idx="333">
                  <c:v>36038</c:v>
                </c:pt>
                <c:pt idx="334">
                  <c:v>36007</c:v>
                </c:pt>
                <c:pt idx="335">
                  <c:v>35976</c:v>
                </c:pt>
                <c:pt idx="336">
                  <c:v>35946</c:v>
                </c:pt>
                <c:pt idx="337">
                  <c:v>35915</c:v>
                </c:pt>
                <c:pt idx="338">
                  <c:v>35885</c:v>
                </c:pt>
                <c:pt idx="339">
                  <c:v>35854</c:v>
                </c:pt>
                <c:pt idx="340">
                  <c:v>35826</c:v>
                </c:pt>
                <c:pt idx="341">
                  <c:v>35795</c:v>
                </c:pt>
                <c:pt idx="342">
                  <c:v>35764</c:v>
                </c:pt>
                <c:pt idx="343">
                  <c:v>35734</c:v>
                </c:pt>
                <c:pt idx="344">
                  <c:v>35703</c:v>
                </c:pt>
                <c:pt idx="345">
                  <c:v>35673</c:v>
                </c:pt>
                <c:pt idx="346">
                  <c:v>35642</c:v>
                </c:pt>
                <c:pt idx="347">
                  <c:v>35611</c:v>
                </c:pt>
                <c:pt idx="348">
                  <c:v>35581</c:v>
                </c:pt>
                <c:pt idx="349">
                  <c:v>35550</c:v>
                </c:pt>
                <c:pt idx="350">
                  <c:v>35520</c:v>
                </c:pt>
                <c:pt idx="351">
                  <c:v>35489</c:v>
                </c:pt>
                <c:pt idx="352">
                  <c:v>35461</c:v>
                </c:pt>
              </c:numCache>
            </c:numRef>
          </c:cat>
          <c:val>
            <c:numRef>
              <c:f>'Customer Margin Balances'!$V$2:$V$1354</c:f>
              <c:numCache>
                <c:formatCode>0%</c:formatCode>
                <c:ptCount val="1353"/>
                <c:pt idx="0">
                  <c:v>-0.75115242977277807</c:v>
                </c:pt>
                <c:pt idx="1">
                  <c:v>-0.56358711190422062</c:v>
                </c:pt>
                <c:pt idx="2">
                  <c:v>-0.43132918477396309</c:v>
                </c:pt>
                <c:pt idx="3">
                  <c:v>-0.51438900065710325</c:v>
                </c:pt>
                <c:pt idx="4">
                  <c:v>-0.56618880429062335</c:v>
                </c:pt>
                <c:pt idx="5">
                  <c:v>-0.4688368532693028</c:v>
                </c:pt>
                <c:pt idx="6">
                  <c:v>-0.47143710431620933</c:v>
                </c:pt>
                <c:pt idx="7">
                  <c:v>-0.42566370535778031</c:v>
                </c:pt>
                <c:pt idx="8">
                  <c:v>-0.33014276539740894</c:v>
                </c:pt>
                <c:pt idx="9">
                  <c:v>-0.21779807912096039</c:v>
                </c:pt>
                <c:pt idx="10">
                  <c:v>-0.15690039092015451</c:v>
                </c:pt>
                <c:pt idx="11">
                  <c:v>-0.13542762265130381</c:v>
                </c:pt>
                <c:pt idx="12">
                  <c:v>9.4219286540042635E-3</c:v>
                </c:pt>
                <c:pt idx="13">
                  <c:v>0.14711247481819978</c:v>
                </c:pt>
                <c:pt idx="14">
                  <c:v>8.7879238528716597E-2</c:v>
                </c:pt>
                <c:pt idx="15">
                  <c:v>-2.6185269140532874E-3</c:v>
                </c:pt>
                <c:pt idx="16">
                  <c:v>-3.344171009130914E-2</c:v>
                </c:pt>
                <c:pt idx="17">
                  <c:v>3.87180989128042E-2</c:v>
                </c:pt>
                <c:pt idx="18">
                  <c:v>4.1168020005616812E-2</c:v>
                </c:pt>
                <c:pt idx="19">
                  <c:v>0.16710694046271724</c:v>
                </c:pt>
                <c:pt idx="20">
                  <c:v>0.16759786605581728</c:v>
                </c:pt>
                <c:pt idx="21">
                  <c:v>0.19178339831567826</c:v>
                </c:pt>
                <c:pt idx="22">
                  <c:v>0.16008825044808228</c:v>
                </c:pt>
                <c:pt idx="23">
                  <c:v>0.16214432031260295</c:v>
                </c:pt>
                <c:pt idx="24">
                  <c:v>0.15441197393199002</c:v>
                </c:pt>
                <c:pt idx="25">
                  <c:v>0.22751873273753609</c:v>
                </c:pt>
                <c:pt idx="26">
                  <c:v>0.21267201429851679</c:v>
                </c:pt>
                <c:pt idx="27">
                  <c:v>0.27340846777825156</c:v>
                </c:pt>
                <c:pt idx="28">
                  <c:v>0.35277089159779806</c:v>
                </c:pt>
                <c:pt idx="29">
                  <c:v>0.35714225529240795</c:v>
                </c:pt>
                <c:pt idx="30">
                  <c:v>0.42295319146952304</c:v>
                </c:pt>
                <c:pt idx="31">
                  <c:v>0.46724755659072748</c:v>
                </c:pt>
                <c:pt idx="32">
                  <c:v>0.38251542730748511</c:v>
                </c:pt>
                <c:pt idx="33">
                  <c:v>0.36770638706738579</c:v>
                </c:pt>
                <c:pt idx="34">
                  <c:v>0.32999377042156652</c:v>
                </c:pt>
                <c:pt idx="35">
                  <c:v>0.38559755873149015</c:v>
                </c:pt>
                <c:pt idx="36">
                  <c:v>0.45379117494451582</c:v>
                </c:pt>
                <c:pt idx="37">
                  <c:v>0.48482730595238333</c:v>
                </c:pt>
                <c:pt idx="38">
                  <c:v>0.47003695790704469</c:v>
                </c:pt>
                <c:pt idx="39">
                  <c:v>0.51466909624391932</c:v>
                </c:pt>
                <c:pt idx="40">
                  <c:v>0.49189421297265201</c:v>
                </c:pt>
                <c:pt idx="41">
                  <c:v>0.5635563588820045</c:v>
                </c:pt>
                <c:pt idx="42">
                  <c:v>0.49384587051303352</c:v>
                </c:pt>
                <c:pt idx="43">
                  <c:v>0.48256814718721186</c:v>
                </c:pt>
                <c:pt idx="44">
                  <c:v>0.46141472431785058</c:v>
                </c:pt>
                <c:pt idx="45">
                  <c:v>0.42232490057430527</c:v>
                </c:pt>
                <c:pt idx="46">
                  <c:v>0.40741193226586536</c:v>
                </c:pt>
                <c:pt idx="47">
                  <c:v>0.43199712243022792</c:v>
                </c:pt>
                <c:pt idx="48">
                  <c:v>0.3036081540696014</c:v>
                </c:pt>
                <c:pt idx="49">
                  <c:v>0.28610193908951609</c:v>
                </c:pt>
                <c:pt idx="50">
                  <c:v>0.23845803761163653</c:v>
                </c:pt>
                <c:pt idx="51">
                  <c:v>0.15535029945842438</c:v>
                </c:pt>
                <c:pt idx="52">
                  <c:v>0.16901374134093916</c:v>
                </c:pt>
                <c:pt idx="53">
                  <c:v>2.370557142584051E-2</c:v>
                </c:pt>
                <c:pt idx="54">
                  <c:v>-1.7347105878425362E-2</c:v>
                </c:pt>
                <c:pt idx="55">
                  <c:v>-6.8059564314794763E-2</c:v>
                </c:pt>
                <c:pt idx="56">
                  <c:v>-2.0187490234412575E-2</c:v>
                </c:pt>
                <c:pt idx="57">
                  <c:v>-5.0317187486410342E-2</c:v>
                </c:pt>
                <c:pt idx="58">
                  <c:v>6.2307083920978501E-2</c:v>
                </c:pt>
                <c:pt idx="59">
                  <c:v>-2.27295019925422E-2</c:v>
                </c:pt>
                <c:pt idx="60">
                  <c:v>7.221847048565877E-3</c:v>
                </c:pt>
                <c:pt idx="61">
                  <c:v>3.1469710486289326E-2</c:v>
                </c:pt>
                <c:pt idx="62">
                  <c:v>5.3926191725180761E-2</c:v>
                </c:pt>
                <c:pt idx="63">
                  <c:v>3.7229326593112733E-2</c:v>
                </c:pt>
                <c:pt idx="64">
                  <c:v>5.5602627332695498E-2</c:v>
                </c:pt>
                <c:pt idx="65">
                  <c:v>8.7486350197570006E-2</c:v>
                </c:pt>
                <c:pt idx="66">
                  <c:v>0.18137023454362811</c:v>
                </c:pt>
                <c:pt idx="67">
                  <c:v>0.2906386899088671</c:v>
                </c:pt>
                <c:pt idx="68">
                  <c:v>0.29055757667484605</c:v>
                </c:pt>
                <c:pt idx="69">
                  <c:v>0.29267446574130407</c:v>
                </c:pt>
                <c:pt idx="70">
                  <c:v>0.35606052992896942</c:v>
                </c:pt>
                <c:pt idx="71">
                  <c:v>0.4085968958895323</c:v>
                </c:pt>
                <c:pt idx="72">
                  <c:v>0.45568841101066138</c:v>
                </c:pt>
                <c:pt idx="73">
                  <c:v>0.4721992324251143</c:v>
                </c:pt>
                <c:pt idx="74">
                  <c:v>0.50516568428561204</c:v>
                </c:pt>
                <c:pt idx="75">
                  <c:v>0.28606811320799985</c:v>
                </c:pt>
                <c:pt idx="76">
                  <c:v>0.24445698501915492</c:v>
                </c:pt>
                <c:pt idx="77">
                  <c:v>0.20141147430983719</c:v>
                </c:pt>
                <c:pt idx="78">
                  <c:v>0.22735401078155348</c:v>
                </c:pt>
                <c:pt idx="79">
                  <c:v>0.23646737379162808</c:v>
                </c:pt>
                <c:pt idx="80">
                  <c:v>0.22103161135364058</c:v>
                </c:pt>
                <c:pt idx="81">
                  <c:v>#N/A</c:v>
                </c:pt>
                <c:pt idx="82">
                  <c:v>#N/A</c:v>
                </c:pt>
                <c:pt idx="83">
                  <c:v>#N/A</c:v>
                </c:pt>
                <c:pt idx="84">
                  <c:v>#N/A</c:v>
                </c:pt>
                <c:pt idx="85">
                  <c:v>#N/A</c:v>
                </c:pt>
                <c:pt idx="86">
                  <c:v>#N/A</c:v>
                </c:pt>
                <c:pt idx="87">
                  <c:v>#N/A</c:v>
                </c:pt>
                <c:pt idx="88">
                  <c:v>#N/A</c:v>
                </c:pt>
                <c:pt idx="89">
                  <c:v>#N/A</c:v>
                </c:pt>
                <c:pt idx="90">
                  <c:v>#N/A</c:v>
                </c:pt>
                <c:pt idx="91">
                  <c:v>#N/A</c:v>
                </c:pt>
                <c:pt idx="92">
                  <c:v>#N/A</c:v>
                </c:pt>
                <c:pt idx="93">
                  <c:v>#N/A</c:v>
                </c:pt>
                <c:pt idx="94">
                  <c:v>#N/A</c:v>
                </c:pt>
                <c:pt idx="95">
                  <c:v>#N/A</c:v>
                </c:pt>
                <c:pt idx="96">
                  <c:v>#N/A</c:v>
                </c:pt>
                <c:pt idx="97">
                  <c:v>#N/A</c:v>
                </c:pt>
                <c:pt idx="98">
                  <c:v>#N/A</c:v>
                </c:pt>
                <c:pt idx="99">
                  <c:v>#N/A</c:v>
                </c:pt>
                <c:pt idx="100">
                  <c:v>#N/A</c:v>
                </c:pt>
                <c:pt idx="101">
                  <c:v>#N/A</c:v>
                </c:pt>
                <c:pt idx="102">
                  <c:v>#N/A</c:v>
                </c:pt>
                <c:pt idx="103">
                  <c:v>#N/A</c:v>
                </c:pt>
                <c:pt idx="104">
                  <c:v>#N/A</c:v>
                </c:pt>
                <c:pt idx="105">
                  <c:v>#N/A</c:v>
                </c:pt>
                <c:pt idx="106">
                  <c:v>#N/A</c:v>
                </c:pt>
                <c:pt idx="107">
                  <c:v>#N/A</c:v>
                </c:pt>
                <c:pt idx="108">
                  <c:v>#N/A</c:v>
                </c:pt>
                <c:pt idx="109">
                  <c:v>#N/A</c:v>
                </c:pt>
                <c:pt idx="110">
                  <c:v>#N/A</c:v>
                </c:pt>
                <c:pt idx="111">
                  <c:v>#N/A</c:v>
                </c:pt>
                <c:pt idx="112">
                  <c:v>#N/A</c:v>
                </c:pt>
                <c:pt idx="113">
                  <c:v>#N/A</c:v>
                </c:pt>
                <c:pt idx="114">
                  <c:v>#N/A</c:v>
                </c:pt>
                <c:pt idx="115">
                  <c:v>#N/A</c:v>
                </c:pt>
                <c:pt idx="116">
                  <c:v>#N/A</c:v>
                </c:pt>
                <c:pt idx="117">
                  <c:v>#N/A</c:v>
                </c:pt>
                <c:pt idx="118">
                  <c:v>#N/A</c:v>
                </c:pt>
                <c:pt idx="119">
                  <c:v>#N/A</c:v>
                </c:pt>
                <c:pt idx="120">
                  <c:v>#N/A</c:v>
                </c:pt>
                <c:pt idx="121">
                  <c:v>#N/A</c:v>
                </c:pt>
                <c:pt idx="122">
                  <c:v>#N/A</c:v>
                </c:pt>
                <c:pt idx="123">
                  <c:v>#N/A</c:v>
                </c:pt>
                <c:pt idx="124">
                  <c:v>#N/A</c:v>
                </c:pt>
                <c:pt idx="125">
                  <c:v>#N/A</c:v>
                </c:pt>
                <c:pt idx="126">
                  <c:v>#N/A</c:v>
                </c:pt>
                <c:pt idx="127">
                  <c:v>#N/A</c:v>
                </c:pt>
                <c:pt idx="128">
                  <c:v>#N/A</c:v>
                </c:pt>
                <c:pt idx="129">
                  <c:v>#N/A</c:v>
                </c:pt>
                <c:pt idx="130">
                  <c:v>#N/A</c:v>
                </c:pt>
                <c:pt idx="131">
                  <c:v>#N/A</c:v>
                </c:pt>
                <c:pt idx="132">
                  <c:v>#N/A</c:v>
                </c:pt>
                <c:pt idx="133">
                  <c:v>#N/A</c:v>
                </c:pt>
                <c:pt idx="134">
                  <c:v>#N/A</c:v>
                </c:pt>
                <c:pt idx="135">
                  <c:v>#N/A</c:v>
                </c:pt>
                <c:pt idx="136">
                  <c:v>#N/A</c:v>
                </c:pt>
                <c:pt idx="137">
                  <c:v>#N/A</c:v>
                </c:pt>
                <c:pt idx="138">
                  <c:v>#N/A</c:v>
                </c:pt>
                <c:pt idx="139">
                  <c:v>#N/A</c:v>
                </c:pt>
                <c:pt idx="140">
                  <c:v>#N/A</c:v>
                </c:pt>
                <c:pt idx="141">
                  <c:v>#N/A</c:v>
                </c:pt>
                <c:pt idx="142">
                  <c:v>#N/A</c:v>
                </c:pt>
                <c:pt idx="143">
                  <c:v>#N/A</c:v>
                </c:pt>
                <c:pt idx="144">
                  <c:v>#N/A</c:v>
                </c:pt>
                <c:pt idx="145">
                  <c:v>#N/A</c:v>
                </c:pt>
                <c:pt idx="146">
                  <c:v>#N/A</c:v>
                </c:pt>
                <c:pt idx="147">
                  <c:v>#N/A</c:v>
                </c:pt>
                <c:pt idx="148">
                  <c:v>#N/A</c:v>
                </c:pt>
                <c:pt idx="149">
                  <c:v>#N/A</c:v>
                </c:pt>
                <c:pt idx="150">
                  <c:v>#N/A</c:v>
                </c:pt>
                <c:pt idx="151">
                  <c:v>#N/A</c:v>
                </c:pt>
                <c:pt idx="152">
                  <c:v>#N/A</c:v>
                </c:pt>
                <c:pt idx="153">
                  <c:v>#N/A</c:v>
                </c:pt>
                <c:pt idx="154">
                  <c:v>#N/A</c:v>
                </c:pt>
                <c:pt idx="155">
                  <c:v>#N/A</c:v>
                </c:pt>
                <c:pt idx="156">
                  <c:v>#N/A</c:v>
                </c:pt>
                <c:pt idx="157">
                  <c:v>#N/A</c:v>
                </c:pt>
                <c:pt idx="158">
                  <c:v>#N/A</c:v>
                </c:pt>
                <c:pt idx="159">
                  <c:v>#N/A</c:v>
                </c:pt>
                <c:pt idx="160">
                  <c:v>#N/A</c:v>
                </c:pt>
                <c:pt idx="161">
                  <c:v>#N/A</c:v>
                </c:pt>
                <c:pt idx="162">
                  <c:v>#N/A</c:v>
                </c:pt>
                <c:pt idx="163">
                  <c:v>#N/A</c:v>
                </c:pt>
                <c:pt idx="164">
                  <c:v>#N/A</c:v>
                </c:pt>
                <c:pt idx="165">
                  <c:v>#N/A</c:v>
                </c:pt>
                <c:pt idx="166">
                  <c:v>#N/A</c:v>
                </c:pt>
                <c:pt idx="167">
                  <c:v>#N/A</c:v>
                </c:pt>
                <c:pt idx="168">
                  <c:v>#N/A</c:v>
                </c:pt>
                <c:pt idx="169">
                  <c:v>#N/A</c:v>
                </c:pt>
                <c:pt idx="170">
                  <c:v>#N/A</c:v>
                </c:pt>
                <c:pt idx="171">
                  <c:v>#N/A</c:v>
                </c:pt>
                <c:pt idx="172">
                  <c:v>#N/A</c:v>
                </c:pt>
                <c:pt idx="173">
                  <c:v>#N/A</c:v>
                </c:pt>
                <c:pt idx="174">
                  <c:v>#N/A</c:v>
                </c:pt>
                <c:pt idx="175">
                  <c:v>#N/A</c:v>
                </c:pt>
                <c:pt idx="176">
                  <c:v>#N/A</c:v>
                </c:pt>
                <c:pt idx="177">
                  <c:v>#N/A</c:v>
                </c:pt>
                <c:pt idx="178">
                  <c:v>#N/A</c:v>
                </c:pt>
                <c:pt idx="179">
                  <c:v>#N/A</c:v>
                </c:pt>
                <c:pt idx="180">
                  <c:v>#N/A</c:v>
                </c:pt>
                <c:pt idx="181">
                  <c:v>#N/A</c:v>
                </c:pt>
                <c:pt idx="182">
                  <c:v>#N/A</c:v>
                </c:pt>
                <c:pt idx="183">
                  <c:v>#N/A</c:v>
                </c:pt>
                <c:pt idx="184">
                  <c:v>#N/A</c:v>
                </c:pt>
                <c:pt idx="185">
                  <c:v>#N/A</c:v>
                </c:pt>
                <c:pt idx="186">
                  <c:v>#N/A</c:v>
                </c:pt>
                <c:pt idx="187">
                  <c:v>#N/A</c:v>
                </c:pt>
                <c:pt idx="188">
                  <c:v>#N/A</c:v>
                </c:pt>
                <c:pt idx="189">
                  <c:v>#N/A</c:v>
                </c:pt>
                <c:pt idx="190">
                  <c:v>#N/A</c:v>
                </c:pt>
                <c:pt idx="191">
                  <c:v>#N/A</c:v>
                </c:pt>
                <c:pt idx="192">
                  <c:v>#N/A</c:v>
                </c:pt>
                <c:pt idx="193">
                  <c:v>#N/A</c:v>
                </c:pt>
                <c:pt idx="194">
                  <c:v>#N/A</c:v>
                </c:pt>
                <c:pt idx="195">
                  <c:v>#N/A</c:v>
                </c:pt>
                <c:pt idx="196">
                  <c:v>#N/A</c:v>
                </c:pt>
                <c:pt idx="197">
                  <c:v>#N/A</c:v>
                </c:pt>
                <c:pt idx="198">
                  <c:v>#N/A</c:v>
                </c:pt>
                <c:pt idx="199">
                  <c:v>#N/A</c:v>
                </c:pt>
                <c:pt idx="200">
                  <c:v>#N/A</c:v>
                </c:pt>
                <c:pt idx="201">
                  <c:v>#N/A</c:v>
                </c:pt>
                <c:pt idx="202">
                  <c:v>#N/A</c:v>
                </c:pt>
                <c:pt idx="203">
                  <c:v>#N/A</c:v>
                </c:pt>
                <c:pt idx="204">
                  <c:v>#N/A</c:v>
                </c:pt>
                <c:pt idx="205">
                  <c:v>#N/A</c:v>
                </c:pt>
                <c:pt idx="206">
                  <c:v>#N/A</c:v>
                </c:pt>
                <c:pt idx="207">
                  <c:v>#N/A</c:v>
                </c:pt>
                <c:pt idx="208">
                  <c:v>#N/A</c:v>
                </c:pt>
                <c:pt idx="209">
                  <c:v>#N/A</c:v>
                </c:pt>
                <c:pt idx="210">
                  <c:v>#N/A</c:v>
                </c:pt>
                <c:pt idx="211">
                  <c:v>#N/A</c:v>
                </c:pt>
                <c:pt idx="212">
                  <c:v>#N/A</c:v>
                </c:pt>
                <c:pt idx="213">
                  <c:v>#N/A</c:v>
                </c:pt>
                <c:pt idx="214">
                  <c:v>#N/A</c:v>
                </c:pt>
                <c:pt idx="215">
                  <c:v>#N/A</c:v>
                </c:pt>
                <c:pt idx="216">
                  <c:v>#N/A</c:v>
                </c:pt>
                <c:pt idx="217">
                  <c:v>#N/A</c:v>
                </c:pt>
                <c:pt idx="218">
                  <c:v>#N/A</c:v>
                </c:pt>
                <c:pt idx="219">
                  <c:v>#N/A</c:v>
                </c:pt>
                <c:pt idx="220">
                  <c:v>#N/A</c:v>
                </c:pt>
                <c:pt idx="221">
                  <c:v>#N/A</c:v>
                </c:pt>
                <c:pt idx="222">
                  <c:v>#N/A</c:v>
                </c:pt>
                <c:pt idx="223">
                  <c:v>#N/A</c:v>
                </c:pt>
                <c:pt idx="224">
                  <c:v>#N/A</c:v>
                </c:pt>
                <c:pt idx="225">
                  <c:v>#N/A</c:v>
                </c:pt>
                <c:pt idx="226">
                  <c:v>#N/A</c:v>
                </c:pt>
                <c:pt idx="227">
                  <c:v>#N/A</c:v>
                </c:pt>
                <c:pt idx="228">
                  <c:v>#N/A</c:v>
                </c:pt>
                <c:pt idx="229">
                  <c:v>#N/A</c:v>
                </c:pt>
                <c:pt idx="230">
                  <c:v>#N/A</c:v>
                </c:pt>
                <c:pt idx="231">
                  <c:v>#N/A</c:v>
                </c:pt>
                <c:pt idx="232">
                  <c:v>#N/A</c:v>
                </c:pt>
                <c:pt idx="233">
                  <c:v>#N/A</c:v>
                </c:pt>
                <c:pt idx="234">
                  <c:v>#N/A</c:v>
                </c:pt>
                <c:pt idx="235">
                  <c:v>#N/A</c:v>
                </c:pt>
                <c:pt idx="236">
                  <c:v>#N/A</c:v>
                </c:pt>
                <c:pt idx="237">
                  <c:v>#N/A</c:v>
                </c:pt>
                <c:pt idx="238">
                  <c:v>#N/A</c:v>
                </c:pt>
                <c:pt idx="239">
                  <c:v>#N/A</c:v>
                </c:pt>
                <c:pt idx="240">
                  <c:v>#N/A</c:v>
                </c:pt>
                <c:pt idx="241">
                  <c:v>#N/A</c:v>
                </c:pt>
                <c:pt idx="242">
                  <c:v>#N/A</c:v>
                </c:pt>
                <c:pt idx="243">
                  <c:v>#N/A</c:v>
                </c:pt>
                <c:pt idx="244">
                  <c:v>#N/A</c:v>
                </c:pt>
                <c:pt idx="245">
                  <c:v>#N/A</c:v>
                </c:pt>
                <c:pt idx="246">
                  <c:v>#N/A</c:v>
                </c:pt>
                <c:pt idx="247">
                  <c:v>#N/A</c:v>
                </c:pt>
                <c:pt idx="248">
                  <c:v>#N/A</c:v>
                </c:pt>
                <c:pt idx="249">
                  <c:v>#N/A</c:v>
                </c:pt>
                <c:pt idx="250">
                  <c:v>#N/A</c:v>
                </c:pt>
                <c:pt idx="251">
                  <c:v>#N/A</c:v>
                </c:pt>
                <c:pt idx="252">
                  <c:v>#N/A</c:v>
                </c:pt>
                <c:pt idx="253">
                  <c:v>#N/A</c:v>
                </c:pt>
                <c:pt idx="254">
                  <c:v>#N/A</c:v>
                </c:pt>
                <c:pt idx="255">
                  <c:v>#N/A</c:v>
                </c:pt>
                <c:pt idx="256">
                  <c:v>#N/A</c:v>
                </c:pt>
                <c:pt idx="257">
                  <c:v>#N/A</c:v>
                </c:pt>
                <c:pt idx="258">
                  <c:v>#N/A</c:v>
                </c:pt>
                <c:pt idx="259">
                  <c:v>#N/A</c:v>
                </c:pt>
                <c:pt idx="260">
                  <c:v>#N/A</c:v>
                </c:pt>
                <c:pt idx="261">
                  <c:v>#N/A</c:v>
                </c:pt>
                <c:pt idx="262">
                  <c:v>#N/A</c:v>
                </c:pt>
                <c:pt idx="263">
                  <c:v>#N/A</c:v>
                </c:pt>
                <c:pt idx="264">
                  <c:v>#N/A</c:v>
                </c:pt>
                <c:pt idx="265">
                  <c:v>#N/A</c:v>
                </c:pt>
                <c:pt idx="266">
                  <c:v>#N/A</c:v>
                </c:pt>
                <c:pt idx="267">
                  <c:v>#N/A</c:v>
                </c:pt>
                <c:pt idx="268">
                  <c:v>#N/A</c:v>
                </c:pt>
                <c:pt idx="269">
                  <c:v>#N/A</c:v>
                </c:pt>
                <c:pt idx="270">
                  <c:v>#N/A</c:v>
                </c:pt>
                <c:pt idx="271">
                  <c:v>#N/A</c:v>
                </c:pt>
                <c:pt idx="272">
                  <c:v>#N/A</c:v>
                </c:pt>
                <c:pt idx="273">
                  <c:v>#N/A</c:v>
                </c:pt>
                <c:pt idx="274">
                  <c:v>#N/A</c:v>
                </c:pt>
                <c:pt idx="275">
                  <c:v>#N/A</c:v>
                </c:pt>
                <c:pt idx="276">
                  <c:v>#N/A</c:v>
                </c:pt>
                <c:pt idx="277">
                  <c:v>#N/A</c:v>
                </c:pt>
                <c:pt idx="278">
                  <c:v>#N/A</c:v>
                </c:pt>
                <c:pt idx="279">
                  <c:v>#N/A</c:v>
                </c:pt>
                <c:pt idx="280">
                  <c:v>#N/A</c:v>
                </c:pt>
                <c:pt idx="281">
                  <c:v>#N/A</c:v>
                </c:pt>
                <c:pt idx="282">
                  <c:v>#N/A</c:v>
                </c:pt>
                <c:pt idx="283">
                  <c:v>#N/A</c:v>
                </c:pt>
                <c:pt idx="284">
                  <c:v>#N/A</c:v>
                </c:pt>
                <c:pt idx="285">
                  <c:v>#N/A</c:v>
                </c:pt>
                <c:pt idx="286">
                  <c:v>#N/A</c:v>
                </c:pt>
                <c:pt idx="287">
                  <c:v>#N/A</c:v>
                </c:pt>
                <c:pt idx="288">
                  <c:v>#N/A</c:v>
                </c:pt>
                <c:pt idx="289">
                  <c:v>#N/A</c:v>
                </c:pt>
                <c:pt idx="290">
                  <c:v>#N/A</c:v>
                </c:pt>
                <c:pt idx="291">
                  <c:v>#N/A</c:v>
                </c:pt>
                <c:pt idx="292">
                  <c:v>#N/A</c:v>
                </c:pt>
                <c:pt idx="293">
                  <c:v>#N/A</c:v>
                </c:pt>
                <c:pt idx="294">
                  <c:v>#N/A</c:v>
                </c:pt>
                <c:pt idx="295">
                  <c:v>#N/A</c:v>
                </c:pt>
                <c:pt idx="296">
                  <c:v>#N/A</c:v>
                </c:pt>
                <c:pt idx="297">
                  <c:v>#N/A</c:v>
                </c:pt>
                <c:pt idx="298">
                  <c:v>#N/A</c:v>
                </c:pt>
                <c:pt idx="299">
                  <c:v>#N/A</c:v>
                </c:pt>
                <c:pt idx="300">
                  <c:v>#N/A</c:v>
                </c:pt>
                <c:pt idx="301">
                  <c:v>#N/A</c:v>
                </c:pt>
                <c:pt idx="302">
                  <c:v>#N/A</c:v>
                </c:pt>
                <c:pt idx="303">
                  <c:v>#N/A</c:v>
                </c:pt>
                <c:pt idx="304">
                  <c:v>#N/A</c:v>
                </c:pt>
                <c:pt idx="305">
                  <c:v>#N/A</c:v>
                </c:pt>
                <c:pt idx="306">
                  <c:v>#N/A</c:v>
                </c:pt>
                <c:pt idx="307">
                  <c:v>#N/A</c:v>
                </c:pt>
                <c:pt idx="308">
                  <c:v>#N/A</c:v>
                </c:pt>
                <c:pt idx="309">
                  <c:v>#N/A</c:v>
                </c:pt>
                <c:pt idx="310">
                  <c:v>#N/A</c:v>
                </c:pt>
                <c:pt idx="311">
                  <c:v>#N/A</c:v>
                </c:pt>
                <c:pt idx="312">
                  <c:v>#N/A</c:v>
                </c:pt>
                <c:pt idx="313">
                  <c:v>#N/A</c:v>
                </c:pt>
                <c:pt idx="314">
                  <c:v>#N/A</c:v>
                </c:pt>
                <c:pt idx="315">
                  <c:v>#N/A</c:v>
                </c:pt>
                <c:pt idx="316">
                  <c:v>#N/A</c:v>
                </c:pt>
                <c:pt idx="317">
                  <c:v>#N/A</c:v>
                </c:pt>
                <c:pt idx="318">
                  <c:v>#N/A</c:v>
                </c:pt>
                <c:pt idx="319">
                  <c:v>#N/A</c:v>
                </c:pt>
                <c:pt idx="320">
                  <c:v>#N/A</c:v>
                </c:pt>
                <c:pt idx="321">
                  <c:v>#N/A</c:v>
                </c:pt>
                <c:pt idx="322">
                  <c:v>#N/A</c:v>
                </c:pt>
                <c:pt idx="323">
                  <c:v>#N/A</c:v>
                </c:pt>
                <c:pt idx="324">
                  <c:v>#N/A</c:v>
                </c:pt>
                <c:pt idx="325">
                  <c:v>#N/A</c:v>
                </c:pt>
                <c:pt idx="326">
                  <c:v>#N/A</c:v>
                </c:pt>
                <c:pt idx="327">
                  <c:v>#N/A</c:v>
                </c:pt>
                <c:pt idx="328">
                  <c:v>#N/A</c:v>
                </c:pt>
                <c:pt idx="329">
                  <c:v>#N/A</c:v>
                </c:pt>
                <c:pt idx="330">
                  <c:v>#N/A</c:v>
                </c:pt>
                <c:pt idx="331">
                  <c:v>#N/A</c:v>
                </c:pt>
                <c:pt idx="332">
                  <c:v>#N/A</c:v>
                </c:pt>
                <c:pt idx="333">
                  <c:v>#N/A</c:v>
                </c:pt>
                <c:pt idx="334">
                  <c:v>#N/A</c:v>
                </c:pt>
                <c:pt idx="335">
                  <c:v>#N/A</c:v>
                </c:pt>
                <c:pt idx="336">
                  <c:v>#N/A</c:v>
                </c:pt>
                <c:pt idx="337">
                  <c:v>#N/A</c:v>
                </c:pt>
                <c:pt idx="338">
                  <c:v>#N/A</c:v>
                </c:pt>
                <c:pt idx="339">
                  <c:v>#N/A</c:v>
                </c:pt>
                <c:pt idx="340">
                  <c:v>#N/A</c:v>
                </c:pt>
                <c:pt idx="341">
                  <c:v>#N/A</c:v>
                </c:pt>
                <c:pt idx="342">
                  <c:v>#N/A</c:v>
                </c:pt>
                <c:pt idx="343">
                  <c:v>#N/A</c:v>
                </c:pt>
                <c:pt idx="344">
                  <c:v>#N/A</c:v>
                </c:pt>
                <c:pt idx="345">
                  <c:v>#N/A</c:v>
                </c:pt>
                <c:pt idx="346">
                  <c:v>#N/A</c:v>
                </c:pt>
                <c:pt idx="347">
                  <c:v>#N/A</c:v>
                </c:pt>
                <c:pt idx="348">
                  <c:v>#N/A</c:v>
                </c:pt>
                <c:pt idx="349">
                  <c:v>#N/A</c:v>
                </c:pt>
                <c:pt idx="350">
                  <c:v>#N/A</c:v>
                </c:pt>
                <c:pt idx="351">
                  <c:v>#N/A</c:v>
                </c:pt>
                <c:pt idx="352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2C9-434A-8331-CE945E88D2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4331120"/>
        <c:axId val="164333520"/>
      </c:lineChart>
      <c:dateAx>
        <c:axId val="411339136"/>
        <c:scaling>
          <c:orientation val="minMax"/>
          <c:min val="35796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yyyy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11340576"/>
        <c:crosses val="autoZero"/>
        <c:auto val="1"/>
        <c:lblOffset val="100"/>
        <c:baseTimeUnit val="months"/>
        <c:majorUnit val="2"/>
        <c:majorTimeUnit val="years"/>
      </c:dateAx>
      <c:valAx>
        <c:axId val="411340576"/>
        <c:scaling>
          <c:orientation val="minMax"/>
          <c:min val="2.0000000000000004E-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11339136"/>
        <c:crosses val="autoZero"/>
        <c:crossBetween val="between"/>
        <c:majorUnit val="1.0000000000000002E-2"/>
      </c:valAx>
      <c:valAx>
        <c:axId val="164333520"/>
        <c:scaling>
          <c:orientation val="maxMin"/>
        </c:scaling>
        <c:delete val="0"/>
        <c:axPos val="r"/>
        <c:numFmt formatCode="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4331120"/>
        <c:crosses val="max"/>
        <c:crossBetween val="between"/>
      </c:valAx>
      <c:dateAx>
        <c:axId val="164331120"/>
        <c:scaling>
          <c:orientation val="minMax"/>
        </c:scaling>
        <c:delete val="1"/>
        <c:axPos val="t"/>
        <c:numFmt formatCode="m/d/yyyy" sourceLinked="1"/>
        <c:majorTickMark val="out"/>
        <c:minorTickMark val="none"/>
        <c:tickLblPos val="nextTo"/>
        <c:crossAx val="164333520"/>
        <c:crosses val="autoZero"/>
        <c:auto val="1"/>
        <c:lblOffset val="100"/>
        <c:baseTimeUnit val="months"/>
      </c:date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'Customer Margin Balances'!$AP$1</c:f>
              <c:strCache>
                <c:ptCount val="1"/>
                <c:pt idx="0">
                  <c:v>S&amp;P 500 FwdRtn (21M)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circle"/>
            <c:size val="3"/>
            <c:spPr>
              <a:solidFill>
                <a:schemeClr val="accent1"/>
              </a:solidFill>
              <a:ln w="9525">
                <a:noFill/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17384951881014873"/>
                  <c:y val="-0.4691043307086614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'Customer Margin Balances'!$AO$2:$AO$1121</c:f>
              <c:numCache>
                <c:formatCode>0%</c:formatCode>
                <c:ptCount val="1120"/>
                <c:pt idx="0">
                  <c:v>1.4230385315892801E-2</c:v>
                </c:pt>
                <c:pt idx="1">
                  <c:v>1.4520387224259466E-2</c:v>
                </c:pt>
                <c:pt idx="2">
                  <c:v>1.4587959090563455E-2</c:v>
                </c:pt>
                <c:pt idx="3">
                  <c:v>1.434388686436428E-2</c:v>
                </c:pt>
                <c:pt idx="4">
                  <c:v>1.4789410234748022E-2</c:v>
                </c:pt>
                <c:pt idx="5">
                  <c:v>1.5094336938637128E-2</c:v>
                </c:pt>
                <c:pt idx="6">
                  <c:v>1.5195870551776411E-2</c:v>
                </c:pt>
                <c:pt idx="7">
                  <c:v>1.4849382006323656E-2</c:v>
                </c:pt>
                <c:pt idx="8">
                  <c:v>1.4763239458177087E-2</c:v>
                </c:pt>
                <c:pt idx="9">
                  <c:v>1.5302236594169722E-2</c:v>
                </c:pt>
                <c:pt idx="10">
                  <c:v>1.4751031423969664E-2</c:v>
                </c:pt>
                <c:pt idx="11">
                  <c:v>1.4276491776998773E-2</c:v>
                </c:pt>
                <c:pt idx="12">
                  <c:v>1.5617235406786285E-2</c:v>
                </c:pt>
                <c:pt idx="13">
                  <c:v>1.5552037703661939E-2</c:v>
                </c:pt>
                <c:pt idx="14">
                  <c:v>1.5730530734863659E-2</c:v>
                </c:pt>
                <c:pt idx="15">
                  <c:v>1.5720321203790782E-2</c:v>
                </c:pt>
                <c:pt idx="16">
                  <c:v>1.538366443377512E-2</c:v>
                </c:pt>
                <c:pt idx="17">
                  <c:v>1.6321304062847319E-2</c:v>
                </c:pt>
                <c:pt idx="18">
                  <c:v>1.6916111460495643E-2</c:v>
                </c:pt>
                <c:pt idx="19">
                  <c:v>1.7366387667059426E-2</c:v>
                </c:pt>
                <c:pt idx="20">
                  <c:v>1.7248924177222864E-2</c:v>
                </c:pt>
                <c:pt idx="21">
                  <c:v>1.7299275524684441E-2</c:v>
                </c:pt>
                <c:pt idx="22">
                  <c:v>1.8168245161772397E-2</c:v>
                </c:pt>
                <c:pt idx="23">
                  <c:v>1.8433618978095402E-2</c:v>
                </c:pt>
                <c:pt idx="24">
                  <c:v>1.8632048591324168E-2</c:v>
                </c:pt>
                <c:pt idx="25">
                  <c:v>1.8935811826986705E-2</c:v>
                </c:pt>
                <c:pt idx="26">
                  <c:v>2.0187191753569412E-2</c:v>
                </c:pt>
                <c:pt idx="27">
                  <c:v>1.9871325147179389E-2</c:v>
                </c:pt>
                <c:pt idx="28">
                  <c:v>1.9711845586521722E-2</c:v>
                </c:pt>
                <c:pt idx="29">
                  <c:v>2.065083729981089E-2</c:v>
                </c:pt>
                <c:pt idx="30">
                  <c:v>2.0627919885286092E-2</c:v>
                </c:pt>
                <c:pt idx="31">
                  <c:v>2.0412545747395917E-2</c:v>
                </c:pt>
                <c:pt idx="32">
                  <c:v>2.147286321139805E-2</c:v>
                </c:pt>
                <c:pt idx="33">
                  <c:v>2.0943499597295322E-2</c:v>
                </c:pt>
                <c:pt idx="34">
                  <c:v>2.0198765467162753E-2</c:v>
                </c:pt>
                <c:pt idx="35">
                  <c:v>2.0745732469490376E-2</c:v>
                </c:pt>
                <c:pt idx="36">
                  <c:v>2.0121514749177394E-2</c:v>
                </c:pt>
                <c:pt idx="37">
                  <c:v>1.9966255583608469E-2</c:v>
                </c:pt>
                <c:pt idx="38">
                  <c:v>2.2558714039026921E-2</c:v>
                </c:pt>
                <c:pt idx="39">
                  <c:v>2.205839954736661E-2</c:v>
                </c:pt>
                <c:pt idx="40">
                  <c:v>2.2253414862665813E-2</c:v>
                </c:pt>
                <c:pt idx="41">
                  <c:v>2.2877954452092539E-2</c:v>
                </c:pt>
                <c:pt idx="42">
                  <c:v>2.3602656393097061E-2</c:v>
                </c:pt>
                <c:pt idx="43">
                  <c:v>2.3986897109838506E-2</c:v>
                </c:pt>
                <c:pt idx="44">
                  <c:v>2.3450747693121637E-2</c:v>
                </c:pt>
                <c:pt idx="45">
                  <c:v>2.2207789475898482E-2</c:v>
                </c:pt>
                <c:pt idx="46">
                  <c:v>2.1947458351131995E-2</c:v>
                </c:pt>
                <c:pt idx="47">
                  <c:v>2.1576792286335363E-2</c:v>
                </c:pt>
                <c:pt idx="48">
                  <c:v>2.1790305980755723E-2</c:v>
                </c:pt>
                <c:pt idx="49">
                  <c:v>2.2143477809413989E-2</c:v>
                </c:pt>
                <c:pt idx="50">
                  <c:v>2.284159779614325E-2</c:v>
                </c:pt>
                <c:pt idx="51">
                  <c:v>2.1710736099883231E-2</c:v>
                </c:pt>
                <c:pt idx="52">
                  <c:v>2.3219257574432099E-2</c:v>
                </c:pt>
                <c:pt idx="53">
                  <c:v>2.5911840323922845E-2</c:v>
                </c:pt>
                <c:pt idx="54">
                  <c:v>2.3372036517490945E-2</c:v>
                </c:pt>
                <c:pt idx="55">
                  <c:v>2.1994664836481125E-2</c:v>
                </c:pt>
                <c:pt idx="56">
                  <c:v>2.1854535104855299E-2</c:v>
                </c:pt>
                <c:pt idx="57">
                  <c:v>2.1805514727497206E-2</c:v>
                </c:pt>
                <c:pt idx="58">
                  <c:v>2.1739468807091367E-2</c:v>
                </c:pt>
                <c:pt idx="59">
                  <c:v>2.2513616503401633E-2</c:v>
                </c:pt>
                <c:pt idx="60">
                  <c:v>2.1213447357503246E-2</c:v>
                </c:pt>
              </c:numCache>
            </c:numRef>
          </c:xVal>
          <c:yVal>
            <c:numRef>
              <c:f>'Customer Margin Balances'!$AP$2:$AP$1121</c:f>
              <c:numCache>
                <c:formatCode>0%</c:formatCode>
                <c:ptCount val="1120"/>
                <c:pt idx="0">
                  <c:v>0.34198357056865669</c:v>
                </c:pt>
                <c:pt idx="1">
                  <c:v>0.30543614073846048</c:v>
                </c:pt>
                <c:pt idx="2">
                  <c:v>0.19559452648851394</c:v>
                </c:pt>
                <c:pt idx="3">
                  <c:v>0.30343286890976984</c:v>
                </c:pt>
                <c:pt idx="4">
                  <c:v>0.37797004978463722</c:v>
                </c:pt>
                <c:pt idx="5">
                  <c:v>0.30282527810290505</c:v>
                </c:pt>
                <c:pt idx="6">
                  <c:v>0.34394174562964674</c:v>
                </c:pt>
                <c:pt idx="7">
                  <c:v>0.41161660458349258</c:v>
                </c:pt>
                <c:pt idx="8">
                  <c:v>0.40224284722935622</c:v>
                </c:pt>
                <c:pt idx="9">
                  <c:v>0.41430447918034941</c:v>
                </c:pt>
                <c:pt idx="10">
                  <c:v>0.51160999570794985</c:v>
                </c:pt>
                <c:pt idx="11">
                  <c:v>0.44703303366332015</c:v>
                </c:pt>
                <c:pt idx="12">
                  <c:v>0.31147646450708355</c:v>
                </c:pt>
                <c:pt idx="13">
                  <c:v>0.21357780412119531</c:v>
                </c:pt>
                <c:pt idx="14">
                  <c:v>0.26098220826086771</c:v>
                </c:pt>
                <c:pt idx="15">
                  <c:v>0.42457946854297912</c:v>
                </c:pt>
                <c:pt idx="16">
                  <c:v>0.44874900467204548</c:v>
                </c:pt>
                <c:pt idx="17">
                  <c:v>0.43129381818358792</c:v>
                </c:pt>
                <c:pt idx="18">
                  <c:v>0.51943377454252349</c:v>
                </c:pt>
                <c:pt idx="19">
                  <c:v>0.39956090860030424</c:v>
                </c:pt>
                <c:pt idx="20">
                  <c:v>0.50084125537179314</c:v>
                </c:pt>
                <c:pt idx="21">
                  <c:v>0.38437444088517214</c:v>
                </c:pt>
                <c:pt idx="22">
                  <c:v>0.42622120982029865</c:v>
                </c:pt>
                <c:pt idx="23">
                  <c:v>0.52288307182579286</c:v>
                </c:pt>
                <c:pt idx="24">
                  <c:v>0.33438938053097345</c:v>
                </c:pt>
                <c:pt idx="25">
                  <c:v>0.21920978914313505</c:v>
                </c:pt>
                <c:pt idx="26">
                  <c:v>0.38806407811104826</c:v>
                </c:pt>
                <c:pt idx="27">
                  <c:v>0.23332163643623804</c:v>
                </c:pt>
                <c:pt idx="28">
                  <c:v>0.1727328391332863</c:v>
                </c:pt>
                <c:pt idx="29">
                  <c:v>5.2847314040009641E-2</c:v>
                </c:pt>
                <c:pt idx="30">
                  <c:v>4.4321595632313304E-2</c:v>
                </c:pt>
                <c:pt idx="31">
                  <c:v>-7.1253778609471685E-2</c:v>
                </c:pt>
                <c:pt idx="32">
                  <c:v>-0.1003172351862498</c:v>
                </c:pt>
                <c:pt idx="33">
                  <c:v>-1.2993212174293833E-2</c:v>
                </c:pt>
                <c:pt idx="34">
                  <c:v>-3.5653952551146784E-3</c:v>
                </c:pt>
                <c:pt idx="35">
                  <c:v>3.3160458173342677E-2</c:v>
                </c:pt>
                <c:pt idx="36">
                  <c:v>-7.5806822503471483E-2</c:v>
                </c:pt>
                <c:pt idx="37">
                  <c:v>-5.136897475917257E-2</c:v>
                </c:pt>
                <c:pt idx="38">
                  <c:v>-4.3790575916230257E-2</c:v>
                </c:pt>
                <c:pt idx="39">
                  <c:v>-5.56503041071712E-2</c:v>
                </c:pt>
                <c:pt idx="40">
                  <c:v>-2.5009746075859152E-2</c:v>
                </c:pt>
                <c:pt idx="41">
                  <c:v>-3.3575054934820714E-2</c:v>
                </c:pt>
                <c:pt idx="42">
                  <c:v>7.0571874631016884E-2</c:v>
                </c:pt>
                <c:pt idx="43">
                  <c:v>4.2468984233652085E-2</c:v>
                </c:pt>
                <c:pt idx="44">
                  <c:v>-4.5379878436770382E-2</c:v>
                </c:pt>
                <c:pt idx="45">
                  <c:v>9.2049712422306973E-2</c:v>
                </c:pt>
                <c:pt idx="46">
                  <c:v>0.26310107768902369</c:v>
                </c:pt>
                <c:pt idx="47">
                  <c:v>0.12559619387451693</c:v>
                </c:pt>
                <c:pt idx="48">
                  <c:v>0.1805097262813864</c:v>
                </c:pt>
                <c:pt idx="49">
                  <c:v>0.26315451588446792</c:v>
                </c:pt>
                <c:pt idx="50">
                  <c:v>0.46128587970802726</c:v>
                </c:pt>
                <c:pt idx="51">
                  <c:v>0.43675906855740698</c:v>
                </c:pt>
                <c:pt idx="52">
                  <c:v>0.55044069728714518</c:v>
                </c:pt>
                <c:pt idx="53">
                  <c:v>0.8440758495544749</c:v>
                </c:pt>
                <c:pt idx="54">
                  <c:v>0.54592413564324938</c:v>
                </c:pt>
                <c:pt idx="55">
                  <c:v>0.4277945881594285</c:v>
                </c:pt>
                <c:pt idx="56">
                  <c:v>0.33328174620370299</c:v>
                </c:pt>
                <c:pt idx="57">
                  <c:v>0.43989455520251641</c:v>
                </c:pt>
                <c:pt idx="58">
                  <c:v>0.44697059481952639</c:v>
                </c:pt>
                <c:pt idx="59">
                  <c:v>0.44369343644389514</c:v>
                </c:pt>
                <c:pt idx="60">
                  <c:v>0.43658549920381606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598-4530-9302-C42F991161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4036912"/>
        <c:axId val="44037392"/>
      </c:scatterChart>
      <c:valAx>
        <c:axId val="440369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800" b="0" i="0" u="none" strike="noStrike" baseline="0">
                    <a:effectLst/>
                  </a:rPr>
                  <a:t>Debit+Credit Balances : USM2</a:t>
                </a:r>
                <a:r>
                  <a:rPr lang="en-GB" sz="800" b="0" i="0" u="none" strike="noStrike" baseline="0"/>
                  <a:t> </a:t>
                </a:r>
                <a:endParaRPr lang="en-GB" sz="800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8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%" sourceLinked="1"/>
        <c:majorTickMark val="none"/>
        <c:minorTickMark val="none"/>
        <c:tickLblPos val="low"/>
        <c:spPr>
          <a:noFill/>
          <a:ln w="9525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4037392"/>
        <c:crosses val="autoZero"/>
        <c:crossBetween val="midCat"/>
        <c:majorUnit val="1.0000000000000002E-2"/>
      </c:valAx>
      <c:valAx>
        <c:axId val="440373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S&amp;P 500 FwdRtn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%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403691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'Customer Margin Balances'!$Q$1</c:f>
              <c:strCache>
                <c:ptCount val="1"/>
                <c:pt idx="0">
                  <c:v>Free Credit Balances : USM2</c:v>
                </c:pt>
              </c:strCache>
            </c:strRef>
          </c:tx>
          <c:spPr>
            <a:ln w="19050" cap="rnd">
              <a:solidFill>
                <a:schemeClr val="tx2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errBars>
            <c:errDir val="y"/>
            <c:errBarType val="both"/>
            <c:errValType val="stdDev"/>
            <c:noEndCap val="1"/>
            <c:val val="2"/>
            <c:spPr>
              <a:noFill/>
              <a:ln w="6350" cap="flat" cmpd="sng" algn="ctr">
                <a:solidFill>
                  <a:schemeClr val="accent2">
                    <a:alpha val="30000"/>
                  </a:schemeClr>
                </a:solidFill>
                <a:round/>
              </a:ln>
              <a:effectLst/>
            </c:spPr>
          </c:errBars>
          <c:cat>
            <c:numRef>
              <c:f>'Customer Margin Balances'!$G$2:$G$1354</c:f>
              <c:numCache>
                <c:formatCode>m/d/yyyy</c:formatCode>
                <c:ptCount val="1353"/>
                <c:pt idx="0">
                  <c:v>46173</c:v>
                </c:pt>
                <c:pt idx="1">
                  <c:v>46142</c:v>
                </c:pt>
                <c:pt idx="2">
                  <c:v>46112</c:v>
                </c:pt>
                <c:pt idx="3">
                  <c:v>46081</c:v>
                </c:pt>
                <c:pt idx="4">
                  <c:v>46053</c:v>
                </c:pt>
                <c:pt idx="5">
                  <c:v>46022</c:v>
                </c:pt>
                <c:pt idx="6">
                  <c:v>45991</c:v>
                </c:pt>
                <c:pt idx="7">
                  <c:v>45961</c:v>
                </c:pt>
                <c:pt idx="8">
                  <c:v>45930</c:v>
                </c:pt>
                <c:pt idx="9">
                  <c:v>45900</c:v>
                </c:pt>
                <c:pt idx="10">
                  <c:v>45869</c:v>
                </c:pt>
                <c:pt idx="11">
                  <c:v>45838</c:v>
                </c:pt>
                <c:pt idx="12">
                  <c:v>45808</c:v>
                </c:pt>
                <c:pt idx="13">
                  <c:v>45777</c:v>
                </c:pt>
                <c:pt idx="14">
                  <c:v>45747</c:v>
                </c:pt>
                <c:pt idx="15">
                  <c:v>45716</c:v>
                </c:pt>
                <c:pt idx="16">
                  <c:v>45688</c:v>
                </c:pt>
                <c:pt idx="17">
                  <c:v>45657</c:v>
                </c:pt>
                <c:pt idx="18">
                  <c:v>45626</c:v>
                </c:pt>
                <c:pt idx="19">
                  <c:v>45596</c:v>
                </c:pt>
                <c:pt idx="20">
                  <c:v>45565</c:v>
                </c:pt>
                <c:pt idx="21">
                  <c:v>45535</c:v>
                </c:pt>
                <c:pt idx="22">
                  <c:v>45504</c:v>
                </c:pt>
                <c:pt idx="23">
                  <c:v>45473</c:v>
                </c:pt>
                <c:pt idx="24">
                  <c:v>45443</c:v>
                </c:pt>
                <c:pt idx="25">
                  <c:v>45412</c:v>
                </c:pt>
                <c:pt idx="26">
                  <c:v>45382</c:v>
                </c:pt>
                <c:pt idx="27">
                  <c:v>45351</c:v>
                </c:pt>
                <c:pt idx="28">
                  <c:v>45322</c:v>
                </c:pt>
                <c:pt idx="29">
                  <c:v>45291</c:v>
                </c:pt>
                <c:pt idx="30">
                  <c:v>45260</c:v>
                </c:pt>
                <c:pt idx="31">
                  <c:v>45230</c:v>
                </c:pt>
                <c:pt idx="32">
                  <c:v>45199</c:v>
                </c:pt>
                <c:pt idx="33">
                  <c:v>45169</c:v>
                </c:pt>
                <c:pt idx="34">
                  <c:v>45138</c:v>
                </c:pt>
                <c:pt idx="35">
                  <c:v>45107</c:v>
                </c:pt>
                <c:pt idx="36">
                  <c:v>45077</c:v>
                </c:pt>
                <c:pt idx="37">
                  <c:v>45046</c:v>
                </c:pt>
                <c:pt idx="38">
                  <c:v>45016</c:v>
                </c:pt>
                <c:pt idx="39">
                  <c:v>44985</c:v>
                </c:pt>
                <c:pt idx="40">
                  <c:v>44957</c:v>
                </c:pt>
                <c:pt idx="41">
                  <c:v>44926</c:v>
                </c:pt>
                <c:pt idx="42">
                  <c:v>44895</c:v>
                </c:pt>
                <c:pt idx="43">
                  <c:v>44865</c:v>
                </c:pt>
                <c:pt idx="44">
                  <c:v>44834</c:v>
                </c:pt>
                <c:pt idx="45">
                  <c:v>44804</c:v>
                </c:pt>
                <c:pt idx="46">
                  <c:v>44773</c:v>
                </c:pt>
                <c:pt idx="47">
                  <c:v>44742</c:v>
                </c:pt>
                <c:pt idx="48">
                  <c:v>44712</c:v>
                </c:pt>
                <c:pt idx="49">
                  <c:v>44681</c:v>
                </c:pt>
                <c:pt idx="50">
                  <c:v>44651</c:v>
                </c:pt>
                <c:pt idx="51">
                  <c:v>44620</c:v>
                </c:pt>
                <c:pt idx="52">
                  <c:v>44592</c:v>
                </c:pt>
                <c:pt idx="53">
                  <c:v>44561</c:v>
                </c:pt>
                <c:pt idx="54">
                  <c:v>44530</c:v>
                </c:pt>
                <c:pt idx="55">
                  <c:v>44500</c:v>
                </c:pt>
                <c:pt idx="56">
                  <c:v>44469</c:v>
                </c:pt>
                <c:pt idx="57">
                  <c:v>44439</c:v>
                </c:pt>
                <c:pt idx="58">
                  <c:v>44408</c:v>
                </c:pt>
                <c:pt idx="59">
                  <c:v>44377</c:v>
                </c:pt>
                <c:pt idx="60">
                  <c:v>44347</c:v>
                </c:pt>
                <c:pt idx="61">
                  <c:v>44316</c:v>
                </c:pt>
                <c:pt idx="62">
                  <c:v>44286</c:v>
                </c:pt>
                <c:pt idx="63">
                  <c:v>44255</c:v>
                </c:pt>
                <c:pt idx="64">
                  <c:v>44227</c:v>
                </c:pt>
                <c:pt idx="65">
                  <c:v>44196</c:v>
                </c:pt>
                <c:pt idx="66">
                  <c:v>44165</c:v>
                </c:pt>
                <c:pt idx="67">
                  <c:v>44135</c:v>
                </c:pt>
                <c:pt idx="68">
                  <c:v>44104</c:v>
                </c:pt>
                <c:pt idx="69">
                  <c:v>44074</c:v>
                </c:pt>
                <c:pt idx="70">
                  <c:v>44043</c:v>
                </c:pt>
                <c:pt idx="71">
                  <c:v>44012</c:v>
                </c:pt>
                <c:pt idx="72">
                  <c:v>43982</c:v>
                </c:pt>
                <c:pt idx="73">
                  <c:v>43951</c:v>
                </c:pt>
                <c:pt idx="74">
                  <c:v>43921</c:v>
                </c:pt>
                <c:pt idx="75">
                  <c:v>43890</c:v>
                </c:pt>
                <c:pt idx="76">
                  <c:v>43861</c:v>
                </c:pt>
                <c:pt idx="77">
                  <c:v>43830</c:v>
                </c:pt>
                <c:pt idx="78">
                  <c:v>43799</c:v>
                </c:pt>
                <c:pt idx="79">
                  <c:v>43769</c:v>
                </c:pt>
                <c:pt idx="80">
                  <c:v>43738</c:v>
                </c:pt>
                <c:pt idx="81">
                  <c:v>43708</c:v>
                </c:pt>
                <c:pt idx="82">
                  <c:v>43677</c:v>
                </c:pt>
                <c:pt idx="83">
                  <c:v>43646</c:v>
                </c:pt>
                <c:pt idx="84">
                  <c:v>43616</c:v>
                </c:pt>
                <c:pt idx="85">
                  <c:v>43585</c:v>
                </c:pt>
                <c:pt idx="86">
                  <c:v>43555</c:v>
                </c:pt>
                <c:pt idx="87">
                  <c:v>43524</c:v>
                </c:pt>
                <c:pt idx="88">
                  <c:v>43496</c:v>
                </c:pt>
                <c:pt idx="89">
                  <c:v>43465</c:v>
                </c:pt>
                <c:pt idx="90">
                  <c:v>43434</c:v>
                </c:pt>
                <c:pt idx="91">
                  <c:v>43404</c:v>
                </c:pt>
                <c:pt idx="92">
                  <c:v>43373</c:v>
                </c:pt>
                <c:pt idx="93">
                  <c:v>43343</c:v>
                </c:pt>
                <c:pt idx="94">
                  <c:v>43312</c:v>
                </c:pt>
                <c:pt idx="95">
                  <c:v>43281</c:v>
                </c:pt>
                <c:pt idx="96">
                  <c:v>43251</c:v>
                </c:pt>
                <c:pt idx="97">
                  <c:v>43220</c:v>
                </c:pt>
                <c:pt idx="98">
                  <c:v>43190</c:v>
                </c:pt>
                <c:pt idx="99">
                  <c:v>43159</c:v>
                </c:pt>
                <c:pt idx="100">
                  <c:v>43131</c:v>
                </c:pt>
                <c:pt idx="101">
                  <c:v>43100</c:v>
                </c:pt>
                <c:pt idx="102">
                  <c:v>43069</c:v>
                </c:pt>
                <c:pt idx="103">
                  <c:v>43039</c:v>
                </c:pt>
                <c:pt idx="104">
                  <c:v>43008</c:v>
                </c:pt>
                <c:pt idx="105">
                  <c:v>42978</c:v>
                </c:pt>
                <c:pt idx="106">
                  <c:v>42947</c:v>
                </c:pt>
                <c:pt idx="107">
                  <c:v>42916</c:v>
                </c:pt>
                <c:pt idx="108">
                  <c:v>42886</c:v>
                </c:pt>
                <c:pt idx="109">
                  <c:v>42855</c:v>
                </c:pt>
                <c:pt idx="110">
                  <c:v>42825</c:v>
                </c:pt>
                <c:pt idx="111">
                  <c:v>42794</c:v>
                </c:pt>
                <c:pt idx="112">
                  <c:v>42766</c:v>
                </c:pt>
                <c:pt idx="113">
                  <c:v>42735</c:v>
                </c:pt>
                <c:pt idx="114">
                  <c:v>42704</c:v>
                </c:pt>
                <c:pt idx="115">
                  <c:v>42674</c:v>
                </c:pt>
                <c:pt idx="116">
                  <c:v>42643</c:v>
                </c:pt>
                <c:pt idx="117">
                  <c:v>42613</c:v>
                </c:pt>
                <c:pt idx="118">
                  <c:v>42582</c:v>
                </c:pt>
                <c:pt idx="119">
                  <c:v>42551</c:v>
                </c:pt>
                <c:pt idx="120">
                  <c:v>42521</c:v>
                </c:pt>
                <c:pt idx="121">
                  <c:v>42490</c:v>
                </c:pt>
                <c:pt idx="122">
                  <c:v>42460</c:v>
                </c:pt>
                <c:pt idx="123">
                  <c:v>42429</c:v>
                </c:pt>
                <c:pt idx="124">
                  <c:v>42400</c:v>
                </c:pt>
                <c:pt idx="125">
                  <c:v>42369</c:v>
                </c:pt>
                <c:pt idx="126">
                  <c:v>42338</c:v>
                </c:pt>
                <c:pt idx="127">
                  <c:v>42308</c:v>
                </c:pt>
                <c:pt idx="128">
                  <c:v>42277</c:v>
                </c:pt>
                <c:pt idx="129">
                  <c:v>42247</c:v>
                </c:pt>
                <c:pt idx="130">
                  <c:v>42216</c:v>
                </c:pt>
                <c:pt idx="131">
                  <c:v>42185</c:v>
                </c:pt>
                <c:pt idx="132">
                  <c:v>42155</c:v>
                </c:pt>
                <c:pt idx="133">
                  <c:v>42124</c:v>
                </c:pt>
                <c:pt idx="134">
                  <c:v>42094</c:v>
                </c:pt>
                <c:pt idx="135">
                  <c:v>42063</c:v>
                </c:pt>
                <c:pt idx="136">
                  <c:v>42035</c:v>
                </c:pt>
                <c:pt idx="137">
                  <c:v>42004</c:v>
                </c:pt>
                <c:pt idx="138">
                  <c:v>41973</c:v>
                </c:pt>
                <c:pt idx="139">
                  <c:v>41943</c:v>
                </c:pt>
                <c:pt idx="140">
                  <c:v>41912</c:v>
                </c:pt>
                <c:pt idx="141">
                  <c:v>41882</c:v>
                </c:pt>
                <c:pt idx="142">
                  <c:v>41851</c:v>
                </c:pt>
                <c:pt idx="143">
                  <c:v>41820</c:v>
                </c:pt>
                <c:pt idx="144">
                  <c:v>41790</c:v>
                </c:pt>
                <c:pt idx="145">
                  <c:v>41759</c:v>
                </c:pt>
                <c:pt idx="146">
                  <c:v>41729</c:v>
                </c:pt>
                <c:pt idx="147">
                  <c:v>41698</c:v>
                </c:pt>
                <c:pt idx="148">
                  <c:v>41670</c:v>
                </c:pt>
                <c:pt idx="149">
                  <c:v>41639</c:v>
                </c:pt>
                <c:pt idx="150">
                  <c:v>41608</c:v>
                </c:pt>
                <c:pt idx="151">
                  <c:v>41578</c:v>
                </c:pt>
                <c:pt idx="152">
                  <c:v>41547</c:v>
                </c:pt>
                <c:pt idx="153">
                  <c:v>41517</c:v>
                </c:pt>
                <c:pt idx="154">
                  <c:v>41486</c:v>
                </c:pt>
                <c:pt idx="155">
                  <c:v>41455</c:v>
                </c:pt>
                <c:pt idx="156">
                  <c:v>41425</c:v>
                </c:pt>
                <c:pt idx="157">
                  <c:v>41394</c:v>
                </c:pt>
                <c:pt idx="158">
                  <c:v>41364</c:v>
                </c:pt>
                <c:pt idx="159">
                  <c:v>41333</c:v>
                </c:pt>
                <c:pt idx="160">
                  <c:v>41305</c:v>
                </c:pt>
                <c:pt idx="161">
                  <c:v>41274</c:v>
                </c:pt>
                <c:pt idx="162">
                  <c:v>41243</c:v>
                </c:pt>
                <c:pt idx="163">
                  <c:v>41213</c:v>
                </c:pt>
                <c:pt idx="164">
                  <c:v>41182</c:v>
                </c:pt>
                <c:pt idx="165">
                  <c:v>41152</c:v>
                </c:pt>
                <c:pt idx="166">
                  <c:v>41121</c:v>
                </c:pt>
                <c:pt idx="167">
                  <c:v>41090</c:v>
                </c:pt>
                <c:pt idx="168">
                  <c:v>41060</c:v>
                </c:pt>
                <c:pt idx="169">
                  <c:v>41029</c:v>
                </c:pt>
                <c:pt idx="170">
                  <c:v>40999</c:v>
                </c:pt>
                <c:pt idx="171">
                  <c:v>40968</c:v>
                </c:pt>
                <c:pt idx="172">
                  <c:v>40939</c:v>
                </c:pt>
                <c:pt idx="173">
                  <c:v>40908</c:v>
                </c:pt>
                <c:pt idx="174">
                  <c:v>40877</c:v>
                </c:pt>
                <c:pt idx="175">
                  <c:v>40847</c:v>
                </c:pt>
                <c:pt idx="176">
                  <c:v>40816</c:v>
                </c:pt>
                <c:pt idx="177">
                  <c:v>40786</c:v>
                </c:pt>
                <c:pt idx="178">
                  <c:v>40755</c:v>
                </c:pt>
                <c:pt idx="179">
                  <c:v>40724</c:v>
                </c:pt>
                <c:pt idx="180">
                  <c:v>40694</c:v>
                </c:pt>
                <c:pt idx="181">
                  <c:v>40663</c:v>
                </c:pt>
                <c:pt idx="182">
                  <c:v>40633</c:v>
                </c:pt>
                <c:pt idx="183">
                  <c:v>40602</c:v>
                </c:pt>
                <c:pt idx="184">
                  <c:v>40574</c:v>
                </c:pt>
                <c:pt idx="185">
                  <c:v>40543</c:v>
                </c:pt>
                <c:pt idx="186">
                  <c:v>40512</c:v>
                </c:pt>
                <c:pt idx="187">
                  <c:v>40482</c:v>
                </c:pt>
                <c:pt idx="188">
                  <c:v>40451</c:v>
                </c:pt>
                <c:pt idx="189">
                  <c:v>40421</c:v>
                </c:pt>
                <c:pt idx="190">
                  <c:v>40390</c:v>
                </c:pt>
                <c:pt idx="191">
                  <c:v>40359</c:v>
                </c:pt>
                <c:pt idx="192">
                  <c:v>40329</c:v>
                </c:pt>
                <c:pt idx="193">
                  <c:v>40298</c:v>
                </c:pt>
                <c:pt idx="194">
                  <c:v>40268</c:v>
                </c:pt>
                <c:pt idx="195">
                  <c:v>40237</c:v>
                </c:pt>
                <c:pt idx="196">
                  <c:v>40209</c:v>
                </c:pt>
                <c:pt idx="197">
                  <c:v>40178</c:v>
                </c:pt>
                <c:pt idx="198">
                  <c:v>40147</c:v>
                </c:pt>
                <c:pt idx="199">
                  <c:v>40117</c:v>
                </c:pt>
                <c:pt idx="200">
                  <c:v>40086</c:v>
                </c:pt>
                <c:pt idx="201">
                  <c:v>40056</c:v>
                </c:pt>
                <c:pt idx="202">
                  <c:v>40025</c:v>
                </c:pt>
                <c:pt idx="203">
                  <c:v>39994</c:v>
                </c:pt>
                <c:pt idx="204">
                  <c:v>39964</c:v>
                </c:pt>
                <c:pt idx="205">
                  <c:v>39933</c:v>
                </c:pt>
                <c:pt idx="206">
                  <c:v>39903</c:v>
                </c:pt>
                <c:pt idx="207">
                  <c:v>39872</c:v>
                </c:pt>
                <c:pt idx="208">
                  <c:v>39844</c:v>
                </c:pt>
                <c:pt idx="209">
                  <c:v>39813</c:v>
                </c:pt>
                <c:pt idx="210">
                  <c:v>39782</c:v>
                </c:pt>
                <c:pt idx="211">
                  <c:v>39752</c:v>
                </c:pt>
                <c:pt idx="212">
                  <c:v>39721</c:v>
                </c:pt>
                <c:pt idx="213">
                  <c:v>39691</c:v>
                </c:pt>
                <c:pt idx="214">
                  <c:v>39660</c:v>
                </c:pt>
                <c:pt idx="215">
                  <c:v>39629</c:v>
                </c:pt>
                <c:pt idx="216">
                  <c:v>39599</c:v>
                </c:pt>
                <c:pt idx="217">
                  <c:v>39568</c:v>
                </c:pt>
                <c:pt idx="218">
                  <c:v>39538</c:v>
                </c:pt>
                <c:pt idx="219">
                  <c:v>39507</c:v>
                </c:pt>
                <c:pt idx="220">
                  <c:v>39478</c:v>
                </c:pt>
                <c:pt idx="221">
                  <c:v>39447</c:v>
                </c:pt>
                <c:pt idx="222">
                  <c:v>39416</c:v>
                </c:pt>
                <c:pt idx="223">
                  <c:v>39386</c:v>
                </c:pt>
                <c:pt idx="224">
                  <c:v>39355</c:v>
                </c:pt>
                <c:pt idx="225">
                  <c:v>39325</c:v>
                </c:pt>
                <c:pt idx="226">
                  <c:v>39294</c:v>
                </c:pt>
                <c:pt idx="227">
                  <c:v>39263</c:v>
                </c:pt>
                <c:pt idx="228">
                  <c:v>39233</c:v>
                </c:pt>
                <c:pt idx="229">
                  <c:v>39202</c:v>
                </c:pt>
                <c:pt idx="230">
                  <c:v>39172</c:v>
                </c:pt>
                <c:pt idx="231">
                  <c:v>39141</c:v>
                </c:pt>
                <c:pt idx="232">
                  <c:v>39113</c:v>
                </c:pt>
                <c:pt idx="233">
                  <c:v>39082</c:v>
                </c:pt>
                <c:pt idx="234">
                  <c:v>39051</c:v>
                </c:pt>
                <c:pt idx="235">
                  <c:v>39021</c:v>
                </c:pt>
                <c:pt idx="236">
                  <c:v>38990</c:v>
                </c:pt>
                <c:pt idx="237">
                  <c:v>38960</c:v>
                </c:pt>
                <c:pt idx="238">
                  <c:v>38929</c:v>
                </c:pt>
                <c:pt idx="239">
                  <c:v>38898</c:v>
                </c:pt>
                <c:pt idx="240">
                  <c:v>38868</c:v>
                </c:pt>
                <c:pt idx="241">
                  <c:v>38837</c:v>
                </c:pt>
                <c:pt idx="242">
                  <c:v>38807</c:v>
                </c:pt>
                <c:pt idx="243">
                  <c:v>38776</c:v>
                </c:pt>
                <c:pt idx="244">
                  <c:v>38748</c:v>
                </c:pt>
                <c:pt idx="245">
                  <c:v>38717</c:v>
                </c:pt>
                <c:pt idx="246">
                  <c:v>38686</c:v>
                </c:pt>
                <c:pt idx="247">
                  <c:v>38656</c:v>
                </c:pt>
                <c:pt idx="248">
                  <c:v>38625</c:v>
                </c:pt>
                <c:pt idx="249">
                  <c:v>38595</c:v>
                </c:pt>
                <c:pt idx="250">
                  <c:v>38564</c:v>
                </c:pt>
                <c:pt idx="251">
                  <c:v>38533</c:v>
                </c:pt>
                <c:pt idx="252">
                  <c:v>38503</c:v>
                </c:pt>
                <c:pt idx="253">
                  <c:v>38472</c:v>
                </c:pt>
                <c:pt idx="254">
                  <c:v>38442</c:v>
                </c:pt>
                <c:pt idx="255">
                  <c:v>38411</c:v>
                </c:pt>
                <c:pt idx="256">
                  <c:v>38383</c:v>
                </c:pt>
                <c:pt idx="257">
                  <c:v>38352</c:v>
                </c:pt>
                <c:pt idx="258">
                  <c:v>38321</c:v>
                </c:pt>
                <c:pt idx="259">
                  <c:v>38291</c:v>
                </c:pt>
                <c:pt idx="260">
                  <c:v>38260</c:v>
                </c:pt>
                <c:pt idx="261">
                  <c:v>38230</c:v>
                </c:pt>
                <c:pt idx="262">
                  <c:v>38199</c:v>
                </c:pt>
                <c:pt idx="263">
                  <c:v>38168</c:v>
                </c:pt>
                <c:pt idx="264">
                  <c:v>38138</c:v>
                </c:pt>
                <c:pt idx="265">
                  <c:v>38107</c:v>
                </c:pt>
                <c:pt idx="266">
                  <c:v>38077</c:v>
                </c:pt>
                <c:pt idx="267">
                  <c:v>38046</c:v>
                </c:pt>
                <c:pt idx="268">
                  <c:v>38017</c:v>
                </c:pt>
                <c:pt idx="269">
                  <c:v>37986</c:v>
                </c:pt>
                <c:pt idx="270">
                  <c:v>37955</c:v>
                </c:pt>
                <c:pt idx="271">
                  <c:v>37925</c:v>
                </c:pt>
                <c:pt idx="272">
                  <c:v>37894</c:v>
                </c:pt>
                <c:pt idx="273">
                  <c:v>37864</c:v>
                </c:pt>
                <c:pt idx="274">
                  <c:v>37833</c:v>
                </c:pt>
                <c:pt idx="275">
                  <c:v>37802</c:v>
                </c:pt>
                <c:pt idx="276">
                  <c:v>37772</c:v>
                </c:pt>
                <c:pt idx="277">
                  <c:v>37741</c:v>
                </c:pt>
                <c:pt idx="278">
                  <c:v>37711</c:v>
                </c:pt>
                <c:pt idx="279">
                  <c:v>37680</c:v>
                </c:pt>
                <c:pt idx="280">
                  <c:v>37652</c:v>
                </c:pt>
                <c:pt idx="281">
                  <c:v>37621</c:v>
                </c:pt>
                <c:pt idx="282">
                  <c:v>37590</c:v>
                </c:pt>
                <c:pt idx="283">
                  <c:v>37560</c:v>
                </c:pt>
                <c:pt idx="284">
                  <c:v>37529</c:v>
                </c:pt>
                <c:pt idx="285">
                  <c:v>37499</c:v>
                </c:pt>
                <c:pt idx="286">
                  <c:v>37468</c:v>
                </c:pt>
                <c:pt idx="287">
                  <c:v>37437</c:v>
                </c:pt>
                <c:pt idx="288">
                  <c:v>37407</c:v>
                </c:pt>
                <c:pt idx="289">
                  <c:v>37376</c:v>
                </c:pt>
                <c:pt idx="290">
                  <c:v>37346</c:v>
                </c:pt>
                <c:pt idx="291">
                  <c:v>37315</c:v>
                </c:pt>
                <c:pt idx="292">
                  <c:v>37287</c:v>
                </c:pt>
                <c:pt idx="293">
                  <c:v>37256</c:v>
                </c:pt>
                <c:pt idx="294">
                  <c:v>37225</c:v>
                </c:pt>
                <c:pt idx="295">
                  <c:v>37195</c:v>
                </c:pt>
                <c:pt idx="296">
                  <c:v>37164</c:v>
                </c:pt>
                <c:pt idx="297">
                  <c:v>37134</c:v>
                </c:pt>
                <c:pt idx="298">
                  <c:v>37103</c:v>
                </c:pt>
                <c:pt idx="299">
                  <c:v>37072</c:v>
                </c:pt>
                <c:pt idx="300">
                  <c:v>37042</c:v>
                </c:pt>
                <c:pt idx="301">
                  <c:v>37011</c:v>
                </c:pt>
                <c:pt idx="302">
                  <c:v>36981</c:v>
                </c:pt>
                <c:pt idx="303">
                  <c:v>36950</c:v>
                </c:pt>
                <c:pt idx="304">
                  <c:v>36922</c:v>
                </c:pt>
                <c:pt idx="305">
                  <c:v>36891</c:v>
                </c:pt>
                <c:pt idx="306">
                  <c:v>36860</c:v>
                </c:pt>
                <c:pt idx="307">
                  <c:v>36830</c:v>
                </c:pt>
                <c:pt idx="308">
                  <c:v>36799</c:v>
                </c:pt>
                <c:pt idx="309">
                  <c:v>36769</c:v>
                </c:pt>
                <c:pt idx="310">
                  <c:v>36738</c:v>
                </c:pt>
                <c:pt idx="311">
                  <c:v>36707</c:v>
                </c:pt>
                <c:pt idx="312">
                  <c:v>36677</c:v>
                </c:pt>
                <c:pt idx="313">
                  <c:v>36646</c:v>
                </c:pt>
                <c:pt idx="314">
                  <c:v>36616</c:v>
                </c:pt>
                <c:pt idx="315">
                  <c:v>36585</c:v>
                </c:pt>
                <c:pt idx="316">
                  <c:v>36556</c:v>
                </c:pt>
                <c:pt idx="317">
                  <c:v>36525</c:v>
                </c:pt>
                <c:pt idx="318">
                  <c:v>36494</c:v>
                </c:pt>
                <c:pt idx="319">
                  <c:v>36464</c:v>
                </c:pt>
                <c:pt idx="320">
                  <c:v>36433</c:v>
                </c:pt>
                <c:pt idx="321">
                  <c:v>36403</c:v>
                </c:pt>
                <c:pt idx="322">
                  <c:v>36372</c:v>
                </c:pt>
                <c:pt idx="323">
                  <c:v>36341</c:v>
                </c:pt>
                <c:pt idx="324">
                  <c:v>36311</c:v>
                </c:pt>
                <c:pt idx="325">
                  <c:v>36280</c:v>
                </c:pt>
                <c:pt idx="326">
                  <c:v>36250</c:v>
                </c:pt>
                <c:pt idx="327">
                  <c:v>36219</c:v>
                </c:pt>
                <c:pt idx="328">
                  <c:v>36191</c:v>
                </c:pt>
                <c:pt idx="329">
                  <c:v>36160</c:v>
                </c:pt>
                <c:pt idx="330">
                  <c:v>36129</c:v>
                </c:pt>
                <c:pt idx="331">
                  <c:v>36099</c:v>
                </c:pt>
                <c:pt idx="332">
                  <c:v>36068</c:v>
                </c:pt>
                <c:pt idx="333">
                  <c:v>36038</c:v>
                </c:pt>
                <c:pt idx="334">
                  <c:v>36007</c:v>
                </c:pt>
                <c:pt idx="335">
                  <c:v>35976</c:v>
                </c:pt>
                <c:pt idx="336">
                  <c:v>35946</c:v>
                </c:pt>
                <c:pt idx="337">
                  <c:v>35915</c:v>
                </c:pt>
                <c:pt idx="338">
                  <c:v>35885</c:v>
                </c:pt>
                <c:pt idx="339">
                  <c:v>35854</c:v>
                </c:pt>
                <c:pt idx="340">
                  <c:v>35826</c:v>
                </c:pt>
                <c:pt idx="341">
                  <c:v>35795</c:v>
                </c:pt>
                <c:pt idx="342">
                  <c:v>35764</c:v>
                </c:pt>
                <c:pt idx="343">
                  <c:v>35734</c:v>
                </c:pt>
                <c:pt idx="344">
                  <c:v>35703</c:v>
                </c:pt>
                <c:pt idx="345">
                  <c:v>35673</c:v>
                </c:pt>
                <c:pt idx="346">
                  <c:v>35642</c:v>
                </c:pt>
                <c:pt idx="347">
                  <c:v>35611</c:v>
                </c:pt>
                <c:pt idx="348">
                  <c:v>35581</c:v>
                </c:pt>
                <c:pt idx="349">
                  <c:v>35550</c:v>
                </c:pt>
                <c:pt idx="350">
                  <c:v>35520</c:v>
                </c:pt>
                <c:pt idx="351">
                  <c:v>35489</c:v>
                </c:pt>
                <c:pt idx="352">
                  <c:v>35461</c:v>
                </c:pt>
              </c:numCache>
            </c:numRef>
          </c:cat>
          <c:val>
            <c:numRef>
              <c:f>'Customer Margin Balances'!$Q$2:$Q$1354</c:f>
              <c:numCache>
                <c:formatCode>0%</c:formatCode>
                <c:ptCount val="1353"/>
                <c:pt idx="0">
                  <c:v>1.845122476786655E-2</c:v>
                </c:pt>
                <c:pt idx="1">
                  <c:v>1.8890705522274832E-2</c:v>
                </c:pt>
                <c:pt idx="2">
                  <c:v>1.8735180290937459E-2</c:v>
                </c:pt>
                <c:pt idx="3">
                  <c:v>1.7979105365234487E-2</c:v>
                </c:pt>
                <c:pt idx="4">
                  <c:v>1.7831641169217895E-2</c:v>
                </c:pt>
                <c:pt idx="5">
                  <c:v>1.8285407029191274E-2</c:v>
                </c:pt>
                <c:pt idx="6">
                  <c:v>1.7806980910940174E-2</c:v>
                </c:pt>
                <c:pt idx="7">
                  <c:v>1.7732945579151449E-2</c:v>
                </c:pt>
                <c:pt idx="8">
                  <c:v>1.8044456504533839E-2</c:v>
                </c:pt>
                <c:pt idx="9">
                  <c:v>1.6783265026392349E-2</c:v>
                </c:pt>
                <c:pt idx="10">
                  <c:v>1.7363101633492979E-2</c:v>
                </c:pt>
                <c:pt idx="11">
                  <c:v>1.7626220439015707E-2</c:v>
                </c:pt>
                <c:pt idx="12">
                  <c:v>1.6750314887513905E-2</c:v>
                </c:pt>
                <c:pt idx="13">
                  <c:v>1.6613553640502907E-2</c:v>
                </c:pt>
                <c:pt idx="14">
                  <c:v>1.6775027384264247E-2</c:v>
                </c:pt>
                <c:pt idx="15">
                  <c:v>1.6688138584432473E-2</c:v>
                </c:pt>
                <c:pt idx="16">
                  <c:v>1.5967337672867104E-2</c:v>
                </c:pt>
                <c:pt idx="17">
                  <c:v>1.6517179809791657E-2</c:v>
                </c:pt>
                <c:pt idx="18">
                  <c:v>1.5723409710729355E-2</c:v>
                </c:pt>
                <c:pt idx="19">
                  <c:v>1.5912527505595155E-2</c:v>
                </c:pt>
                <c:pt idx="20">
                  <c:v>1.537579527781705E-2</c:v>
                </c:pt>
                <c:pt idx="21">
                  <c:v>1.4230385315892801E-2</c:v>
                </c:pt>
                <c:pt idx="22">
                  <c:v>1.4520387224259466E-2</c:v>
                </c:pt>
                <c:pt idx="23">
                  <c:v>1.4587959090563455E-2</c:v>
                </c:pt>
                <c:pt idx="24">
                  <c:v>1.434388686436428E-2</c:v>
                </c:pt>
                <c:pt idx="25">
                  <c:v>1.4789410234748022E-2</c:v>
                </c:pt>
                <c:pt idx="26">
                  <c:v>1.5094336938637128E-2</c:v>
                </c:pt>
                <c:pt idx="27">
                  <c:v>1.5195870551776411E-2</c:v>
                </c:pt>
                <c:pt idx="28">
                  <c:v>1.4849382006323656E-2</c:v>
                </c:pt>
                <c:pt idx="29">
                  <c:v>1.4763239458177087E-2</c:v>
                </c:pt>
                <c:pt idx="30">
                  <c:v>1.5302236594169722E-2</c:v>
                </c:pt>
                <c:pt idx="31">
                  <c:v>1.4751031423969664E-2</c:v>
                </c:pt>
                <c:pt idx="32">
                  <c:v>1.4276491776998773E-2</c:v>
                </c:pt>
                <c:pt idx="33">
                  <c:v>1.5617235406786285E-2</c:v>
                </c:pt>
                <c:pt idx="34">
                  <c:v>1.5552037703661939E-2</c:v>
                </c:pt>
                <c:pt idx="35">
                  <c:v>1.5730530734863659E-2</c:v>
                </c:pt>
                <c:pt idx="36">
                  <c:v>1.5720321203790782E-2</c:v>
                </c:pt>
                <c:pt idx="37">
                  <c:v>1.538366443377512E-2</c:v>
                </c:pt>
                <c:pt idx="38">
                  <c:v>1.6321304062847319E-2</c:v>
                </c:pt>
                <c:pt idx="39">
                  <c:v>1.6916111460495643E-2</c:v>
                </c:pt>
                <c:pt idx="40">
                  <c:v>1.7366387667059426E-2</c:v>
                </c:pt>
                <c:pt idx="41">
                  <c:v>1.7248924177222864E-2</c:v>
                </c:pt>
                <c:pt idx="42">
                  <c:v>1.7299275524684441E-2</c:v>
                </c:pt>
                <c:pt idx="43">
                  <c:v>1.8168245161772397E-2</c:v>
                </c:pt>
                <c:pt idx="44">
                  <c:v>1.8433618978095402E-2</c:v>
                </c:pt>
                <c:pt idx="45">
                  <c:v>1.8632048591324168E-2</c:v>
                </c:pt>
                <c:pt idx="46">
                  <c:v>1.8935811826986705E-2</c:v>
                </c:pt>
                <c:pt idx="47">
                  <c:v>2.0187191753569412E-2</c:v>
                </c:pt>
                <c:pt idx="48">
                  <c:v>1.9871325147179389E-2</c:v>
                </c:pt>
                <c:pt idx="49">
                  <c:v>1.9711845586521722E-2</c:v>
                </c:pt>
                <c:pt idx="50">
                  <c:v>2.065083729981089E-2</c:v>
                </c:pt>
                <c:pt idx="51">
                  <c:v>2.0627919885286092E-2</c:v>
                </c:pt>
                <c:pt idx="52">
                  <c:v>2.0412545747395917E-2</c:v>
                </c:pt>
                <c:pt idx="53">
                  <c:v>2.147286321139805E-2</c:v>
                </c:pt>
                <c:pt idx="54">
                  <c:v>2.0943499597295322E-2</c:v>
                </c:pt>
                <c:pt idx="55">
                  <c:v>2.0198765467162753E-2</c:v>
                </c:pt>
                <c:pt idx="56">
                  <c:v>2.0745732469490376E-2</c:v>
                </c:pt>
                <c:pt idx="57">
                  <c:v>2.0121514749177394E-2</c:v>
                </c:pt>
                <c:pt idx="58">
                  <c:v>1.9966255583608469E-2</c:v>
                </c:pt>
                <c:pt idx="59">
                  <c:v>2.2558714039026921E-2</c:v>
                </c:pt>
                <c:pt idx="60">
                  <c:v>2.205839954736661E-2</c:v>
                </c:pt>
                <c:pt idx="61">
                  <c:v>2.2253414862665813E-2</c:v>
                </c:pt>
                <c:pt idx="62">
                  <c:v>2.2877954452092539E-2</c:v>
                </c:pt>
                <c:pt idx="63">
                  <c:v>2.3602656393097061E-2</c:v>
                </c:pt>
                <c:pt idx="64">
                  <c:v>2.3986897109838506E-2</c:v>
                </c:pt>
                <c:pt idx="65">
                  <c:v>2.3450747693121637E-2</c:v>
                </c:pt>
                <c:pt idx="66">
                  <c:v>2.2207789475898482E-2</c:v>
                </c:pt>
                <c:pt idx="67">
                  <c:v>2.1947458351131995E-2</c:v>
                </c:pt>
                <c:pt idx="68">
                  <c:v>2.1576792286335363E-2</c:v>
                </c:pt>
                <c:pt idx="69">
                  <c:v>2.1790305980755723E-2</c:v>
                </c:pt>
                <c:pt idx="70">
                  <c:v>2.2143477809413989E-2</c:v>
                </c:pt>
                <c:pt idx="71">
                  <c:v>2.284159779614325E-2</c:v>
                </c:pt>
                <c:pt idx="72">
                  <c:v>2.1710736099883231E-2</c:v>
                </c:pt>
                <c:pt idx="73">
                  <c:v>2.3219257574432099E-2</c:v>
                </c:pt>
                <c:pt idx="74">
                  <c:v>2.5911840323922845E-2</c:v>
                </c:pt>
                <c:pt idx="75">
                  <c:v>2.3372036517490945E-2</c:v>
                </c:pt>
                <c:pt idx="76">
                  <c:v>2.1994664836481125E-2</c:v>
                </c:pt>
                <c:pt idx="77">
                  <c:v>2.1854535104855299E-2</c:v>
                </c:pt>
                <c:pt idx="78">
                  <c:v>2.1805514727497206E-2</c:v>
                </c:pt>
                <c:pt idx="79">
                  <c:v>2.1739468807091367E-2</c:v>
                </c:pt>
                <c:pt idx="80">
                  <c:v>2.2513616503401633E-2</c:v>
                </c:pt>
                <c:pt idx="81">
                  <c:v>2.1213447357503246E-2</c:v>
                </c:pt>
                <c:pt idx="82">
                  <c:v>2.1621861688884105E-2</c:v>
                </c:pt>
                <c:pt idx="83">
                  <c:v>2.1609142516898636E-2</c:v>
                </c:pt>
                <c:pt idx="84">
                  <c:v>2.1651787852046436E-2</c:v>
                </c:pt>
                <c:pt idx="85">
                  <c:v>2.1979202182066143E-2</c:v>
                </c:pt>
                <c:pt idx="86">
                  <c:v>2.2022197436757148E-2</c:v>
                </c:pt>
                <c:pt idx="87">
                  <c:v>2.2961739780658026E-2</c:v>
                </c:pt>
                <c:pt idx="88">
                  <c:v>2.3356331056604816E-2</c:v>
                </c:pt>
                <c:pt idx="89">
                  <c:v>2.4177997101249224E-2</c:v>
                </c:pt>
                <c:pt idx="90">
                  <c:v>2.2755938013782489E-2</c:v>
                </c:pt>
                <c:pt idx="91">
                  <c:v>2.327927915273759E-2</c:v>
                </c:pt>
                <c:pt idx="92">
                  <c:v>2.384850953839238E-2</c:v>
                </c:pt>
                <c:pt idx="93">
                  <c:v>2.3056353497803311E-2</c:v>
                </c:pt>
                <c:pt idx="94">
                  <c:v>2.3129868110431009E-2</c:v>
                </c:pt>
                <c:pt idx="95">
                  <c:v>2.3847243971741764E-2</c:v>
                </c:pt>
                <c:pt idx="96">
                  <c:v>2.4058241899353662E-2</c:v>
                </c:pt>
                <c:pt idx="97">
                  <c:v>2.3777382353358193E-2</c:v>
                </c:pt>
                <c:pt idx="98">
                  <c:v>2.4660306673017184E-2</c:v>
                </c:pt>
                <c:pt idx="99">
                  <c:v>2.5058807429974864E-2</c:v>
                </c:pt>
                <c:pt idx="100">
                  <c:v>2.5199712178449362E-2</c:v>
                </c:pt>
                <c:pt idx="101">
                  <c:v>2.5450643469800915E-2</c:v>
                </c:pt>
                <c:pt idx="102">
                  <c:v>2.5716801894147202E-2</c:v>
                </c:pt>
                <c:pt idx="103">
                  <c:v>2.5640439656110566E-2</c:v>
                </c:pt>
                <c:pt idx="104">
                  <c:v>2.5948753412192903E-2</c:v>
                </c:pt>
                <c:pt idx="105">
                  <c:v>2.588732188527585E-2</c:v>
                </c:pt>
                <c:pt idx="106">
                  <c:v>2.6253663265980654E-2</c:v>
                </c:pt>
                <c:pt idx="107">
                  <c:v>2.6875571888190324E-2</c:v>
                </c:pt>
                <c:pt idx="108">
                  <c:v>2.6841719372565284E-2</c:v>
                </c:pt>
                <c:pt idx="109">
                  <c:v>2.6914101583191102E-2</c:v>
                </c:pt>
                <c:pt idx="110">
                  <c:v>2.7506934633222627E-2</c:v>
                </c:pt>
                <c:pt idx="111">
                  <c:v>2.7775585974123381E-2</c:v>
                </c:pt>
                <c:pt idx="112">
                  <c:v>2.797790802524797E-2</c:v>
                </c:pt>
                <c:pt idx="113">
                  <c:v>2.8368677772775026E-2</c:v>
                </c:pt>
                <c:pt idx="114">
                  <c:v>2.774244556418055E-2</c:v>
                </c:pt>
                <c:pt idx="115">
                  <c:v>2.7853513002075447E-2</c:v>
                </c:pt>
                <c:pt idx="116">
                  <c:v>2.817407699795357E-2</c:v>
                </c:pt>
                <c:pt idx="117">
                  <c:v>2.7998659610362599E-2</c:v>
                </c:pt>
                <c:pt idx="118">
                  <c:v>2.8840750686887816E-2</c:v>
                </c:pt>
                <c:pt idx="119">
                  <c:v>2.9309032489510708E-2</c:v>
                </c:pt>
                <c:pt idx="120">
                  <c:v>2.8617978057164383E-2</c:v>
                </c:pt>
                <c:pt idx="121">
                  <c:v>2.8337379493384333E-2</c:v>
                </c:pt>
                <c:pt idx="122">
                  <c:v>2.793183712627589E-2</c:v>
                </c:pt>
                <c:pt idx="123">
                  <c:v>2.7676155108936455E-2</c:v>
                </c:pt>
                <c:pt idx="124">
                  <c:v>2.7454195178103217E-2</c:v>
                </c:pt>
                <c:pt idx="125">
                  <c:v>2.7411221704928559E-2</c:v>
                </c:pt>
                <c:pt idx="126">
                  <c:v>2.7594091690730346E-2</c:v>
                </c:pt>
                <c:pt idx="127">
                  <c:v>2.7673715269240225E-2</c:v>
                </c:pt>
                <c:pt idx="128">
                  <c:v>2.8018674074926437E-2</c:v>
                </c:pt>
                <c:pt idx="129">
                  <c:v>2.8459179794039374E-2</c:v>
                </c:pt>
                <c:pt idx="130">
                  <c:v>2.8051304196181667E-2</c:v>
                </c:pt>
                <c:pt idx="131">
                  <c:v>2.8276733441195603E-2</c:v>
                </c:pt>
                <c:pt idx="132">
                  <c:v>2.8103764652651513E-2</c:v>
                </c:pt>
                <c:pt idx="133">
                  <c:v>2.7885847747126245E-2</c:v>
                </c:pt>
                <c:pt idx="134">
                  <c:v>2.8515313360594177E-2</c:v>
                </c:pt>
                <c:pt idx="135">
                  <c:v>2.8576325430580706E-2</c:v>
                </c:pt>
                <c:pt idx="136">
                  <c:v>2.9007399110749076E-2</c:v>
                </c:pt>
                <c:pt idx="137">
                  <c:v>2.9739947904735237E-2</c:v>
                </c:pt>
                <c:pt idx="138">
                  <c:v>2.9436774598156374E-2</c:v>
                </c:pt>
                <c:pt idx="139">
                  <c:v>2.9733209955549407E-2</c:v>
                </c:pt>
                <c:pt idx="140">
                  <c:v>2.9999130117086239E-2</c:v>
                </c:pt>
                <c:pt idx="141">
                  <c:v>2.935552624452966E-2</c:v>
                </c:pt>
                <c:pt idx="142">
                  <c:v>2.9245887855378634E-2</c:v>
                </c:pt>
                <c:pt idx="143">
                  <c:v>3.0367651589166732E-2</c:v>
                </c:pt>
                <c:pt idx="144">
                  <c:v>3.0003805511797085E-2</c:v>
                </c:pt>
                <c:pt idx="145">
                  <c:v>3.0333556408721072E-2</c:v>
                </c:pt>
                <c:pt idx="146">
                  <c:v>3.1012810531530894E-2</c:v>
                </c:pt>
                <c:pt idx="147">
                  <c:v>3.0804275874407372E-2</c:v>
                </c:pt>
                <c:pt idx="148">
                  <c:v>3.1252842262305985E-2</c:v>
                </c:pt>
                <c:pt idx="149">
                  <c:v>3.1852740341419584E-2</c:v>
                </c:pt>
                <c:pt idx="150">
                  <c:v>3.1752553895372085E-2</c:v>
                </c:pt>
                <c:pt idx="151">
                  <c:v>3.2066929493146434E-2</c:v>
                </c:pt>
                <c:pt idx="152">
                  <c:v>3.2101176296788728E-2</c:v>
                </c:pt>
                <c:pt idx="153">
                  <c:v>3.1497528432319927E-2</c:v>
                </c:pt>
                <c:pt idx="154">
                  <c:v>3.168962779619857E-2</c:v>
                </c:pt>
                <c:pt idx="155">
                  <c:v>3.2846911705428535E-2</c:v>
                </c:pt>
                <c:pt idx="156">
                  <c:v>3.2679869854293393E-2</c:v>
                </c:pt>
                <c:pt idx="157">
                  <c:v>3.1123022188933619E-2</c:v>
                </c:pt>
                <c:pt idx="158">
                  <c:v>3.2143681883466162E-2</c:v>
                </c:pt>
                <c:pt idx="159">
                  <c:v>3.3390283832403722E-2</c:v>
                </c:pt>
                <c:pt idx="160">
                  <c:v>3.2525493249273653E-2</c:v>
                </c:pt>
                <c:pt idx="161">
                  <c:v>3.540809366829601E-2</c:v>
                </c:pt>
                <c:pt idx="162">
                  <c:v>3.2610373199834092E-2</c:v>
                </c:pt>
                <c:pt idx="163">
                  <c:v>3.1662853303994778E-2</c:v>
                </c:pt>
                <c:pt idx="164">
                  <c:v>3.283203470000589E-2</c:v>
                </c:pt>
                <c:pt idx="165">
                  <c:v>3.1810363618349352E-2</c:v>
                </c:pt>
                <c:pt idx="166">
                  <c:v>3.1816423193897395E-2</c:v>
                </c:pt>
                <c:pt idx="167">
                  <c:v>3.3165644909243897E-2</c:v>
                </c:pt>
                <c:pt idx="168">
                  <c:v>3.3016576481989988E-2</c:v>
                </c:pt>
                <c:pt idx="169">
                  <c:v>3.2182789984055514E-2</c:v>
                </c:pt>
                <c:pt idx="170">
                  <c:v>3.2751495980496849E-2</c:v>
                </c:pt>
                <c:pt idx="171">
                  <c:v>3.2335619859139138E-2</c:v>
                </c:pt>
                <c:pt idx="172">
                  <c:v>3.1900231947438872E-2</c:v>
                </c:pt>
                <c:pt idx="173">
                  <c:v>3.4005844055979902E-2</c:v>
                </c:pt>
                <c:pt idx="174">
                  <c:v>3.3260466609367392E-2</c:v>
                </c:pt>
                <c:pt idx="175">
                  <c:v>3.3615043092191176E-2</c:v>
                </c:pt>
                <c:pt idx="176">
                  <c:v>3.6343809393802572E-2</c:v>
                </c:pt>
                <c:pt idx="177">
                  <c:v>3.46903037395494E-2</c:v>
                </c:pt>
                <c:pt idx="178">
                  <c:v>3.4568157608754126E-2</c:v>
                </c:pt>
                <c:pt idx="179">
                  <c:v>3.5334733066509194E-2</c:v>
                </c:pt>
                <c:pt idx="180">
                  <c:v>3.4141696292534281E-2</c:v>
                </c:pt>
                <c:pt idx="181">
                  <c:v>3.395738404983601E-2</c:v>
                </c:pt>
                <c:pt idx="182">
                  <c:v>3.3617051911085515E-2</c:v>
                </c:pt>
                <c:pt idx="183">
                  <c:v>3.5323378619428518E-2</c:v>
                </c:pt>
                <c:pt idx="184">
                  <c:v>3.4297189207457897E-2</c:v>
                </c:pt>
                <c:pt idx="185">
                  <c:v>3.4746824038201639E-2</c:v>
                </c:pt>
                <c:pt idx="186">
                  <c:v>3.3670290184662964E-2</c:v>
                </c:pt>
                <c:pt idx="187">
                  <c:v>3.3378621424398291E-2</c:v>
                </c:pt>
                <c:pt idx="188">
                  <c:v>3.3210083064143976E-2</c:v>
                </c:pt>
                <c:pt idx="189">
                  <c:v>3.2583958359899377E-2</c:v>
                </c:pt>
                <c:pt idx="190">
                  <c:v>3.2389908577011656E-2</c:v>
                </c:pt>
                <c:pt idx="191">
                  <c:v>3.3294262228560169E-2</c:v>
                </c:pt>
                <c:pt idx="192">
                  <c:v>3.2634778565616647E-2</c:v>
                </c:pt>
                <c:pt idx="193">
                  <c:v>3.1530922334601467E-2</c:v>
                </c:pt>
                <c:pt idx="194">
                  <c:v>3.1535248953001395E-2</c:v>
                </c:pt>
                <c:pt idx="195">
                  <c:v>3.1746338832412908E-2</c:v>
                </c:pt>
                <c:pt idx="196">
                  <c:v>3.3124513802126304E-2</c:v>
                </c:pt>
                <c:pt idx="197">
                  <c:v>3.2832126168224299E-2</c:v>
                </c:pt>
                <c:pt idx="198">
                  <c:v>3.3352236037241849E-2</c:v>
                </c:pt>
                <c:pt idx="199">
                  <c:v>3.5515575032571363E-2</c:v>
                </c:pt>
                <c:pt idx="200">
                  <c:v>3.4140415111385845E-2</c:v>
                </c:pt>
                <c:pt idx="201">
                  <c:v>3.3551745472717324E-2</c:v>
                </c:pt>
                <c:pt idx="202">
                  <c:v>3.2884948610220989E-2</c:v>
                </c:pt>
                <c:pt idx="203">
                  <c:v>3.3555242969775058E-2</c:v>
                </c:pt>
                <c:pt idx="204">
                  <c:v>3.259337745208301E-2</c:v>
                </c:pt>
                <c:pt idx="205">
                  <c:v>3.3766519303056811E-2</c:v>
                </c:pt>
                <c:pt idx="206">
                  <c:v>3.4512448868607097E-2</c:v>
                </c:pt>
                <c:pt idx="207">
                  <c:v>3.731289655835416E-2</c:v>
                </c:pt>
                <c:pt idx="208">
                  <c:v>3.8201037144235409E-2</c:v>
                </c:pt>
                <c:pt idx="209">
                  <c:v>4.1934595650222582E-2</c:v>
                </c:pt>
                <c:pt idx="210">
                  <c:v>4.5395084500722868E-2</c:v>
                </c:pt>
                <c:pt idx="211">
                  <c:v>4.8341948661051994E-2</c:v>
                </c:pt>
                <c:pt idx="212">
                  <c:v>4.8757999616784828E-2</c:v>
                </c:pt>
                <c:pt idx="213">
                  <c:v>6.8320228919079171E-2</c:v>
                </c:pt>
                <c:pt idx="214">
                  <c:v>6.6905393912841796E-2</c:v>
                </c:pt>
                <c:pt idx="215">
                  <c:v>6.4498031369005351E-2</c:v>
                </c:pt>
                <c:pt idx="216">
                  <c:v>6.0881522724329923E-2</c:v>
                </c:pt>
                <c:pt idx="217">
                  <c:v>6.0709043940932281E-2</c:v>
                </c:pt>
                <c:pt idx="218">
                  <c:v>6.3211177634386356E-2</c:v>
                </c:pt>
                <c:pt idx="219">
                  <c:v>5.9850369142090097E-2</c:v>
                </c:pt>
                <c:pt idx="220">
                  <c:v>6.3142374279745034E-2</c:v>
                </c:pt>
                <c:pt idx="221">
                  <c:v>6.071349697332535E-2</c:v>
                </c:pt>
                <c:pt idx="222">
                  <c:v>5.7289521380143656E-2</c:v>
                </c:pt>
                <c:pt idx="223">
                  <c:v>5.3122445665412618E-2</c:v>
                </c:pt>
                <c:pt idx="224">
                  <c:v>5.115135413560333E-2</c:v>
                </c:pt>
                <c:pt idx="225">
                  <c:v>5.1863581992170511E-2</c:v>
                </c:pt>
                <c:pt idx="226">
                  <c:v>5.2204971497478624E-2</c:v>
                </c:pt>
                <c:pt idx="227">
                  <c:v>4.7656631296098269E-2</c:v>
                </c:pt>
                <c:pt idx="228">
                  <c:v>4.6117210559708695E-2</c:v>
                </c:pt>
                <c:pt idx="229">
                  <c:v>4.3080797711438704E-2</c:v>
                </c:pt>
                <c:pt idx="230">
                  <c:v>4.2328871522004215E-2</c:v>
                </c:pt>
                <c:pt idx="231">
                  <c:v>4.2152048097994041E-2</c:v>
                </c:pt>
                <c:pt idx="232">
                  <c:v>4.1160140145492408E-2</c:v>
                </c:pt>
                <c:pt idx="233">
                  <c:v>4.2064963565258982E-2</c:v>
                </c:pt>
                <c:pt idx="234">
                  <c:v>4.1359455194278971E-2</c:v>
                </c:pt>
                <c:pt idx="235">
                  <c:v>3.8368910311585472E-2</c:v>
                </c:pt>
                <c:pt idx="236">
                  <c:v>3.8773059268454632E-2</c:v>
                </c:pt>
                <c:pt idx="237">
                  <c:v>3.9045679835367088E-2</c:v>
                </c:pt>
                <c:pt idx="238">
                  <c:v>3.9148367219404435E-2</c:v>
                </c:pt>
                <c:pt idx="239">
                  <c:v>4.0862370607960344E-2</c:v>
                </c:pt>
                <c:pt idx="240">
                  <c:v>3.8838976077117497E-2</c:v>
                </c:pt>
                <c:pt idx="241">
                  <c:v>3.7767519077299472E-2</c:v>
                </c:pt>
                <c:pt idx="242">
                  <c:v>3.8059736594543744E-2</c:v>
                </c:pt>
                <c:pt idx="243">
                  <c:v>3.8270087959110903E-2</c:v>
                </c:pt>
                <c:pt idx="244">
                  <c:v>3.8107999404141217E-2</c:v>
                </c:pt>
                <c:pt idx="245">
                  <c:v>3.9197158557834073E-2</c:v>
                </c:pt>
                <c:pt idx="246">
                  <c:v>3.6283458183837991E-2</c:v>
                </c:pt>
                <c:pt idx="247">
                  <c:v>3.6731568055828286E-2</c:v>
                </c:pt>
                <c:pt idx="248">
                  <c:v>3.6237601237601239E-2</c:v>
                </c:pt>
                <c:pt idx="249">
                  <c:v>3.4355519653716603E-2</c:v>
                </c:pt>
                <c:pt idx="250">
                  <c:v>3.4304552686329703E-2</c:v>
                </c:pt>
                <c:pt idx="251">
                  <c:v>3.59567939118694E-2</c:v>
                </c:pt>
                <c:pt idx="252">
                  <c:v>3.478973010594695E-2</c:v>
                </c:pt>
                <c:pt idx="253">
                  <c:v>3.4361174646546824E-2</c:v>
                </c:pt>
                <c:pt idx="254">
                  <c:v>3.6241462434712733E-2</c:v>
                </c:pt>
                <c:pt idx="255">
                  <c:v>3.4996724788670885E-2</c:v>
                </c:pt>
                <c:pt idx="256">
                  <c:v>3.5975976912877308E-2</c:v>
                </c:pt>
                <c:pt idx="257">
                  <c:v>3.690782032012644E-2</c:v>
                </c:pt>
                <c:pt idx="258">
                  <c:v>3.4924902911864251E-2</c:v>
                </c:pt>
                <c:pt idx="259">
                  <c:v>3.4279561779915438E-2</c:v>
                </c:pt>
                <c:pt idx="260">
                  <c:v>3.483101767887839E-2</c:v>
                </c:pt>
                <c:pt idx="261">
                  <c:v>3.4550022986319179E-2</c:v>
                </c:pt>
                <c:pt idx="262">
                  <c:v>3.5030704126761909E-2</c:v>
                </c:pt>
                <c:pt idx="263">
                  <c:v>3.5155090602210122E-2</c:v>
                </c:pt>
                <c:pt idx="264">
                  <c:v>3.5102523533266212E-2</c:v>
                </c:pt>
                <c:pt idx="265">
                  <c:v>3.4914472419757835E-2</c:v>
                </c:pt>
                <c:pt idx="266">
                  <c:v>3.3020804662834941E-2</c:v>
                </c:pt>
                <c:pt idx="267">
                  <c:v>3.285868941195768E-2</c:v>
                </c:pt>
                <c:pt idx="268">
                  <c:v>3.2747176654851211E-2</c:v>
                </c:pt>
                <c:pt idx="269">
                  <c:v>3.2644346529950366E-2</c:v>
                </c:pt>
                <c:pt idx="270">
                  <c:v>3.0393523465110546E-2</c:v>
                </c:pt>
                <c:pt idx="271">
                  <c:v>3.1637240490858344E-2</c:v>
                </c:pt>
                <c:pt idx="272">
                  <c:v>3.1269211128864875E-2</c:v>
                </c:pt>
                <c:pt idx="273">
                  <c:v>3.084713522022892E-2</c:v>
                </c:pt>
                <c:pt idx="274">
                  <c:v>3.3098796696294092E-2</c:v>
                </c:pt>
                <c:pt idx="275">
                  <c:v>3.1678919729932482E-2</c:v>
                </c:pt>
                <c:pt idx="276">
                  <c:v>3.0104303354530466E-2</c:v>
                </c:pt>
                <c:pt idx="277">
                  <c:v>2.8385251967974163E-2</c:v>
                </c:pt>
                <c:pt idx="278">
                  <c:v>3.0047374855668003E-2</c:v>
                </c:pt>
                <c:pt idx="279">
                  <c:v>3.0869863601269622E-2</c:v>
                </c:pt>
                <c:pt idx="280">
                  <c:v>3.0947234145248314E-2</c:v>
                </c:pt>
                <c:pt idx="281">
                  <c:v>3.1784393013851844E-2</c:v>
                </c:pt>
                <c:pt idx="282">
                  <c:v>3.0540338947770126E-2</c:v>
                </c:pt>
                <c:pt idx="283">
                  <c:v>3.1811697324267821E-2</c:v>
                </c:pt>
                <c:pt idx="284">
                  <c:v>3.2018433016681704E-2</c:v>
                </c:pt>
                <c:pt idx="285">
                  <c:v>3.109142918058418E-2</c:v>
                </c:pt>
                <c:pt idx="286">
                  <c:v>3.2821770656163277E-2</c:v>
                </c:pt>
                <c:pt idx="287">
                  <c:v>3.2237492334884391E-2</c:v>
                </c:pt>
                <c:pt idx="288">
                  <c:v>3.1488577343551372E-2</c:v>
                </c:pt>
                <c:pt idx="289">
                  <c:v>3.1719071513663766E-2</c:v>
                </c:pt>
                <c:pt idx="290">
                  <c:v>3.2677295018186427E-2</c:v>
                </c:pt>
                <c:pt idx="291">
                  <c:v>3.4126743591616153E-2</c:v>
                </c:pt>
                <c:pt idx="292">
                  <c:v>3.4783429220565064E-2</c:v>
                </c:pt>
                <c:pt idx="293">
                  <c:v>3.6081584911177716E-2</c:v>
                </c:pt>
                <c:pt idx="294">
                  <c:v>3.4951497727905033E-2</c:v>
                </c:pt>
                <c:pt idx="295">
                  <c:v>3.5097214923804521E-2</c:v>
                </c:pt>
                <c:pt idx="296">
                  <c:v>3.9541294705519064E-2</c:v>
                </c:pt>
                <c:pt idx="297">
                  <c:v>3.6550768407370593E-2</c:v>
                </c:pt>
                <c:pt idx="298">
                  <c:v>3.5625613488076677E-2</c:v>
                </c:pt>
                <c:pt idx="299">
                  <c:v>3.6307019411275183E-2</c:v>
                </c:pt>
                <c:pt idx="300">
                  <c:v>3.5870704148258201E-2</c:v>
                </c:pt>
                <c:pt idx="301">
                  <c:v>3.6919109977981229E-2</c:v>
                </c:pt>
                <c:pt idx="302">
                  <c:v>3.8928291382419822E-2</c:v>
                </c:pt>
                <c:pt idx="303">
                  <c:v>3.8569119319882654E-2</c:v>
                </c:pt>
                <c:pt idx="304">
                  <c:v>3.7583306568170868E-2</c:v>
                </c:pt>
                <c:pt idx="305">
                  <c:v>3.9991726364645347E-2</c:v>
                </c:pt>
                <c:pt idx="306">
                  <c:v>3.8174391941691914E-2</c:v>
                </c:pt>
                <c:pt idx="307">
                  <c:v>3.5572808336250747E-2</c:v>
                </c:pt>
                <c:pt idx="308">
                  <c:v>3.3243287897562993E-2</c:v>
                </c:pt>
                <c:pt idx="309">
                  <c:v>3.261796770972037E-2</c:v>
                </c:pt>
                <c:pt idx="310">
                  <c:v>3.4141591808530686E-2</c:v>
                </c:pt>
                <c:pt idx="311">
                  <c:v>3.2156739153272405E-2</c:v>
                </c:pt>
                <c:pt idx="312">
                  <c:v>3.2496778690775441E-2</c:v>
                </c:pt>
                <c:pt idx="313">
                  <c:v>3.2628491794413128E-2</c:v>
                </c:pt>
                <c:pt idx="314">
                  <c:v>3.5461415062478893E-2</c:v>
                </c:pt>
                <c:pt idx="315">
                  <c:v>3.2836459291259439E-2</c:v>
                </c:pt>
                <c:pt idx="316">
                  <c:v>3.1785836542575954E-2</c:v>
                </c:pt>
                <c:pt idx="317">
                  <c:v>3.1416263020275191E-2</c:v>
                </c:pt>
                <c:pt idx="318">
                  <c:v>2.8578305937459341E-2</c:v>
                </c:pt>
                <c:pt idx="319">
                  <c:v>2.6979829104657009E-2</c:v>
                </c:pt>
                <c:pt idx="320">
                  <c:v>2.6614334021342938E-2</c:v>
                </c:pt>
                <c:pt idx="321">
                  <c:v>2.5801471236014447E-2</c:v>
                </c:pt>
                <c:pt idx="322">
                  <c:v>2.5443424399955759E-2</c:v>
                </c:pt>
                <c:pt idx="323">
                  <c:v>2.602144318889581E-2</c:v>
                </c:pt>
                <c:pt idx="324">
                  <c:v>2.5593755599354954E-2</c:v>
                </c:pt>
                <c:pt idx="325">
                  <c:v>2.494169387619111E-2</c:v>
                </c:pt>
                <c:pt idx="326">
                  <c:v>2.4671468964588664E-2</c:v>
                </c:pt>
                <c:pt idx="327">
                  <c:v>2.4783444967414917E-2</c:v>
                </c:pt>
                <c:pt idx="328">
                  <c:v>2.430894124583324E-2</c:v>
                </c:pt>
                <c:pt idx="329">
                  <c:v>2.53425E-2</c:v>
                </c:pt>
                <c:pt idx="330">
                  <c:v>2.4856656389489667E-2</c:v>
                </c:pt>
                <c:pt idx="331">
                  <c:v>2.5207736222765932E-2</c:v>
                </c:pt>
                <c:pt idx="332">
                  <c:v>2.4416265131037725E-2</c:v>
                </c:pt>
                <c:pt idx="333">
                  <c:v>2.3717034334052083E-2</c:v>
                </c:pt>
                <c:pt idx="334">
                  <c:v>2.2104120957741103E-2</c:v>
                </c:pt>
                <c:pt idx="335">
                  <c:v>2.1053753653044599E-2</c:v>
                </c:pt>
                <c:pt idx="336">
                  <c:v>1.934700772200772E-2</c:v>
                </c:pt>
                <c:pt idx="337">
                  <c:v>2.0545920567239973E-2</c:v>
                </c:pt>
                <c:pt idx="338">
                  <c:v>2.0713023694847156E-2</c:v>
                </c:pt>
                <c:pt idx="339">
                  <c:v>2.0080880370579153E-2</c:v>
                </c:pt>
                <c:pt idx="340">
                  <c:v>2.0519876923076923E-2</c:v>
                </c:pt>
                <c:pt idx="341">
                  <c:v>2.1846563586594658E-2</c:v>
                </c:pt>
                <c:pt idx="342">
                  <c:v>1.9238756910204692E-2</c:v>
                </c:pt>
                <c:pt idx="343">
                  <c:v>2.0186814844614303E-2</c:v>
                </c:pt>
                <c:pt idx="344">
                  <c:v>1.8449324750725735E-2</c:v>
                </c:pt>
                <c:pt idx="345">
                  <c:v>1.801350804411616E-2</c:v>
                </c:pt>
                <c:pt idx="346">
                  <c:v>1.8811790225851728E-2</c:v>
                </c:pt>
                <c:pt idx="347">
                  <c:v>1.8572124631362995E-2</c:v>
                </c:pt>
                <c:pt idx="348">
                  <c:v>1.728407505039541E-2</c:v>
                </c:pt>
                <c:pt idx="349">
                  <c:v>1.6597536933200194E-2</c:v>
                </c:pt>
                <c:pt idx="350">
                  <c:v>1.7957502840028918E-2</c:v>
                </c:pt>
                <c:pt idx="351">
                  <c:v>1.7485332846601132E-2</c:v>
                </c:pt>
                <c:pt idx="352">
                  <c:v>1.7933585102226854E-2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9A8-4B18-8C31-2EA773F9A67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11339136"/>
        <c:axId val="411340576"/>
      </c:lineChart>
      <c:lineChart>
        <c:grouping val="standard"/>
        <c:varyColors val="0"/>
        <c:ser>
          <c:idx val="1"/>
          <c:order val="1"/>
          <c:tx>
            <c:strRef>
              <c:f>'Customer Margin Balances'!$T$1</c:f>
              <c:strCache>
                <c:ptCount val="1"/>
                <c:pt idx="0">
                  <c:v>S&amp;P 500 FwdRtn (21M)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'Customer Margin Balances'!$G$2:$G$1354</c:f>
              <c:numCache>
                <c:formatCode>m/d/yyyy</c:formatCode>
                <c:ptCount val="1353"/>
                <c:pt idx="0">
                  <c:v>46173</c:v>
                </c:pt>
                <c:pt idx="1">
                  <c:v>46142</c:v>
                </c:pt>
                <c:pt idx="2">
                  <c:v>46112</c:v>
                </c:pt>
                <c:pt idx="3">
                  <c:v>46081</c:v>
                </c:pt>
                <c:pt idx="4">
                  <c:v>46053</c:v>
                </c:pt>
                <c:pt idx="5">
                  <c:v>46022</c:v>
                </c:pt>
                <c:pt idx="6">
                  <c:v>45991</c:v>
                </c:pt>
                <c:pt idx="7">
                  <c:v>45961</c:v>
                </c:pt>
                <c:pt idx="8">
                  <c:v>45930</c:v>
                </c:pt>
                <c:pt idx="9">
                  <c:v>45900</c:v>
                </c:pt>
                <c:pt idx="10">
                  <c:v>45869</c:v>
                </c:pt>
                <c:pt idx="11">
                  <c:v>45838</c:v>
                </c:pt>
                <c:pt idx="12">
                  <c:v>45808</c:v>
                </c:pt>
                <c:pt idx="13">
                  <c:v>45777</c:v>
                </c:pt>
                <c:pt idx="14">
                  <c:v>45747</c:v>
                </c:pt>
                <c:pt idx="15">
                  <c:v>45716</c:v>
                </c:pt>
                <c:pt idx="16">
                  <c:v>45688</c:v>
                </c:pt>
                <c:pt idx="17">
                  <c:v>45657</c:v>
                </c:pt>
                <c:pt idx="18">
                  <c:v>45626</c:v>
                </c:pt>
                <c:pt idx="19">
                  <c:v>45596</c:v>
                </c:pt>
                <c:pt idx="20">
                  <c:v>45565</c:v>
                </c:pt>
                <c:pt idx="21">
                  <c:v>45535</c:v>
                </c:pt>
                <c:pt idx="22">
                  <c:v>45504</c:v>
                </c:pt>
                <c:pt idx="23">
                  <c:v>45473</c:v>
                </c:pt>
                <c:pt idx="24">
                  <c:v>45443</c:v>
                </c:pt>
                <c:pt idx="25">
                  <c:v>45412</c:v>
                </c:pt>
                <c:pt idx="26">
                  <c:v>45382</c:v>
                </c:pt>
                <c:pt idx="27">
                  <c:v>45351</c:v>
                </c:pt>
                <c:pt idx="28">
                  <c:v>45322</c:v>
                </c:pt>
                <c:pt idx="29">
                  <c:v>45291</c:v>
                </c:pt>
                <c:pt idx="30">
                  <c:v>45260</c:v>
                </c:pt>
                <c:pt idx="31">
                  <c:v>45230</c:v>
                </c:pt>
                <c:pt idx="32">
                  <c:v>45199</c:v>
                </c:pt>
                <c:pt idx="33">
                  <c:v>45169</c:v>
                </c:pt>
                <c:pt idx="34">
                  <c:v>45138</c:v>
                </c:pt>
                <c:pt idx="35">
                  <c:v>45107</c:v>
                </c:pt>
                <c:pt idx="36">
                  <c:v>45077</c:v>
                </c:pt>
                <c:pt idx="37">
                  <c:v>45046</c:v>
                </c:pt>
                <c:pt idx="38">
                  <c:v>45016</c:v>
                </c:pt>
                <c:pt idx="39">
                  <c:v>44985</c:v>
                </c:pt>
                <c:pt idx="40">
                  <c:v>44957</c:v>
                </c:pt>
                <c:pt idx="41">
                  <c:v>44926</c:v>
                </c:pt>
                <c:pt idx="42">
                  <c:v>44895</c:v>
                </c:pt>
                <c:pt idx="43">
                  <c:v>44865</c:v>
                </c:pt>
                <c:pt idx="44">
                  <c:v>44834</c:v>
                </c:pt>
                <c:pt idx="45">
                  <c:v>44804</c:v>
                </c:pt>
                <c:pt idx="46">
                  <c:v>44773</c:v>
                </c:pt>
                <c:pt idx="47">
                  <c:v>44742</c:v>
                </c:pt>
                <c:pt idx="48">
                  <c:v>44712</c:v>
                </c:pt>
                <c:pt idx="49">
                  <c:v>44681</c:v>
                </c:pt>
                <c:pt idx="50">
                  <c:v>44651</c:v>
                </c:pt>
                <c:pt idx="51">
                  <c:v>44620</c:v>
                </c:pt>
                <c:pt idx="52">
                  <c:v>44592</c:v>
                </c:pt>
                <c:pt idx="53">
                  <c:v>44561</c:v>
                </c:pt>
                <c:pt idx="54">
                  <c:v>44530</c:v>
                </c:pt>
                <c:pt idx="55">
                  <c:v>44500</c:v>
                </c:pt>
                <c:pt idx="56">
                  <c:v>44469</c:v>
                </c:pt>
                <c:pt idx="57">
                  <c:v>44439</c:v>
                </c:pt>
                <c:pt idx="58">
                  <c:v>44408</c:v>
                </c:pt>
                <c:pt idx="59">
                  <c:v>44377</c:v>
                </c:pt>
                <c:pt idx="60">
                  <c:v>44347</c:v>
                </c:pt>
                <c:pt idx="61">
                  <c:v>44316</c:v>
                </c:pt>
                <c:pt idx="62">
                  <c:v>44286</c:v>
                </c:pt>
                <c:pt idx="63">
                  <c:v>44255</c:v>
                </c:pt>
                <c:pt idx="64">
                  <c:v>44227</c:v>
                </c:pt>
                <c:pt idx="65">
                  <c:v>44196</c:v>
                </c:pt>
                <c:pt idx="66">
                  <c:v>44165</c:v>
                </c:pt>
                <c:pt idx="67">
                  <c:v>44135</c:v>
                </c:pt>
                <c:pt idx="68">
                  <c:v>44104</c:v>
                </c:pt>
                <c:pt idx="69">
                  <c:v>44074</c:v>
                </c:pt>
                <c:pt idx="70">
                  <c:v>44043</c:v>
                </c:pt>
                <c:pt idx="71">
                  <c:v>44012</c:v>
                </c:pt>
                <c:pt idx="72">
                  <c:v>43982</c:v>
                </c:pt>
                <c:pt idx="73">
                  <c:v>43951</c:v>
                </c:pt>
                <c:pt idx="74">
                  <c:v>43921</c:v>
                </c:pt>
                <c:pt idx="75">
                  <c:v>43890</c:v>
                </c:pt>
                <c:pt idx="76">
                  <c:v>43861</c:v>
                </c:pt>
                <c:pt idx="77">
                  <c:v>43830</c:v>
                </c:pt>
                <c:pt idx="78">
                  <c:v>43799</c:v>
                </c:pt>
                <c:pt idx="79">
                  <c:v>43769</c:v>
                </c:pt>
                <c:pt idx="80">
                  <c:v>43738</c:v>
                </c:pt>
                <c:pt idx="81">
                  <c:v>43708</c:v>
                </c:pt>
                <c:pt idx="82">
                  <c:v>43677</c:v>
                </c:pt>
                <c:pt idx="83">
                  <c:v>43646</c:v>
                </c:pt>
                <c:pt idx="84">
                  <c:v>43616</c:v>
                </c:pt>
                <c:pt idx="85">
                  <c:v>43585</c:v>
                </c:pt>
                <c:pt idx="86">
                  <c:v>43555</c:v>
                </c:pt>
                <c:pt idx="87">
                  <c:v>43524</c:v>
                </c:pt>
                <c:pt idx="88">
                  <c:v>43496</c:v>
                </c:pt>
                <c:pt idx="89">
                  <c:v>43465</c:v>
                </c:pt>
                <c:pt idx="90">
                  <c:v>43434</c:v>
                </c:pt>
                <c:pt idx="91">
                  <c:v>43404</c:v>
                </c:pt>
                <c:pt idx="92">
                  <c:v>43373</c:v>
                </c:pt>
                <c:pt idx="93">
                  <c:v>43343</c:v>
                </c:pt>
                <c:pt idx="94">
                  <c:v>43312</c:v>
                </c:pt>
                <c:pt idx="95">
                  <c:v>43281</c:v>
                </c:pt>
                <c:pt idx="96">
                  <c:v>43251</c:v>
                </c:pt>
                <c:pt idx="97">
                  <c:v>43220</c:v>
                </c:pt>
                <c:pt idx="98">
                  <c:v>43190</c:v>
                </c:pt>
                <c:pt idx="99">
                  <c:v>43159</c:v>
                </c:pt>
                <c:pt idx="100">
                  <c:v>43131</c:v>
                </c:pt>
                <c:pt idx="101">
                  <c:v>43100</c:v>
                </c:pt>
                <c:pt idx="102">
                  <c:v>43069</c:v>
                </c:pt>
                <c:pt idx="103">
                  <c:v>43039</c:v>
                </c:pt>
                <c:pt idx="104">
                  <c:v>43008</c:v>
                </c:pt>
                <c:pt idx="105">
                  <c:v>42978</c:v>
                </c:pt>
                <c:pt idx="106">
                  <c:v>42947</c:v>
                </c:pt>
                <c:pt idx="107">
                  <c:v>42916</c:v>
                </c:pt>
                <c:pt idx="108">
                  <c:v>42886</c:v>
                </c:pt>
                <c:pt idx="109">
                  <c:v>42855</c:v>
                </c:pt>
                <c:pt idx="110">
                  <c:v>42825</c:v>
                </c:pt>
                <c:pt idx="111">
                  <c:v>42794</c:v>
                </c:pt>
                <c:pt idx="112">
                  <c:v>42766</c:v>
                </c:pt>
                <c:pt idx="113">
                  <c:v>42735</c:v>
                </c:pt>
                <c:pt idx="114">
                  <c:v>42704</c:v>
                </c:pt>
                <c:pt idx="115">
                  <c:v>42674</c:v>
                </c:pt>
                <c:pt idx="116">
                  <c:v>42643</c:v>
                </c:pt>
                <c:pt idx="117">
                  <c:v>42613</c:v>
                </c:pt>
                <c:pt idx="118">
                  <c:v>42582</c:v>
                </c:pt>
                <c:pt idx="119">
                  <c:v>42551</c:v>
                </c:pt>
                <c:pt idx="120">
                  <c:v>42521</c:v>
                </c:pt>
                <c:pt idx="121">
                  <c:v>42490</c:v>
                </c:pt>
                <c:pt idx="122">
                  <c:v>42460</c:v>
                </c:pt>
                <c:pt idx="123">
                  <c:v>42429</c:v>
                </c:pt>
                <c:pt idx="124">
                  <c:v>42400</c:v>
                </c:pt>
                <c:pt idx="125">
                  <c:v>42369</c:v>
                </c:pt>
                <c:pt idx="126">
                  <c:v>42338</c:v>
                </c:pt>
                <c:pt idx="127">
                  <c:v>42308</c:v>
                </c:pt>
                <c:pt idx="128">
                  <c:v>42277</c:v>
                </c:pt>
                <c:pt idx="129">
                  <c:v>42247</c:v>
                </c:pt>
                <c:pt idx="130">
                  <c:v>42216</c:v>
                </c:pt>
                <c:pt idx="131">
                  <c:v>42185</c:v>
                </c:pt>
                <c:pt idx="132">
                  <c:v>42155</c:v>
                </c:pt>
                <c:pt idx="133">
                  <c:v>42124</c:v>
                </c:pt>
                <c:pt idx="134">
                  <c:v>42094</c:v>
                </c:pt>
                <c:pt idx="135">
                  <c:v>42063</c:v>
                </c:pt>
                <c:pt idx="136">
                  <c:v>42035</c:v>
                </c:pt>
                <c:pt idx="137">
                  <c:v>42004</c:v>
                </c:pt>
                <c:pt idx="138">
                  <c:v>41973</c:v>
                </c:pt>
                <c:pt idx="139">
                  <c:v>41943</c:v>
                </c:pt>
                <c:pt idx="140">
                  <c:v>41912</c:v>
                </c:pt>
                <c:pt idx="141">
                  <c:v>41882</c:v>
                </c:pt>
                <c:pt idx="142">
                  <c:v>41851</c:v>
                </c:pt>
                <c:pt idx="143">
                  <c:v>41820</c:v>
                </c:pt>
                <c:pt idx="144">
                  <c:v>41790</c:v>
                </c:pt>
                <c:pt idx="145">
                  <c:v>41759</c:v>
                </c:pt>
                <c:pt idx="146">
                  <c:v>41729</c:v>
                </c:pt>
                <c:pt idx="147">
                  <c:v>41698</c:v>
                </c:pt>
                <c:pt idx="148">
                  <c:v>41670</c:v>
                </c:pt>
                <c:pt idx="149">
                  <c:v>41639</c:v>
                </c:pt>
                <c:pt idx="150">
                  <c:v>41608</c:v>
                </c:pt>
                <c:pt idx="151">
                  <c:v>41578</c:v>
                </c:pt>
                <c:pt idx="152">
                  <c:v>41547</c:v>
                </c:pt>
                <c:pt idx="153">
                  <c:v>41517</c:v>
                </c:pt>
                <c:pt idx="154">
                  <c:v>41486</c:v>
                </c:pt>
                <c:pt idx="155">
                  <c:v>41455</c:v>
                </c:pt>
                <c:pt idx="156">
                  <c:v>41425</c:v>
                </c:pt>
                <c:pt idx="157">
                  <c:v>41394</c:v>
                </c:pt>
                <c:pt idx="158">
                  <c:v>41364</c:v>
                </c:pt>
                <c:pt idx="159">
                  <c:v>41333</c:v>
                </c:pt>
                <c:pt idx="160">
                  <c:v>41305</c:v>
                </c:pt>
                <c:pt idx="161">
                  <c:v>41274</c:v>
                </c:pt>
                <c:pt idx="162">
                  <c:v>41243</c:v>
                </c:pt>
                <c:pt idx="163">
                  <c:v>41213</c:v>
                </c:pt>
                <c:pt idx="164">
                  <c:v>41182</c:v>
                </c:pt>
                <c:pt idx="165">
                  <c:v>41152</c:v>
                </c:pt>
                <c:pt idx="166">
                  <c:v>41121</c:v>
                </c:pt>
                <c:pt idx="167">
                  <c:v>41090</c:v>
                </c:pt>
                <c:pt idx="168">
                  <c:v>41060</c:v>
                </c:pt>
                <c:pt idx="169">
                  <c:v>41029</c:v>
                </c:pt>
                <c:pt idx="170">
                  <c:v>40999</c:v>
                </c:pt>
                <c:pt idx="171">
                  <c:v>40968</c:v>
                </c:pt>
                <c:pt idx="172">
                  <c:v>40939</c:v>
                </c:pt>
                <c:pt idx="173">
                  <c:v>40908</c:v>
                </c:pt>
                <c:pt idx="174">
                  <c:v>40877</c:v>
                </c:pt>
                <c:pt idx="175">
                  <c:v>40847</c:v>
                </c:pt>
                <c:pt idx="176">
                  <c:v>40816</c:v>
                </c:pt>
                <c:pt idx="177">
                  <c:v>40786</c:v>
                </c:pt>
                <c:pt idx="178">
                  <c:v>40755</c:v>
                </c:pt>
                <c:pt idx="179">
                  <c:v>40724</c:v>
                </c:pt>
                <c:pt idx="180">
                  <c:v>40694</c:v>
                </c:pt>
                <c:pt idx="181">
                  <c:v>40663</c:v>
                </c:pt>
                <c:pt idx="182">
                  <c:v>40633</c:v>
                </c:pt>
                <c:pt idx="183">
                  <c:v>40602</c:v>
                </c:pt>
                <c:pt idx="184">
                  <c:v>40574</c:v>
                </c:pt>
                <c:pt idx="185">
                  <c:v>40543</c:v>
                </c:pt>
                <c:pt idx="186">
                  <c:v>40512</c:v>
                </c:pt>
                <c:pt idx="187">
                  <c:v>40482</c:v>
                </c:pt>
                <c:pt idx="188">
                  <c:v>40451</c:v>
                </c:pt>
                <c:pt idx="189">
                  <c:v>40421</c:v>
                </c:pt>
                <c:pt idx="190">
                  <c:v>40390</c:v>
                </c:pt>
                <c:pt idx="191">
                  <c:v>40359</c:v>
                </c:pt>
                <c:pt idx="192">
                  <c:v>40329</c:v>
                </c:pt>
                <c:pt idx="193">
                  <c:v>40298</c:v>
                </c:pt>
                <c:pt idx="194">
                  <c:v>40268</c:v>
                </c:pt>
                <c:pt idx="195">
                  <c:v>40237</c:v>
                </c:pt>
                <c:pt idx="196">
                  <c:v>40209</c:v>
                </c:pt>
                <c:pt idx="197">
                  <c:v>40178</c:v>
                </c:pt>
                <c:pt idx="198">
                  <c:v>40147</c:v>
                </c:pt>
                <c:pt idx="199">
                  <c:v>40117</c:v>
                </c:pt>
                <c:pt idx="200">
                  <c:v>40086</c:v>
                </c:pt>
                <c:pt idx="201">
                  <c:v>40056</c:v>
                </c:pt>
                <c:pt idx="202">
                  <c:v>40025</c:v>
                </c:pt>
                <c:pt idx="203">
                  <c:v>39994</c:v>
                </c:pt>
                <c:pt idx="204">
                  <c:v>39964</c:v>
                </c:pt>
                <c:pt idx="205">
                  <c:v>39933</c:v>
                </c:pt>
                <c:pt idx="206">
                  <c:v>39903</c:v>
                </c:pt>
                <c:pt idx="207">
                  <c:v>39872</c:v>
                </c:pt>
                <c:pt idx="208">
                  <c:v>39844</c:v>
                </c:pt>
                <c:pt idx="209">
                  <c:v>39813</c:v>
                </c:pt>
                <c:pt idx="210">
                  <c:v>39782</c:v>
                </c:pt>
                <c:pt idx="211">
                  <c:v>39752</c:v>
                </c:pt>
                <c:pt idx="212">
                  <c:v>39721</c:v>
                </c:pt>
                <c:pt idx="213">
                  <c:v>39691</c:v>
                </c:pt>
                <c:pt idx="214">
                  <c:v>39660</c:v>
                </c:pt>
                <c:pt idx="215">
                  <c:v>39629</c:v>
                </c:pt>
                <c:pt idx="216">
                  <c:v>39599</c:v>
                </c:pt>
                <c:pt idx="217">
                  <c:v>39568</c:v>
                </c:pt>
                <c:pt idx="218">
                  <c:v>39538</c:v>
                </c:pt>
                <c:pt idx="219">
                  <c:v>39507</c:v>
                </c:pt>
                <c:pt idx="220">
                  <c:v>39478</c:v>
                </c:pt>
                <c:pt idx="221">
                  <c:v>39447</c:v>
                </c:pt>
                <c:pt idx="222">
                  <c:v>39416</c:v>
                </c:pt>
                <c:pt idx="223">
                  <c:v>39386</c:v>
                </c:pt>
                <c:pt idx="224">
                  <c:v>39355</c:v>
                </c:pt>
                <c:pt idx="225">
                  <c:v>39325</c:v>
                </c:pt>
                <c:pt idx="226">
                  <c:v>39294</c:v>
                </c:pt>
                <c:pt idx="227">
                  <c:v>39263</c:v>
                </c:pt>
                <c:pt idx="228">
                  <c:v>39233</c:v>
                </c:pt>
                <c:pt idx="229">
                  <c:v>39202</c:v>
                </c:pt>
                <c:pt idx="230">
                  <c:v>39172</c:v>
                </c:pt>
                <c:pt idx="231">
                  <c:v>39141</c:v>
                </c:pt>
                <c:pt idx="232">
                  <c:v>39113</c:v>
                </c:pt>
                <c:pt idx="233">
                  <c:v>39082</c:v>
                </c:pt>
                <c:pt idx="234">
                  <c:v>39051</c:v>
                </c:pt>
                <c:pt idx="235">
                  <c:v>39021</c:v>
                </c:pt>
                <c:pt idx="236">
                  <c:v>38990</c:v>
                </c:pt>
                <c:pt idx="237">
                  <c:v>38960</c:v>
                </c:pt>
                <c:pt idx="238">
                  <c:v>38929</c:v>
                </c:pt>
                <c:pt idx="239">
                  <c:v>38898</c:v>
                </c:pt>
                <c:pt idx="240">
                  <c:v>38868</c:v>
                </c:pt>
                <c:pt idx="241">
                  <c:v>38837</c:v>
                </c:pt>
                <c:pt idx="242">
                  <c:v>38807</c:v>
                </c:pt>
                <c:pt idx="243">
                  <c:v>38776</c:v>
                </c:pt>
                <c:pt idx="244">
                  <c:v>38748</c:v>
                </c:pt>
                <c:pt idx="245">
                  <c:v>38717</c:v>
                </c:pt>
                <c:pt idx="246">
                  <c:v>38686</c:v>
                </c:pt>
                <c:pt idx="247">
                  <c:v>38656</c:v>
                </c:pt>
                <c:pt idx="248">
                  <c:v>38625</c:v>
                </c:pt>
                <c:pt idx="249">
                  <c:v>38595</c:v>
                </c:pt>
                <c:pt idx="250">
                  <c:v>38564</c:v>
                </c:pt>
                <c:pt idx="251">
                  <c:v>38533</c:v>
                </c:pt>
                <c:pt idx="252">
                  <c:v>38503</c:v>
                </c:pt>
                <c:pt idx="253">
                  <c:v>38472</c:v>
                </c:pt>
                <c:pt idx="254">
                  <c:v>38442</c:v>
                </c:pt>
                <c:pt idx="255">
                  <c:v>38411</c:v>
                </c:pt>
                <c:pt idx="256">
                  <c:v>38383</c:v>
                </c:pt>
                <c:pt idx="257">
                  <c:v>38352</c:v>
                </c:pt>
                <c:pt idx="258">
                  <c:v>38321</c:v>
                </c:pt>
                <c:pt idx="259">
                  <c:v>38291</c:v>
                </c:pt>
                <c:pt idx="260">
                  <c:v>38260</c:v>
                </c:pt>
                <c:pt idx="261">
                  <c:v>38230</c:v>
                </c:pt>
                <c:pt idx="262">
                  <c:v>38199</c:v>
                </c:pt>
                <c:pt idx="263">
                  <c:v>38168</c:v>
                </c:pt>
                <c:pt idx="264">
                  <c:v>38138</c:v>
                </c:pt>
                <c:pt idx="265">
                  <c:v>38107</c:v>
                </c:pt>
                <c:pt idx="266">
                  <c:v>38077</c:v>
                </c:pt>
                <c:pt idx="267">
                  <c:v>38046</c:v>
                </c:pt>
                <c:pt idx="268">
                  <c:v>38017</c:v>
                </c:pt>
                <c:pt idx="269">
                  <c:v>37986</c:v>
                </c:pt>
                <c:pt idx="270">
                  <c:v>37955</c:v>
                </c:pt>
                <c:pt idx="271">
                  <c:v>37925</c:v>
                </c:pt>
                <c:pt idx="272">
                  <c:v>37894</c:v>
                </c:pt>
                <c:pt idx="273">
                  <c:v>37864</c:v>
                </c:pt>
                <c:pt idx="274">
                  <c:v>37833</c:v>
                </c:pt>
                <c:pt idx="275">
                  <c:v>37802</c:v>
                </c:pt>
                <c:pt idx="276">
                  <c:v>37772</c:v>
                </c:pt>
                <c:pt idx="277">
                  <c:v>37741</c:v>
                </c:pt>
                <c:pt idx="278">
                  <c:v>37711</c:v>
                </c:pt>
                <c:pt idx="279">
                  <c:v>37680</c:v>
                </c:pt>
                <c:pt idx="280">
                  <c:v>37652</c:v>
                </c:pt>
                <c:pt idx="281">
                  <c:v>37621</c:v>
                </c:pt>
                <c:pt idx="282">
                  <c:v>37590</c:v>
                </c:pt>
                <c:pt idx="283">
                  <c:v>37560</c:v>
                </c:pt>
                <c:pt idx="284">
                  <c:v>37529</c:v>
                </c:pt>
                <c:pt idx="285">
                  <c:v>37499</c:v>
                </c:pt>
                <c:pt idx="286">
                  <c:v>37468</c:v>
                </c:pt>
                <c:pt idx="287">
                  <c:v>37437</c:v>
                </c:pt>
                <c:pt idx="288">
                  <c:v>37407</c:v>
                </c:pt>
                <c:pt idx="289">
                  <c:v>37376</c:v>
                </c:pt>
                <c:pt idx="290">
                  <c:v>37346</c:v>
                </c:pt>
                <c:pt idx="291">
                  <c:v>37315</c:v>
                </c:pt>
                <c:pt idx="292">
                  <c:v>37287</c:v>
                </c:pt>
                <c:pt idx="293">
                  <c:v>37256</c:v>
                </c:pt>
                <c:pt idx="294">
                  <c:v>37225</c:v>
                </c:pt>
                <c:pt idx="295">
                  <c:v>37195</c:v>
                </c:pt>
                <c:pt idx="296">
                  <c:v>37164</c:v>
                </c:pt>
                <c:pt idx="297">
                  <c:v>37134</c:v>
                </c:pt>
                <c:pt idx="298">
                  <c:v>37103</c:v>
                </c:pt>
                <c:pt idx="299">
                  <c:v>37072</c:v>
                </c:pt>
                <c:pt idx="300">
                  <c:v>37042</c:v>
                </c:pt>
                <c:pt idx="301">
                  <c:v>37011</c:v>
                </c:pt>
                <c:pt idx="302">
                  <c:v>36981</c:v>
                </c:pt>
                <c:pt idx="303">
                  <c:v>36950</c:v>
                </c:pt>
                <c:pt idx="304">
                  <c:v>36922</c:v>
                </c:pt>
                <c:pt idx="305">
                  <c:v>36891</c:v>
                </c:pt>
                <c:pt idx="306">
                  <c:v>36860</c:v>
                </c:pt>
                <c:pt idx="307">
                  <c:v>36830</c:v>
                </c:pt>
                <c:pt idx="308">
                  <c:v>36799</c:v>
                </c:pt>
                <c:pt idx="309">
                  <c:v>36769</c:v>
                </c:pt>
                <c:pt idx="310">
                  <c:v>36738</c:v>
                </c:pt>
                <c:pt idx="311">
                  <c:v>36707</c:v>
                </c:pt>
                <c:pt idx="312">
                  <c:v>36677</c:v>
                </c:pt>
                <c:pt idx="313">
                  <c:v>36646</c:v>
                </c:pt>
                <c:pt idx="314">
                  <c:v>36616</c:v>
                </c:pt>
                <c:pt idx="315">
                  <c:v>36585</c:v>
                </c:pt>
                <c:pt idx="316">
                  <c:v>36556</c:v>
                </c:pt>
                <c:pt idx="317">
                  <c:v>36525</c:v>
                </c:pt>
                <c:pt idx="318">
                  <c:v>36494</c:v>
                </c:pt>
                <c:pt idx="319">
                  <c:v>36464</c:v>
                </c:pt>
                <c:pt idx="320">
                  <c:v>36433</c:v>
                </c:pt>
                <c:pt idx="321">
                  <c:v>36403</c:v>
                </c:pt>
                <c:pt idx="322">
                  <c:v>36372</c:v>
                </c:pt>
                <c:pt idx="323">
                  <c:v>36341</c:v>
                </c:pt>
                <c:pt idx="324">
                  <c:v>36311</c:v>
                </c:pt>
                <c:pt idx="325">
                  <c:v>36280</c:v>
                </c:pt>
                <c:pt idx="326">
                  <c:v>36250</c:v>
                </c:pt>
                <c:pt idx="327">
                  <c:v>36219</c:v>
                </c:pt>
                <c:pt idx="328">
                  <c:v>36191</c:v>
                </c:pt>
                <c:pt idx="329">
                  <c:v>36160</c:v>
                </c:pt>
                <c:pt idx="330">
                  <c:v>36129</c:v>
                </c:pt>
                <c:pt idx="331">
                  <c:v>36099</c:v>
                </c:pt>
                <c:pt idx="332">
                  <c:v>36068</c:v>
                </c:pt>
                <c:pt idx="333">
                  <c:v>36038</c:v>
                </c:pt>
                <c:pt idx="334">
                  <c:v>36007</c:v>
                </c:pt>
                <c:pt idx="335">
                  <c:v>35976</c:v>
                </c:pt>
                <c:pt idx="336">
                  <c:v>35946</c:v>
                </c:pt>
                <c:pt idx="337">
                  <c:v>35915</c:v>
                </c:pt>
                <c:pt idx="338">
                  <c:v>35885</c:v>
                </c:pt>
                <c:pt idx="339">
                  <c:v>35854</c:v>
                </c:pt>
                <c:pt idx="340">
                  <c:v>35826</c:v>
                </c:pt>
                <c:pt idx="341">
                  <c:v>35795</c:v>
                </c:pt>
                <c:pt idx="342">
                  <c:v>35764</c:v>
                </c:pt>
                <c:pt idx="343">
                  <c:v>35734</c:v>
                </c:pt>
                <c:pt idx="344">
                  <c:v>35703</c:v>
                </c:pt>
                <c:pt idx="345">
                  <c:v>35673</c:v>
                </c:pt>
                <c:pt idx="346">
                  <c:v>35642</c:v>
                </c:pt>
                <c:pt idx="347">
                  <c:v>35611</c:v>
                </c:pt>
                <c:pt idx="348">
                  <c:v>35581</c:v>
                </c:pt>
                <c:pt idx="349">
                  <c:v>35550</c:v>
                </c:pt>
                <c:pt idx="350">
                  <c:v>35520</c:v>
                </c:pt>
                <c:pt idx="351">
                  <c:v>35489</c:v>
                </c:pt>
                <c:pt idx="352">
                  <c:v>35461</c:v>
                </c:pt>
              </c:numCache>
            </c:numRef>
          </c:cat>
          <c:val>
            <c:numRef>
              <c:f>'Customer Margin Balances'!$T$2:$T$1354</c:f>
              <c:numCache>
                <c:formatCode>0%</c:formatCode>
                <c:ptCount val="1353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0.34198357056865669</c:v>
                </c:pt>
                <c:pt idx="22">
                  <c:v>0.30543614073846048</c:v>
                </c:pt>
                <c:pt idx="23">
                  <c:v>0.19559452648851394</c:v>
                </c:pt>
                <c:pt idx="24">
                  <c:v>0.30343286890976984</c:v>
                </c:pt>
                <c:pt idx="25">
                  <c:v>0.37797004978463722</c:v>
                </c:pt>
                <c:pt idx="26">
                  <c:v>0.30282527810290505</c:v>
                </c:pt>
                <c:pt idx="27">
                  <c:v>0.34394174562964674</c:v>
                </c:pt>
                <c:pt idx="28">
                  <c:v>0.41161660458349258</c:v>
                </c:pt>
                <c:pt idx="29">
                  <c:v>0.40224284722935622</c:v>
                </c:pt>
                <c:pt idx="30">
                  <c:v>0.41430447918034941</c:v>
                </c:pt>
                <c:pt idx="31">
                  <c:v>0.51160999570794985</c:v>
                </c:pt>
                <c:pt idx="32">
                  <c:v>0.44703303366332015</c:v>
                </c:pt>
                <c:pt idx="33">
                  <c:v>0.31147646450708355</c:v>
                </c:pt>
                <c:pt idx="34">
                  <c:v>0.21357780412119531</c:v>
                </c:pt>
                <c:pt idx="35">
                  <c:v>0.26098220826086771</c:v>
                </c:pt>
                <c:pt idx="36">
                  <c:v>0.42457946854297912</c:v>
                </c:pt>
                <c:pt idx="37">
                  <c:v>0.44874900467204548</c:v>
                </c:pt>
                <c:pt idx="38">
                  <c:v>0.43129381818358792</c:v>
                </c:pt>
                <c:pt idx="39">
                  <c:v>0.51943377454252349</c:v>
                </c:pt>
                <c:pt idx="40">
                  <c:v>0.39956090860030424</c:v>
                </c:pt>
                <c:pt idx="41">
                  <c:v>0.50084125537179314</c:v>
                </c:pt>
                <c:pt idx="42">
                  <c:v>0.38437444088517214</c:v>
                </c:pt>
                <c:pt idx="43">
                  <c:v>0.42622120982029865</c:v>
                </c:pt>
                <c:pt idx="44">
                  <c:v>0.52288307182579286</c:v>
                </c:pt>
                <c:pt idx="45">
                  <c:v>0.33438938053097345</c:v>
                </c:pt>
                <c:pt idx="46">
                  <c:v>0.21920978914313505</c:v>
                </c:pt>
                <c:pt idx="47">
                  <c:v>0.38806407811104826</c:v>
                </c:pt>
                <c:pt idx="48">
                  <c:v>0.23332163643623804</c:v>
                </c:pt>
                <c:pt idx="49">
                  <c:v>0.1727328391332863</c:v>
                </c:pt>
                <c:pt idx="50">
                  <c:v>5.2847314040009641E-2</c:v>
                </c:pt>
                <c:pt idx="51">
                  <c:v>4.4321595632313304E-2</c:v>
                </c:pt>
                <c:pt idx="52">
                  <c:v>-7.1253778609471685E-2</c:v>
                </c:pt>
                <c:pt idx="53">
                  <c:v>-0.1003172351862498</c:v>
                </c:pt>
                <c:pt idx="54">
                  <c:v>-1.2993212174293833E-2</c:v>
                </c:pt>
                <c:pt idx="55">
                  <c:v>-3.5653952551146784E-3</c:v>
                </c:pt>
                <c:pt idx="56">
                  <c:v>3.3160458173342677E-2</c:v>
                </c:pt>
                <c:pt idx="57">
                  <c:v>-7.5806822503471483E-2</c:v>
                </c:pt>
                <c:pt idx="58">
                  <c:v>-5.136897475917257E-2</c:v>
                </c:pt>
                <c:pt idx="59">
                  <c:v>-4.3790575916230257E-2</c:v>
                </c:pt>
                <c:pt idx="60">
                  <c:v>-5.56503041071712E-2</c:v>
                </c:pt>
                <c:pt idx="61">
                  <c:v>-2.5009746075859152E-2</c:v>
                </c:pt>
                <c:pt idx="62">
                  <c:v>-3.3575054934820714E-2</c:v>
                </c:pt>
                <c:pt idx="63">
                  <c:v>7.0571874631016884E-2</c:v>
                </c:pt>
                <c:pt idx="64">
                  <c:v>4.2468984233652085E-2</c:v>
                </c:pt>
                <c:pt idx="65">
                  <c:v>-4.5379878436770382E-2</c:v>
                </c:pt>
                <c:pt idx="66">
                  <c:v>9.2049712422306973E-2</c:v>
                </c:pt>
                <c:pt idx="67">
                  <c:v>0.26310107768902369</c:v>
                </c:pt>
                <c:pt idx="68">
                  <c:v>0.12559619387451693</c:v>
                </c:pt>
                <c:pt idx="69">
                  <c:v>0.1805097262813864</c:v>
                </c:pt>
                <c:pt idx="70">
                  <c:v>0.26315451588446792</c:v>
                </c:pt>
                <c:pt idx="71">
                  <c:v>0.46128587970802726</c:v>
                </c:pt>
                <c:pt idx="72">
                  <c:v>0.43675906855740698</c:v>
                </c:pt>
                <c:pt idx="73">
                  <c:v>0.55044069728714518</c:v>
                </c:pt>
                <c:pt idx="74">
                  <c:v>0.8440758495544749</c:v>
                </c:pt>
                <c:pt idx="75">
                  <c:v>0.54592413564324938</c:v>
                </c:pt>
                <c:pt idx="76">
                  <c:v>0.4277945881594285</c:v>
                </c:pt>
                <c:pt idx="77">
                  <c:v>0.33328174620370299</c:v>
                </c:pt>
                <c:pt idx="78">
                  <c:v>0.43989455520251641</c:v>
                </c:pt>
                <c:pt idx="79">
                  <c:v>0.44697059481952639</c:v>
                </c:pt>
                <c:pt idx="80">
                  <c:v>0.44369343644389514</c:v>
                </c:pt>
                <c:pt idx="81">
                  <c:v>0.43658549920381606</c:v>
                </c:pt>
                <c:pt idx="82">
                  <c:v>0.4028982881377543</c:v>
                </c:pt>
                <c:pt idx="83">
                  <c:v>0.35051465789187408</c:v>
                </c:pt>
                <c:pt idx="84">
                  <c:v>0.38483535969419269</c:v>
                </c:pt>
                <c:pt idx="85">
                  <c:v>0.26084668836966141</c:v>
                </c:pt>
                <c:pt idx="86">
                  <c:v>0.32517287609370582</c:v>
                </c:pt>
                <c:pt idx="87">
                  <c:v>0.30064392402199336</c:v>
                </c:pt>
                <c:pt idx="88">
                  <c:v>0.20926001257349958</c:v>
                </c:pt>
                <c:pt idx="89">
                  <c:v>0.34152422362726131</c:v>
                </c:pt>
                <c:pt idx="90">
                  <c:v>0.26815015017190968</c:v>
                </c:pt>
                <c:pt idx="91">
                  <c:v>0.20628083813344933</c:v>
                </c:pt>
                <c:pt idx="92">
                  <c:v>6.3936609036438163E-2</c:v>
                </c:pt>
                <c:pt idx="93">
                  <c:v>4.9212137086768193E-2</c:v>
                </c:pt>
                <c:pt idx="94">
                  <c:v>3.4137109459608128E-2</c:v>
                </c:pt>
                <c:pt idx="95">
                  <c:v>-4.921331533234985E-2</c:v>
                </c:pt>
                <c:pt idx="96">
                  <c:v>9.2024086320404264E-2</c:v>
                </c:pt>
                <c:pt idx="97">
                  <c:v>0.21807367685655477</c:v>
                </c:pt>
                <c:pt idx="98">
                  <c:v>0.22337714465308789</c:v>
                </c:pt>
                <c:pt idx="99">
                  <c:v>0.15739747883986843</c:v>
                </c:pt>
                <c:pt idx="100">
                  <c:v>7.5695602749476842E-2</c:v>
                </c:pt>
                <c:pt idx="101">
                  <c:v>0.11337854062484798</c:v>
                </c:pt>
                <c:pt idx="102">
                  <c:v>0.10533392758670179</c:v>
                </c:pt>
                <c:pt idx="103">
                  <c:v>0.15731227138230697</c:v>
                </c:pt>
                <c:pt idx="104">
                  <c:v>0.16766162835005716</c:v>
                </c:pt>
                <c:pt idx="105">
                  <c:v>0.11345052899884678</c:v>
                </c:pt>
                <c:pt idx="106">
                  <c:v>0.19249888677488558</c:v>
                </c:pt>
                <c:pt idx="107">
                  <c:v>0.16959160851857513</c:v>
                </c:pt>
                <c:pt idx="108">
                  <c:v>0.15452773861845914</c:v>
                </c:pt>
                <c:pt idx="109">
                  <c:v>0.13417498532002359</c:v>
                </c:pt>
                <c:pt idx="110">
                  <c:v>6.1001726823322278E-2</c:v>
                </c:pt>
                <c:pt idx="111">
                  <c:v>0.16776243421163972</c:v>
                </c:pt>
                <c:pt idx="112">
                  <c:v>0.18994940474884481</c:v>
                </c:pt>
                <c:pt idx="113">
                  <c:v>0.30156376321560829</c:v>
                </c:pt>
                <c:pt idx="114">
                  <c:v>0.31958650360877017</c:v>
                </c:pt>
                <c:pt idx="115">
                  <c:v>0.32459610093361224</c:v>
                </c:pt>
                <c:pt idx="116">
                  <c:v>0.25370456631323579</c:v>
                </c:pt>
                <c:pt idx="117">
                  <c:v>0.2461226651926578</c:v>
                </c:pt>
                <c:pt idx="118">
                  <c:v>0.21827843209422171</c:v>
                </c:pt>
                <c:pt idx="119">
                  <c:v>0.25824018753037348</c:v>
                </c:pt>
                <c:pt idx="120">
                  <c:v>0.29417967199616601</c:v>
                </c:pt>
                <c:pt idx="121">
                  <c:v>0.36726380343731124</c:v>
                </c:pt>
                <c:pt idx="122">
                  <c:v>0.2980327675707104</c:v>
                </c:pt>
                <c:pt idx="123">
                  <c:v>0.37021991520787267</c:v>
                </c:pt>
                <c:pt idx="124">
                  <c:v>0.32728941417649593</c:v>
                </c:pt>
                <c:pt idx="125">
                  <c:v>0.23259981810750108</c:v>
                </c:pt>
                <c:pt idx="126">
                  <c:v>0.18805913469905167</c:v>
                </c:pt>
                <c:pt idx="127">
                  <c:v>0.18800971086380591</c:v>
                </c:pt>
                <c:pt idx="128">
                  <c:v>0.2621729676214799</c:v>
                </c:pt>
                <c:pt idx="129">
                  <c:v>0.22291065436031166</c:v>
                </c:pt>
                <c:pt idx="130">
                  <c:v>0.13326103714968096</c:v>
                </c:pt>
                <c:pt idx="131">
                  <c:v>0.14522244426038933</c:v>
                </c:pt>
                <c:pt idx="132">
                  <c:v>0.12159596490632829</c:v>
                </c:pt>
                <c:pt idx="133">
                  <c:v>9.2715925279164946E-2</c:v>
                </c:pt>
                <c:pt idx="134">
                  <c:v>8.266402772962067E-2</c:v>
                </c:pt>
                <c:pt idx="135">
                  <c:v>4.4813494891898342E-2</c:v>
                </c:pt>
                <c:pt idx="136">
                  <c:v>6.5744695666473341E-2</c:v>
                </c:pt>
                <c:pt idx="137">
                  <c:v>5.3120648328628617E-2</c:v>
                </c:pt>
                <c:pt idx="138">
                  <c:v>5.0005774186105301E-2</c:v>
                </c:pt>
                <c:pt idx="139">
                  <c:v>7.7079332726265992E-2</c:v>
                </c:pt>
                <c:pt idx="140">
                  <c:v>6.4174111530606037E-2</c:v>
                </c:pt>
                <c:pt idx="141">
                  <c:v>4.6711269652022436E-2</c:v>
                </c:pt>
                <c:pt idx="142">
                  <c:v>6.9732270050502532E-2</c:v>
                </c:pt>
                <c:pt idx="143">
                  <c:v>5.0764456598013208E-2</c:v>
                </c:pt>
                <c:pt idx="144">
                  <c:v>4.502063570080761E-3</c:v>
                </c:pt>
                <c:pt idx="145">
                  <c:v>2.9878733788806677E-2</c:v>
                </c:pt>
                <c:pt idx="146">
                  <c:v>9.16500094632966E-2</c:v>
                </c:pt>
                <c:pt idx="147">
                  <c:v>0.11883081918835425</c:v>
                </c:pt>
                <c:pt idx="148">
                  <c:v>0.16648256037108489</c:v>
                </c:pt>
                <c:pt idx="149">
                  <c:v>3.8774938060395447E-2</c:v>
                </c:pt>
                <c:pt idx="150">
                  <c:v>9.2130395622421313E-2</c:v>
                </c:pt>
                <c:pt idx="151">
                  <c:v>0.19771826494400946</c:v>
                </c:pt>
                <c:pt idx="152">
                  <c:v>0.22690972466723247</c:v>
                </c:pt>
                <c:pt idx="153">
                  <c:v>0.29052580903905145</c:v>
                </c:pt>
                <c:pt idx="154">
                  <c:v>0.23715543647488757</c:v>
                </c:pt>
                <c:pt idx="155">
                  <c:v>0.28737819985429391</c:v>
                </c:pt>
                <c:pt idx="156">
                  <c:v>0.29051842268093786</c:v>
                </c:pt>
                <c:pt idx="157">
                  <c:v>0.24876534818927531</c:v>
                </c:pt>
                <c:pt idx="158">
                  <c:v>0.31207819271301229</c:v>
                </c:pt>
                <c:pt idx="159">
                  <c:v>0.36501438275909392</c:v>
                </c:pt>
                <c:pt idx="160">
                  <c:v>0.34706401303008882</c:v>
                </c:pt>
                <c:pt idx="161">
                  <c:v>0.38290839235465723</c:v>
                </c:pt>
                <c:pt idx="162">
                  <c:v>0.41462943915047035</c:v>
                </c:pt>
                <c:pt idx="163">
                  <c:v>0.36717510566486</c:v>
                </c:pt>
                <c:pt idx="164">
                  <c:v>0.36063770375943438</c:v>
                </c:pt>
                <c:pt idx="165">
                  <c:v>0.36755108588670127</c:v>
                </c:pt>
                <c:pt idx="166">
                  <c:v>0.36585420680711755</c:v>
                </c:pt>
                <c:pt idx="167">
                  <c:v>0.3745374396833312</c:v>
                </c:pt>
                <c:pt idx="168">
                  <c:v>0.4190700155940501</c:v>
                </c:pt>
                <c:pt idx="169">
                  <c:v>0.2751821807090431</c:v>
                </c:pt>
                <c:pt idx="170">
                  <c:v>0.31231763814520175</c:v>
                </c:pt>
                <c:pt idx="171">
                  <c:v>0.3222790020889974</c:v>
                </c:pt>
                <c:pt idx="172">
                  <c:v>0.33840796192967959</c:v>
                </c:pt>
                <c:pt idx="173">
                  <c:v>0.33711043374078753</c:v>
                </c:pt>
                <c:pt idx="174">
                  <c:v>0.30956086952094819</c:v>
                </c:pt>
                <c:pt idx="175">
                  <c:v>0.34503304459691631</c:v>
                </c:pt>
                <c:pt idx="176">
                  <c:v>0.41970264526666234</c:v>
                </c:pt>
                <c:pt idx="177">
                  <c:v>0.33788936707692074</c:v>
                </c:pt>
                <c:pt idx="178">
                  <c:v>0.23624130224954887</c:v>
                </c:pt>
                <c:pt idx="179">
                  <c:v>0.18820414647512784</c:v>
                </c:pt>
                <c:pt idx="180">
                  <c:v>0.12598878136400193</c:v>
                </c:pt>
                <c:pt idx="181">
                  <c:v>9.8635241340891078E-2</c:v>
                </c:pt>
                <c:pt idx="182">
                  <c:v>7.5695970582987826E-2</c:v>
                </c:pt>
                <c:pt idx="183">
                  <c:v>6.7027384285584413E-2</c:v>
                </c:pt>
                <c:pt idx="184">
                  <c:v>9.8000217352203878E-2</c:v>
                </c:pt>
                <c:pt idx="185">
                  <c:v>0.14553451477769186</c:v>
                </c:pt>
                <c:pt idx="186">
                  <c:v>0.19146152037428643</c:v>
                </c:pt>
                <c:pt idx="187">
                  <c:v>0.16569472043788203</c:v>
                </c:pt>
                <c:pt idx="188">
                  <c:v>0.19362083110931572</c:v>
                </c:pt>
                <c:pt idx="189">
                  <c:v>0.24873015250733665</c:v>
                </c:pt>
                <c:pt idx="190">
                  <c:v>0.26898154063242696</c:v>
                </c:pt>
                <c:pt idx="191">
                  <c:v>0.3665046657956248</c:v>
                </c:pt>
                <c:pt idx="192">
                  <c:v>0.25359599311867664</c:v>
                </c:pt>
                <c:pt idx="193">
                  <c:v>0.10594182050996337</c:v>
                </c:pt>
                <c:pt idx="194">
                  <c:v>7.539563533125504E-2</c:v>
                </c:pt>
                <c:pt idx="195">
                  <c:v>0.12899163592500007</c:v>
                </c:pt>
                <c:pt idx="196">
                  <c:v>0.1670873145974705</c:v>
                </c:pt>
                <c:pt idx="197">
                  <c:v>1.4635520327040075E-2</c:v>
                </c:pt>
                <c:pt idx="198">
                  <c:v>0.11250149157681566</c:v>
                </c:pt>
                <c:pt idx="199">
                  <c:v>0.24714589252148222</c:v>
                </c:pt>
                <c:pt idx="200">
                  <c:v>0.24932840423673142</c:v>
                </c:pt>
                <c:pt idx="201">
                  <c:v>0.31802233701821692</c:v>
                </c:pt>
                <c:pt idx="202">
                  <c:v>0.38089886612614032</c:v>
                </c:pt>
                <c:pt idx="203">
                  <c:v>0.44218546914220047</c:v>
                </c:pt>
                <c:pt idx="204">
                  <c:v>0.44398018751339929</c:v>
                </c:pt>
                <c:pt idx="205">
                  <c:v>0.47353948593015449</c:v>
                </c:pt>
                <c:pt idx="206">
                  <c:v>0.57624678499624848</c:v>
                </c:pt>
                <c:pt idx="207">
                  <c:v>0.60599383163748999</c:v>
                </c:pt>
                <c:pt idx="208">
                  <c:v>0.43272630741740525</c:v>
                </c:pt>
                <c:pt idx="209">
                  <c:v>0.26343753243496271</c:v>
                </c:pt>
                <c:pt idx="210">
                  <c:v>0.17081358507589095</c:v>
                </c:pt>
                <c:pt idx="211">
                  <c:v>0.13713545866935739</c:v>
                </c:pt>
                <c:pt idx="212">
                  <c:v>-0.11630202177518367</c:v>
                </c:pt>
                <c:pt idx="213">
                  <c:v>-0.15077596291082718</c:v>
                </c:pt>
                <c:pt idx="214">
                  <c:v>-6.3666826970353751E-2</c:v>
                </c:pt>
                <c:pt idx="215">
                  <c:v>-8.6382770538328102E-2</c:v>
                </c:pt>
                <c:pt idx="216">
                  <c:v>-0.21129265886168613</c:v>
                </c:pt>
                <c:pt idx="217">
                  <c:v>-0.22497273969400655</c:v>
                </c:pt>
                <c:pt idx="218">
                  <c:v>-0.15695167706176405</c:v>
                </c:pt>
                <c:pt idx="219">
                  <c:v>-0.17660807221966768</c:v>
                </c:pt>
                <c:pt idx="220">
                  <c:v>-0.2483479709082046</c:v>
                </c:pt>
                <c:pt idx="221">
                  <c:v>-0.28009482238675953</c:v>
                </c:pt>
                <c:pt idx="222">
                  <c:v>-0.31092267778651428</c:v>
                </c:pt>
                <c:pt idx="223">
                  <c:v>-0.36266120812405878</c:v>
                </c:pt>
                <c:pt idx="224">
                  <c:v>-0.39785819071608386</c:v>
                </c:pt>
                <c:pt idx="225">
                  <c:v>-0.37642723441949222</c:v>
                </c:pt>
                <c:pt idx="226">
                  <c:v>-0.40024188924078119</c:v>
                </c:pt>
                <c:pt idx="227">
                  <c:v>-0.46927195391996923</c:v>
                </c:pt>
                <c:pt idx="228">
                  <c:v>-0.51974361422138116</c:v>
                </c:pt>
                <c:pt idx="229">
                  <c:v>-0.4428651365022257</c:v>
                </c:pt>
                <c:pt idx="230">
                  <c:v>-0.36429344952204346</c:v>
                </c:pt>
                <c:pt idx="231">
                  <c:v>-0.36293198529172399</c:v>
                </c:pt>
                <c:pt idx="232">
                  <c:v>-0.32643369216695917</c:v>
                </c:pt>
                <c:pt idx="233">
                  <c:v>-0.17763523570680773</c:v>
                </c:pt>
                <c:pt idx="234">
                  <c:v>-8.4105044456745159E-2</c:v>
                </c:pt>
                <c:pt idx="235">
                  <c:v>-8.0235671527605579E-2</c:v>
                </c:pt>
                <c:pt idx="236">
                  <c:v>-4.180856878141781E-2</c:v>
                </c:pt>
                <c:pt idx="237">
                  <c:v>7.4059350655418132E-2</c:v>
                </c:pt>
                <c:pt idx="238">
                  <c:v>8.5324149518483328E-2</c:v>
                </c:pt>
                <c:pt idx="239">
                  <c:v>4.1332075278040836E-2</c:v>
                </c:pt>
                <c:pt idx="240">
                  <c:v>4.7665945477648908E-2</c:v>
                </c:pt>
                <c:pt idx="241">
                  <c:v>5.1838505913973876E-2</c:v>
                </c:pt>
                <c:pt idx="242">
                  <c:v>0.13398255491947553</c:v>
                </c:pt>
                <c:pt idx="243">
                  <c:v>0.15654426242571451</c:v>
                </c:pt>
                <c:pt idx="244">
                  <c:v>0.21037752177459645</c:v>
                </c:pt>
                <c:pt idx="245">
                  <c:v>0.22307312581507976</c:v>
                </c:pt>
                <c:pt idx="246">
                  <c:v>0.1796827586476446</c:v>
                </c:pt>
                <c:pt idx="247">
                  <c:v>0.20568181519375939</c:v>
                </c:pt>
                <c:pt idx="248">
                  <c:v>0.22341932756179861</c:v>
                </c:pt>
                <c:pt idx="249">
                  <c:v>0.25426732952263453</c:v>
                </c:pt>
                <c:pt idx="250">
                  <c:v>0.20109702847651034</c:v>
                </c:pt>
                <c:pt idx="251">
                  <c:v>0.19266705091257941</c:v>
                </c:pt>
                <c:pt idx="252">
                  <c:v>0.18071334140919859</c:v>
                </c:pt>
                <c:pt idx="253">
                  <c:v>0.24323812126625755</c:v>
                </c:pt>
                <c:pt idx="254">
                  <c:v>0.20134855444298294</c:v>
                </c:pt>
                <c:pt idx="255">
                  <c:v>0.16370059263332171</c:v>
                </c:pt>
                <c:pt idx="256">
                  <c:v>0.16649023392047346</c:v>
                </c:pt>
                <c:pt idx="257">
                  <c:v>0.1022591649175022</c:v>
                </c:pt>
                <c:pt idx="258">
                  <c:v>0.1107495237331626</c:v>
                </c:pt>
                <c:pt idx="259">
                  <c:v>0.12958776263965399</c:v>
                </c:pt>
                <c:pt idx="260">
                  <c:v>0.139622100928535</c:v>
                </c:pt>
                <c:pt idx="261">
                  <c:v>0.15019377766850073</c:v>
                </c:pt>
                <c:pt idx="262">
                  <c:v>0.18960354736524021</c:v>
                </c:pt>
                <c:pt idx="263">
                  <c:v>0.13501458040710057</c:v>
                </c:pt>
                <c:pt idx="264">
                  <c:v>0.14275259021431119</c:v>
                </c:pt>
                <c:pt idx="265">
                  <c:v>0.15603711695797973</c:v>
                </c:pt>
                <c:pt idx="266">
                  <c:v>0.10839903957462416</c:v>
                </c:pt>
                <c:pt idx="267">
                  <c:v>9.1306133432728975E-2</c:v>
                </c:pt>
                <c:pt idx="268">
                  <c:v>6.7083363145929109E-2</c:v>
                </c:pt>
                <c:pt idx="269">
                  <c:v>0.10512447840556183</c:v>
                </c:pt>
                <c:pt idx="270">
                  <c:v>0.15321301489691308</c:v>
                </c:pt>
                <c:pt idx="271">
                  <c:v>0.17461535494508684</c:v>
                </c:pt>
                <c:pt idx="272">
                  <c:v>0.19615047752257708</c:v>
                </c:pt>
                <c:pt idx="273">
                  <c:v>0.18203191283491793</c:v>
                </c:pt>
                <c:pt idx="274">
                  <c:v>0.16816954129304573</c:v>
                </c:pt>
                <c:pt idx="275">
                  <c:v>0.21148277662422776</c:v>
                </c:pt>
                <c:pt idx="276">
                  <c:v>0.24907890497134688</c:v>
                </c:pt>
                <c:pt idx="277">
                  <c:v>0.28830218726621015</c:v>
                </c:pt>
                <c:pt idx="278">
                  <c:v>0.42884771441262881</c:v>
                </c:pt>
                <c:pt idx="279">
                  <c:v>0.395494159447636</c:v>
                </c:pt>
                <c:pt idx="280">
                  <c:v>0.32078992059010925</c:v>
                </c:pt>
                <c:pt idx="281">
                  <c:v>0.26682724509123434</c:v>
                </c:pt>
                <c:pt idx="282">
                  <c:v>0.17935298470982852</c:v>
                </c:pt>
                <c:pt idx="283">
                  <c:v>0.24381317575472705</c:v>
                </c:pt>
                <c:pt idx="284">
                  <c:v>0.39932283979065319</c:v>
                </c:pt>
                <c:pt idx="285">
                  <c:v>0.22335634258387493</c:v>
                </c:pt>
                <c:pt idx="286">
                  <c:v>0.21465090142716492</c:v>
                </c:pt>
                <c:pt idx="287">
                  <c:v>0.13779268210791584</c:v>
                </c:pt>
                <c:pt idx="288">
                  <c:v>7.2905078705572279E-2</c:v>
                </c:pt>
                <c:pt idx="289">
                  <c:v>5.0337962639177114E-2</c:v>
                </c:pt>
                <c:pt idx="290">
                  <c:v>-3.0913612852032646E-2</c:v>
                </c:pt>
                <c:pt idx="291">
                  <c:v>-4.3849927401727551E-2</c:v>
                </c:pt>
                <c:pt idx="292">
                  <c:v>-7.0332678878598953E-2</c:v>
                </c:pt>
                <c:pt idx="293">
                  <c:v>-0.13249075950623002</c:v>
                </c:pt>
                <c:pt idx="294">
                  <c:v>-0.11535385233118767</c:v>
                </c:pt>
                <c:pt idx="295">
                  <c:v>-6.5551368980199087E-2</c:v>
                </c:pt>
                <c:pt idx="296">
                  <c:v>-6.3826872966843307E-2</c:v>
                </c:pt>
                <c:pt idx="297">
                  <c:v>-0.1499584817914863</c:v>
                </c:pt>
                <c:pt idx="298">
                  <c:v>-0.24298440618576422</c:v>
                </c:pt>
                <c:pt idx="299">
                  <c:v>-0.30725755950501377</c:v>
                </c:pt>
                <c:pt idx="300">
                  <c:v>-0.33019854725221154</c:v>
                </c:pt>
                <c:pt idx="301">
                  <c:v>-0.31514411108861895</c:v>
                </c:pt>
                <c:pt idx="302">
                  <c:v>-0.24175015672632494</c:v>
                </c:pt>
                <c:pt idx="303">
                  <c:v>-0.24487471828942053</c:v>
                </c:pt>
                <c:pt idx="304">
                  <c:v>-0.35157136226431918</c:v>
                </c:pt>
                <c:pt idx="305">
                  <c:v>-0.38249461386532113</c:v>
                </c:pt>
                <c:pt idx="306">
                  <c:v>-0.30334230096908266</c:v>
                </c:pt>
                <c:pt idx="307">
                  <c:v>-0.36223591748511452</c:v>
                </c:pt>
                <c:pt idx="308">
                  <c:v>-0.31095502252315155</c:v>
                </c:pt>
                <c:pt idx="309">
                  <c:v>-0.29686101359826567</c:v>
                </c:pt>
                <c:pt idx="310">
                  <c:v>-0.24734589222973513</c:v>
                </c:pt>
                <c:pt idx="311">
                  <c:v>-0.211198931729495</c:v>
                </c:pt>
                <c:pt idx="312">
                  <c:v>-0.22094185591389393</c:v>
                </c:pt>
                <c:pt idx="313">
                  <c:v>-0.2218558489035436</c:v>
                </c:pt>
                <c:pt idx="314">
                  <c:v>-0.23388808757509405</c:v>
                </c:pt>
                <c:pt idx="315">
                  <c:v>-0.16610565234251962</c:v>
                </c:pt>
                <c:pt idx="316">
                  <c:v>-0.24000684208646161</c:v>
                </c:pt>
                <c:pt idx="317">
                  <c:v>-0.29151611951250633</c:v>
                </c:pt>
                <c:pt idx="318">
                  <c:v>-0.18383485743610573</c:v>
                </c:pt>
                <c:pt idx="319">
                  <c:v>-0.11130437165806573</c:v>
                </c:pt>
                <c:pt idx="320">
                  <c:v>-4.5474002565676019E-2</c:v>
                </c:pt>
                <c:pt idx="321">
                  <c:v>-4.891668967871543E-2</c:v>
                </c:pt>
                <c:pt idx="322">
                  <c:v>-5.9651402487521765E-2</c:v>
                </c:pt>
                <c:pt idx="323">
                  <c:v>-0.15471586200027565</c:v>
                </c:pt>
                <c:pt idx="324">
                  <c:v>-4.7548105788145612E-2</c:v>
                </c:pt>
                <c:pt idx="325">
                  <c:v>2.3090485788034742E-2</c:v>
                </c:pt>
                <c:pt idx="326">
                  <c:v>2.6361027004987658E-2</c:v>
                </c:pt>
                <c:pt idx="327">
                  <c:v>6.1873650671668168E-2</c:v>
                </c:pt>
                <c:pt idx="328">
                  <c:v>0.11703292179931091</c:v>
                </c:pt>
                <c:pt idx="329">
                  <c:v>0.16862591426368123</c:v>
                </c:pt>
                <c:pt idx="330">
                  <c:v>0.30426342337553125</c:v>
                </c:pt>
                <c:pt idx="331">
                  <c:v>0.30232908773647638</c:v>
                </c:pt>
                <c:pt idx="332">
                  <c:v>0.43027105104026164</c:v>
                </c:pt>
                <c:pt idx="333">
                  <c:v>0.48399625199470098</c:v>
                </c:pt>
                <c:pt idx="334">
                  <c:v>0.29603718914237365</c:v>
                </c:pt>
                <c:pt idx="335">
                  <c:v>0.32168560046346406</c:v>
                </c:pt>
                <c:pt idx="336">
                  <c:v>0.25265406870660367</c:v>
                </c:pt>
                <c:pt idx="337">
                  <c:v>0.25429274651450418</c:v>
                </c:pt>
                <c:pt idx="338">
                  <c:v>0.33356024506466975</c:v>
                </c:pt>
                <c:pt idx="339">
                  <c:v>0.32360348354208046</c:v>
                </c:pt>
                <c:pt idx="340">
                  <c:v>0.39034766901099505</c:v>
                </c:pt>
                <c:pt idx="341">
                  <c:v>0.32179546244306079</c:v>
                </c:pt>
                <c:pt idx="342">
                  <c:v>0.38204940384995822</c:v>
                </c:pt>
                <c:pt idx="343">
                  <c:v>0.45275631168863129</c:v>
                </c:pt>
                <c:pt idx="344">
                  <c:v>0.44910683059200895</c:v>
                </c:pt>
                <c:pt idx="345">
                  <c:v>0.44734122118901665</c:v>
                </c:pt>
                <c:pt idx="346">
                  <c:v>0.39910517245624977</c:v>
                </c:pt>
                <c:pt idx="347">
                  <c:v>0.45329549430449556</c:v>
                </c:pt>
                <c:pt idx="348">
                  <c:v>0.4598126954386994</c:v>
                </c:pt>
                <c:pt idx="349">
                  <c:v>0.59687519874660899</c:v>
                </c:pt>
                <c:pt idx="350">
                  <c:v>0.62356031857075478</c:v>
                </c:pt>
                <c:pt idx="351">
                  <c:v>0.47142206077968773</c:v>
                </c:pt>
                <c:pt idx="352">
                  <c:v>0.3975146045031801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9A8-4B18-8C31-2EA773F9A677}"/>
            </c:ext>
          </c:extLst>
        </c:ser>
        <c:ser>
          <c:idx val="2"/>
          <c:order val="2"/>
          <c:tx>
            <c:strRef>
              <c:f>'Customer Margin Balances'!$W$1</c:f>
              <c:strCache>
                <c:ptCount val="1"/>
                <c:pt idx="0">
                  <c:v>FwdRtn Predict (Credit)</c:v>
                </c:pt>
              </c:strCache>
            </c:strRef>
          </c:tx>
          <c:spPr>
            <a:ln w="19050" cap="rnd">
              <a:solidFill>
                <a:srgbClr val="00B0F0"/>
              </a:solidFill>
              <a:prstDash val="sysDot"/>
              <a:round/>
            </a:ln>
            <a:effectLst/>
          </c:spPr>
          <c:marker>
            <c:symbol val="none"/>
          </c:marker>
          <c:cat>
            <c:numRef>
              <c:f>'Customer Margin Balances'!$G$2:$G$1354</c:f>
              <c:numCache>
                <c:formatCode>m/d/yyyy</c:formatCode>
                <c:ptCount val="1353"/>
                <c:pt idx="0">
                  <c:v>46173</c:v>
                </c:pt>
                <c:pt idx="1">
                  <c:v>46142</c:v>
                </c:pt>
                <c:pt idx="2">
                  <c:v>46112</c:v>
                </c:pt>
                <c:pt idx="3">
                  <c:v>46081</c:v>
                </c:pt>
                <c:pt idx="4">
                  <c:v>46053</c:v>
                </c:pt>
                <c:pt idx="5">
                  <c:v>46022</c:v>
                </c:pt>
                <c:pt idx="6">
                  <c:v>45991</c:v>
                </c:pt>
                <c:pt idx="7">
                  <c:v>45961</c:v>
                </c:pt>
                <c:pt idx="8">
                  <c:v>45930</c:v>
                </c:pt>
                <c:pt idx="9">
                  <c:v>45900</c:v>
                </c:pt>
                <c:pt idx="10">
                  <c:v>45869</c:v>
                </c:pt>
                <c:pt idx="11">
                  <c:v>45838</c:v>
                </c:pt>
                <c:pt idx="12">
                  <c:v>45808</c:v>
                </c:pt>
                <c:pt idx="13">
                  <c:v>45777</c:v>
                </c:pt>
                <c:pt idx="14">
                  <c:v>45747</c:v>
                </c:pt>
                <c:pt idx="15">
                  <c:v>45716</c:v>
                </c:pt>
                <c:pt idx="16">
                  <c:v>45688</c:v>
                </c:pt>
                <c:pt idx="17">
                  <c:v>45657</c:v>
                </c:pt>
                <c:pt idx="18">
                  <c:v>45626</c:v>
                </c:pt>
                <c:pt idx="19">
                  <c:v>45596</c:v>
                </c:pt>
                <c:pt idx="20">
                  <c:v>45565</c:v>
                </c:pt>
                <c:pt idx="21">
                  <c:v>45535</c:v>
                </c:pt>
                <c:pt idx="22">
                  <c:v>45504</c:v>
                </c:pt>
                <c:pt idx="23">
                  <c:v>45473</c:v>
                </c:pt>
                <c:pt idx="24">
                  <c:v>45443</c:v>
                </c:pt>
                <c:pt idx="25">
                  <c:v>45412</c:v>
                </c:pt>
                <c:pt idx="26">
                  <c:v>45382</c:v>
                </c:pt>
                <c:pt idx="27">
                  <c:v>45351</c:v>
                </c:pt>
                <c:pt idx="28">
                  <c:v>45322</c:v>
                </c:pt>
                <c:pt idx="29">
                  <c:v>45291</c:v>
                </c:pt>
                <c:pt idx="30">
                  <c:v>45260</c:v>
                </c:pt>
                <c:pt idx="31">
                  <c:v>45230</c:v>
                </c:pt>
                <c:pt idx="32">
                  <c:v>45199</c:v>
                </c:pt>
                <c:pt idx="33">
                  <c:v>45169</c:v>
                </c:pt>
                <c:pt idx="34">
                  <c:v>45138</c:v>
                </c:pt>
                <c:pt idx="35">
                  <c:v>45107</c:v>
                </c:pt>
                <c:pt idx="36">
                  <c:v>45077</c:v>
                </c:pt>
                <c:pt idx="37">
                  <c:v>45046</c:v>
                </c:pt>
                <c:pt idx="38">
                  <c:v>45016</c:v>
                </c:pt>
                <c:pt idx="39">
                  <c:v>44985</c:v>
                </c:pt>
                <c:pt idx="40">
                  <c:v>44957</c:v>
                </c:pt>
                <c:pt idx="41">
                  <c:v>44926</c:v>
                </c:pt>
                <c:pt idx="42">
                  <c:v>44895</c:v>
                </c:pt>
                <c:pt idx="43">
                  <c:v>44865</c:v>
                </c:pt>
                <c:pt idx="44">
                  <c:v>44834</c:v>
                </c:pt>
                <c:pt idx="45">
                  <c:v>44804</c:v>
                </c:pt>
                <c:pt idx="46">
                  <c:v>44773</c:v>
                </c:pt>
                <c:pt idx="47">
                  <c:v>44742</c:v>
                </c:pt>
                <c:pt idx="48">
                  <c:v>44712</c:v>
                </c:pt>
                <c:pt idx="49">
                  <c:v>44681</c:v>
                </c:pt>
                <c:pt idx="50">
                  <c:v>44651</c:v>
                </c:pt>
                <c:pt idx="51">
                  <c:v>44620</c:v>
                </c:pt>
                <c:pt idx="52">
                  <c:v>44592</c:v>
                </c:pt>
                <c:pt idx="53">
                  <c:v>44561</c:v>
                </c:pt>
                <c:pt idx="54">
                  <c:v>44530</c:v>
                </c:pt>
                <c:pt idx="55">
                  <c:v>44500</c:v>
                </c:pt>
                <c:pt idx="56">
                  <c:v>44469</c:v>
                </c:pt>
                <c:pt idx="57">
                  <c:v>44439</c:v>
                </c:pt>
                <c:pt idx="58">
                  <c:v>44408</c:v>
                </c:pt>
                <c:pt idx="59">
                  <c:v>44377</c:v>
                </c:pt>
                <c:pt idx="60">
                  <c:v>44347</c:v>
                </c:pt>
                <c:pt idx="61">
                  <c:v>44316</c:v>
                </c:pt>
                <c:pt idx="62">
                  <c:v>44286</c:v>
                </c:pt>
                <c:pt idx="63">
                  <c:v>44255</c:v>
                </c:pt>
                <c:pt idx="64">
                  <c:v>44227</c:v>
                </c:pt>
                <c:pt idx="65">
                  <c:v>44196</c:v>
                </c:pt>
                <c:pt idx="66">
                  <c:v>44165</c:v>
                </c:pt>
                <c:pt idx="67">
                  <c:v>44135</c:v>
                </c:pt>
                <c:pt idx="68">
                  <c:v>44104</c:v>
                </c:pt>
                <c:pt idx="69">
                  <c:v>44074</c:v>
                </c:pt>
                <c:pt idx="70">
                  <c:v>44043</c:v>
                </c:pt>
                <c:pt idx="71">
                  <c:v>44012</c:v>
                </c:pt>
                <c:pt idx="72">
                  <c:v>43982</c:v>
                </c:pt>
                <c:pt idx="73">
                  <c:v>43951</c:v>
                </c:pt>
                <c:pt idx="74">
                  <c:v>43921</c:v>
                </c:pt>
                <c:pt idx="75">
                  <c:v>43890</c:v>
                </c:pt>
                <c:pt idx="76">
                  <c:v>43861</c:v>
                </c:pt>
                <c:pt idx="77">
                  <c:v>43830</c:v>
                </c:pt>
                <c:pt idx="78">
                  <c:v>43799</c:v>
                </c:pt>
                <c:pt idx="79">
                  <c:v>43769</c:v>
                </c:pt>
                <c:pt idx="80">
                  <c:v>43738</c:v>
                </c:pt>
                <c:pt idx="81">
                  <c:v>43708</c:v>
                </c:pt>
                <c:pt idx="82">
                  <c:v>43677</c:v>
                </c:pt>
                <c:pt idx="83">
                  <c:v>43646</c:v>
                </c:pt>
                <c:pt idx="84">
                  <c:v>43616</c:v>
                </c:pt>
                <c:pt idx="85">
                  <c:v>43585</c:v>
                </c:pt>
                <c:pt idx="86">
                  <c:v>43555</c:v>
                </c:pt>
                <c:pt idx="87">
                  <c:v>43524</c:v>
                </c:pt>
                <c:pt idx="88">
                  <c:v>43496</c:v>
                </c:pt>
                <c:pt idx="89">
                  <c:v>43465</c:v>
                </c:pt>
                <c:pt idx="90">
                  <c:v>43434</c:v>
                </c:pt>
                <c:pt idx="91">
                  <c:v>43404</c:v>
                </c:pt>
                <c:pt idx="92">
                  <c:v>43373</c:v>
                </c:pt>
                <c:pt idx="93">
                  <c:v>43343</c:v>
                </c:pt>
                <c:pt idx="94">
                  <c:v>43312</c:v>
                </c:pt>
                <c:pt idx="95">
                  <c:v>43281</c:v>
                </c:pt>
                <c:pt idx="96">
                  <c:v>43251</c:v>
                </c:pt>
                <c:pt idx="97">
                  <c:v>43220</c:v>
                </c:pt>
                <c:pt idx="98">
                  <c:v>43190</c:v>
                </c:pt>
                <c:pt idx="99">
                  <c:v>43159</c:v>
                </c:pt>
                <c:pt idx="100">
                  <c:v>43131</c:v>
                </c:pt>
                <c:pt idx="101">
                  <c:v>43100</c:v>
                </c:pt>
                <c:pt idx="102">
                  <c:v>43069</c:v>
                </c:pt>
                <c:pt idx="103">
                  <c:v>43039</c:v>
                </c:pt>
                <c:pt idx="104">
                  <c:v>43008</c:v>
                </c:pt>
                <c:pt idx="105">
                  <c:v>42978</c:v>
                </c:pt>
                <c:pt idx="106">
                  <c:v>42947</c:v>
                </c:pt>
                <c:pt idx="107">
                  <c:v>42916</c:v>
                </c:pt>
                <c:pt idx="108">
                  <c:v>42886</c:v>
                </c:pt>
                <c:pt idx="109">
                  <c:v>42855</c:v>
                </c:pt>
                <c:pt idx="110">
                  <c:v>42825</c:v>
                </c:pt>
                <c:pt idx="111">
                  <c:v>42794</c:v>
                </c:pt>
                <c:pt idx="112">
                  <c:v>42766</c:v>
                </c:pt>
                <c:pt idx="113">
                  <c:v>42735</c:v>
                </c:pt>
                <c:pt idx="114">
                  <c:v>42704</c:v>
                </c:pt>
                <c:pt idx="115">
                  <c:v>42674</c:v>
                </c:pt>
                <c:pt idx="116">
                  <c:v>42643</c:v>
                </c:pt>
                <c:pt idx="117">
                  <c:v>42613</c:v>
                </c:pt>
                <c:pt idx="118">
                  <c:v>42582</c:v>
                </c:pt>
                <c:pt idx="119">
                  <c:v>42551</c:v>
                </c:pt>
                <c:pt idx="120">
                  <c:v>42521</c:v>
                </c:pt>
                <c:pt idx="121">
                  <c:v>42490</c:v>
                </c:pt>
                <c:pt idx="122">
                  <c:v>42460</c:v>
                </c:pt>
                <c:pt idx="123">
                  <c:v>42429</c:v>
                </c:pt>
                <c:pt idx="124">
                  <c:v>42400</c:v>
                </c:pt>
                <c:pt idx="125">
                  <c:v>42369</c:v>
                </c:pt>
                <c:pt idx="126">
                  <c:v>42338</c:v>
                </c:pt>
                <c:pt idx="127">
                  <c:v>42308</c:v>
                </c:pt>
                <c:pt idx="128">
                  <c:v>42277</c:v>
                </c:pt>
                <c:pt idx="129">
                  <c:v>42247</c:v>
                </c:pt>
                <c:pt idx="130">
                  <c:v>42216</c:v>
                </c:pt>
                <c:pt idx="131">
                  <c:v>42185</c:v>
                </c:pt>
                <c:pt idx="132">
                  <c:v>42155</c:v>
                </c:pt>
                <c:pt idx="133">
                  <c:v>42124</c:v>
                </c:pt>
                <c:pt idx="134">
                  <c:v>42094</c:v>
                </c:pt>
                <c:pt idx="135">
                  <c:v>42063</c:v>
                </c:pt>
                <c:pt idx="136">
                  <c:v>42035</c:v>
                </c:pt>
                <c:pt idx="137">
                  <c:v>42004</c:v>
                </c:pt>
                <c:pt idx="138">
                  <c:v>41973</c:v>
                </c:pt>
                <c:pt idx="139">
                  <c:v>41943</c:v>
                </c:pt>
                <c:pt idx="140">
                  <c:v>41912</c:v>
                </c:pt>
                <c:pt idx="141">
                  <c:v>41882</c:v>
                </c:pt>
                <c:pt idx="142">
                  <c:v>41851</c:v>
                </c:pt>
                <c:pt idx="143">
                  <c:v>41820</c:v>
                </c:pt>
                <c:pt idx="144">
                  <c:v>41790</c:v>
                </c:pt>
                <c:pt idx="145">
                  <c:v>41759</c:v>
                </c:pt>
                <c:pt idx="146">
                  <c:v>41729</c:v>
                </c:pt>
                <c:pt idx="147">
                  <c:v>41698</c:v>
                </c:pt>
                <c:pt idx="148">
                  <c:v>41670</c:v>
                </c:pt>
                <c:pt idx="149">
                  <c:v>41639</c:v>
                </c:pt>
                <c:pt idx="150">
                  <c:v>41608</c:v>
                </c:pt>
                <c:pt idx="151">
                  <c:v>41578</c:v>
                </c:pt>
                <c:pt idx="152">
                  <c:v>41547</c:v>
                </c:pt>
                <c:pt idx="153">
                  <c:v>41517</c:v>
                </c:pt>
                <c:pt idx="154">
                  <c:v>41486</c:v>
                </c:pt>
                <c:pt idx="155">
                  <c:v>41455</c:v>
                </c:pt>
                <c:pt idx="156">
                  <c:v>41425</c:v>
                </c:pt>
                <c:pt idx="157">
                  <c:v>41394</c:v>
                </c:pt>
                <c:pt idx="158">
                  <c:v>41364</c:v>
                </c:pt>
                <c:pt idx="159">
                  <c:v>41333</c:v>
                </c:pt>
                <c:pt idx="160">
                  <c:v>41305</c:v>
                </c:pt>
                <c:pt idx="161">
                  <c:v>41274</c:v>
                </c:pt>
                <c:pt idx="162">
                  <c:v>41243</c:v>
                </c:pt>
                <c:pt idx="163">
                  <c:v>41213</c:v>
                </c:pt>
                <c:pt idx="164">
                  <c:v>41182</c:v>
                </c:pt>
                <c:pt idx="165">
                  <c:v>41152</c:v>
                </c:pt>
                <c:pt idx="166">
                  <c:v>41121</c:v>
                </c:pt>
                <c:pt idx="167">
                  <c:v>41090</c:v>
                </c:pt>
                <c:pt idx="168">
                  <c:v>41060</c:v>
                </c:pt>
                <c:pt idx="169">
                  <c:v>41029</c:v>
                </c:pt>
                <c:pt idx="170">
                  <c:v>40999</c:v>
                </c:pt>
                <c:pt idx="171">
                  <c:v>40968</c:v>
                </c:pt>
                <c:pt idx="172">
                  <c:v>40939</c:v>
                </c:pt>
                <c:pt idx="173">
                  <c:v>40908</c:v>
                </c:pt>
                <c:pt idx="174">
                  <c:v>40877</c:v>
                </c:pt>
                <c:pt idx="175">
                  <c:v>40847</c:v>
                </c:pt>
                <c:pt idx="176">
                  <c:v>40816</c:v>
                </c:pt>
                <c:pt idx="177">
                  <c:v>40786</c:v>
                </c:pt>
                <c:pt idx="178">
                  <c:v>40755</c:v>
                </c:pt>
                <c:pt idx="179">
                  <c:v>40724</c:v>
                </c:pt>
                <c:pt idx="180">
                  <c:v>40694</c:v>
                </c:pt>
                <c:pt idx="181">
                  <c:v>40663</c:v>
                </c:pt>
                <c:pt idx="182">
                  <c:v>40633</c:v>
                </c:pt>
                <c:pt idx="183">
                  <c:v>40602</c:v>
                </c:pt>
                <c:pt idx="184">
                  <c:v>40574</c:v>
                </c:pt>
                <c:pt idx="185">
                  <c:v>40543</c:v>
                </c:pt>
                <c:pt idx="186">
                  <c:v>40512</c:v>
                </c:pt>
                <c:pt idx="187">
                  <c:v>40482</c:v>
                </c:pt>
                <c:pt idx="188">
                  <c:v>40451</c:v>
                </c:pt>
                <c:pt idx="189">
                  <c:v>40421</c:v>
                </c:pt>
                <c:pt idx="190">
                  <c:v>40390</c:v>
                </c:pt>
                <c:pt idx="191">
                  <c:v>40359</c:v>
                </c:pt>
                <c:pt idx="192">
                  <c:v>40329</c:v>
                </c:pt>
                <c:pt idx="193">
                  <c:v>40298</c:v>
                </c:pt>
                <c:pt idx="194">
                  <c:v>40268</c:v>
                </c:pt>
                <c:pt idx="195">
                  <c:v>40237</c:v>
                </c:pt>
                <c:pt idx="196">
                  <c:v>40209</c:v>
                </c:pt>
                <c:pt idx="197">
                  <c:v>40178</c:v>
                </c:pt>
                <c:pt idx="198">
                  <c:v>40147</c:v>
                </c:pt>
                <c:pt idx="199">
                  <c:v>40117</c:v>
                </c:pt>
                <c:pt idx="200">
                  <c:v>40086</c:v>
                </c:pt>
                <c:pt idx="201">
                  <c:v>40056</c:v>
                </c:pt>
                <c:pt idx="202">
                  <c:v>40025</c:v>
                </c:pt>
                <c:pt idx="203">
                  <c:v>39994</c:v>
                </c:pt>
                <c:pt idx="204">
                  <c:v>39964</c:v>
                </c:pt>
                <c:pt idx="205">
                  <c:v>39933</c:v>
                </c:pt>
                <c:pt idx="206">
                  <c:v>39903</c:v>
                </c:pt>
                <c:pt idx="207">
                  <c:v>39872</c:v>
                </c:pt>
                <c:pt idx="208">
                  <c:v>39844</c:v>
                </c:pt>
                <c:pt idx="209">
                  <c:v>39813</c:v>
                </c:pt>
                <c:pt idx="210">
                  <c:v>39782</c:v>
                </c:pt>
                <c:pt idx="211">
                  <c:v>39752</c:v>
                </c:pt>
                <c:pt idx="212">
                  <c:v>39721</c:v>
                </c:pt>
                <c:pt idx="213">
                  <c:v>39691</c:v>
                </c:pt>
                <c:pt idx="214">
                  <c:v>39660</c:v>
                </c:pt>
                <c:pt idx="215">
                  <c:v>39629</c:v>
                </c:pt>
                <c:pt idx="216">
                  <c:v>39599</c:v>
                </c:pt>
                <c:pt idx="217">
                  <c:v>39568</c:v>
                </c:pt>
                <c:pt idx="218">
                  <c:v>39538</c:v>
                </c:pt>
                <c:pt idx="219">
                  <c:v>39507</c:v>
                </c:pt>
                <c:pt idx="220">
                  <c:v>39478</c:v>
                </c:pt>
                <c:pt idx="221">
                  <c:v>39447</c:v>
                </c:pt>
                <c:pt idx="222">
                  <c:v>39416</c:v>
                </c:pt>
                <c:pt idx="223">
                  <c:v>39386</c:v>
                </c:pt>
                <c:pt idx="224">
                  <c:v>39355</c:v>
                </c:pt>
                <c:pt idx="225">
                  <c:v>39325</c:v>
                </c:pt>
                <c:pt idx="226">
                  <c:v>39294</c:v>
                </c:pt>
                <c:pt idx="227">
                  <c:v>39263</c:v>
                </c:pt>
                <c:pt idx="228">
                  <c:v>39233</c:v>
                </c:pt>
                <c:pt idx="229">
                  <c:v>39202</c:v>
                </c:pt>
                <c:pt idx="230">
                  <c:v>39172</c:v>
                </c:pt>
                <c:pt idx="231">
                  <c:v>39141</c:v>
                </c:pt>
                <c:pt idx="232">
                  <c:v>39113</c:v>
                </c:pt>
                <c:pt idx="233">
                  <c:v>39082</c:v>
                </c:pt>
                <c:pt idx="234">
                  <c:v>39051</c:v>
                </c:pt>
                <c:pt idx="235">
                  <c:v>39021</c:v>
                </c:pt>
                <c:pt idx="236">
                  <c:v>38990</c:v>
                </c:pt>
                <c:pt idx="237">
                  <c:v>38960</c:v>
                </c:pt>
                <c:pt idx="238">
                  <c:v>38929</c:v>
                </c:pt>
                <c:pt idx="239">
                  <c:v>38898</c:v>
                </c:pt>
                <c:pt idx="240">
                  <c:v>38868</c:v>
                </c:pt>
                <c:pt idx="241">
                  <c:v>38837</c:v>
                </c:pt>
                <c:pt idx="242">
                  <c:v>38807</c:v>
                </c:pt>
                <c:pt idx="243">
                  <c:v>38776</c:v>
                </c:pt>
                <c:pt idx="244">
                  <c:v>38748</c:v>
                </c:pt>
                <c:pt idx="245">
                  <c:v>38717</c:v>
                </c:pt>
                <c:pt idx="246">
                  <c:v>38686</c:v>
                </c:pt>
                <c:pt idx="247">
                  <c:v>38656</c:v>
                </c:pt>
                <c:pt idx="248">
                  <c:v>38625</c:v>
                </c:pt>
                <c:pt idx="249">
                  <c:v>38595</c:v>
                </c:pt>
                <c:pt idx="250">
                  <c:v>38564</c:v>
                </c:pt>
                <c:pt idx="251">
                  <c:v>38533</c:v>
                </c:pt>
                <c:pt idx="252">
                  <c:v>38503</c:v>
                </c:pt>
                <c:pt idx="253">
                  <c:v>38472</c:v>
                </c:pt>
                <c:pt idx="254">
                  <c:v>38442</c:v>
                </c:pt>
                <c:pt idx="255">
                  <c:v>38411</c:v>
                </c:pt>
                <c:pt idx="256">
                  <c:v>38383</c:v>
                </c:pt>
                <c:pt idx="257">
                  <c:v>38352</c:v>
                </c:pt>
                <c:pt idx="258">
                  <c:v>38321</c:v>
                </c:pt>
                <c:pt idx="259">
                  <c:v>38291</c:v>
                </c:pt>
                <c:pt idx="260">
                  <c:v>38260</c:v>
                </c:pt>
                <c:pt idx="261">
                  <c:v>38230</c:v>
                </c:pt>
                <c:pt idx="262">
                  <c:v>38199</c:v>
                </c:pt>
                <c:pt idx="263">
                  <c:v>38168</c:v>
                </c:pt>
                <c:pt idx="264">
                  <c:v>38138</c:v>
                </c:pt>
                <c:pt idx="265">
                  <c:v>38107</c:v>
                </c:pt>
                <c:pt idx="266">
                  <c:v>38077</c:v>
                </c:pt>
                <c:pt idx="267">
                  <c:v>38046</c:v>
                </c:pt>
                <c:pt idx="268">
                  <c:v>38017</c:v>
                </c:pt>
                <c:pt idx="269">
                  <c:v>37986</c:v>
                </c:pt>
                <c:pt idx="270">
                  <c:v>37955</c:v>
                </c:pt>
                <c:pt idx="271">
                  <c:v>37925</c:v>
                </c:pt>
                <c:pt idx="272">
                  <c:v>37894</c:v>
                </c:pt>
                <c:pt idx="273">
                  <c:v>37864</c:v>
                </c:pt>
                <c:pt idx="274">
                  <c:v>37833</c:v>
                </c:pt>
                <c:pt idx="275">
                  <c:v>37802</c:v>
                </c:pt>
                <c:pt idx="276">
                  <c:v>37772</c:v>
                </c:pt>
                <c:pt idx="277">
                  <c:v>37741</c:v>
                </c:pt>
                <c:pt idx="278">
                  <c:v>37711</c:v>
                </c:pt>
                <c:pt idx="279">
                  <c:v>37680</c:v>
                </c:pt>
                <c:pt idx="280">
                  <c:v>37652</c:v>
                </c:pt>
                <c:pt idx="281">
                  <c:v>37621</c:v>
                </c:pt>
                <c:pt idx="282">
                  <c:v>37590</c:v>
                </c:pt>
                <c:pt idx="283">
                  <c:v>37560</c:v>
                </c:pt>
                <c:pt idx="284">
                  <c:v>37529</c:v>
                </c:pt>
                <c:pt idx="285">
                  <c:v>37499</c:v>
                </c:pt>
                <c:pt idx="286">
                  <c:v>37468</c:v>
                </c:pt>
                <c:pt idx="287">
                  <c:v>37437</c:v>
                </c:pt>
                <c:pt idx="288">
                  <c:v>37407</c:v>
                </c:pt>
                <c:pt idx="289">
                  <c:v>37376</c:v>
                </c:pt>
                <c:pt idx="290">
                  <c:v>37346</c:v>
                </c:pt>
                <c:pt idx="291">
                  <c:v>37315</c:v>
                </c:pt>
                <c:pt idx="292">
                  <c:v>37287</c:v>
                </c:pt>
                <c:pt idx="293">
                  <c:v>37256</c:v>
                </c:pt>
                <c:pt idx="294">
                  <c:v>37225</c:v>
                </c:pt>
                <c:pt idx="295">
                  <c:v>37195</c:v>
                </c:pt>
                <c:pt idx="296">
                  <c:v>37164</c:v>
                </c:pt>
                <c:pt idx="297">
                  <c:v>37134</c:v>
                </c:pt>
                <c:pt idx="298">
                  <c:v>37103</c:v>
                </c:pt>
                <c:pt idx="299">
                  <c:v>37072</c:v>
                </c:pt>
                <c:pt idx="300">
                  <c:v>37042</c:v>
                </c:pt>
                <c:pt idx="301">
                  <c:v>37011</c:v>
                </c:pt>
                <c:pt idx="302">
                  <c:v>36981</c:v>
                </c:pt>
                <c:pt idx="303">
                  <c:v>36950</c:v>
                </c:pt>
                <c:pt idx="304">
                  <c:v>36922</c:v>
                </c:pt>
                <c:pt idx="305">
                  <c:v>36891</c:v>
                </c:pt>
                <c:pt idx="306">
                  <c:v>36860</c:v>
                </c:pt>
                <c:pt idx="307">
                  <c:v>36830</c:v>
                </c:pt>
                <c:pt idx="308">
                  <c:v>36799</c:v>
                </c:pt>
                <c:pt idx="309">
                  <c:v>36769</c:v>
                </c:pt>
                <c:pt idx="310">
                  <c:v>36738</c:v>
                </c:pt>
                <c:pt idx="311">
                  <c:v>36707</c:v>
                </c:pt>
                <c:pt idx="312">
                  <c:v>36677</c:v>
                </c:pt>
                <c:pt idx="313">
                  <c:v>36646</c:v>
                </c:pt>
                <c:pt idx="314">
                  <c:v>36616</c:v>
                </c:pt>
                <c:pt idx="315">
                  <c:v>36585</c:v>
                </c:pt>
                <c:pt idx="316">
                  <c:v>36556</c:v>
                </c:pt>
                <c:pt idx="317">
                  <c:v>36525</c:v>
                </c:pt>
                <c:pt idx="318">
                  <c:v>36494</c:v>
                </c:pt>
                <c:pt idx="319">
                  <c:v>36464</c:v>
                </c:pt>
                <c:pt idx="320">
                  <c:v>36433</c:v>
                </c:pt>
                <c:pt idx="321">
                  <c:v>36403</c:v>
                </c:pt>
                <c:pt idx="322">
                  <c:v>36372</c:v>
                </c:pt>
                <c:pt idx="323">
                  <c:v>36341</c:v>
                </c:pt>
                <c:pt idx="324">
                  <c:v>36311</c:v>
                </c:pt>
                <c:pt idx="325">
                  <c:v>36280</c:v>
                </c:pt>
                <c:pt idx="326">
                  <c:v>36250</c:v>
                </c:pt>
                <c:pt idx="327">
                  <c:v>36219</c:v>
                </c:pt>
                <c:pt idx="328">
                  <c:v>36191</c:v>
                </c:pt>
                <c:pt idx="329">
                  <c:v>36160</c:v>
                </c:pt>
                <c:pt idx="330">
                  <c:v>36129</c:v>
                </c:pt>
                <c:pt idx="331">
                  <c:v>36099</c:v>
                </c:pt>
                <c:pt idx="332">
                  <c:v>36068</c:v>
                </c:pt>
                <c:pt idx="333">
                  <c:v>36038</c:v>
                </c:pt>
                <c:pt idx="334">
                  <c:v>36007</c:v>
                </c:pt>
                <c:pt idx="335">
                  <c:v>35976</c:v>
                </c:pt>
                <c:pt idx="336">
                  <c:v>35946</c:v>
                </c:pt>
                <c:pt idx="337">
                  <c:v>35915</c:v>
                </c:pt>
                <c:pt idx="338">
                  <c:v>35885</c:v>
                </c:pt>
                <c:pt idx="339">
                  <c:v>35854</c:v>
                </c:pt>
                <c:pt idx="340">
                  <c:v>35826</c:v>
                </c:pt>
                <c:pt idx="341">
                  <c:v>35795</c:v>
                </c:pt>
                <c:pt idx="342">
                  <c:v>35764</c:v>
                </c:pt>
                <c:pt idx="343">
                  <c:v>35734</c:v>
                </c:pt>
                <c:pt idx="344">
                  <c:v>35703</c:v>
                </c:pt>
                <c:pt idx="345">
                  <c:v>35673</c:v>
                </c:pt>
                <c:pt idx="346">
                  <c:v>35642</c:v>
                </c:pt>
                <c:pt idx="347">
                  <c:v>35611</c:v>
                </c:pt>
                <c:pt idx="348">
                  <c:v>35581</c:v>
                </c:pt>
                <c:pt idx="349">
                  <c:v>35550</c:v>
                </c:pt>
                <c:pt idx="350">
                  <c:v>35520</c:v>
                </c:pt>
                <c:pt idx="351">
                  <c:v>35489</c:v>
                </c:pt>
                <c:pt idx="352">
                  <c:v>35461</c:v>
                </c:pt>
              </c:numCache>
            </c:numRef>
          </c:cat>
          <c:val>
            <c:numRef>
              <c:f>'Customer Margin Balances'!$W$2:$W$1354</c:f>
              <c:numCache>
                <c:formatCode>0%</c:formatCode>
                <c:ptCount val="1353"/>
                <c:pt idx="0">
                  <c:v>0.28326535227160177</c:v>
                </c:pt>
                <c:pt idx="1">
                  <c:v>0.27553374607368963</c:v>
                </c:pt>
                <c:pt idx="2">
                  <c:v>0.27826983822443407</c:v>
                </c:pt>
                <c:pt idx="3">
                  <c:v>0.29157115693524238</c:v>
                </c:pt>
                <c:pt idx="4">
                  <c:v>0.29416543456959998</c:v>
                </c:pt>
                <c:pt idx="5">
                  <c:v>0.2861825163185045</c:v>
                </c:pt>
                <c:pt idx="6">
                  <c:v>0.29459927246541151</c:v>
                </c:pt>
                <c:pt idx="7">
                  <c:v>0.29590174595117968</c:v>
                </c:pt>
                <c:pt idx="8">
                  <c:v>0.29042146091652193</c:v>
                </c:pt>
                <c:pt idx="9">
                  <c:v>0.3126090897292591</c:v>
                </c:pt>
                <c:pt idx="10">
                  <c:v>0.30240826009049238</c:v>
                </c:pt>
                <c:pt idx="11">
                  <c:v>0.29777931794192031</c:v>
                </c:pt>
                <c:pt idx="12">
                  <c:v>0.31318876812340779</c:v>
                </c:pt>
                <c:pt idx="13">
                  <c:v>0.31559475312825308</c:v>
                </c:pt>
                <c:pt idx="14">
                  <c:v>0.31275401121739016</c:v>
                </c:pt>
                <c:pt idx="15">
                  <c:v>0.31428261053959028</c:v>
                </c:pt>
                <c:pt idx="16">
                  <c:v>0.32696336786381697</c:v>
                </c:pt>
                <c:pt idx="17">
                  <c:v>0.31729021874163782</c:v>
                </c:pt>
                <c:pt idx="18">
                  <c:v>0.3312546933086537</c:v>
                </c:pt>
                <c:pt idx="19">
                  <c:v>0.3279276208481347</c:v>
                </c:pt>
                <c:pt idx="20">
                  <c:v>0.3373701326698314</c:v>
                </c:pt>
                <c:pt idx="21">
                  <c:v>0.35752086435019209</c:v>
                </c:pt>
                <c:pt idx="22">
                  <c:v>0.3524189787052725</c:v>
                </c:pt>
                <c:pt idx="23">
                  <c:v>0.35123021433941576</c:v>
                </c:pt>
                <c:pt idx="24">
                  <c:v>0.35552407776322031</c:v>
                </c:pt>
                <c:pt idx="25">
                  <c:v>0.34768616627967541</c:v>
                </c:pt>
                <c:pt idx="26">
                  <c:v>0.34232171477628215</c:v>
                </c:pt>
                <c:pt idx="27">
                  <c:v>0.34053547520886118</c:v>
                </c:pt>
                <c:pt idx="28">
                  <c:v>0.34663110728980401</c:v>
                </c:pt>
                <c:pt idx="29">
                  <c:v>0.34814657810956878</c:v>
                </c:pt>
                <c:pt idx="30">
                  <c:v>0.33866422067867646</c:v>
                </c:pt>
                <c:pt idx="31">
                  <c:v>0.34836134909099553</c:v>
                </c:pt>
                <c:pt idx="32">
                  <c:v>0.35670973212909929</c:v>
                </c:pt>
                <c:pt idx="33">
                  <c:v>0.33312257466225359</c:v>
                </c:pt>
                <c:pt idx="34">
                  <c:v>0.33426957134074187</c:v>
                </c:pt>
                <c:pt idx="35">
                  <c:v>0.33112941602681595</c:v>
                </c:pt>
                <c:pt idx="36">
                  <c:v>0.33130902815528585</c:v>
                </c:pt>
                <c:pt idx="37">
                  <c:v>0.33723169380904516</c:v>
                </c:pt>
                <c:pt idx="38">
                  <c:v>0.32073618110496027</c:v>
                </c:pt>
                <c:pt idx="39">
                  <c:v>0.31027197643594445</c:v>
                </c:pt>
                <c:pt idx="40">
                  <c:v>0.30235045023822005</c:v>
                </c:pt>
                <c:pt idx="41">
                  <c:v>0.30441693764850841</c:v>
                </c:pt>
                <c:pt idx="42">
                  <c:v>0.30353112686794009</c:v>
                </c:pt>
                <c:pt idx="43">
                  <c:v>0.28824369740825295</c:v>
                </c:pt>
                <c:pt idx="44">
                  <c:v>0.2835750837716694</c:v>
                </c:pt>
                <c:pt idx="45">
                  <c:v>0.28008419227733206</c:v>
                </c:pt>
                <c:pt idx="46">
                  <c:v>0.27474020919732567</c:v>
                </c:pt>
                <c:pt idx="47">
                  <c:v>0.25272519102130492</c:v>
                </c:pt>
                <c:pt idx="48">
                  <c:v>0.25828210378069683</c:v>
                </c:pt>
                <c:pt idx="49">
                  <c:v>0.26108776283914925</c:v>
                </c:pt>
                <c:pt idx="50">
                  <c:v>0.24456846346725891</c:v>
                </c:pt>
                <c:pt idx="51">
                  <c:v>0.2449716402216508</c:v>
                </c:pt>
                <c:pt idx="52">
                  <c:v>0.24876062984788294</c:v>
                </c:pt>
                <c:pt idx="53">
                  <c:v>0.23010689588069005</c:v>
                </c:pt>
                <c:pt idx="54">
                  <c:v>0.23941977467843489</c:v>
                </c:pt>
                <c:pt idx="55">
                  <c:v>0.25252157938449588</c:v>
                </c:pt>
                <c:pt idx="56">
                  <c:v>0.24289901133610997</c:v>
                </c:pt>
                <c:pt idx="57">
                  <c:v>0.25388061985208799</c:v>
                </c:pt>
                <c:pt idx="58">
                  <c:v>0.25661203121596349</c:v>
                </c:pt>
                <c:pt idx="59">
                  <c:v>0.21100396383032777</c:v>
                </c:pt>
                <c:pt idx="60">
                  <c:v>0.21980579322973864</c:v>
                </c:pt>
                <c:pt idx="61">
                  <c:v>0.21637496809045542</c:v>
                </c:pt>
                <c:pt idx="62">
                  <c:v>0.20538769706204707</c:v>
                </c:pt>
                <c:pt idx="63">
                  <c:v>0.19263831051324692</c:v>
                </c:pt>
                <c:pt idx="64">
                  <c:v>0.18587851983470344</c:v>
                </c:pt>
                <c:pt idx="65">
                  <c:v>0.19531077849839928</c:v>
                </c:pt>
                <c:pt idx="66">
                  <c:v>0.21717763696633685</c:v>
                </c:pt>
                <c:pt idx="67">
                  <c:v>0.22175753658097191</c:v>
                </c:pt>
                <c:pt idx="68">
                  <c:v>0.22827851392796839</c:v>
                </c:pt>
                <c:pt idx="69">
                  <c:v>0.22452225432715328</c:v>
                </c:pt>
                <c:pt idx="70">
                  <c:v>0.21830904596252609</c:v>
                </c:pt>
                <c:pt idx="71">
                  <c:v>0.20602730492576649</c:v>
                </c:pt>
                <c:pt idx="72">
                  <c:v>0.22592209488433351</c:v>
                </c:pt>
                <c:pt idx="73">
                  <c:v>0.1993832900212878</c:v>
                </c:pt>
                <c:pt idx="74">
                  <c:v>0.15201377664547844</c:v>
                </c:pt>
                <c:pt idx="75">
                  <c:v>0.19669551220345216</c:v>
                </c:pt>
                <c:pt idx="76">
                  <c:v>0.22092705208069296</c:v>
                </c:pt>
                <c:pt idx="77">
                  <c:v>0.22339229746557615</c:v>
                </c:pt>
                <c:pt idx="78">
                  <c:v>0.22425469303035145</c:v>
                </c:pt>
                <c:pt idx="79">
                  <c:v>0.22541661205054636</c:v>
                </c:pt>
                <c:pt idx="80">
                  <c:v>0.21179734643571735</c:v>
                </c:pt>
                <c:pt idx="81">
                  <c:v>#N/A</c:v>
                </c:pt>
                <c:pt idx="82">
                  <c:v>#N/A</c:v>
                </c:pt>
                <c:pt idx="83">
                  <c:v>#N/A</c:v>
                </c:pt>
                <c:pt idx="84">
                  <c:v>#N/A</c:v>
                </c:pt>
                <c:pt idx="85">
                  <c:v>#N/A</c:v>
                </c:pt>
                <c:pt idx="86">
                  <c:v>#N/A</c:v>
                </c:pt>
                <c:pt idx="87">
                  <c:v>#N/A</c:v>
                </c:pt>
                <c:pt idx="88">
                  <c:v>#N/A</c:v>
                </c:pt>
                <c:pt idx="89">
                  <c:v>#N/A</c:v>
                </c:pt>
                <c:pt idx="90">
                  <c:v>#N/A</c:v>
                </c:pt>
                <c:pt idx="91">
                  <c:v>#N/A</c:v>
                </c:pt>
                <c:pt idx="92">
                  <c:v>#N/A</c:v>
                </c:pt>
                <c:pt idx="93">
                  <c:v>#N/A</c:v>
                </c:pt>
                <c:pt idx="94">
                  <c:v>#N/A</c:v>
                </c:pt>
                <c:pt idx="95">
                  <c:v>#N/A</c:v>
                </c:pt>
                <c:pt idx="96">
                  <c:v>#N/A</c:v>
                </c:pt>
                <c:pt idx="97">
                  <c:v>#N/A</c:v>
                </c:pt>
                <c:pt idx="98">
                  <c:v>#N/A</c:v>
                </c:pt>
                <c:pt idx="99">
                  <c:v>#N/A</c:v>
                </c:pt>
                <c:pt idx="100">
                  <c:v>#N/A</c:v>
                </c:pt>
                <c:pt idx="101">
                  <c:v>#N/A</c:v>
                </c:pt>
                <c:pt idx="102">
                  <c:v>#N/A</c:v>
                </c:pt>
                <c:pt idx="103">
                  <c:v>#N/A</c:v>
                </c:pt>
                <c:pt idx="104">
                  <c:v>#N/A</c:v>
                </c:pt>
                <c:pt idx="105">
                  <c:v>#N/A</c:v>
                </c:pt>
                <c:pt idx="106">
                  <c:v>#N/A</c:v>
                </c:pt>
                <c:pt idx="107">
                  <c:v>#N/A</c:v>
                </c:pt>
                <c:pt idx="108">
                  <c:v>#N/A</c:v>
                </c:pt>
                <c:pt idx="109">
                  <c:v>#N/A</c:v>
                </c:pt>
                <c:pt idx="110">
                  <c:v>#N/A</c:v>
                </c:pt>
                <c:pt idx="111">
                  <c:v>#N/A</c:v>
                </c:pt>
                <c:pt idx="112">
                  <c:v>#N/A</c:v>
                </c:pt>
                <c:pt idx="113">
                  <c:v>#N/A</c:v>
                </c:pt>
                <c:pt idx="114">
                  <c:v>#N/A</c:v>
                </c:pt>
                <c:pt idx="115">
                  <c:v>#N/A</c:v>
                </c:pt>
                <c:pt idx="116">
                  <c:v>#N/A</c:v>
                </c:pt>
                <c:pt idx="117">
                  <c:v>#N/A</c:v>
                </c:pt>
                <c:pt idx="118">
                  <c:v>#N/A</c:v>
                </c:pt>
                <c:pt idx="119">
                  <c:v>#N/A</c:v>
                </c:pt>
                <c:pt idx="120">
                  <c:v>#N/A</c:v>
                </c:pt>
                <c:pt idx="121">
                  <c:v>#N/A</c:v>
                </c:pt>
                <c:pt idx="122">
                  <c:v>#N/A</c:v>
                </c:pt>
                <c:pt idx="123">
                  <c:v>#N/A</c:v>
                </c:pt>
                <c:pt idx="124">
                  <c:v>#N/A</c:v>
                </c:pt>
                <c:pt idx="125">
                  <c:v>#N/A</c:v>
                </c:pt>
                <c:pt idx="126">
                  <c:v>#N/A</c:v>
                </c:pt>
                <c:pt idx="127">
                  <c:v>#N/A</c:v>
                </c:pt>
                <c:pt idx="128">
                  <c:v>#N/A</c:v>
                </c:pt>
                <c:pt idx="129">
                  <c:v>#N/A</c:v>
                </c:pt>
                <c:pt idx="130">
                  <c:v>#N/A</c:v>
                </c:pt>
                <c:pt idx="131">
                  <c:v>#N/A</c:v>
                </c:pt>
                <c:pt idx="132">
                  <c:v>#N/A</c:v>
                </c:pt>
                <c:pt idx="133">
                  <c:v>#N/A</c:v>
                </c:pt>
                <c:pt idx="134">
                  <c:v>#N/A</c:v>
                </c:pt>
                <c:pt idx="135">
                  <c:v>#N/A</c:v>
                </c:pt>
                <c:pt idx="136">
                  <c:v>#N/A</c:v>
                </c:pt>
                <c:pt idx="137">
                  <c:v>#N/A</c:v>
                </c:pt>
                <c:pt idx="138">
                  <c:v>#N/A</c:v>
                </c:pt>
                <c:pt idx="139">
                  <c:v>#N/A</c:v>
                </c:pt>
                <c:pt idx="140">
                  <c:v>#N/A</c:v>
                </c:pt>
                <c:pt idx="141">
                  <c:v>#N/A</c:v>
                </c:pt>
                <c:pt idx="142">
                  <c:v>#N/A</c:v>
                </c:pt>
                <c:pt idx="143">
                  <c:v>#N/A</c:v>
                </c:pt>
                <c:pt idx="144">
                  <c:v>#N/A</c:v>
                </c:pt>
                <c:pt idx="145">
                  <c:v>#N/A</c:v>
                </c:pt>
                <c:pt idx="146">
                  <c:v>#N/A</c:v>
                </c:pt>
                <c:pt idx="147">
                  <c:v>#N/A</c:v>
                </c:pt>
                <c:pt idx="148">
                  <c:v>#N/A</c:v>
                </c:pt>
                <c:pt idx="149">
                  <c:v>#N/A</c:v>
                </c:pt>
                <c:pt idx="150">
                  <c:v>#N/A</c:v>
                </c:pt>
                <c:pt idx="151">
                  <c:v>#N/A</c:v>
                </c:pt>
                <c:pt idx="152">
                  <c:v>#N/A</c:v>
                </c:pt>
                <c:pt idx="153">
                  <c:v>#N/A</c:v>
                </c:pt>
                <c:pt idx="154">
                  <c:v>#N/A</c:v>
                </c:pt>
                <c:pt idx="155">
                  <c:v>#N/A</c:v>
                </c:pt>
                <c:pt idx="156">
                  <c:v>#N/A</c:v>
                </c:pt>
                <c:pt idx="157">
                  <c:v>#N/A</c:v>
                </c:pt>
                <c:pt idx="158">
                  <c:v>#N/A</c:v>
                </c:pt>
                <c:pt idx="159">
                  <c:v>#N/A</c:v>
                </c:pt>
                <c:pt idx="160">
                  <c:v>#N/A</c:v>
                </c:pt>
                <c:pt idx="161">
                  <c:v>#N/A</c:v>
                </c:pt>
                <c:pt idx="162">
                  <c:v>#N/A</c:v>
                </c:pt>
                <c:pt idx="163">
                  <c:v>#N/A</c:v>
                </c:pt>
                <c:pt idx="164">
                  <c:v>#N/A</c:v>
                </c:pt>
                <c:pt idx="165">
                  <c:v>#N/A</c:v>
                </c:pt>
                <c:pt idx="166">
                  <c:v>#N/A</c:v>
                </c:pt>
                <c:pt idx="167">
                  <c:v>#N/A</c:v>
                </c:pt>
                <c:pt idx="168">
                  <c:v>#N/A</c:v>
                </c:pt>
                <c:pt idx="169">
                  <c:v>#N/A</c:v>
                </c:pt>
                <c:pt idx="170">
                  <c:v>#N/A</c:v>
                </c:pt>
                <c:pt idx="171">
                  <c:v>#N/A</c:v>
                </c:pt>
                <c:pt idx="172">
                  <c:v>#N/A</c:v>
                </c:pt>
                <c:pt idx="173">
                  <c:v>#N/A</c:v>
                </c:pt>
                <c:pt idx="174">
                  <c:v>#N/A</c:v>
                </c:pt>
                <c:pt idx="175">
                  <c:v>#N/A</c:v>
                </c:pt>
                <c:pt idx="176">
                  <c:v>#N/A</c:v>
                </c:pt>
                <c:pt idx="177">
                  <c:v>#N/A</c:v>
                </c:pt>
                <c:pt idx="178">
                  <c:v>#N/A</c:v>
                </c:pt>
                <c:pt idx="179">
                  <c:v>#N/A</c:v>
                </c:pt>
                <c:pt idx="180">
                  <c:v>#N/A</c:v>
                </c:pt>
                <c:pt idx="181">
                  <c:v>#N/A</c:v>
                </c:pt>
                <c:pt idx="182">
                  <c:v>#N/A</c:v>
                </c:pt>
                <c:pt idx="183">
                  <c:v>#N/A</c:v>
                </c:pt>
                <c:pt idx="184">
                  <c:v>#N/A</c:v>
                </c:pt>
                <c:pt idx="185">
                  <c:v>#N/A</c:v>
                </c:pt>
                <c:pt idx="186">
                  <c:v>#N/A</c:v>
                </c:pt>
                <c:pt idx="187">
                  <c:v>#N/A</c:v>
                </c:pt>
                <c:pt idx="188">
                  <c:v>#N/A</c:v>
                </c:pt>
                <c:pt idx="189">
                  <c:v>#N/A</c:v>
                </c:pt>
                <c:pt idx="190">
                  <c:v>#N/A</c:v>
                </c:pt>
                <c:pt idx="191">
                  <c:v>#N/A</c:v>
                </c:pt>
                <c:pt idx="192">
                  <c:v>#N/A</c:v>
                </c:pt>
                <c:pt idx="193">
                  <c:v>#N/A</c:v>
                </c:pt>
                <c:pt idx="194">
                  <c:v>#N/A</c:v>
                </c:pt>
                <c:pt idx="195">
                  <c:v>#N/A</c:v>
                </c:pt>
                <c:pt idx="196">
                  <c:v>#N/A</c:v>
                </c:pt>
                <c:pt idx="197">
                  <c:v>#N/A</c:v>
                </c:pt>
                <c:pt idx="198">
                  <c:v>#N/A</c:v>
                </c:pt>
                <c:pt idx="199">
                  <c:v>#N/A</c:v>
                </c:pt>
                <c:pt idx="200">
                  <c:v>#N/A</c:v>
                </c:pt>
                <c:pt idx="201">
                  <c:v>#N/A</c:v>
                </c:pt>
                <c:pt idx="202">
                  <c:v>#N/A</c:v>
                </c:pt>
                <c:pt idx="203">
                  <c:v>#N/A</c:v>
                </c:pt>
                <c:pt idx="204">
                  <c:v>#N/A</c:v>
                </c:pt>
                <c:pt idx="205">
                  <c:v>#N/A</c:v>
                </c:pt>
                <c:pt idx="206">
                  <c:v>#N/A</c:v>
                </c:pt>
                <c:pt idx="207">
                  <c:v>#N/A</c:v>
                </c:pt>
                <c:pt idx="208">
                  <c:v>#N/A</c:v>
                </c:pt>
                <c:pt idx="209">
                  <c:v>#N/A</c:v>
                </c:pt>
                <c:pt idx="210">
                  <c:v>#N/A</c:v>
                </c:pt>
                <c:pt idx="211">
                  <c:v>#N/A</c:v>
                </c:pt>
                <c:pt idx="212">
                  <c:v>#N/A</c:v>
                </c:pt>
                <c:pt idx="213">
                  <c:v>#N/A</c:v>
                </c:pt>
                <c:pt idx="214">
                  <c:v>#N/A</c:v>
                </c:pt>
                <c:pt idx="215">
                  <c:v>#N/A</c:v>
                </c:pt>
                <c:pt idx="216">
                  <c:v>#N/A</c:v>
                </c:pt>
                <c:pt idx="217">
                  <c:v>#N/A</c:v>
                </c:pt>
                <c:pt idx="218">
                  <c:v>#N/A</c:v>
                </c:pt>
                <c:pt idx="219">
                  <c:v>#N/A</c:v>
                </c:pt>
                <c:pt idx="220">
                  <c:v>#N/A</c:v>
                </c:pt>
                <c:pt idx="221">
                  <c:v>#N/A</c:v>
                </c:pt>
                <c:pt idx="222">
                  <c:v>#N/A</c:v>
                </c:pt>
                <c:pt idx="223">
                  <c:v>#N/A</c:v>
                </c:pt>
                <c:pt idx="224">
                  <c:v>#N/A</c:v>
                </c:pt>
                <c:pt idx="225">
                  <c:v>#N/A</c:v>
                </c:pt>
                <c:pt idx="226">
                  <c:v>#N/A</c:v>
                </c:pt>
                <c:pt idx="227">
                  <c:v>#N/A</c:v>
                </c:pt>
                <c:pt idx="228">
                  <c:v>#N/A</c:v>
                </c:pt>
                <c:pt idx="229">
                  <c:v>#N/A</c:v>
                </c:pt>
                <c:pt idx="230">
                  <c:v>#N/A</c:v>
                </c:pt>
                <c:pt idx="231">
                  <c:v>#N/A</c:v>
                </c:pt>
                <c:pt idx="232">
                  <c:v>#N/A</c:v>
                </c:pt>
                <c:pt idx="233">
                  <c:v>#N/A</c:v>
                </c:pt>
                <c:pt idx="234">
                  <c:v>#N/A</c:v>
                </c:pt>
                <c:pt idx="235">
                  <c:v>#N/A</c:v>
                </c:pt>
                <c:pt idx="236">
                  <c:v>#N/A</c:v>
                </c:pt>
                <c:pt idx="237">
                  <c:v>#N/A</c:v>
                </c:pt>
                <c:pt idx="238">
                  <c:v>#N/A</c:v>
                </c:pt>
                <c:pt idx="239">
                  <c:v>#N/A</c:v>
                </c:pt>
                <c:pt idx="240">
                  <c:v>#N/A</c:v>
                </c:pt>
                <c:pt idx="241">
                  <c:v>#N/A</c:v>
                </c:pt>
                <c:pt idx="242">
                  <c:v>#N/A</c:v>
                </c:pt>
                <c:pt idx="243">
                  <c:v>#N/A</c:v>
                </c:pt>
                <c:pt idx="244">
                  <c:v>#N/A</c:v>
                </c:pt>
                <c:pt idx="245">
                  <c:v>#N/A</c:v>
                </c:pt>
                <c:pt idx="246">
                  <c:v>#N/A</c:v>
                </c:pt>
                <c:pt idx="247">
                  <c:v>#N/A</c:v>
                </c:pt>
                <c:pt idx="248">
                  <c:v>#N/A</c:v>
                </c:pt>
                <c:pt idx="249">
                  <c:v>#N/A</c:v>
                </c:pt>
                <c:pt idx="250">
                  <c:v>#N/A</c:v>
                </c:pt>
                <c:pt idx="251">
                  <c:v>#N/A</c:v>
                </c:pt>
                <c:pt idx="252">
                  <c:v>#N/A</c:v>
                </c:pt>
                <c:pt idx="253">
                  <c:v>#N/A</c:v>
                </c:pt>
                <c:pt idx="254">
                  <c:v>#N/A</c:v>
                </c:pt>
                <c:pt idx="255">
                  <c:v>#N/A</c:v>
                </c:pt>
                <c:pt idx="256">
                  <c:v>#N/A</c:v>
                </c:pt>
                <c:pt idx="257">
                  <c:v>#N/A</c:v>
                </c:pt>
                <c:pt idx="258">
                  <c:v>#N/A</c:v>
                </c:pt>
                <c:pt idx="259">
                  <c:v>#N/A</c:v>
                </c:pt>
                <c:pt idx="260">
                  <c:v>#N/A</c:v>
                </c:pt>
                <c:pt idx="261">
                  <c:v>#N/A</c:v>
                </c:pt>
                <c:pt idx="262">
                  <c:v>#N/A</c:v>
                </c:pt>
                <c:pt idx="263">
                  <c:v>#N/A</c:v>
                </c:pt>
                <c:pt idx="264">
                  <c:v>#N/A</c:v>
                </c:pt>
                <c:pt idx="265">
                  <c:v>#N/A</c:v>
                </c:pt>
                <c:pt idx="266">
                  <c:v>#N/A</c:v>
                </c:pt>
                <c:pt idx="267">
                  <c:v>#N/A</c:v>
                </c:pt>
                <c:pt idx="268">
                  <c:v>#N/A</c:v>
                </c:pt>
                <c:pt idx="269">
                  <c:v>#N/A</c:v>
                </c:pt>
                <c:pt idx="270">
                  <c:v>#N/A</c:v>
                </c:pt>
                <c:pt idx="271">
                  <c:v>#N/A</c:v>
                </c:pt>
                <c:pt idx="272">
                  <c:v>#N/A</c:v>
                </c:pt>
                <c:pt idx="273">
                  <c:v>#N/A</c:v>
                </c:pt>
                <c:pt idx="274">
                  <c:v>#N/A</c:v>
                </c:pt>
                <c:pt idx="275">
                  <c:v>#N/A</c:v>
                </c:pt>
                <c:pt idx="276">
                  <c:v>#N/A</c:v>
                </c:pt>
                <c:pt idx="277">
                  <c:v>#N/A</c:v>
                </c:pt>
                <c:pt idx="278">
                  <c:v>#N/A</c:v>
                </c:pt>
                <c:pt idx="279">
                  <c:v>#N/A</c:v>
                </c:pt>
                <c:pt idx="280">
                  <c:v>#N/A</c:v>
                </c:pt>
                <c:pt idx="281">
                  <c:v>#N/A</c:v>
                </c:pt>
                <c:pt idx="282">
                  <c:v>#N/A</c:v>
                </c:pt>
                <c:pt idx="283">
                  <c:v>#N/A</c:v>
                </c:pt>
                <c:pt idx="284">
                  <c:v>#N/A</c:v>
                </c:pt>
                <c:pt idx="285">
                  <c:v>#N/A</c:v>
                </c:pt>
                <c:pt idx="286">
                  <c:v>#N/A</c:v>
                </c:pt>
                <c:pt idx="287">
                  <c:v>#N/A</c:v>
                </c:pt>
                <c:pt idx="288">
                  <c:v>#N/A</c:v>
                </c:pt>
                <c:pt idx="289">
                  <c:v>#N/A</c:v>
                </c:pt>
                <c:pt idx="290">
                  <c:v>#N/A</c:v>
                </c:pt>
                <c:pt idx="291">
                  <c:v>#N/A</c:v>
                </c:pt>
                <c:pt idx="292">
                  <c:v>#N/A</c:v>
                </c:pt>
                <c:pt idx="293">
                  <c:v>#N/A</c:v>
                </c:pt>
                <c:pt idx="294">
                  <c:v>#N/A</c:v>
                </c:pt>
                <c:pt idx="295">
                  <c:v>#N/A</c:v>
                </c:pt>
                <c:pt idx="296">
                  <c:v>#N/A</c:v>
                </c:pt>
                <c:pt idx="297">
                  <c:v>#N/A</c:v>
                </c:pt>
                <c:pt idx="298">
                  <c:v>#N/A</c:v>
                </c:pt>
                <c:pt idx="299">
                  <c:v>#N/A</c:v>
                </c:pt>
                <c:pt idx="300">
                  <c:v>#N/A</c:v>
                </c:pt>
                <c:pt idx="301">
                  <c:v>#N/A</c:v>
                </c:pt>
                <c:pt idx="302">
                  <c:v>#N/A</c:v>
                </c:pt>
                <c:pt idx="303">
                  <c:v>#N/A</c:v>
                </c:pt>
                <c:pt idx="304">
                  <c:v>#N/A</c:v>
                </c:pt>
                <c:pt idx="305">
                  <c:v>#N/A</c:v>
                </c:pt>
                <c:pt idx="306">
                  <c:v>#N/A</c:v>
                </c:pt>
                <c:pt idx="307">
                  <c:v>#N/A</c:v>
                </c:pt>
                <c:pt idx="308">
                  <c:v>#N/A</c:v>
                </c:pt>
                <c:pt idx="309">
                  <c:v>#N/A</c:v>
                </c:pt>
                <c:pt idx="310">
                  <c:v>#N/A</c:v>
                </c:pt>
                <c:pt idx="311">
                  <c:v>#N/A</c:v>
                </c:pt>
                <c:pt idx="312">
                  <c:v>#N/A</c:v>
                </c:pt>
                <c:pt idx="313">
                  <c:v>#N/A</c:v>
                </c:pt>
                <c:pt idx="314">
                  <c:v>#N/A</c:v>
                </c:pt>
                <c:pt idx="315">
                  <c:v>#N/A</c:v>
                </c:pt>
                <c:pt idx="316">
                  <c:v>#N/A</c:v>
                </c:pt>
                <c:pt idx="317">
                  <c:v>#N/A</c:v>
                </c:pt>
                <c:pt idx="318">
                  <c:v>#N/A</c:v>
                </c:pt>
                <c:pt idx="319">
                  <c:v>#N/A</c:v>
                </c:pt>
                <c:pt idx="320">
                  <c:v>#N/A</c:v>
                </c:pt>
                <c:pt idx="321">
                  <c:v>#N/A</c:v>
                </c:pt>
                <c:pt idx="322">
                  <c:v>#N/A</c:v>
                </c:pt>
                <c:pt idx="323">
                  <c:v>#N/A</c:v>
                </c:pt>
                <c:pt idx="324">
                  <c:v>#N/A</c:v>
                </c:pt>
                <c:pt idx="325">
                  <c:v>#N/A</c:v>
                </c:pt>
                <c:pt idx="326">
                  <c:v>#N/A</c:v>
                </c:pt>
                <c:pt idx="327">
                  <c:v>#N/A</c:v>
                </c:pt>
                <c:pt idx="328">
                  <c:v>#N/A</c:v>
                </c:pt>
                <c:pt idx="329">
                  <c:v>#N/A</c:v>
                </c:pt>
                <c:pt idx="330">
                  <c:v>#N/A</c:v>
                </c:pt>
                <c:pt idx="331">
                  <c:v>#N/A</c:v>
                </c:pt>
                <c:pt idx="332">
                  <c:v>#N/A</c:v>
                </c:pt>
                <c:pt idx="333">
                  <c:v>#N/A</c:v>
                </c:pt>
                <c:pt idx="334">
                  <c:v>#N/A</c:v>
                </c:pt>
                <c:pt idx="335">
                  <c:v>#N/A</c:v>
                </c:pt>
                <c:pt idx="336">
                  <c:v>#N/A</c:v>
                </c:pt>
                <c:pt idx="337">
                  <c:v>#N/A</c:v>
                </c:pt>
                <c:pt idx="338">
                  <c:v>#N/A</c:v>
                </c:pt>
                <c:pt idx="339">
                  <c:v>#N/A</c:v>
                </c:pt>
                <c:pt idx="340">
                  <c:v>#N/A</c:v>
                </c:pt>
                <c:pt idx="341">
                  <c:v>#N/A</c:v>
                </c:pt>
                <c:pt idx="342">
                  <c:v>#N/A</c:v>
                </c:pt>
                <c:pt idx="343">
                  <c:v>#N/A</c:v>
                </c:pt>
                <c:pt idx="344">
                  <c:v>#N/A</c:v>
                </c:pt>
                <c:pt idx="345">
                  <c:v>#N/A</c:v>
                </c:pt>
                <c:pt idx="346">
                  <c:v>#N/A</c:v>
                </c:pt>
                <c:pt idx="347">
                  <c:v>#N/A</c:v>
                </c:pt>
                <c:pt idx="348">
                  <c:v>#N/A</c:v>
                </c:pt>
                <c:pt idx="349">
                  <c:v>#N/A</c:v>
                </c:pt>
                <c:pt idx="350">
                  <c:v>#N/A</c:v>
                </c:pt>
                <c:pt idx="351">
                  <c:v>#N/A</c:v>
                </c:pt>
                <c:pt idx="352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9A8-4B18-8C31-2EA773F9A67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4331120"/>
        <c:axId val="164333520"/>
      </c:lineChart>
      <c:dateAx>
        <c:axId val="411339136"/>
        <c:scaling>
          <c:orientation val="minMax"/>
          <c:min val="35796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yyyy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11340576"/>
        <c:crosses val="autoZero"/>
        <c:auto val="1"/>
        <c:lblOffset val="100"/>
        <c:baseTimeUnit val="months"/>
        <c:majorUnit val="2"/>
        <c:majorTimeUnit val="years"/>
      </c:dateAx>
      <c:valAx>
        <c:axId val="411340576"/>
        <c:scaling>
          <c:orientation val="minMax"/>
          <c:min val="1.0000000000000002E-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11339136"/>
        <c:crosses val="autoZero"/>
        <c:crossBetween val="between"/>
        <c:majorUnit val="1.0000000000000002E-2"/>
      </c:valAx>
      <c:valAx>
        <c:axId val="164333520"/>
        <c:scaling>
          <c:orientation val="maxMin"/>
        </c:scaling>
        <c:delete val="0"/>
        <c:axPos val="r"/>
        <c:numFmt formatCode="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4331120"/>
        <c:crosses val="max"/>
        <c:crossBetween val="between"/>
      </c:valAx>
      <c:dateAx>
        <c:axId val="164331120"/>
        <c:scaling>
          <c:orientation val="minMax"/>
        </c:scaling>
        <c:delete val="1"/>
        <c:axPos val="t"/>
        <c:numFmt formatCode="m/d/yyyy" sourceLinked="1"/>
        <c:majorTickMark val="out"/>
        <c:minorTickMark val="none"/>
        <c:tickLblPos val="nextTo"/>
        <c:crossAx val="164333520"/>
        <c:crosses val="autoZero"/>
        <c:auto val="1"/>
        <c:lblOffset val="100"/>
        <c:baseTimeUnit val="months"/>
      </c:date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R-Squared (in-sample)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'R-Sq'!$G$2</c:f>
              <c:strCache>
                <c:ptCount val="1"/>
                <c:pt idx="0">
                  <c:v>Debit+Credit : M2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'R-Sq'!$A$3:$A$1355</c:f>
              <c:numCache>
                <c:formatCode>m/d/yyyy</c:formatCode>
                <c:ptCount val="1353"/>
                <c:pt idx="0">
                  <c:v>46173</c:v>
                </c:pt>
                <c:pt idx="1">
                  <c:v>46142</c:v>
                </c:pt>
                <c:pt idx="2">
                  <c:v>46112</c:v>
                </c:pt>
                <c:pt idx="3">
                  <c:v>46081</c:v>
                </c:pt>
                <c:pt idx="4">
                  <c:v>46053</c:v>
                </c:pt>
                <c:pt idx="5">
                  <c:v>46022</c:v>
                </c:pt>
                <c:pt idx="6">
                  <c:v>45991</c:v>
                </c:pt>
                <c:pt idx="7">
                  <c:v>45961</c:v>
                </c:pt>
                <c:pt idx="8">
                  <c:v>45930</c:v>
                </c:pt>
                <c:pt idx="9">
                  <c:v>45900</c:v>
                </c:pt>
                <c:pt idx="10">
                  <c:v>45869</c:v>
                </c:pt>
                <c:pt idx="11">
                  <c:v>45838</c:v>
                </c:pt>
                <c:pt idx="12">
                  <c:v>45808</c:v>
                </c:pt>
                <c:pt idx="13">
                  <c:v>45777</c:v>
                </c:pt>
                <c:pt idx="14">
                  <c:v>45747</c:v>
                </c:pt>
                <c:pt idx="15">
                  <c:v>45716</c:v>
                </c:pt>
                <c:pt idx="16">
                  <c:v>45688</c:v>
                </c:pt>
                <c:pt idx="17">
                  <c:v>45657</c:v>
                </c:pt>
                <c:pt idx="18">
                  <c:v>45626</c:v>
                </c:pt>
                <c:pt idx="19">
                  <c:v>45596</c:v>
                </c:pt>
                <c:pt idx="20">
                  <c:v>45565</c:v>
                </c:pt>
                <c:pt idx="21">
                  <c:v>45535</c:v>
                </c:pt>
                <c:pt idx="22">
                  <c:v>45504</c:v>
                </c:pt>
                <c:pt idx="23">
                  <c:v>45473</c:v>
                </c:pt>
                <c:pt idx="24">
                  <c:v>45443</c:v>
                </c:pt>
                <c:pt idx="25">
                  <c:v>45412</c:v>
                </c:pt>
                <c:pt idx="26">
                  <c:v>45382</c:v>
                </c:pt>
                <c:pt idx="27">
                  <c:v>45351</c:v>
                </c:pt>
                <c:pt idx="28">
                  <c:v>45322</c:v>
                </c:pt>
                <c:pt idx="29">
                  <c:v>45291</c:v>
                </c:pt>
                <c:pt idx="30">
                  <c:v>45260</c:v>
                </c:pt>
                <c:pt idx="31">
                  <c:v>45230</c:v>
                </c:pt>
                <c:pt idx="32">
                  <c:v>45199</c:v>
                </c:pt>
                <c:pt idx="33">
                  <c:v>45169</c:v>
                </c:pt>
                <c:pt idx="34">
                  <c:v>45138</c:v>
                </c:pt>
                <c:pt idx="35">
                  <c:v>45107</c:v>
                </c:pt>
                <c:pt idx="36">
                  <c:v>45077</c:v>
                </c:pt>
                <c:pt idx="37">
                  <c:v>45046</c:v>
                </c:pt>
                <c:pt idx="38">
                  <c:v>45016</c:v>
                </c:pt>
                <c:pt idx="39">
                  <c:v>44985</c:v>
                </c:pt>
                <c:pt idx="40">
                  <c:v>44957</c:v>
                </c:pt>
                <c:pt idx="41">
                  <c:v>44926</c:v>
                </c:pt>
                <c:pt idx="42">
                  <c:v>44895</c:v>
                </c:pt>
                <c:pt idx="43">
                  <c:v>44865</c:v>
                </c:pt>
                <c:pt idx="44">
                  <c:v>44834</c:v>
                </c:pt>
                <c:pt idx="45">
                  <c:v>44804</c:v>
                </c:pt>
                <c:pt idx="46">
                  <c:v>44773</c:v>
                </c:pt>
                <c:pt idx="47">
                  <c:v>44742</c:v>
                </c:pt>
                <c:pt idx="48">
                  <c:v>44712</c:v>
                </c:pt>
                <c:pt idx="49">
                  <c:v>44681</c:v>
                </c:pt>
                <c:pt idx="50">
                  <c:v>44651</c:v>
                </c:pt>
                <c:pt idx="51">
                  <c:v>44620</c:v>
                </c:pt>
                <c:pt idx="52">
                  <c:v>44592</c:v>
                </c:pt>
                <c:pt idx="53">
                  <c:v>44561</c:v>
                </c:pt>
                <c:pt idx="54">
                  <c:v>44530</c:v>
                </c:pt>
                <c:pt idx="55">
                  <c:v>44500</c:v>
                </c:pt>
                <c:pt idx="56">
                  <c:v>44469</c:v>
                </c:pt>
                <c:pt idx="57">
                  <c:v>44439</c:v>
                </c:pt>
                <c:pt idx="58">
                  <c:v>44408</c:v>
                </c:pt>
                <c:pt idx="59">
                  <c:v>44377</c:v>
                </c:pt>
                <c:pt idx="60">
                  <c:v>44347</c:v>
                </c:pt>
                <c:pt idx="61">
                  <c:v>44316</c:v>
                </c:pt>
                <c:pt idx="62">
                  <c:v>44286</c:v>
                </c:pt>
                <c:pt idx="63">
                  <c:v>44255</c:v>
                </c:pt>
                <c:pt idx="64">
                  <c:v>44227</c:v>
                </c:pt>
                <c:pt idx="65">
                  <c:v>44196</c:v>
                </c:pt>
                <c:pt idx="66">
                  <c:v>44165</c:v>
                </c:pt>
                <c:pt idx="67">
                  <c:v>44135</c:v>
                </c:pt>
                <c:pt idx="68">
                  <c:v>44104</c:v>
                </c:pt>
                <c:pt idx="69">
                  <c:v>44074</c:v>
                </c:pt>
                <c:pt idx="70">
                  <c:v>44043</c:v>
                </c:pt>
                <c:pt idx="71">
                  <c:v>44012</c:v>
                </c:pt>
                <c:pt idx="72">
                  <c:v>43982</c:v>
                </c:pt>
                <c:pt idx="73">
                  <c:v>43951</c:v>
                </c:pt>
                <c:pt idx="74">
                  <c:v>43921</c:v>
                </c:pt>
                <c:pt idx="75">
                  <c:v>43890</c:v>
                </c:pt>
                <c:pt idx="76">
                  <c:v>43861</c:v>
                </c:pt>
                <c:pt idx="77">
                  <c:v>43830</c:v>
                </c:pt>
                <c:pt idx="78">
                  <c:v>43799</c:v>
                </c:pt>
                <c:pt idx="79">
                  <c:v>43769</c:v>
                </c:pt>
                <c:pt idx="80">
                  <c:v>43738</c:v>
                </c:pt>
                <c:pt idx="81">
                  <c:v>43708</c:v>
                </c:pt>
                <c:pt idx="82">
                  <c:v>43677</c:v>
                </c:pt>
                <c:pt idx="83">
                  <c:v>43646</c:v>
                </c:pt>
                <c:pt idx="84">
                  <c:v>43616</c:v>
                </c:pt>
                <c:pt idx="85">
                  <c:v>43585</c:v>
                </c:pt>
                <c:pt idx="86">
                  <c:v>43555</c:v>
                </c:pt>
                <c:pt idx="87">
                  <c:v>43524</c:v>
                </c:pt>
                <c:pt idx="88">
                  <c:v>43496</c:v>
                </c:pt>
                <c:pt idx="89">
                  <c:v>43465</c:v>
                </c:pt>
                <c:pt idx="90">
                  <c:v>43434</c:v>
                </c:pt>
                <c:pt idx="91">
                  <c:v>43404</c:v>
                </c:pt>
                <c:pt idx="92">
                  <c:v>43373</c:v>
                </c:pt>
                <c:pt idx="93">
                  <c:v>43343</c:v>
                </c:pt>
                <c:pt idx="94">
                  <c:v>43312</c:v>
                </c:pt>
                <c:pt idx="95">
                  <c:v>43281</c:v>
                </c:pt>
                <c:pt idx="96">
                  <c:v>43251</c:v>
                </c:pt>
                <c:pt idx="97">
                  <c:v>43220</c:v>
                </c:pt>
                <c:pt idx="98">
                  <c:v>43190</c:v>
                </c:pt>
                <c:pt idx="99">
                  <c:v>43159</c:v>
                </c:pt>
                <c:pt idx="100">
                  <c:v>43131</c:v>
                </c:pt>
                <c:pt idx="101">
                  <c:v>43100</c:v>
                </c:pt>
                <c:pt idx="102">
                  <c:v>43069</c:v>
                </c:pt>
                <c:pt idx="103">
                  <c:v>43039</c:v>
                </c:pt>
                <c:pt idx="104">
                  <c:v>43008</c:v>
                </c:pt>
                <c:pt idx="105">
                  <c:v>42978</c:v>
                </c:pt>
                <c:pt idx="106">
                  <c:v>42947</c:v>
                </c:pt>
                <c:pt idx="107">
                  <c:v>42916</c:v>
                </c:pt>
                <c:pt idx="108">
                  <c:v>42886</c:v>
                </c:pt>
                <c:pt idx="109">
                  <c:v>42855</c:v>
                </c:pt>
                <c:pt idx="110">
                  <c:v>42825</c:v>
                </c:pt>
                <c:pt idx="111">
                  <c:v>42794</c:v>
                </c:pt>
                <c:pt idx="112">
                  <c:v>42766</c:v>
                </c:pt>
                <c:pt idx="113">
                  <c:v>42735</c:v>
                </c:pt>
                <c:pt idx="114">
                  <c:v>42704</c:v>
                </c:pt>
                <c:pt idx="115">
                  <c:v>42674</c:v>
                </c:pt>
                <c:pt idx="116">
                  <c:v>42643</c:v>
                </c:pt>
                <c:pt idx="117">
                  <c:v>42613</c:v>
                </c:pt>
                <c:pt idx="118">
                  <c:v>42582</c:v>
                </c:pt>
                <c:pt idx="119">
                  <c:v>42551</c:v>
                </c:pt>
                <c:pt idx="120">
                  <c:v>42521</c:v>
                </c:pt>
                <c:pt idx="121">
                  <c:v>42490</c:v>
                </c:pt>
                <c:pt idx="122">
                  <c:v>42460</c:v>
                </c:pt>
                <c:pt idx="123">
                  <c:v>42429</c:v>
                </c:pt>
                <c:pt idx="124">
                  <c:v>42400</c:v>
                </c:pt>
                <c:pt idx="125">
                  <c:v>42369</c:v>
                </c:pt>
                <c:pt idx="126">
                  <c:v>42338</c:v>
                </c:pt>
                <c:pt idx="127">
                  <c:v>42308</c:v>
                </c:pt>
                <c:pt idx="128">
                  <c:v>42277</c:v>
                </c:pt>
                <c:pt idx="129">
                  <c:v>42247</c:v>
                </c:pt>
                <c:pt idx="130">
                  <c:v>42216</c:v>
                </c:pt>
                <c:pt idx="131">
                  <c:v>42185</c:v>
                </c:pt>
                <c:pt idx="132">
                  <c:v>42155</c:v>
                </c:pt>
                <c:pt idx="133">
                  <c:v>42124</c:v>
                </c:pt>
                <c:pt idx="134">
                  <c:v>42094</c:v>
                </c:pt>
                <c:pt idx="135">
                  <c:v>42063</c:v>
                </c:pt>
                <c:pt idx="136">
                  <c:v>42035</c:v>
                </c:pt>
                <c:pt idx="137">
                  <c:v>42004</c:v>
                </c:pt>
                <c:pt idx="138">
                  <c:v>41973</c:v>
                </c:pt>
                <c:pt idx="139">
                  <c:v>41943</c:v>
                </c:pt>
                <c:pt idx="140">
                  <c:v>41912</c:v>
                </c:pt>
                <c:pt idx="141">
                  <c:v>41882</c:v>
                </c:pt>
                <c:pt idx="142">
                  <c:v>41851</c:v>
                </c:pt>
                <c:pt idx="143">
                  <c:v>41820</c:v>
                </c:pt>
                <c:pt idx="144">
                  <c:v>41790</c:v>
                </c:pt>
                <c:pt idx="145">
                  <c:v>41759</c:v>
                </c:pt>
                <c:pt idx="146">
                  <c:v>41729</c:v>
                </c:pt>
                <c:pt idx="147">
                  <c:v>41698</c:v>
                </c:pt>
                <c:pt idx="148">
                  <c:v>41670</c:v>
                </c:pt>
                <c:pt idx="149">
                  <c:v>41639</c:v>
                </c:pt>
                <c:pt idx="150">
                  <c:v>41608</c:v>
                </c:pt>
                <c:pt idx="151">
                  <c:v>41578</c:v>
                </c:pt>
                <c:pt idx="152">
                  <c:v>41547</c:v>
                </c:pt>
                <c:pt idx="153">
                  <c:v>41517</c:v>
                </c:pt>
                <c:pt idx="154">
                  <c:v>41486</c:v>
                </c:pt>
                <c:pt idx="155">
                  <c:v>41455</c:v>
                </c:pt>
                <c:pt idx="156">
                  <c:v>41425</c:v>
                </c:pt>
                <c:pt idx="157">
                  <c:v>41394</c:v>
                </c:pt>
                <c:pt idx="158">
                  <c:v>41364</c:v>
                </c:pt>
                <c:pt idx="159">
                  <c:v>41333</c:v>
                </c:pt>
                <c:pt idx="160">
                  <c:v>41305</c:v>
                </c:pt>
                <c:pt idx="161">
                  <c:v>41274</c:v>
                </c:pt>
                <c:pt idx="162">
                  <c:v>41243</c:v>
                </c:pt>
                <c:pt idx="163">
                  <c:v>41213</c:v>
                </c:pt>
                <c:pt idx="164">
                  <c:v>41182</c:v>
                </c:pt>
                <c:pt idx="165">
                  <c:v>41152</c:v>
                </c:pt>
                <c:pt idx="166">
                  <c:v>41121</c:v>
                </c:pt>
                <c:pt idx="167">
                  <c:v>41090</c:v>
                </c:pt>
                <c:pt idx="168">
                  <c:v>41060</c:v>
                </c:pt>
                <c:pt idx="169">
                  <c:v>41029</c:v>
                </c:pt>
                <c:pt idx="170">
                  <c:v>40999</c:v>
                </c:pt>
                <c:pt idx="171">
                  <c:v>40968</c:v>
                </c:pt>
                <c:pt idx="172">
                  <c:v>40939</c:v>
                </c:pt>
                <c:pt idx="173">
                  <c:v>40908</c:v>
                </c:pt>
                <c:pt idx="174">
                  <c:v>40877</c:v>
                </c:pt>
                <c:pt idx="175">
                  <c:v>40847</c:v>
                </c:pt>
                <c:pt idx="176">
                  <c:v>40816</c:v>
                </c:pt>
                <c:pt idx="177">
                  <c:v>40786</c:v>
                </c:pt>
                <c:pt idx="178">
                  <c:v>40755</c:v>
                </c:pt>
                <c:pt idx="179">
                  <c:v>40724</c:v>
                </c:pt>
                <c:pt idx="180">
                  <c:v>40694</c:v>
                </c:pt>
                <c:pt idx="181">
                  <c:v>40663</c:v>
                </c:pt>
                <c:pt idx="182">
                  <c:v>40633</c:v>
                </c:pt>
                <c:pt idx="183">
                  <c:v>40602</c:v>
                </c:pt>
                <c:pt idx="184">
                  <c:v>40574</c:v>
                </c:pt>
                <c:pt idx="185">
                  <c:v>40543</c:v>
                </c:pt>
                <c:pt idx="186">
                  <c:v>40512</c:v>
                </c:pt>
                <c:pt idx="187">
                  <c:v>40482</c:v>
                </c:pt>
                <c:pt idx="188">
                  <c:v>40451</c:v>
                </c:pt>
                <c:pt idx="189">
                  <c:v>40421</c:v>
                </c:pt>
                <c:pt idx="190">
                  <c:v>40390</c:v>
                </c:pt>
                <c:pt idx="191">
                  <c:v>40359</c:v>
                </c:pt>
                <c:pt idx="192">
                  <c:v>40329</c:v>
                </c:pt>
                <c:pt idx="193">
                  <c:v>40298</c:v>
                </c:pt>
                <c:pt idx="194">
                  <c:v>40268</c:v>
                </c:pt>
                <c:pt idx="195">
                  <c:v>40237</c:v>
                </c:pt>
                <c:pt idx="196">
                  <c:v>40209</c:v>
                </c:pt>
                <c:pt idx="197">
                  <c:v>40178</c:v>
                </c:pt>
                <c:pt idx="198">
                  <c:v>40147</c:v>
                </c:pt>
                <c:pt idx="199">
                  <c:v>40117</c:v>
                </c:pt>
                <c:pt idx="200">
                  <c:v>40086</c:v>
                </c:pt>
                <c:pt idx="201">
                  <c:v>40056</c:v>
                </c:pt>
                <c:pt idx="202">
                  <c:v>40025</c:v>
                </c:pt>
                <c:pt idx="203">
                  <c:v>39994</c:v>
                </c:pt>
                <c:pt idx="204">
                  <c:v>39964</c:v>
                </c:pt>
                <c:pt idx="205">
                  <c:v>39933</c:v>
                </c:pt>
                <c:pt idx="206">
                  <c:v>39903</c:v>
                </c:pt>
                <c:pt idx="207">
                  <c:v>39872</c:v>
                </c:pt>
                <c:pt idx="208">
                  <c:v>39844</c:v>
                </c:pt>
                <c:pt idx="209">
                  <c:v>39813</c:v>
                </c:pt>
                <c:pt idx="210">
                  <c:v>39782</c:v>
                </c:pt>
                <c:pt idx="211">
                  <c:v>39752</c:v>
                </c:pt>
                <c:pt idx="212">
                  <c:v>39721</c:v>
                </c:pt>
                <c:pt idx="213">
                  <c:v>39691</c:v>
                </c:pt>
                <c:pt idx="214">
                  <c:v>39660</c:v>
                </c:pt>
                <c:pt idx="215">
                  <c:v>39629</c:v>
                </c:pt>
                <c:pt idx="216">
                  <c:v>39599</c:v>
                </c:pt>
                <c:pt idx="217">
                  <c:v>39568</c:v>
                </c:pt>
                <c:pt idx="218">
                  <c:v>39538</c:v>
                </c:pt>
                <c:pt idx="219">
                  <c:v>39507</c:v>
                </c:pt>
                <c:pt idx="220">
                  <c:v>39478</c:v>
                </c:pt>
                <c:pt idx="221">
                  <c:v>39447</c:v>
                </c:pt>
                <c:pt idx="222">
                  <c:v>39416</c:v>
                </c:pt>
                <c:pt idx="223">
                  <c:v>39386</c:v>
                </c:pt>
                <c:pt idx="224">
                  <c:v>39355</c:v>
                </c:pt>
                <c:pt idx="225">
                  <c:v>39325</c:v>
                </c:pt>
                <c:pt idx="226">
                  <c:v>39294</c:v>
                </c:pt>
                <c:pt idx="227">
                  <c:v>39263</c:v>
                </c:pt>
                <c:pt idx="228">
                  <c:v>39233</c:v>
                </c:pt>
                <c:pt idx="229">
                  <c:v>39202</c:v>
                </c:pt>
                <c:pt idx="230">
                  <c:v>39172</c:v>
                </c:pt>
                <c:pt idx="231">
                  <c:v>39141</c:v>
                </c:pt>
                <c:pt idx="232">
                  <c:v>39113</c:v>
                </c:pt>
                <c:pt idx="233">
                  <c:v>39082</c:v>
                </c:pt>
                <c:pt idx="234">
                  <c:v>39051</c:v>
                </c:pt>
                <c:pt idx="235">
                  <c:v>39021</c:v>
                </c:pt>
                <c:pt idx="236">
                  <c:v>38990</c:v>
                </c:pt>
                <c:pt idx="237">
                  <c:v>38960</c:v>
                </c:pt>
                <c:pt idx="238">
                  <c:v>38929</c:v>
                </c:pt>
                <c:pt idx="239">
                  <c:v>38898</c:v>
                </c:pt>
                <c:pt idx="240">
                  <c:v>38868</c:v>
                </c:pt>
                <c:pt idx="241">
                  <c:v>38837</c:v>
                </c:pt>
                <c:pt idx="242">
                  <c:v>38807</c:v>
                </c:pt>
                <c:pt idx="243">
                  <c:v>38776</c:v>
                </c:pt>
                <c:pt idx="244">
                  <c:v>38748</c:v>
                </c:pt>
                <c:pt idx="245">
                  <c:v>38717</c:v>
                </c:pt>
                <c:pt idx="246">
                  <c:v>38686</c:v>
                </c:pt>
                <c:pt idx="247">
                  <c:v>38656</c:v>
                </c:pt>
                <c:pt idx="248">
                  <c:v>38625</c:v>
                </c:pt>
                <c:pt idx="249">
                  <c:v>38595</c:v>
                </c:pt>
                <c:pt idx="250">
                  <c:v>38564</c:v>
                </c:pt>
                <c:pt idx="251">
                  <c:v>38533</c:v>
                </c:pt>
                <c:pt idx="252">
                  <c:v>38503</c:v>
                </c:pt>
                <c:pt idx="253">
                  <c:v>38472</c:v>
                </c:pt>
                <c:pt idx="254">
                  <c:v>38442</c:v>
                </c:pt>
                <c:pt idx="255">
                  <c:v>38411</c:v>
                </c:pt>
                <c:pt idx="256">
                  <c:v>38383</c:v>
                </c:pt>
                <c:pt idx="257">
                  <c:v>38352</c:v>
                </c:pt>
                <c:pt idx="258">
                  <c:v>38321</c:v>
                </c:pt>
                <c:pt idx="259">
                  <c:v>38291</c:v>
                </c:pt>
                <c:pt idx="260">
                  <c:v>38260</c:v>
                </c:pt>
                <c:pt idx="261">
                  <c:v>38230</c:v>
                </c:pt>
                <c:pt idx="262">
                  <c:v>38199</c:v>
                </c:pt>
                <c:pt idx="263">
                  <c:v>38168</c:v>
                </c:pt>
                <c:pt idx="264">
                  <c:v>38138</c:v>
                </c:pt>
                <c:pt idx="265">
                  <c:v>38107</c:v>
                </c:pt>
                <c:pt idx="266">
                  <c:v>38077</c:v>
                </c:pt>
                <c:pt idx="267">
                  <c:v>38046</c:v>
                </c:pt>
                <c:pt idx="268">
                  <c:v>38017</c:v>
                </c:pt>
                <c:pt idx="269">
                  <c:v>37986</c:v>
                </c:pt>
                <c:pt idx="270">
                  <c:v>37955</c:v>
                </c:pt>
                <c:pt idx="271">
                  <c:v>37925</c:v>
                </c:pt>
                <c:pt idx="272">
                  <c:v>37894</c:v>
                </c:pt>
                <c:pt idx="273">
                  <c:v>37864</c:v>
                </c:pt>
                <c:pt idx="274">
                  <c:v>37833</c:v>
                </c:pt>
                <c:pt idx="275">
                  <c:v>37802</c:v>
                </c:pt>
                <c:pt idx="276">
                  <c:v>37772</c:v>
                </c:pt>
                <c:pt idx="277">
                  <c:v>37741</c:v>
                </c:pt>
                <c:pt idx="278">
                  <c:v>37711</c:v>
                </c:pt>
                <c:pt idx="279">
                  <c:v>37680</c:v>
                </c:pt>
                <c:pt idx="280">
                  <c:v>37652</c:v>
                </c:pt>
                <c:pt idx="281">
                  <c:v>37621</c:v>
                </c:pt>
                <c:pt idx="282">
                  <c:v>37590</c:v>
                </c:pt>
                <c:pt idx="283">
                  <c:v>37560</c:v>
                </c:pt>
                <c:pt idx="284">
                  <c:v>37529</c:v>
                </c:pt>
                <c:pt idx="285">
                  <c:v>37499</c:v>
                </c:pt>
                <c:pt idx="286">
                  <c:v>37468</c:v>
                </c:pt>
                <c:pt idx="287">
                  <c:v>37437</c:v>
                </c:pt>
                <c:pt idx="288">
                  <c:v>37407</c:v>
                </c:pt>
                <c:pt idx="289">
                  <c:v>37376</c:v>
                </c:pt>
                <c:pt idx="290">
                  <c:v>37346</c:v>
                </c:pt>
                <c:pt idx="291">
                  <c:v>37315</c:v>
                </c:pt>
                <c:pt idx="292">
                  <c:v>37287</c:v>
                </c:pt>
                <c:pt idx="293">
                  <c:v>37256</c:v>
                </c:pt>
                <c:pt idx="294">
                  <c:v>37225</c:v>
                </c:pt>
                <c:pt idx="295">
                  <c:v>37195</c:v>
                </c:pt>
                <c:pt idx="296">
                  <c:v>37164</c:v>
                </c:pt>
                <c:pt idx="297">
                  <c:v>37134</c:v>
                </c:pt>
                <c:pt idx="298">
                  <c:v>37103</c:v>
                </c:pt>
                <c:pt idx="299">
                  <c:v>37072</c:v>
                </c:pt>
                <c:pt idx="300">
                  <c:v>37042</c:v>
                </c:pt>
                <c:pt idx="301">
                  <c:v>37011</c:v>
                </c:pt>
                <c:pt idx="302">
                  <c:v>36981</c:v>
                </c:pt>
                <c:pt idx="303">
                  <c:v>36950</c:v>
                </c:pt>
                <c:pt idx="304">
                  <c:v>36922</c:v>
                </c:pt>
                <c:pt idx="305">
                  <c:v>36891</c:v>
                </c:pt>
                <c:pt idx="306">
                  <c:v>36860</c:v>
                </c:pt>
                <c:pt idx="307">
                  <c:v>36830</c:v>
                </c:pt>
                <c:pt idx="308">
                  <c:v>36799</c:v>
                </c:pt>
                <c:pt idx="309">
                  <c:v>36769</c:v>
                </c:pt>
                <c:pt idx="310">
                  <c:v>36738</c:v>
                </c:pt>
                <c:pt idx="311">
                  <c:v>36707</c:v>
                </c:pt>
                <c:pt idx="312">
                  <c:v>36677</c:v>
                </c:pt>
                <c:pt idx="313">
                  <c:v>36646</c:v>
                </c:pt>
                <c:pt idx="314">
                  <c:v>36616</c:v>
                </c:pt>
                <c:pt idx="315">
                  <c:v>36585</c:v>
                </c:pt>
                <c:pt idx="316">
                  <c:v>36556</c:v>
                </c:pt>
                <c:pt idx="317">
                  <c:v>36525</c:v>
                </c:pt>
                <c:pt idx="318">
                  <c:v>36494</c:v>
                </c:pt>
                <c:pt idx="319">
                  <c:v>36464</c:v>
                </c:pt>
                <c:pt idx="320">
                  <c:v>36433</c:v>
                </c:pt>
                <c:pt idx="321">
                  <c:v>36403</c:v>
                </c:pt>
                <c:pt idx="322">
                  <c:v>36372</c:v>
                </c:pt>
                <c:pt idx="323">
                  <c:v>36341</c:v>
                </c:pt>
                <c:pt idx="324">
                  <c:v>36311</c:v>
                </c:pt>
                <c:pt idx="325">
                  <c:v>36280</c:v>
                </c:pt>
                <c:pt idx="326">
                  <c:v>36250</c:v>
                </c:pt>
                <c:pt idx="327">
                  <c:v>36219</c:v>
                </c:pt>
                <c:pt idx="328">
                  <c:v>36191</c:v>
                </c:pt>
                <c:pt idx="329">
                  <c:v>36160</c:v>
                </c:pt>
                <c:pt idx="330">
                  <c:v>36129</c:v>
                </c:pt>
                <c:pt idx="331">
                  <c:v>36099</c:v>
                </c:pt>
                <c:pt idx="332">
                  <c:v>36068</c:v>
                </c:pt>
                <c:pt idx="333">
                  <c:v>36038</c:v>
                </c:pt>
                <c:pt idx="334">
                  <c:v>36007</c:v>
                </c:pt>
                <c:pt idx="335">
                  <c:v>35976</c:v>
                </c:pt>
                <c:pt idx="336">
                  <c:v>35946</c:v>
                </c:pt>
                <c:pt idx="337">
                  <c:v>35915</c:v>
                </c:pt>
                <c:pt idx="338">
                  <c:v>35885</c:v>
                </c:pt>
                <c:pt idx="339">
                  <c:v>35854</c:v>
                </c:pt>
                <c:pt idx="340">
                  <c:v>35826</c:v>
                </c:pt>
                <c:pt idx="341">
                  <c:v>35795</c:v>
                </c:pt>
                <c:pt idx="342">
                  <c:v>35764</c:v>
                </c:pt>
                <c:pt idx="343">
                  <c:v>35734</c:v>
                </c:pt>
                <c:pt idx="344">
                  <c:v>35703</c:v>
                </c:pt>
                <c:pt idx="345">
                  <c:v>35673</c:v>
                </c:pt>
                <c:pt idx="346">
                  <c:v>35642</c:v>
                </c:pt>
                <c:pt idx="347">
                  <c:v>35611</c:v>
                </c:pt>
                <c:pt idx="348">
                  <c:v>35581</c:v>
                </c:pt>
                <c:pt idx="349">
                  <c:v>35550</c:v>
                </c:pt>
                <c:pt idx="350">
                  <c:v>35520</c:v>
                </c:pt>
                <c:pt idx="351">
                  <c:v>35489</c:v>
                </c:pt>
                <c:pt idx="352">
                  <c:v>35461</c:v>
                </c:pt>
              </c:numCache>
            </c:numRef>
          </c:cat>
          <c:val>
            <c:numRef>
              <c:f>'R-Sq'!$G$3:$G$1355</c:f>
              <c:numCache>
                <c:formatCode>0%</c:formatCode>
                <c:ptCount val="1353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0.50679859071116407</c:v>
                </c:pt>
                <c:pt idx="22">
                  <c:v>0.48553233192630174</c:v>
                </c:pt>
                <c:pt idx="23">
                  <c:v>0.4570218204823307</c:v>
                </c:pt>
                <c:pt idx="24">
                  <c:v>0.44444710271505805</c:v>
                </c:pt>
                <c:pt idx="25">
                  <c:v>0.42894952063317898</c:v>
                </c:pt>
                <c:pt idx="26">
                  <c:v>0.42098102030796403</c:v>
                </c:pt>
                <c:pt idx="27">
                  <c:v>0.41174178765388875</c:v>
                </c:pt>
                <c:pt idx="28">
                  <c:v>0.3996721496795782</c:v>
                </c:pt>
                <c:pt idx="29">
                  <c:v>0.39446950943986631</c:v>
                </c:pt>
                <c:pt idx="30">
                  <c:v>0.37790831881560483</c:v>
                </c:pt>
                <c:pt idx="31">
                  <c:v>0.36499765211621588</c:v>
                </c:pt>
                <c:pt idx="32">
                  <c:v>0.34549700968281338</c:v>
                </c:pt>
                <c:pt idx="33">
                  <c:v>0.34563714623920805</c:v>
                </c:pt>
                <c:pt idx="34">
                  <c:v>0.36013957915434142</c:v>
                </c:pt>
                <c:pt idx="35">
                  <c:v>0.38630945791811699</c:v>
                </c:pt>
                <c:pt idx="36">
                  <c:v>0.4174070802773357</c:v>
                </c:pt>
                <c:pt idx="37">
                  <c:v>0.41078030107287011</c:v>
                </c:pt>
                <c:pt idx="38">
                  <c:v>0.38661265566626463</c:v>
                </c:pt>
                <c:pt idx="39">
                  <c:v>0.36163907749372842</c:v>
                </c:pt>
                <c:pt idx="40">
                  <c:v>0.3328267946953497</c:v>
                </c:pt>
                <c:pt idx="41">
                  <c:v>0.32837517246265374</c:v>
                </c:pt>
                <c:pt idx="42">
                  <c:v>0.30552254464906303</c:v>
                </c:pt>
                <c:pt idx="43">
                  <c:v>0.30035089073586929</c:v>
                </c:pt>
                <c:pt idx="44">
                  <c:v>0.28278110127128236</c:v>
                </c:pt>
                <c:pt idx="45">
                  <c:v>0.2496613820459534</c:v>
                </c:pt>
                <c:pt idx="46">
                  <c:v>0.24652425747874279</c:v>
                </c:pt>
                <c:pt idx="47">
                  <c:v>0.25267572700242091</c:v>
                </c:pt>
                <c:pt idx="48">
                  <c:v>0.23521057403032747</c:v>
                </c:pt>
                <c:pt idx="49">
                  <c:v>0.23655723894289893</c:v>
                </c:pt>
                <c:pt idx="50">
                  <c:v>0.24757160033148848</c:v>
                </c:pt>
                <c:pt idx="51">
                  <c:v>0.27621863926433959</c:v>
                </c:pt>
                <c:pt idx="52">
                  <c:v>0.28932532950433365</c:v>
                </c:pt>
                <c:pt idx="53">
                  <c:v>0.32487094253077581</c:v>
                </c:pt>
                <c:pt idx="54">
                  <c:v>0.33104142138793724</c:v>
                </c:pt>
                <c:pt idx="55">
                  <c:v>0.32485089504672382</c:v>
                </c:pt>
                <c:pt idx="56">
                  <c:v>0.31966436356074579</c:v>
                </c:pt>
                <c:pt idx="57">
                  <c:v>0.3180815447954991</c:v>
                </c:pt>
                <c:pt idx="58">
                  <c:v>0.33281680682806114</c:v>
                </c:pt>
                <c:pt idx="59">
                  <c:v>0.36745307510723507</c:v>
                </c:pt>
                <c:pt idx="60">
                  <c:v>0.37374456131374673</c:v>
                </c:pt>
                <c:pt idx="61">
                  <c:v>0.38913007843798642</c:v>
                </c:pt>
                <c:pt idx="62">
                  <c:v>0.39914205249319473</c:v>
                </c:pt>
                <c:pt idx="63">
                  <c:v>0.42201492705962756</c:v>
                </c:pt>
                <c:pt idx="64">
                  <c:v>0.42339924959890518</c:v>
                </c:pt>
                <c:pt idx="65">
                  <c:v>0.42993469963539327</c:v>
                </c:pt>
                <c:pt idx="66">
                  <c:v>0.46802325356260677</c:v>
                </c:pt>
                <c:pt idx="67">
                  <c:v>0.5099002666914122</c:v>
                </c:pt>
                <c:pt idx="68">
                  <c:v>0.53055946043360969</c:v>
                </c:pt>
                <c:pt idx="69">
                  <c:v>0.59555187960911882</c:v>
                </c:pt>
                <c:pt idx="70">
                  <c:v>0.64678981442599848</c:v>
                </c:pt>
                <c:pt idx="71">
                  <c:v>0.69403064337221287</c:v>
                </c:pt>
                <c:pt idx="72">
                  <c:v>0.68745974155388312</c:v>
                </c:pt>
                <c:pt idx="73">
                  <c:v>0.70321070553250953</c:v>
                </c:pt>
                <c:pt idx="74">
                  <c:v>0.68830178600442304</c:v>
                </c:pt>
                <c:pt idx="75">
                  <c:v>0.68355568308118597</c:v>
                </c:pt>
                <c:pt idx="76">
                  <c:v>0.66367514406113637</c:v>
                </c:pt>
                <c:pt idx="77">
                  <c:v>0.6452350306316208</c:v>
                </c:pt>
                <c:pt idx="78">
                  <c:v>0.65260784674380268</c:v>
                </c:pt>
                <c:pt idx="79">
                  <c:v>0.63628447636333496</c:v>
                </c:pt>
                <c:pt idx="80">
                  <c:v>0.61507051943256663</c:v>
                </c:pt>
                <c:pt idx="81">
                  <c:v>0.59378062555973454</c:v>
                </c:pt>
                <c:pt idx="82">
                  <c:v>0.56869940217672665</c:v>
                </c:pt>
                <c:pt idx="83">
                  <c:v>0.5507399318999201</c:v>
                </c:pt>
                <c:pt idx="84">
                  <c:v>0.54214552679962114</c:v>
                </c:pt>
                <c:pt idx="85">
                  <c:v>0.51347334015521351</c:v>
                </c:pt>
                <c:pt idx="86">
                  <c:v>0.52604979432528176</c:v>
                </c:pt>
                <c:pt idx="87">
                  <c:v>0.51273897566639337</c:v>
                </c:pt>
                <c:pt idx="88">
                  <c:v>0.48174846049269016</c:v>
                </c:pt>
                <c:pt idx="89">
                  <c:v>0.48300818025657666</c:v>
                </c:pt>
                <c:pt idx="90">
                  <c:v>0.46597230870366074</c:v>
                </c:pt>
                <c:pt idx="91">
                  <c:v>0.46165193835109197</c:v>
                </c:pt>
                <c:pt idx="92">
                  <c:v>0.45157238244912096</c:v>
                </c:pt>
                <c:pt idx="93">
                  <c:v>0.45479198854176339</c:v>
                </c:pt>
                <c:pt idx="94">
                  <c:v>0.48055534613384704</c:v>
                </c:pt>
                <c:pt idx="95">
                  <c:v>0.51522482374511369</c:v>
                </c:pt>
                <c:pt idx="96">
                  <c:v>0.56791700133574208</c:v>
                </c:pt>
                <c:pt idx="97">
                  <c:v>0.55421578737756272</c:v>
                </c:pt>
                <c:pt idx="98">
                  <c:v>0.55601838416008287</c:v>
                </c:pt>
                <c:pt idx="99">
                  <c:v>0.54745073411937395</c:v>
                </c:pt>
                <c:pt idx="100">
                  <c:v>0.51726312829136023</c:v>
                </c:pt>
                <c:pt idx="101">
                  <c:v>0.50559840636645181</c:v>
                </c:pt>
                <c:pt idx="102">
                  <c:v>0.50041415207151874</c:v>
                </c:pt>
                <c:pt idx="103">
                  <c:v>0.52558296996844556</c:v>
                </c:pt>
                <c:pt idx="104">
                  <c:v>0.54971800543353566</c:v>
                </c:pt>
                <c:pt idx="105">
                  <c:v>0.56680468805440642</c:v>
                </c:pt>
                <c:pt idx="106">
                  <c:v>0.59186585519206991</c:v>
                </c:pt>
                <c:pt idx="107">
                  <c:v>0.60093448367958358</c:v>
                </c:pt>
                <c:pt idx="108">
                  <c:v>0.61569622473158614</c:v>
                </c:pt>
                <c:pt idx="109">
                  <c:v>0.63526236833246952</c:v>
                </c:pt>
                <c:pt idx="110">
                  <c:v>0.63368793847293803</c:v>
                </c:pt>
                <c:pt idx="111">
                  <c:v>0.65136222440020397</c:v>
                </c:pt>
                <c:pt idx="112">
                  <c:v>0.65413597975138282</c:v>
                </c:pt>
                <c:pt idx="113">
                  <c:v>0.65488096667950713</c:v>
                </c:pt>
                <c:pt idx="114">
                  <c:v>0.65780235902878326</c:v>
                </c:pt>
                <c:pt idx="115">
                  <c:v>0.65831514614943443</c:v>
                </c:pt>
                <c:pt idx="116">
                  <c:v>0.66120487056767552</c:v>
                </c:pt>
                <c:pt idx="117">
                  <c:v>0.65465845448958015</c:v>
                </c:pt>
                <c:pt idx="118">
                  <c:v>0.65949307890569386</c:v>
                </c:pt>
                <c:pt idx="119">
                  <c:v>0.6555533380905173</c:v>
                </c:pt>
                <c:pt idx="120">
                  <c:v>0.653039901671014</c:v>
                </c:pt>
                <c:pt idx="121">
                  <c:v>0.65510726985316614</c:v>
                </c:pt>
                <c:pt idx="122">
                  <c:v>0.65702315629198116</c:v>
                </c:pt>
                <c:pt idx="123">
                  <c:v>0.66066925161890255</c:v>
                </c:pt>
                <c:pt idx="124">
                  <c:v>0.65983074639293626</c:v>
                </c:pt>
                <c:pt idx="125">
                  <c:v>0.65190232095773271</c:v>
                </c:pt>
                <c:pt idx="126">
                  <c:v>0.65068927447681113</c:v>
                </c:pt>
                <c:pt idx="127">
                  <c:v>0.64922551733038447</c:v>
                </c:pt>
                <c:pt idx="128">
                  <c:v>0.63950123644208223</c:v>
                </c:pt>
                <c:pt idx="129">
                  <c:v>0.62327755054710021</c:v>
                </c:pt>
                <c:pt idx="130">
                  <c:v>0.60573720377777984</c:v>
                </c:pt>
                <c:pt idx="131">
                  <c:v>0.59146669991660428</c:v>
                </c:pt>
                <c:pt idx="132">
                  <c:v>0.60247996723512509</c:v>
                </c:pt>
                <c:pt idx="133">
                  <c:v>0.58640458791296901</c:v>
                </c:pt>
                <c:pt idx="134">
                  <c:v>0.54199530507143134</c:v>
                </c:pt>
                <c:pt idx="135">
                  <c:v>0.47094510543594192</c:v>
                </c:pt>
                <c:pt idx="136">
                  <c:v>0.41914374624331202</c:v>
                </c:pt>
                <c:pt idx="137">
                  <c:v>0.40139658331017147</c:v>
                </c:pt>
                <c:pt idx="138">
                  <c:v>0.32145592978160054</c:v>
                </c:pt>
                <c:pt idx="139">
                  <c:v>0.27505646659007538</c:v>
                </c:pt>
                <c:pt idx="140">
                  <c:v>0.26720605304220396</c:v>
                </c:pt>
                <c:pt idx="141">
                  <c:v>0.25176804777967454</c:v>
                </c:pt>
                <c:pt idx="142">
                  <c:v>0.24490979341055485</c:v>
                </c:pt>
                <c:pt idx="143">
                  <c:v>0.25116653758897395</c:v>
                </c:pt>
                <c:pt idx="144">
                  <c:v>0.2606613893100756</c:v>
                </c:pt>
                <c:pt idx="145">
                  <c:v>0.27910329974588588</c:v>
                </c:pt>
                <c:pt idx="146">
                  <c:v>0.29859638266321059</c:v>
                </c:pt>
                <c:pt idx="147">
                  <c:v>0.32098348250435921</c:v>
                </c:pt>
                <c:pt idx="148">
                  <c:v>0.32349885449254479</c:v>
                </c:pt>
                <c:pt idx="149">
                  <c:v>0.32555431076601976</c:v>
                </c:pt>
                <c:pt idx="150">
                  <c:v>0.29606869004868458</c:v>
                </c:pt>
                <c:pt idx="151">
                  <c:v>0.2851883061634975</c:v>
                </c:pt>
                <c:pt idx="152">
                  <c:v>0.2826808435792395</c:v>
                </c:pt>
                <c:pt idx="153">
                  <c:v>0.38213679347835439</c:v>
                </c:pt>
                <c:pt idx="154">
                  <c:v>0.45210201533294198</c:v>
                </c:pt>
                <c:pt idx="155">
                  <c:v>0.47371133733126941</c:v>
                </c:pt>
                <c:pt idx="156">
                  <c:v>0.51237290154245685</c:v>
                </c:pt>
                <c:pt idx="157">
                  <c:v>0.56997106009458121</c:v>
                </c:pt>
                <c:pt idx="158">
                  <c:v>0.61319106215232744</c:v>
                </c:pt>
                <c:pt idx="159">
                  <c:v>0.6428076778682007</c:v>
                </c:pt>
                <c:pt idx="160">
                  <c:v>0.67351280521446288</c:v>
                </c:pt>
                <c:pt idx="161">
                  <c:v>0.70448594252112173</c:v>
                </c:pt>
                <c:pt idx="162">
                  <c:v>0.7314997840630415</c:v>
                </c:pt>
                <c:pt idx="163">
                  <c:v>0.7541731563058981</c:v>
                </c:pt>
                <c:pt idx="164">
                  <c:v>0.7647052931837508</c:v>
                </c:pt>
                <c:pt idx="165">
                  <c:v>0.76579026018427876</c:v>
                </c:pt>
                <c:pt idx="166">
                  <c:v>0.76959608216669773</c:v>
                </c:pt>
                <c:pt idx="167">
                  <c:v>0.7809765615805544</c:v>
                </c:pt>
                <c:pt idx="168">
                  <c:v>0.78329248510488114</c:v>
                </c:pt>
                <c:pt idx="169">
                  <c:v>0.77480302173977667</c:v>
                </c:pt>
                <c:pt idx="170">
                  <c:v>0.75655519902204083</c:v>
                </c:pt>
                <c:pt idx="171">
                  <c:v>0.74113034530815758</c:v>
                </c:pt>
                <c:pt idx="172">
                  <c:v>0.72841328049511289</c:v>
                </c:pt>
                <c:pt idx="173">
                  <c:v>0.71491853770352765</c:v>
                </c:pt>
                <c:pt idx="174">
                  <c:v>0.71023841336317817</c:v>
                </c:pt>
                <c:pt idx="175">
                  <c:v>0.70685715686453288</c:v>
                </c:pt>
                <c:pt idx="176">
                  <c:v>0.70044174568866102</c:v>
                </c:pt>
                <c:pt idx="177">
                  <c:v>0.69891569693233846</c:v>
                </c:pt>
                <c:pt idx="178">
                  <c:v>0.69714534726192057</c:v>
                </c:pt>
                <c:pt idx="179">
                  <c:v>0.69663237508922704</c:v>
                </c:pt>
                <c:pt idx="180">
                  <c:v>0.69597113801906296</c:v>
                </c:pt>
                <c:pt idx="181">
                  <c:v>0.69524610199561943</c:v>
                </c:pt>
                <c:pt idx="182">
                  <c:v>0.69485115301504619</c:v>
                </c:pt>
                <c:pt idx="183">
                  <c:v>0.69509286728449593</c:v>
                </c:pt>
                <c:pt idx="184">
                  <c:v>0.69532467579542201</c:v>
                </c:pt>
                <c:pt idx="185">
                  <c:v>0.69400990103040672</c:v>
                </c:pt>
                <c:pt idx="186">
                  <c:v>0.69194106055832416</c:v>
                </c:pt>
                <c:pt idx="187">
                  <c:v>0.69118343303012586</c:v>
                </c:pt>
                <c:pt idx="188">
                  <c:v>0.6908680793381089</c:v>
                </c:pt>
                <c:pt idx="189">
                  <c:v>0.68963296471372493</c:v>
                </c:pt>
                <c:pt idx="190">
                  <c:v>0.68853981690217736</c:v>
                </c:pt>
                <c:pt idx="191">
                  <c:v>0.68653113132959032</c:v>
                </c:pt>
                <c:pt idx="192">
                  <c:v>0.68314411166024369</c:v>
                </c:pt>
                <c:pt idx="193">
                  <c:v>0.68119910447515797</c:v>
                </c:pt>
                <c:pt idx="194">
                  <c:v>0.68688824446053875</c:v>
                </c:pt>
                <c:pt idx="195">
                  <c:v>0.695732166300987</c:v>
                </c:pt>
                <c:pt idx="196">
                  <c:v>0.70122072868223839</c:v>
                </c:pt>
                <c:pt idx="197">
                  <c:v>0.70304900062459119</c:v>
                </c:pt>
                <c:pt idx="198">
                  <c:v>0.71710651172335393</c:v>
                </c:pt>
                <c:pt idx="199">
                  <c:v>0.72144624638661892</c:v>
                </c:pt>
                <c:pt idx="200">
                  <c:v>0.71568734342765161</c:v>
                </c:pt>
                <c:pt idx="201">
                  <c:v>0.71064665289067086</c:v>
                </c:pt>
                <c:pt idx="202">
                  <c:v>0.70330859063853912</c:v>
                </c:pt>
                <c:pt idx="203">
                  <c:v>0.69651776258329745</c:v>
                </c:pt>
                <c:pt idx="204">
                  <c:v>0.6858186098121507</c:v>
                </c:pt>
                <c:pt idx="205">
                  <c:v>0.67439192921744873</c:v>
                </c:pt>
                <c:pt idx="206">
                  <c:v>0.66377580313567941</c:v>
                </c:pt>
                <c:pt idx="207">
                  <c:v>0.65129874141683786</c:v>
                </c:pt>
                <c:pt idx="208">
                  <c:v>0.64777524010903398</c:v>
                </c:pt>
                <c:pt idx="209">
                  <c:v>0.63660472017571823</c:v>
                </c:pt>
                <c:pt idx="210">
                  <c:v>0.63019385318753263</c:v>
                </c:pt>
                <c:pt idx="211">
                  <c:v>0.63138348658429699</c:v>
                </c:pt>
                <c:pt idx="212">
                  <c:v>0.64278328032904131</c:v>
                </c:pt>
                <c:pt idx="213">
                  <c:v>0.64712768959267697</c:v>
                </c:pt>
                <c:pt idx="214">
                  <c:v>0.65977852687836602</c:v>
                </c:pt>
                <c:pt idx="215">
                  <c:v>0.69204157470920757</c:v>
                </c:pt>
                <c:pt idx="216">
                  <c:v>0.72072560693444165</c:v>
                </c:pt>
                <c:pt idx="217">
                  <c:v>0.72616969891614846</c:v>
                </c:pt>
                <c:pt idx="218">
                  <c:v>0.73015914495735079</c:v>
                </c:pt>
                <c:pt idx="219">
                  <c:v>0.75269480683564083</c:v>
                </c:pt>
                <c:pt idx="220">
                  <c:v>0.77600034268992002</c:v>
                </c:pt>
                <c:pt idx="221">
                  <c:v>0.793089035502068</c:v>
                </c:pt>
                <c:pt idx="222">
                  <c:v>0.79827570097281375</c:v>
                </c:pt>
                <c:pt idx="223">
                  <c:v>0.79227976950949575</c:v>
                </c:pt>
                <c:pt idx="224">
                  <c:v>0.78179509149102577</c:v>
                </c:pt>
                <c:pt idx="225">
                  <c:v>0.77035687435155287</c:v>
                </c:pt>
                <c:pt idx="226">
                  <c:v>0.75034729988611826</c:v>
                </c:pt>
                <c:pt idx="227">
                  <c:v>0.73049493925037978</c:v>
                </c:pt>
                <c:pt idx="228">
                  <c:v>0.68312523476560039</c:v>
                </c:pt>
                <c:pt idx="229">
                  <c:v>0.61209264624397042</c:v>
                </c:pt>
                <c:pt idx="230">
                  <c:v>0.55391963369367359</c:v>
                </c:pt>
                <c:pt idx="231">
                  <c:v>0.48514346048547891</c:v>
                </c:pt>
                <c:pt idx="232">
                  <c:v>0.39826072276128127</c:v>
                </c:pt>
                <c:pt idx="233">
                  <c:v>0.31221142791137635</c:v>
                </c:pt>
                <c:pt idx="234">
                  <c:v>0.22450749614632023</c:v>
                </c:pt>
                <c:pt idx="235">
                  <c:v>0.16151533561498255</c:v>
                </c:pt>
                <c:pt idx="236">
                  <c:v>0.12239650737609435</c:v>
                </c:pt>
                <c:pt idx="237">
                  <c:v>0.10647118207504326</c:v>
                </c:pt>
                <c:pt idx="238">
                  <c:v>0.10423010505810677</c:v>
                </c:pt>
                <c:pt idx="239">
                  <c:v>0.10380983118568225</c:v>
                </c:pt>
                <c:pt idx="240">
                  <c:v>0.10911183875063674</c:v>
                </c:pt>
                <c:pt idx="241">
                  <c:v>0.12089449411133993</c:v>
                </c:pt>
                <c:pt idx="242">
                  <c:v>0.13227837518142044</c:v>
                </c:pt>
                <c:pt idx="243">
                  <c:v>0.16481306398557463</c:v>
                </c:pt>
                <c:pt idx="244">
                  <c:v>0.21780200857489476</c:v>
                </c:pt>
                <c:pt idx="245">
                  <c:v>0.30060274392644853</c:v>
                </c:pt>
                <c:pt idx="246">
                  <c:v>0.39595279891633339</c:v>
                </c:pt>
                <c:pt idx="247">
                  <c:v>0.45535200520867819</c:v>
                </c:pt>
                <c:pt idx="248">
                  <c:v>0.52254581820662294</c:v>
                </c:pt>
                <c:pt idx="249">
                  <c:v>0.57671063730667615</c:v>
                </c:pt>
                <c:pt idx="250">
                  <c:v>0.61435356023757282</c:v>
                </c:pt>
                <c:pt idx="251">
                  <c:v>0.63315297558597905</c:v>
                </c:pt>
                <c:pt idx="252">
                  <c:v>0.64831066861397835</c:v>
                </c:pt>
                <c:pt idx="253">
                  <c:v>0.66062449257660905</c:v>
                </c:pt>
                <c:pt idx="254">
                  <c:v>0.67366298468568497</c:v>
                </c:pt>
                <c:pt idx="255">
                  <c:v>0.67049336205557608</c:v>
                </c:pt>
                <c:pt idx="256">
                  <c:v>0.66361645946146774</c:v>
                </c:pt>
                <c:pt idx="257">
                  <c:v>0.67873917325798849</c:v>
                </c:pt>
                <c:pt idx="258">
                  <c:v>0.69135938293505828</c:v>
                </c:pt>
                <c:pt idx="259">
                  <c:v>0.69528117098092868</c:v>
                </c:pt>
                <c:pt idx="260">
                  <c:v>0.69404407654306988</c:v>
                </c:pt>
                <c:pt idx="261">
                  <c:v>0.69436379098530221</c:v>
                </c:pt>
                <c:pt idx="262">
                  <c:v>0.69339104409574515</c:v>
                </c:pt>
                <c:pt idx="263">
                  <c:v>0.69478939564463971</c:v>
                </c:pt>
                <c:pt idx="264">
                  <c:v>0.69082409807455691</c:v>
                </c:pt>
                <c:pt idx="265">
                  <c:v>0.69275308782517175</c:v>
                </c:pt>
                <c:pt idx="266">
                  <c:v>0.69722489332211246</c:v>
                </c:pt>
                <c:pt idx="267">
                  <c:v>0.69606432030681931</c:v>
                </c:pt>
                <c:pt idx="268">
                  <c:v>0.69613096329357205</c:v>
                </c:pt>
                <c:pt idx="269">
                  <c:v>0.69732082584068478</c:v>
                </c:pt>
                <c:pt idx="270">
                  <c:v>0.69912426811836303</c:v>
                </c:pt>
                <c:pt idx="271">
                  <c:v>0.6967740974207719</c:v>
                </c:pt>
                <c:pt idx="272">
                  <c:v>0.69771830297219917</c:v>
                </c:pt>
                <c:pt idx="273">
                  <c:v>0.68816657274738602</c:v>
                </c:pt>
                <c:pt idx="274">
                  <c:v>0.66749917513703982</c:v>
                </c:pt>
                <c:pt idx="275">
                  <c:v>0.66612308526716524</c:v>
                </c:pt>
                <c:pt idx="276">
                  <c:v>0.66646551870427684</c:v>
                </c:pt>
                <c:pt idx="277">
                  <c:v>0.66670417655579417</c:v>
                </c:pt>
                <c:pt idx="278">
                  <c:v>0.66445348290404693</c:v>
                </c:pt>
                <c:pt idx="279">
                  <c:v>0.66401963851235535</c:v>
                </c:pt>
                <c:pt idx="280">
                  <c:v>0.66526471864833248</c:v>
                </c:pt>
                <c:pt idx="281">
                  <c:v>0.66749326222848671</c:v>
                </c:pt>
                <c:pt idx="282">
                  <c:v>0.66924767697750065</c:v>
                </c:pt>
                <c:pt idx="283">
                  <c:v>0.67637515827726347</c:v>
                </c:pt>
                <c:pt idx="284">
                  <c:v>0.67750255438035978</c:v>
                </c:pt>
                <c:pt idx="285">
                  <c:v>0.6834107045890816</c:v>
                </c:pt>
                <c:pt idx="286">
                  <c:v>0.69166427215170312</c:v>
                </c:pt>
                <c:pt idx="287">
                  <c:v>0.69933495166606707</c:v>
                </c:pt>
                <c:pt idx="288">
                  <c:v>0.7093082248372401</c:v>
                </c:pt>
                <c:pt idx="289">
                  <c:v>0.72269687367504354</c:v>
                </c:pt>
                <c:pt idx="290">
                  <c:v>0.74039834121071912</c:v>
                </c:pt>
                <c:pt idx="291">
                  <c:v>0.7569444446692275</c:v>
                </c:pt>
                <c:pt idx="292">
                  <c:v>0.77052311803272255</c:v>
                </c:pt>
                <c:pt idx="293">
                  <c:v>0.77936472731635065</c:v>
                </c:pt>
                <c:pt idx="294">
                  <c:v>#N/A</c:v>
                </c:pt>
                <c:pt idx="295">
                  <c:v>#N/A</c:v>
                </c:pt>
                <c:pt idx="296">
                  <c:v>#N/A</c:v>
                </c:pt>
                <c:pt idx="297">
                  <c:v>#N/A</c:v>
                </c:pt>
                <c:pt idx="298">
                  <c:v>#N/A</c:v>
                </c:pt>
                <c:pt idx="299">
                  <c:v>#N/A</c:v>
                </c:pt>
                <c:pt idx="300">
                  <c:v>#N/A</c:v>
                </c:pt>
                <c:pt idx="301">
                  <c:v>#N/A</c:v>
                </c:pt>
                <c:pt idx="302">
                  <c:v>#N/A</c:v>
                </c:pt>
                <c:pt idx="303">
                  <c:v>#N/A</c:v>
                </c:pt>
                <c:pt idx="304">
                  <c:v>#N/A</c:v>
                </c:pt>
                <c:pt idx="305">
                  <c:v>#N/A</c:v>
                </c:pt>
                <c:pt idx="306">
                  <c:v>#N/A</c:v>
                </c:pt>
                <c:pt idx="307">
                  <c:v>#N/A</c:v>
                </c:pt>
                <c:pt idx="308">
                  <c:v>#N/A</c:v>
                </c:pt>
                <c:pt idx="309">
                  <c:v>#N/A</c:v>
                </c:pt>
                <c:pt idx="310">
                  <c:v>#N/A</c:v>
                </c:pt>
                <c:pt idx="311">
                  <c:v>#N/A</c:v>
                </c:pt>
                <c:pt idx="312">
                  <c:v>#N/A</c:v>
                </c:pt>
                <c:pt idx="313">
                  <c:v>#N/A</c:v>
                </c:pt>
                <c:pt idx="314">
                  <c:v>#N/A</c:v>
                </c:pt>
                <c:pt idx="315">
                  <c:v>#N/A</c:v>
                </c:pt>
                <c:pt idx="316">
                  <c:v>#N/A</c:v>
                </c:pt>
                <c:pt idx="317">
                  <c:v>#N/A</c:v>
                </c:pt>
                <c:pt idx="318">
                  <c:v>#N/A</c:v>
                </c:pt>
                <c:pt idx="319">
                  <c:v>#N/A</c:v>
                </c:pt>
                <c:pt idx="320">
                  <c:v>#N/A</c:v>
                </c:pt>
                <c:pt idx="321">
                  <c:v>#N/A</c:v>
                </c:pt>
                <c:pt idx="322">
                  <c:v>#N/A</c:v>
                </c:pt>
                <c:pt idx="323">
                  <c:v>#N/A</c:v>
                </c:pt>
                <c:pt idx="324">
                  <c:v>#N/A</c:v>
                </c:pt>
                <c:pt idx="325">
                  <c:v>#N/A</c:v>
                </c:pt>
                <c:pt idx="326">
                  <c:v>#N/A</c:v>
                </c:pt>
                <c:pt idx="327">
                  <c:v>#N/A</c:v>
                </c:pt>
                <c:pt idx="328">
                  <c:v>#N/A</c:v>
                </c:pt>
                <c:pt idx="329">
                  <c:v>#N/A</c:v>
                </c:pt>
                <c:pt idx="330">
                  <c:v>#N/A</c:v>
                </c:pt>
                <c:pt idx="331">
                  <c:v>#N/A</c:v>
                </c:pt>
                <c:pt idx="332">
                  <c:v>#N/A</c:v>
                </c:pt>
                <c:pt idx="333">
                  <c:v>#N/A</c:v>
                </c:pt>
                <c:pt idx="334">
                  <c:v>#N/A</c:v>
                </c:pt>
                <c:pt idx="335">
                  <c:v>#N/A</c:v>
                </c:pt>
                <c:pt idx="336">
                  <c:v>#N/A</c:v>
                </c:pt>
                <c:pt idx="337">
                  <c:v>#N/A</c:v>
                </c:pt>
                <c:pt idx="338">
                  <c:v>#N/A</c:v>
                </c:pt>
                <c:pt idx="339">
                  <c:v>#N/A</c:v>
                </c:pt>
                <c:pt idx="340">
                  <c:v>#N/A</c:v>
                </c:pt>
                <c:pt idx="341">
                  <c:v>#N/A</c:v>
                </c:pt>
                <c:pt idx="342">
                  <c:v>#N/A</c:v>
                </c:pt>
                <c:pt idx="343">
                  <c:v>#N/A</c:v>
                </c:pt>
                <c:pt idx="344">
                  <c:v>#N/A</c:v>
                </c:pt>
                <c:pt idx="345">
                  <c:v>#N/A</c:v>
                </c:pt>
                <c:pt idx="346">
                  <c:v>#N/A</c:v>
                </c:pt>
                <c:pt idx="347">
                  <c:v>#N/A</c:v>
                </c:pt>
                <c:pt idx="348">
                  <c:v>#N/A</c:v>
                </c:pt>
                <c:pt idx="349">
                  <c:v>#N/A</c:v>
                </c:pt>
                <c:pt idx="350">
                  <c:v>#N/A</c:v>
                </c:pt>
                <c:pt idx="351">
                  <c:v>#N/A</c:v>
                </c:pt>
                <c:pt idx="352">
                  <c:v>#N/A</c:v>
                </c:pt>
                <c:pt idx="353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214-41D6-AEDC-DA12F7C5DDDC}"/>
            </c:ext>
          </c:extLst>
        </c:ser>
        <c:ser>
          <c:idx val="1"/>
          <c:order val="1"/>
          <c:tx>
            <c:strRef>
              <c:f>'R-Sq'!$H$2</c:f>
              <c:strCache>
                <c:ptCount val="1"/>
                <c:pt idx="0">
                  <c:v>Debit : M2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'R-Sq'!$A$3:$A$1355</c:f>
              <c:numCache>
                <c:formatCode>m/d/yyyy</c:formatCode>
                <c:ptCount val="1353"/>
                <c:pt idx="0">
                  <c:v>46173</c:v>
                </c:pt>
                <c:pt idx="1">
                  <c:v>46142</c:v>
                </c:pt>
                <c:pt idx="2">
                  <c:v>46112</c:v>
                </c:pt>
                <c:pt idx="3">
                  <c:v>46081</c:v>
                </c:pt>
                <c:pt idx="4">
                  <c:v>46053</c:v>
                </c:pt>
                <c:pt idx="5">
                  <c:v>46022</c:v>
                </c:pt>
                <c:pt idx="6">
                  <c:v>45991</c:v>
                </c:pt>
                <c:pt idx="7">
                  <c:v>45961</c:v>
                </c:pt>
                <c:pt idx="8">
                  <c:v>45930</c:v>
                </c:pt>
                <c:pt idx="9">
                  <c:v>45900</c:v>
                </c:pt>
                <c:pt idx="10">
                  <c:v>45869</c:v>
                </c:pt>
                <c:pt idx="11">
                  <c:v>45838</c:v>
                </c:pt>
                <c:pt idx="12">
                  <c:v>45808</c:v>
                </c:pt>
                <c:pt idx="13">
                  <c:v>45777</c:v>
                </c:pt>
                <c:pt idx="14">
                  <c:v>45747</c:v>
                </c:pt>
                <c:pt idx="15">
                  <c:v>45716</c:v>
                </c:pt>
                <c:pt idx="16">
                  <c:v>45688</c:v>
                </c:pt>
                <c:pt idx="17">
                  <c:v>45657</c:v>
                </c:pt>
                <c:pt idx="18">
                  <c:v>45626</c:v>
                </c:pt>
                <c:pt idx="19">
                  <c:v>45596</c:v>
                </c:pt>
                <c:pt idx="20">
                  <c:v>45565</c:v>
                </c:pt>
                <c:pt idx="21">
                  <c:v>45535</c:v>
                </c:pt>
                <c:pt idx="22">
                  <c:v>45504</c:v>
                </c:pt>
                <c:pt idx="23">
                  <c:v>45473</c:v>
                </c:pt>
                <c:pt idx="24">
                  <c:v>45443</c:v>
                </c:pt>
                <c:pt idx="25">
                  <c:v>45412</c:v>
                </c:pt>
                <c:pt idx="26">
                  <c:v>45382</c:v>
                </c:pt>
                <c:pt idx="27">
                  <c:v>45351</c:v>
                </c:pt>
                <c:pt idx="28">
                  <c:v>45322</c:v>
                </c:pt>
                <c:pt idx="29">
                  <c:v>45291</c:v>
                </c:pt>
                <c:pt idx="30">
                  <c:v>45260</c:v>
                </c:pt>
                <c:pt idx="31">
                  <c:v>45230</c:v>
                </c:pt>
                <c:pt idx="32">
                  <c:v>45199</c:v>
                </c:pt>
                <c:pt idx="33">
                  <c:v>45169</c:v>
                </c:pt>
                <c:pt idx="34">
                  <c:v>45138</c:v>
                </c:pt>
                <c:pt idx="35">
                  <c:v>45107</c:v>
                </c:pt>
                <c:pt idx="36">
                  <c:v>45077</c:v>
                </c:pt>
                <c:pt idx="37">
                  <c:v>45046</c:v>
                </c:pt>
                <c:pt idx="38">
                  <c:v>45016</c:v>
                </c:pt>
                <c:pt idx="39">
                  <c:v>44985</c:v>
                </c:pt>
                <c:pt idx="40">
                  <c:v>44957</c:v>
                </c:pt>
                <c:pt idx="41">
                  <c:v>44926</c:v>
                </c:pt>
                <c:pt idx="42">
                  <c:v>44895</c:v>
                </c:pt>
                <c:pt idx="43">
                  <c:v>44865</c:v>
                </c:pt>
                <c:pt idx="44">
                  <c:v>44834</c:v>
                </c:pt>
                <c:pt idx="45">
                  <c:v>44804</c:v>
                </c:pt>
                <c:pt idx="46">
                  <c:v>44773</c:v>
                </c:pt>
                <c:pt idx="47">
                  <c:v>44742</c:v>
                </c:pt>
                <c:pt idx="48">
                  <c:v>44712</c:v>
                </c:pt>
                <c:pt idx="49">
                  <c:v>44681</c:v>
                </c:pt>
                <c:pt idx="50">
                  <c:v>44651</c:v>
                </c:pt>
                <c:pt idx="51">
                  <c:v>44620</c:v>
                </c:pt>
                <c:pt idx="52">
                  <c:v>44592</c:v>
                </c:pt>
                <c:pt idx="53">
                  <c:v>44561</c:v>
                </c:pt>
                <c:pt idx="54">
                  <c:v>44530</c:v>
                </c:pt>
                <c:pt idx="55">
                  <c:v>44500</c:v>
                </c:pt>
                <c:pt idx="56">
                  <c:v>44469</c:v>
                </c:pt>
                <c:pt idx="57">
                  <c:v>44439</c:v>
                </c:pt>
                <c:pt idx="58">
                  <c:v>44408</c:v>
                </c:pt>
                <c:pt idx="59">
                  <c:v>44377</c:v>
                </c:pt>
                <c:pt idx="60">
                  <c:v>44347</c:v>
                </c:pt>
                <c:pt idx="61">
                  <c:v>44316</c:v>
                </c:pt>
                <c:pt idx="62">
                  <c:v>44286</c:v>
                </c:pt>
                <c:pt idx="63">
                  <c:v>44255</c:v>
                </c:pt>
                <c:pt idx="64">
                  <c:v>44227</c:v>
                </c:pt>
                <c:pt idx="65">
                  <c:v>44196</c:v>
                </c:pt>
                <c:pt idx="66">
                  <c:v>44165</c:v>
                </c:pt>
                <c:pt idx="67">
                  <c:v>44135</c:v>
                </c:pt>
                <c:pt idx="68">
                  <c:v>44104</c:v>
                </c:pt>
                <c:pt idx="69">
                  <c:v>44074</c:v>
                </c:pt>
                <c:pt idx="70">
                  <c:v>44043</c:v>
                </c:pt>
                <c:pt idx="71">
                  <c:v>44012</c:v>
                </c:pt>
                <c:pt idx="72">
                  <c:v>43982</c:v>
                </c:pt>
                <c:pt idx="73">
                  <c:v>43951</c:v>
                </c:pt>
                <c:pt idx="74">
                  <c:v>43921</c:v>
                </c:pt>
                <c:pt idx="75">
                  <c:v>43890</c:v>
                </c:pt>
                <c:pt idx="76">
                  <c:v>43861</c:v>
                </c:pt>
                <c:pt idx="77">
                  <c:v>43830</c:v>
                </c:pt>
                <c:pt idx="78">
                  <c:v>43799</c:v>
                </c:pt>
                <c:pt idx="79">
                  <c:v>43769</c:v>
                </c:pt>
                <c:pt idx="80">
                  <c:v>43738</c:v>
                </c:pt>
                <c:pt idx="81">
                  <c:v>43708</c:v>
                </c:pt>
                <c:pt idx="82">
                  <c:v>43677</c:v>
                </c:pt>
                <c:pt idx="83">
                  <c:v>43646</c:v>
                </c:pt>
                <c:pt idx="84">
                  <c:v>43616</c:v>
                </c:pt>
                <c:pt idx="85">
                  <c:v>43585</c:v>
                </c:pt>
                <c:pt idx="86">
                  <c:v>43555</c:v>
                </c:pt>
                <c:pt idx="87">
                  <c:v>43524</c:v>
                </c:pt>
                <c:pt idx="88">
                  <c:v>43496</c:v>
                </c:pt>
                <c:pt idx="89">
                  <c:v>43465</c:v>
                </c:pt>
                <c:pt idx="90">
                  <c:v>43434</c:v>
                </c:pt>
                <c:pt idx="91">
                  <c:v>43404</c:v>
                </c:pt>
                <c:pt idx="92">
                  <c:v>43373</c:v>
                </c:pt>
                <c:pt idx="93">
                  <c:v>43343</c:v>
                </c:pt>
                <c:pt idx="94">
                  <c:v>43312</c:v>
                </c:pt>
                <c:pt idx="95">
                  <c:v>43281</c:v>
                </c:pt>
                <c:pt idx="96">
                  <c:v>43251</c:v>
                </c:pt>
                <c:pt idx="97">
                  <c:v>43220</c:v>
                </c:pt>
                <c:pt idx="98">
                  <c:v>43190</c:v>
                </c:pt>
                <c:pt idx="99">
                  <c:v>43159</c:v>
                </c:pt>
                <c:pt idx="100">
                  <c:v>43131</c:v>
                </c:pt>
                <c:pt idx="101">
                  <c:v>43100</c:v>
                </c:pt>
                <c:pt idx="102">
                  <c:v>43069</c:v>
                </c:pt>
                <c:pt idx="103">
                  <c:v>43039</c:v>
                </c:pt>
                <c:pt idx="104">
                  <c:v>43008</c:v>
                </c:pt>
                <c:pt idx="105">
                  <c:v>42978</c:v>
                </c:pt>
                <c:pt idx="106">
                  <c:v>42947</c:v>
                </c:pt>
                <c:pt idx="107">
                  <c:v>42916</c:v>
                </c:pt>
                <c:pt idx="108">
                  <c:v>42886</c:v>
                </c:pt>
                <c:pt idx="109">
                  <c:v>42855</c:v>
                </c:pt>
                <c:pt idx="110">
                  <c:v>42825</c:v>
                </c:pt>
                <c:pt idx="111">
                  <c:v>42794</c:v>
                </c:pt>
                <c:pt idx="112">
                  <c:v>42766</c:v>
                </c:pt>
                <c:pt idx="113">
                  <c:v>42735</c:v>
                </c:pt>
                <c:pt idx="114">
                  <c:v>42704</c:v>
                </c:pt>
                <c:pt idx="115">
                  <c:v>42674</c:v>
                </c:pt>
                <c:pt idx="116">
                  <c:v>42643</c:v>
                </c:pt>
                <c:pt idx="117">
                  <c:v>42613</c:v>
                </c:pt>
                <c:pt idx="118">
                  <c:v>42582</c:v>
                </c:pt>
                <c:pt idx="119">
                  <c:v>42551</c:v>
                </c:pt>
                <c:pt idx="120">
                  <c:v>42521</c:v>
                </c:pt>
                <c:pt idx="121">
                  <c:v>42490</c:v>
                </c:pt>
                <c:pt idx="122">
                  <c:v>42460</c:v>
                </c:pt>
                <c:pt idx="123">
                  <c:v>42429</c:v>
                </c:pt>
                <c:pt idx="124">
                  <c:v>42400</c:v>
                </c:pt>
                <c:pt idx="125">
                  <c:v>42369</c:v>
                </c:pt>
                <c:pt idx="126">
                  <c:v>42338</c:v>
                </c:pt>
                <c:pt idx="127">
                  <c:v>42308</c:v>
                </c:pt>
                <c:pt idx="128">
                  <c:v>42277</c:v>
                </c:pt>
                <c:pt idx="129">
                  <c:v>42247</c:v>
                </c:pt>
                <c:pt idx="130">
                  <c:v>42216</c:v>
                </c:pt>
                <c:pt idx="131">
                  <c:v>42185</c:v>
                </c:pt>
                <c:pt idx="132">
                  <c:v>42155</c:v>
                </c:pt>
                <c:pt idx="133">
                  <c:v>42124</c:v>
                </c:pt>
                <c:pt idx="134">
                  <c:v>42094</c:v>
                </c:pt>
                <c:pt idx="135">
                  <c:v>42063</c:v>
                </c:pt>
                <c:pt idx="136">
                  <c:v>42035</c:v>
                </c:pt>
                <c:pt idx="137">
                  <c:v>42004</c:v>
                </c:pt>
                <c:pt idx="138">
                  <c:v>41973</c:v>
                </c:pt>
                <c:pt idx="139">
                  <c:v>41943</c:v>
                </c:pt>
                <c:pt idx="140">
                  <c:v>41912</c:v>
                </c:pt>
                <c:pt idx="141">
                  <c:v>41882</c:v>
                </c:pt>
                <c:pt idx="142">
                  <c:v>41851</c:v>
                </c:pt>
                <c:pt idx="143">
                  <c:v>41820</c:v>
                </c:pt>
                <c:pt idx="144">
                  <c:v>41790</c:v>
                </c:pt>
                <c:pt idx="145">
                  <c:v>41759</c:v>
                </c:pt>
                <c:pt idx="146">
                  <c:v>41729</c:v>
                </c:pt>
                <c:pt idx="147">
                  <c:v>41698</c:v>
                </c:pt>
                <c:pt idx="148">
                  <c:v>41670</c:v>
                </c:pt>
                <c:pt idx="149">
                  <c:v>41639</c:v>
                </c:pt>
                <c:pt idx="150">
                  <c:v>41608</c:v>
                </c:pt>
                <c:pt idx="151">
                  <c:v>41578</c:v>
                </c:pt>
                <c:pt idx="152">
                  <c:v>41547</c:v>
                </c:pt>
                <c:pt idx="153">
                  <c:v>41517</c:v>
                </c:pt>
                <c:pt idx="154">
                  <c:v>41486</c:v>
                </c:pt>
                <c:pt idx="155">
                  <c:v>41455</c:v>
                </c:pt>
                <c:pt idx="156">
                  <c:v>41425</c:v>
                </c:pt>
                <c:pt idx="157">
                  <c:v>41394</c:v>
                </c:pt>
                <c:pt idx="158">
                  <c:v>41364</c:v>
                </c:pt>
                <c:pt idx="159">
                  <c:v>41333</c:v>
                </c:pt>
                <c:pt idx="160">
                  <c:v>41305</c:v>
                </c:pt>
                <c:pt idx="161">
                  <c:v>41274</c:v>
                </c:pt>
                <c:pt idx="162">
                  <c:v>41243</c:v>
                </c:pt>
                <c:pt idx="163">
                  <c:v>41213</c:v>
                </c:pt>
                <c:pt idx="164">
                  <c:v>41182</c:v>
                </c:pt>
                <c:pt idx="165">
                  <c:v>41152</c:v>
                </c:pt>
                <c:pt idx="166">
                  <c:v>41121</c:v>
                </c:pt>
                <c:pt idx="167">
                  <c:v>41090</c:v>
                </c:pt>
                <c:pt idx="168">
                  <c:v>41060</c:v>
                </c:pt>
                <c:pt idx="169">
                  <c:v>41029</c:v>
                </c:pt>
                <c:pt idx="170">
                  <c:v>40999</c:v>
                </c:pt>
                <c:pt idx="171">
                  <c:v>40968</c:v>
                </c:pt>
                <c:pt idx="172">
                  <c:v>40939</c:v>
                </c:pt>
                <c:pt idx="173">
                  <c:v>40908</c:v>
                </c:pt>
                <c:pt idx="174">
                  <c:v>40877</c:v>
                </c:pt>
                <c:pt idx="175">
                  <c:v>40847</c:v>
                </c:pt>
                <c:pt idx="176">
                  <c:v>40816</c:v>
                </c:pt>
                <c:pt idx="177">
                  <c:v>40786</c:v>
                </c:pt>
                <c:pt idx="178">
                  <c:v>40755</c:v>
                </c:pt>
                <c:pt idx="179">
                  <c:v>40724</c:v>
                </c:pt>
                <c:pt idx="180">
                  <c:v>40694</c:v>
                </c:pt>
                <c:pt idx="181">
                  <c:v>40663</c:v>
                </c:pt>
                <c:pt idx="182">
                  <c:v>40633</c:v>
                </c:pt>
                <c:pt idx="183">
                  <c:v>40602</c:v>
                </c:pt>
                <c:pt idx="184">
                  <c:v>40574</c:v>
                </c:pt>
                <c:pt idx="185">
                  <c:v>40543</c:v>
                </c:pt>
                <c:pt idx="186">
                  <c:v>40512</c:v>
                </c:pt>
                <c:pt idx="187">
                  <c:v>40482</c:v>
                </c:pt>
                <c:pt idx="188">
                  <c:v>40451</c:v>
                </c:pt>
                <c:pt idx="189">
                  <c:v>40421</c:v>
                </c:pt>
                <c:pt idx="190">
                  <c:v>40390</c:v>
                </c:pt>
                <c:pt idx="191">
                  <c:v>40359</c:v>
                </c:pt>
                <c:pt idx="192">
                  <c:v>40329</c:v>
                </c:pt>
                <c:pt idx="193">
                  <c:v>40298</c:v>
                </c:pt>
                <c:pt idx="194">
                  <c:v>40268</c:v>
                </c:pt>
                <c:pt idx="195">
                  <c:v>40237</c:v>
                </c:pt>
                <c:pt idx="196">
                  <c:v>40209</c:v>
                </c:pt>
                <c:pt idx="197">
                  <c:v>40178</c:v>
                </c:pt>
                <c:pt idx="198">
                  <c:v>40147</c:v>
                </c:pt>
                <c:pt idx="199">
                  <c:v>40117</c:v>
                </c:pt>
                <c:pt idx="200">
                  <c:v>40086</c:v>
                </c:pt>
                <c:pt idx="201">
                  <c:v>40056</c:v>
                </c:pt>
                <c:pt idx="202">
                  <c:v>40025</c:v>
                </c:pt>
                <c:pt idx="203">
                  <c:v>39994</c:v>
                </c:pt>
                <c:pt idx="204">
                  <c:v>39964</c:v>
                </c:pt>
                <c:pt idx="205">
                  <c:v>39933</c:v>
                </c:pt>
                <c:pt idx="206">
                  <c:v>39903</c:v>
                </c:pt>
                <c:pt idx="207">
                  <c:v>39872</c:v>
                </c:pt>
                <c:pt idx="208">
                  <c:v>39844</c:v>
                </c:pt>
                <c:pt idx="209">
                  <c:v>39813</c:v>
                </c:pt>
                <c:pt idx="210">
                  <c:v>39782</c:v>
                </c:pt>
                <c:pt idx="211">
                  <c:v>39752</c:v>
                </c:pt>
                <c:pt idx="212">
                  <c:v>39721</c:v>
                </c:pt>
                <c:pt idx="213">
                  <c:v>39691</c:v>
                </c:pt>
                <c:pt idx="214">
                  <c:v>39660</c:v>
                </c:pt>
                <c:pt idx="215">
                  <c:v>39629</c:v>
                </c:pt>
                <c:pt idx="216">
                  <c:v>39599</c:v>
                </c:pt>
                <c:pt idx="217">
                  <c:v>39568</c:v>
                </c:pt>
                <c:pt idx="218">
                  <c:v>39538</c:v>
                </c:pt>
                <c:pt idx="219">
                  <c:v>39507</c:v>
                </c:pt>
                <c:pt idx="220">
                  <c:v>39478</c:v>
                </c:pt>
                <c:pt idx="221">
                  <c:v>39447</c:v>
                </c:pt>
                <c:pt idx="222">
                  <c:v>39416</c:v>
                </c:pt>
                <c:pt idx="223">
                  <c:v>39386</c:v>
                </c:pt>
                <c:pt idx="224">
                  <c:v>39355</c:v>
                </c:pt>
                <c:pt idx="225">
                  <c:v>39325</c:v>
                </c:pt>
                <c:pt idx="226">
                  <c:v>39294</c:v>
                </c:pt>
                <c:pt idx="227">
                  <c:v>39263</c:v>
                </c:pt>
                <c:pt idx="228">
                  <c:v>39233</c:v>
                </c:pt>
                <c:pt idx="229">
                  <c:v>39202</c:v>
                </c:pt>
                <c:pt idx="230">
                  <c:v>39172</c:v>
                </c:pt>
                <c:pt idx="231">
                  <c:v>39141</c:v>
                </c:pt>
                <c:pt idx="232">
                  <c:v>39113</c:v>
                </c:pt>
                <c:pt idx="233">
                  <c:v>39082</c:v>
                </c:pt>
                <c:pt idx="234">
                  <c:v>39051</c:v>
                </c:pt>
                <c:pt idx="235">
                  <c:v>39021</c:v>
                </c:pt>
                <c:pt idx="236">
                  <c:v>38990</c:v>
                </c:pt>
                <c:pt idx="237">
                  <c:v>38960</c:v>
                </c:pt>
                <c:pt idx="238">
                  <c:v>38929</c:v>
                </c:pt>
                <c:pt idx="239">
                  <c:v>38898</c:v>
                </c:pt>
                <c:pt idx="240">
                  <c:v>38868</c:v>
                </c:pt>
                <c:pt idx="241">
                  <c:v>38837</c:v>
                </c:pt>
                <c:pt idx="242">
                  <c:v>38807</c:v>
                </c:pt>
                <c:pt idx="243">
                  <c:v>38776</c:v>
                </c:pt>
                <c:pt idx="244">
                  <c:v>38748</c:v>
                </c:pt>
                <c:pt idx="245">
                  <c:v>38717</c:v>
                </c:pt>
                <c:pt idx="246">
                  <c:v>38686</c:v>
                </c:pt>
                <c:pt idx="247">
                  <c:v>38656</c:v>
                </c:pt>
                <c:pt idx="248">
                  <c:v>38625</c:v>
                </c:pt>
                <c:pt idx="249">
                  <c:v>38595</c:v>
                </c:pt>
                <c:pt idx="250">
                  <c:v>38564</c:v>
                </c:pt>
                <c:pt idx="251">
                  <c:v>38533</c:v>
                </c:pt>
                <c:pt idx="252">
                  <c:v>38503</c:v>
                </c:pt>
                <c:pt idx="253">
                  <c:v>38472</c:v>
                </c:pt>
                <c:pt idx="254">
                  <c:v>38442</c:v>
                </c:pt>
                <c:pt idx="255">
                  <c:v>38411</c:v>
                </c:pt>
                <c:pt idx="256">
                  <c:v>38383</c:v>
                </c:pt>
                <c:pt idx="257">
                  <c:v>38352</c:v>
                </c:pt>
                <c:pt idx="258">
                  <c:v>38321</c:v>
                </c:pt>
                <c:pt idx="259">
                  <c:v>38291</c:v>
                </c:pt>
                <c:pt idx="260">
                  <c:v>38260</c:v>
                </c:pt>
                <c:pt idx="261">
                  <c:v>38230</c:v>
                </c:pt>
                <c:pt idx="262">
                  <c:v>38199</c:v>
                </c:pt>
                <c:pt idx="263">
                  <c:v>38168</c:v>
                </c:pt>
                <c:pt idx="264">
                  <c:v>38138</c:v>
                </c:pt>
                <c:pt idx="265">
                  <c:v>38107</c:v>
                </c:pt>
                <c:pt idx="266">
                  <c:v>38077</c:v>
                </c:pt>
                <c:pt idx="267">
                  <c:v>38046</c:v>
                </c:pt>
                <c:pt idx="268">
                  <c:v>38017</c:v>
                </c:pt>
                <c:pt idx="269">
                  <c:v>37986</c:v>
                </c:pt>
                <c:pt idx="270">
                  <c:v>37955</c:v>
                </c:pt>
                <c:pt idx="271">
                  <c:v>37925</c:v>
                </c:pt>
                <c:pt idx="272">
                  <c:v>37894</c:v>
                </c:pt>
                <c:pt idx="273">
                  <c:v>37864</c:v>
                </c:pt>
                <c:pt idx="274">
                  <c:v>37833</c:v>
                </c:pt>
                <c:pt idx="275">
                  <c:v>37802</c:v>
                </c:pt>
                <c:pt idx="276">
                  <c:v>37772</c:v>
                </c:pt>
                <c:pt idx="277">
                  <c:v>37741</c:v>
                </c:pt>
                <c:pt idx="278">
                  <c:v>37711</c:v>
                </c:pt>
                <c:pt idx="279">
                  <c:v>37680</c:v>
                </c:pt>
                <c:pt idx="280">
                  <c:v>37652</c:v>
                </c:pt>
                <c:pt idx="281">
                  <c:v>37621</c:v>
                </c:pt>
                <c:pt idx="282">
                  <c:v>37590</c:v>
                </c:pt>
                <c:pt idx="283">
                  <c:v>37560</c:v>
                </c:pt>
                <c:pt idx="284">
                  <c:v>37529</c:v>
                </c:pt>
                <c:pt idx="285">
                  <c:v>37499</c:v>
                </c:pt>
                <c:pt idx="286">
                  <c:v>37468</c:v>
                </c:pt>
                <c:pt idx="287">
                  <c:v>37437</c:v>
                </c:pt>
                <c:pt idx="288">
                  <c:v>37407</c:v>
                </c:pt>
                <c:pt idx="289">
                  <c:v>37376</c:v>
                </c:pt>
                <c:pt idx="290">
                  <c:v>37346</c:v>
                </c:pt>
                <c:pt idx="291">
                  <c:v>37315</c:v>
                </c:pt>
                <c:pt idx="292">
                  <c:v>37287</c:v>
                </c:pt>
                <c:pt idx="293">
                  <c:v>37256</c:v>
                </c:pt>
                <c:pt idx="294">
                  <c:v>37225</c:v>
                </c:pt>
                <c:pt idx="295">
                  <c:v>37195</c:v>
                </c:pt>
                <c:pt idx="296">
                  <c:v>37164</c:v>
                </c:pt>
                <c:pt idx="297">
                  <c:v>37134</c:v>
                </c:pt>
                <c:pt idx="298">
                  <c:v>37103</c:v>
                </c:pt>
                <c:pt idx="299">
                  <c:v>37072</c:v>
                </c:pt>
                <c:pt idx="300">
                  <c:v>37042</c:v>
                </c:pt>
                <c:pt idx="301">
                  <c:v>37011</c:v>
                </c:pt>
                <c:pt idx="302">
                  <c:v>36981</c:v>
                </c:pt>
                <c:pt idx="303">
                  <c:v>36950</c:v>
                </c:pt>
                <c:pt idx="304">
                  <c:v>36922</c:v>
                </c:pt>
                <c:pt idx="305">
                  <c:v>36891</c:v>
                </c:pt>
                <c:pt idx="306">
                  <c:v>36860</c:v>
                </c:pt>
                <c:pt idx="307">
                  <c:v>36830</c:v>
                </c:pt>
                <c:pt idx="308">
                  <c:v>36799</c:v>
                </c:pt>
                <c:pt idx="309">
                  <c:v>36769</c:v>
                </c:pt>
                <c:pt idx="310">
                  <c:v>36738</c:v>
                </c:pt>
                <c:pt idx="311">
                  <c:v>36707</c:v>
                </c:pt>
                <c:pt idx="312">
                  <c:v>36677</c:v>
                </c:pt>
                <c:pt idx="313">
                  <c:v>36646</c:v>
                </c:pt>
                <c:pt idx="314">
                  <c:v>36616</c:v>
                </c:pt>
                <c:pt idx="315">
                  <c:v>36585</c:v>
                </c:pt>
                <c:pt idx="316">
                  <c:v>36556</c:v>
                </c:pt>
                <c:pt idx="317">
                  <c:v>36525</c:v>
                </c:pt>
                <c:pt idx="318">
                  <c:v>36494</c:v>
                </c:pt>
                <c:pt idx="319">
                  <c:v>36464</c:v>
                </c:pt>
                <c:pt idx="320">
                  <c:v>36433</c:v>
                </c:pt>
                <c:pt idx="321">
                  <c:v>36403</c:v>
                </c:pt>
                <c:pt idx="322">
                  <c:v>36372</c:v>
                </c:pt>
                <c:pt idx="323">
                  <c:v>36341</c:v>
                </c:pt>
                <c:pt idx="324">
                  <c:v>36311</c:v>
                </c:pt>
                <c:pt idx="325">
                  <c:v>36280</c:v>
                </c:pt>
                <c:pt idx="326">
                  <c:v>36250</c:v>
                </c:pt>
                <c:pt idx="327">
                  <c:v>36219</c:v>
                </c:pt>
                <c:pt idx="328">
                  <c:v>36191</c:v>
                </c:pt>
                <c:pt idx="329">
                  <c:v>36160</c:v>
                </c:pt>
                <c:pt idx="330">
                  <c:v>36129</c:v>
                </c:pt>
                <c:pt idx="331">
                  <c:v>36099</c:v>
                </c:pt>
                <c:pt idx="332">
                  <c:v>36068</c:v>
                </c:pt>
                <c:pt idx="333">
                  <c:v>36038</c:v>
                </c:pt>
                <c:pt idx="334">
                  <c:v>36007</c:v>
                </c:pt>
                <c:pt idx="335">
                  <c:v>35976</c:v>
                </c:pt>
                <c:pt idx="336">
                  <c:v>35946</c:v>
                </c:pt>
                <c:pt idx="337">
                  <c:v>35915</c:v>
                </c:pt>
                <c:pt idx="338">
                  <c:v>35885</c:v>
                </c:pt>
                <c:pt idx="339">
                  <c:v>35854</c:v>
                </c:pt>
                <c:pt idx="340">
                  <c:v>35826</c:v>
                </c:pt>
                <c:pt idx="341">
                  <c:v>35795</c:v>
                </c:pt>
                <c:pt idx="342">
                  <c:v>35764</c:v>
                </c:pt>
                <c:pt idx="343">
                  <c:v>35734</c:v>
                </c:pt>
                <c:pt idx="344">
                  <c:v>35703</c:v>
                </c:pt>
                <c:pt idx="345">
                  <c:v>35673</c:v>
                </c:pt>
                <c:pt idx="346">
                  <c:v>35642</c:v>
                </c:pt>
                <c:pt idx="347">
                  <c:v>35611</c:v>
                </c:pt>
                <c:pt idx="348">
                  <c:v>35581</c:v>
                </c:pt>
                <c:pt idx="349">
                  <c:v>35550</c:v>
                </c:pt>
                <c:pt idx="350">
                  <c:v>35520</c:v>
                </c:pt>
                <c:pt idx="351">
                  <c:v>35489</c:v>
                </c:pt>
                <c:pt idx="352">
                  <c:v>35461</c:v>
                </c:pt>
              </c:numCache>
            </c:numRef>
          </c:cat>
          <c:val>
            <c:numRef>
              <c:f>'R-Sq'!$H$3:$H$1355</c:f>
              <c:numCache>
                <c:formatCode>0%</c:formatCode>
                <c:ptCount val="1353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0.67247737758075676</c:v>
                </c:pt>
                <c:pt idx="22">
                  <c:v>0.66056665790849156</c:v>
                </c:pt>
                <c:pt idx="23">
                  <c:v>0.63260481408895941</c:v>
                </c:pt>
                <c:pt idx="24">
                  <c:v>0.6095050530443642</c:v>
                </c:pt>
                <c:pt idx="25">
                  <c:v>0.59899933812570239</c:v>
                </c:pt>
                <c:pt idx="26">
                  <c:v>0.59679392330825576</c:v>
                </c:pt>
                <c:pt idx="27">
                  <c:v>0.58781137214253976</c:v>
                </c:pt>
                <c:pt idx="28">
                  <c:v>0.57619670710807003</c:v>
                </c:pt>
                <c:pt idx="29">
                  <c:v>0.57375392688258298</c:v>
                </c:pt>
                <c:pt idx="30">
                  <c:v>0.56420760498452749</c:v>
                </c:pt>
                <c:pt idx="31">
                  <c:v>0.54816088939249241</c:v>
                </c:pt>
                <c:pt idx="32">
                  <c:v>0.52996765181310546</c:v>
                </c:pt>
                <c:pt idx="33">
                  <c:v>0.52841398251168215</c:v>
                </c:pt>
                <c:pt idx="34">
                  <c:v>0.53365085317404704</c:v>
                </c:pt>
                <c:pt idx="35">
                  <c:v>0.54563019372470389</c:v>
                </c:pt>
                <c:pt idx="36">
                  <c:v>0.56582880994771534</c:v>
                </c:pt>
                <c:pt idx="37">
                  <c:v>0.5527217240969875</c:v>
                </c:pt>
                <c:pt idx="38">
                  <c:v>0.52350077025358255</c:v>
                </c:pt>
                <c:pt idx="39">
                  <c:v>0.49773152634690798</c:v>
                </c:pt>
                <c:pt idx="40">
                  <c:v>0.47238099069992284</c:v>
                </c:pt>
                <c:pt idx="41">
                  <c:v>0.46654231150697278</c:v>
                </c:pt>
                <c:pt idx="42">
                  <c:v>0.44778683375504291</c:v>
                </c:pt>
                <c:pt idx="43">
                  <c:v>0.44394368774931176</c:v>
                </c:pt>
                <c:pt idx="44">
                  <c:v>0.43077207130406459</c:v>
                </c:pt>
                <c:pt idx="45">
                  <c:v>0.40530110759717364</c:v>
                </c:pt>
                <c:pt idx="46">
                  <c:v>0.40408901883305792</c:v>
                </c:pt>
                <c:pt idx="47">
                  <c:v>0.4146540387610837</c:v>
                </c:pt>
                <c:pt idx="48">
                  <c:v>0.40384489701273801</c:v>
                </c:pt>
                <c:pt idx="49">
                  <c:v>0.40804728448229594</c:v>
                </c:pt>
                <c:pt idx="50">
                  <c:v>0.42008464895192138</c:v>
                </c:pt>
                <c:pt idx="51">
                  <c:v>0.44652593788437261</c:v>
                </c:pt>
                <c:pt idx="52">
                  <c:v>0.46007977901584496</c:v>
                </c:pt>
                <c:pt idx="53">
                  <c:v>0.49586902875498551</c:v>
                </c:pt>
                <c:pt idx="54">
                  <c:v>0.5075327384641225</c:v>
                </c:pt>
                <c:pt idx="55">
                  <c:v>0.5032926829107236</c:v>
                </c:pt>
                <c:pt idx="56">
                  <c:v>0.49653729551454473</c:v>
                </c:pt>
                <c:pt idx="57">
                  <c:v>0.49253491007931854</c:v>
                </c:pt>
                <c:pt idx="58">
                  <c:v>0.49037986963447078</c:v>
                </c:pt>
                <c:pt idx="59">
                  <c:v>0.50659443959549955</c:v>
                </c:pt>
                <c:pt idx="60">
                  <c:v>0.50702908754595311</c:v>
                </c:pt>
                <c:pt idx="61">
                  <c:v>0.51618208244295771</c:v>
                </c:pt>
                <c:pt idx="62">
                  <c:v>0.5275995966192254</c:v>
                </c:pt>
                <c:pt idx="63">
                  <c:v>0.54656361304973189</c:v>
                </c:pt>
                <c:pt idx="64">
                  <c:v>0.5527548651035864</c:v>
                </c:pt>
                <c:pt idx="65">
                  <c:v>0.56326122353353758</c:v>
                </c:pt>
                <c:pt idx="66">
                  <c:v>0.59913613919200925</c:v>
                </c:pt>
                <c:pt idx="67">
                  <c:v>0.63141403028742316</c:v>
                </c:pt>
                <c:pt idx="68">
                  <c:v>0.64780428420250324</c:v>
                </c:pt>
                <c:pt idx="69">
                  <c:v>0.70552902270769668</c:v>
                </c:pt>
                <c:pt idx="70">
                  <c:v>0.75034767462287111</c:v>
                </c:pt>
                <c:pt idx="71">
                  <c:v>0.79219967524829482</c:v>
                </c:pt>
                <c:pt idx="72">
                  <c:v>0.79232564540454209</c:v>
                </c:pt>
                <c:pt idx="73">
                  <c:v>0.8108115579865669</c:v>
                </c:pt>
                <c:pt idx="74">
                  <c:v>0.80655712635000998</c:v>
                </c:pt>
                <c:pt idx="75">
                  <c:v>0.76316131061721126</c:v>
                </c:pt>
                <c:pt idx="76">
                  <c:v>0.7275214540717696</c:v>
                </c:pt>
                <c:pt idx="77">
                  <c:v>0.6848560467725755</c:v>
                </c:pt>
                <c:pt idx="78">
                  <c:v>0.66030427070883912</c:v>
                </c:pt>
                <c:pt idx="79">
                  <c:v>0.62929403856180388</c:v>
                </c:pt>
                <c:pt idx="80">
                  <c:v>0.59846356339248119</c:v>
                </c:pt>
                <c:pt idx="81">
                  <c:v>0.57464597719080968</c:v>
                </c:pt>
                <c:pt idx="82">
                  <c:v>0.55228435816418764</c:v>
                </c:pt>
                <c:pt idx="83">
                  <c:v>0.55937742413312297</c:v>
                </c:pt>
                <c:pt idx="84">
                  <c:v>0.55942554314960313</c:v>
                </c:pt>
                <c:pt idx="85">
                  <c:v>0.51318894012158667</c:v>
                </c:pt>
                <c:pt idx="86">
                  <c:v>0.48243863825001532</c:v>
                </c:pt>
                <c:pt idx="87">
                  <c:v>0.46756591079581089</c:v>
                </c:pt>
                <c:pt idx="88">
                  <c:v>0.46063683655806148</c:v>
                </c:pt>
                <c:pt idx="89">
                  <c:v>0.45970712587427243</c:v>
                </c:pt>
                <c:pt idx="90">
                  <c:v>0.42514273010507042</c:v>
                </c:pt>
                <c:pt idx="91">
                  <c:v>0.40960514144918436</c:v>
                </c:pt>
                <c:pt idx="92">
                  <c:v>0.41279937128206856</c:v>
                </c:pt>
                <c:pt idx="93">
                  <c:v>0.41098729698311909</c:v>
                </c:pt>
                <c:pt idx="94">
                  <c:v>0.41742957063152314</c:v>
                </c:pt>
                <c:pt idx="95">
                  <c:v>0.4085564890793344</c:v>
                </c:pt>
                <c:pt idx="96">
                  <c:v>0.40655871544678435</c:v>
                </c:pt>
                <c:pt idx="97">
                  <c:v>0.42108922932135973</c:v>
                </c:pt>
                <c:pt idx="98">
                  <c:v>0.46590031651543173</c:v>
                </c:pt>
                <c:pt idx="99">
                  <c:v>0.52324680326658168</c:v>
                </c:pt>
                <c:pt idx="100">
                  <c:v>0.56935890437924908</c:v>
                </c:pt>
                <c:pt idx="101">
                  <c:v>0.59377201274558389</c:v>
                </c:pt>
                <c:pt idx="102">
                  <c:v>0.61993156370300684</c:v>
                </c:pt>
                <c:pt idx="103">
                  <c:v>0.64697737146838585</c:v>
                </c:pt>
                <c:pt idx="104">
                  <c:v>0.65937421754393644</c:v>
                </c:pt>
                <c:pt idx="105">
                  <c:v>0.67141411626840886</c:v>
                </c:pt>
                <c:pt idx="106">
                  <c:v>0.66789327919578079</c:v>
                </c:pt>
                <c:pt idx="107">
                  <c:v>0.6739541768019488</c:v>
                </c:pt>
                <c:pt idx="108">
                  <c:v>0.68255714139938384</c:v>
                </c:pt>
                <c:pt idx="109">
                  <c:v>0.69787649989903699</c:v>
                </c:pt>
                <c:pt idx="110">
                  <c:v>0.68343398427054225</c:v>
                </c:pt>
                <c:pt idx="111">
                  <c:v>0.67914783411204982</c:v>
                </c:pt>
                <c:pt idx="112">
                  <c:v>0.67714951594287776</c:v>
                </c:pt>
                <c:pt idx="113">
                  <c:v>0.67500730097931338</c:v>
                </c:pt>
                <c:pt idx="114">
                  <c:v>0.67669185833976175</c:v>
                </c:pt>
                <c:pt idx="115">
                  <c:v>0.68589874666573758</c:v>
                </c:pt>
                <c:pt idx="116">
                  <c:v>0.70384160736432955</c:v>
                </c:pt>
                <c:pt idx="117">
                  <c:v>0.72368801514434022</c:v>
                </c:pt>
                <c:pt idx="118">
                  <c:v>0.72674213374648944</c:v>
                </c:pt>
                <c:pt idx="119">
                  <c:v>0.72595013257854113</c:v>
                </c:pt>
                <c:pt idx="120">
                  <c:v>0.7222380275966569</c:v>
                </c:pt>
                <c:pt idx="121">
                  <c:v>0.71987902285110306</c:v>
                </c:pt>
                <c:pt idx="122">
                  <c:v>0.72941054163762808</c:v>
                </c:pt>
                <c:pt idx="123">
                  <c:v>0.72029417006294061</c:v>
                </c:pt>
                <c:pt idx="124">
                  <c:v>0.71813514373773135</c:v>
                </c:pt>
                <c:pt idx="125">
                  <c:v>0.70745652894065858</c:v>
                </c:pt>
                <c:pt idx="126">
                  <c:v>0.69237445315722179</c:v>
                </c:pt>
                <c:pt idx="127">
                  <c:v>0.68634356803047025</c:v>
                </c:pt>
                <c:pt idx="128">
                  <c:v>0.67461865035760471</c:v>
                </c:pt>
                <c:pt idx="129">
                  <c:v>0.67040877904903728</c:v>
                </c:pt>
                <c:pt idx="130">
                  <c:v>0.67166543422369895</c:v>
                </c:pt>
                <c:pt idx="131">
                  <c:v>0.66665199068323966</c:v>
                </c:pt>
                <c:pt idx="132">
                  <c:v>0.68689729133145405</c:v>
                </c:pt>
                <c:pt idx="133">
                  <c:v>0.68198376755880441</c:v>
                </c:pt>
                <c:pt idx="134">
                  <c:v>0.6534311706890783</c:v>
                </c:pt>
                <c:pt idx="135">
                  <c:v>0.59130280652463962</c:v>
                </c:pt>
                <c:pt idx="136">
                  <c:v>0.5365209628679406</c:v>
                </c:pt>
                <c:pt idx="137">
                  <c:v>0.50383643604082351</c:v>
                </c:pt>
                <c:pt idx="138">
                  <c:v>0.41033553115028926</c:v>
                </c:pt>
                <c:pt idx="139">
                  <c:v>0.34972123413420736</c:v>
                </c:pt>
                <c:pt idx="140">
                  <c:v>0.33486654348464673</c:v>
                </c:pt>
                <c:pt idx="141">
                  <c:v>0.3135246100192407</c:v>
                </c:pt>
                <c:pt idx="142">
                  <c:v>0.29800604012668774</c:v>
                </c:pt>
                <c:pt idx="143">
                  <c:v>0.29631795108757492</c:v>
                </c:pt>
                <c:pt idx="144">
                  <c:v>0.30100266077679205</c:v>
                </c:pt>
                <c:pt idx="145">
                  <c:v>0.30375690180780923</c:v>
                </c:pt>
                <c:pt idx="146">
                  <c:v>0.31328622565833592</c:v>
                </c:pt>
                <c:pt idx="147">
                  <c:v>0.33967443895921062</c:v>
                </c:pt>
                <c:pt idx="148">
                  <c:v>0.37104448280007529</c:v>
                </c:pt>
                <c:pt idx="149">
                  <c:v>0.38515217204288615</c:v>
                </c:pt>
                <c:pt idx="150">
                  <c:v>0.33216496228534176</c:v>
                </c:pt>
                <c:pt idx="151">
                  <c:v>0.28310843315710965</c:v>
                </c:pt>
                <c:pt idx="152">
                  <c:v>0.28211740403653413</c:v>
                </c:pt>
                <c:pt idx="153">
                  <c:v>0.34851383194300622</c:v>
                </c:pt>
                <c:pt idx="154">
                  <c:v>0.40331374432480227</c:v>
                </c:pt>
                <c:pt idx="155">
                  <c:v>0.44916371227092095</c:v>
                </c:pt>
                <c:pt idx="156">
                  <c:v>0.50148070593624339</c:v>
                </c:pt>
                <c:pt idx="157">
                  <c:v>0.55360900023939297</c:v>
                </c:pt>
                <c:pt idx="158">
                  <c:v>0.58723931067565671</c:v>
                </c:pt>
                <c:pt idx="159">
                  <c:v>0.63344286434279673</c:v>
                </c:pt>
                <c:pt idx="160">
                  <c:v>0.68188551230773797</c:v>
                </c:pt>
                <c:pt idx="161">
                  <c:v>0.72674371413520389</c:v>
                </c:pt>
                <c:pt idx="162">
                  <c:v>0.75458869368237214</c:v>
                </c:pt>
                <c:pt idx="163">
                  <c:v>0.78806890862446333</c:v>
                </c:pt>
                <c:pt idx="164">
                  <c:v>0.81210679524550944</c:v>
                </c:pt>
                <c:pt idx="165">
                  <c:v>0.82718858405323581</c:v>
                </c:pt>
                <c:pt idx="166">
                  <c:v>0.83898430640009303</c:v>
                </c:pt>
                <c:pt idx="167">
                  <c:v>0.84885936185589772</c:v>
                </c:pt>
                <c:pt idx="168">
                  <c:v>0.86407491203937703</c:v>
                </c:pt>
                <c:pt idx="169">
                  <c:v>0.87543426201222352</c:v>
                </c:pt>
                <c:pt idx="170">
                  <c:v>0.87242865848487394</c:v>
                </c:pt>
                <c:pt idx="171">
                  <c:v>0.86844001555227246</c:v>
                </c:pt>
                <c:pt idx="172">
                  <c:v>0.86776266064050933</c:v>
                </c:pt>
                <c:pt idx="173">
                  <c:v>0.8651356192321773</c:v>
                </c:pt>
                <c:pt idx="174">
                  <c:v>0.8648670271051716</c:v>
                </c:pt>
                <c:pt idx="175">
                  <c:v>0.86458367795265201</c:v>
                </c:pt>
                <c:pt idx="176">
                  <c:v>0.86576986443332138</c:v>
                </c:pt>
                <c:pt idx="177">
                  <c:v>0.86783589400280503</c:v>
                </c:pt>
                <c:pt idx="178">
                  <c:v>0.86982132790915756</c:v>
                </c:pt>
                <c:pt idx="179">
                  <c:v>0.87572659014939658</c:v>
                </c:pt>
                <c:pt idx="180">
                  <c:v>0.88051015224022799</c:v>
                </c:pt>
                <c:pt idx="181">
                  <c:v>0.88487105705259017</c:v>
                </c:pt>
                <c:pt idx="182">
                  <c:v>0.88804571688114065</c:v>
                </c:pt>
                <c:pt idx="183">
                  <c:v>0.88728696799217244</c:v>
                </c:pt>
                <c:pt idx="184">
                  <c:v>0.88653364869399209</c:v>
                </c:pt>
                <c:pt idx="185">
                  <c:v>0.87944360209480921</c:v>
                </c:pt>
                <c:pt idx="186">
                  <c:v>0.87549356459029104</c:v>
                </c:pt>
                <c:pt idx="187">
                  <c:v>0.87423924146496013</c:v>
                </c:pt>
                <c:pt idx="188">
                  <c:v>0.87141183342379192</c:v>
                </c:pt>
                <c:pt idx="189">
                  <c:v>0.86553602267853025</c:v>
                </c:pt>
                <c:pt idx="190">
                  <c:v>0.86118516596547701</c:v>
                </c:pt>
                <c:pt idx="191">
                  <c:v>0.85823997301878674</c:v>
                </c:pt>
                <c:pt idx="192">
                  <c:v>0.85753230185203821</c:v>
                </c:pt>
                <c:pt idx="193">
                  <c:v>0.85655312657907023</c:v>
                </c:pt>
                <c:pt idx="194">
                  <c:v>0.85689267178333095</c:v>
                </c:pt>
                <c:pt idx="195">
                  <c:v>0.8599238874045475</c:v>
                </c:pt>
                <c:pt idx="196">
                  <c:v>0.86320407743500427</c:v>
                </c:pt>
                <c:pt idx="197">
                  <c:v>0.86428660185718365</c:v>
                </c:pt>
                <c:pt idx="198">
                  <c:v>0.87707428827531908</c:v>
                </c:pt>
                <c:pt idx="199">
                  <c:v>0.88368454018158626</c:v>
                </c:pt>
                <c:pt idx="200">
                  <c:v>0.87917539981456494</c:v>
                </c:pt>
                <c:pt idx="201">
                  <c:v>0.87459887288306326</c:v>
                </c:pt>
                <c:pt idx="202">
                  <c:v>0.86828772877829352</c:v>
                </c:pt>
                <c:pt idx="203">
                  <c:v>0.86319129863665411</c:v>
                </c:pt>
                <c:pt idx="204">
                  <c:v>0.85491127720289084</c:v>
                </c:pt>
                <c:pt idx="205">
                  <c:v>0.84665300508079733</c:v>
                </c:pt>
                <c:pt idx="206">
                  <c:v>0.83856183040298016</c:v>
                </c:pt>
                <c:pt idx="207">
                  <c:v>0.82537437504953803</c:v>
                </c:pt>
                <c:pt idx="208">
                  <c:v>0.81156136715777405</c:v>
                </c:pt>
                <c:pt idx="209">
                  <c:v>0.79427997202395451</c:v>
                </c:pt>
                <c:pt idx="210">
                  <c:v>0.78663456977767499</c:v>
                </c:pt>
                <c:pt idx="211">
                  <c:v>0.78800796845010279</c:v>
                </c:pt>
                <c:pt idx="212">
                  <c:v>0.78715228843533858</c:v>
                </c:pt>
                <c:pt idx="213">
                  <c:v>0.78823254075995552</c:v>
                </c:pt>
                <c:pt idx="214">
                  <c:v>0.78644342665788347</c:v>
                </c:pt>
                <c:pt idx="215">
                  <c:v>0.78947556688472198</c:v>
                </c:pt>
                <c:pt idx="216">
                  <c:v>0.79395092768953313</c:v>
                </c:pt>
                <c:pt idx="217">
                  <c:v>0.79384455322632985</c:v>
                </c:pt>
                <c:pt idx="218">
                  <c:v>0.79666573371936389</c:v>
                </c:pt>
                <c:pt idx="219">
                  <c:v>0.80366359288154543</c:v>
                </c:pt>
                <c:pt idx="220">
                  <c:v>0.81401393133258326</c:v>
                </c:pt>
                <c:pt idx="221">
                  <c:v>0.81375203123007467</c:v>
                </c:pt>
                <c:pt idx="222">
                  <c:v>0.80740663897660225</c:v>
                </c:pt>
                <c:pt idx="223">
                  <c:v>0.790509161960951</c:v>
                </c:pt>
                <c:pt idx="224">
                  <c:v>0.77664819705345611</c:v>
                </c:pt>
                <c:pt idx="225">
                  <c:v>0.77146055236457667</c:v>
                </c:pt>
                <c:pt idx="226">
                  <c:v>0.75369918436522676</c:v>
                </c:pt>
                <c:pt idx="227">
                  <c:v>0.72930924163935507</c:v>
                </c:pt>
                <c:pt idx="228">
                  <c:v>0.68139025402522357</c:v>
                </c:pt>
                <c:pt idx="229">
                  <c:v>0.61092919904379028</c:v>
                </c:pt>
                <c:pt idx="230">
                  <c:v>0.55342525280447219</c:v>
                </c:pt>
                <c:pt idx="231">
                  <c:v>0.4877124134658804</c:v>
                </c:pt>
                <c:pt idx="232">
                  <c:v>0.39076378700593328</c:v>
                </c:pt>
                <c:pt idx="233">
                  <c:v>0.29284384153683546</c:v>
                </c:pt>
                <c:pt idx="234">
                  <c:v>0.19499516799246802</c:v>
                </c:pt>
                <c:pt idx="235">
                  <c:v>0.13055060164724686</c:v>
                </c:pt>
                <c:pt idx="236">
                  <c:v>8.8064877051750895E-2</c:v>
                </c:pt>
                <c:pt idx="237">
                  <c:v>6.1048970377505292E-2</c:v>
                </c:pt>
                <c:pt idx="238">
                  <c:v>5.7210108253751682E-2</c:v>
                </c:pt>
                <c:pt idx="239">
                  <c:v>5.9449474766705049E-2</c:v>
                </c:pt>
                <c:pt idx="240">
                  <c:v>6.7255940318725657E-2</c:v>
                </c:pt>
                <c:pt idx="241">
                  <c:v>8.2753679961504761E-2</c:v>
                </c:pt>
                <c:pt idx="242">
                  <c:v>8.9473020500622003E-2</c:v>
                </c:pt>
                <c:pt idx="243">
                  <c:v>0.10842643008651953</c:v>
                </c:pt>
                <c:pt idx="244">
                  <c:v>0.15506320333030837</c:v>
                </c:pt>
                <c:pt idx="245">
                  <c:v>0.23868436264304888</c:v>
                </c:pt>
                <c:pt idx="246">
                  <c:v>0.32089147894971159</c:v>
                </c:pt>
                <c:pt idx="247">
                  <c:v>0.38241305777311457</c:v>
                </c:pt>
                <c:pt idx="248">
                  <c:v>0.44786673355650658</c:v>
                </c:pt>
                <c:pt idx="249">
                  <c:v>0.48764174060227033</c:v>
                </c:pt>
                <c:pt idx="250">
                  <c:v>0.51980071305015607</c:v>
                </c:pt>
                <c:pt idx="251">
                  <c:v>0.53510491623648482</c:v>
                </c:pt>
                <c:pt idx="252">
                  <c:v>0.53805733566739311</c:v>
                </c:pt>
                <c:pt idx="253">
                  <c:v>0.54608021628715164</c:v>
                </c:pt>
                <c:pt idx="254">
                  <c:v>0.55493778524732518</c:v>
                </c:pt>
                <c:pt idx="255">
                  <c:v>0.55079970777025478</c:v>
                </c:pt>
                <c:pt idx="256">
                  <c:v>0.53971422774257649</c:v>
                </c:pt>
                <c:pt idx="257">
                  <c:v>0.55118446475649285</c:v>
                </c:pt>
                <c:pt idx="258">
                  <c:v>0.56421036231971444</c:v>
                </c:pt>
                <c:pt idx="259">
                  <c:v>0.56901380576185212</c:v>
                </c:pt>
                <c:pt idx="260">
                  <c:v>0.56960207496291981</c:v>
                </c:pt>
                <c:pt idx="261">
                  <c:v>0.56719771790439566</c:v>
                </c:pt>
                <c:pt idx="262">
                  <c:v>0.56446296152236486</c:v>
                </c:pt>
                <c:pt idx="263">
                  <c:v>0.56222840747183922</c:v>
                </c:pt>
                <c:pt idx="264">
                  <c:v>0.56262824403060407</c:v>
                </c:pt>
                <c:pt idx="265">
                  <c:v>0.55939815408225047</c:v>
                </c:pt>
                <c:pt idx="266">
                  <c:v>0.55446789136990882</c:v>
                </c:pt>
                <c:pt idx="267">
                  <c:v>0.55150581736290394</c:v>
                </c:pt>
                <c:pt idx="268">
                  <c:v>0.54787890982879339</c:v>
                </c:pt>
                <c:pt idx="269">
                  <c:v>0.54208258613075766</c:v>
                </c:pt>
                <c:pt idx="270">
                  <c:v>0.53744536743161597</c:v>
                </c:pt>
                <c:pt idx="271">
                  <c:v>0.52277160634693831</c:v>
                </c:pt>
                <c:pt idx="272">
                  <c:v>0.51351321764241276</c:v>
                </c:pt>
                <c:pt idx="273">
                  <c:v>0.48791923776117169</c:v>
                </c:pt>
                <c:pt idx="274">
                  <c:v>0.44784256742357242</c:v>
                </c:pt>
                <c:pt idx="275">
                  <c:v>0.42815646495420928</c:v>
                </c:pt>
                <c:pt idx="276">
                  <c:v>0.4099635083890763</c:v>
                </c:pt>
                <c:pt idx="277">
                  <c:v>0.39566275925549471</c:v>
                </c:pt>
                <c:pt idx="278">
                  <c:v>0.3806973939361542</c:v>
                </c:pt>
                <c:pt idx="279">
                  <c:v>0.35773586702134308</c:v>
                </c:pt>
                <c:pt idx="280">
                  <c:v>0.33688551754520846</c:v>
                </c:pt>
                <c:pt idx="281">
                  <c:v>0.32161984670058791</c:v>
                </c:pt>
                <c:pt idx="282">
                  <c:v>0.31169087448669658</c:v>
                </c:pt>
                <c:pt idx="283">
                  <c:v>0.30613059096419437</c:v>
                </c:pt>
                <c:pt idx="284">
                  <c:v>0.29330243699298292</c:v>
                </c:pt>
                <c:pt idx="285">
                  <c:v>0.27424247639933153</c:v>
                </c:pt>
                <c:pt idx="286">
                  <c:v>0.27211412561751408</c:v>
                </c:pt>
                <c:pt idx="287">
                  <c:v>0.2730529333691824</c:v>
                </c:pt>
                <c:pt idx="288">
                  <c:v>0.28072788534338</c:v>
                </c:pt>
                <c:pt idx="289">
                  <c:v>0.29662087024131062</c:v>
                </c:pt>
                <c:pt idx="290">
                  <c:v>0.32186284947440896</c:v>
                </c:pt>
                <c:pt idx="291">
                  <c:v>0.35126382786500882</c:v>
                </c:pt>
                <c:pt idx="292">
                  <c:v>0.38093673868746925</c:v>
                </c:pt>
                <c:pt idx="293">
                  <c:v>0.40861867698801807</c:v>
                </c:pt>
                <c:pt idx="294">
                  <c:v>#N/A</c:v>
                </c:pt>
                <c:pt idx="295">
                  <c:v>#N/A</c:v>
                </c:pt>
                <c:pt idx="296">
                  <c:v>#N/A</c:v>
                </c:pt>
                <c:pt idx="297">
                  <c:v>#N/A</c:v>
                </c:pt>
                <c:pt idx="298">
                  <c:v>#N/A</c:v>
                </c:pt>
                <c:pt idx="299">
                  <c:v>#N/A</c:v>
                </c:pt>
                <c:pt idx="300">
                  <c:v>#N/A</c:v>
                </c:pt>
                <c:pt idx="301">
                  <c:v>#N/A</c:v>
                </c:pt>
                <c:pt idx="302">
                  <c:v>#N/A</c:v>
                </c:pt>
                <c:pt idx="303">
                  <c:v>#N/A</c:v>
                </c:pt>
                <c:pt idx="304">
                  <c:v>#N/A</c:v>
                </c:pt>
                <c:pt idx="305">
                  <c:v>#N/A</c:v>
                </c:pt>
                <c:pt idx="306">
                  <c:v>#N/A</c:v>
                </c:pt>
                <c:pt idx="307">
                  <c:v>#N/A</c:v>
                </c:pt>
                <c:pt idx="308">
                  <c:v>#N/A</c:v>
                </c:pt>
                <c:pt idx="309">
                  <c:v>#N/A</c:v>
                </c:pt>
                <c:pt idx="310">
                  <c:v>#N/A</c:v>
                </c:pt>
                <c:pt idx="311">
                  <c:v>#N/A</c:v>
                </c:pt>
                <c:pt idx="312">
                  <c:v>#N/A</c:v>
                </c:pt>
                <c:pt idx="313">
                  <c:v>#N/A</c:v>
                </c:pt>
                <c:pt idx="314">
                  <c:v>#N/A</c:v>
                </c:pt>
                <c:pt idx="315">
                  <c:v>#N/A</c:v>
                </c:pt>
                <c:pt idx="316">
                  <c:v>#N/A</c:v>
                </c:pt>
                <c:pt idx="317">
                  <c:v>#N/A</c:v>
                </c:pt>
                <c:pt idx="318">
                  <c:v>#N/A</c:v>
                </c:pt>
                <c:pt idx="319">
                  <c:v>#N/A</c:v>
                </c:pt>
                <c:pt idx="320">
                  <c:v>#N/A</c:v>
                </c:pt>
                <c:pt idx="321">
                  <c:v>#N/A</c:v>
                </c:pt>
                <c:pt idx="322">
                  <c:v>#N/A</c:v>
                </c:pt>
                <c:pt idx="323">
                  <c:v>#N/A</c:v>
                </c:pt>
                <c:pt idx="324">
                  <c:v>#N/A</c:v>
                </c:pt>
                <c:pt idx="325">
                  <c:v>#N/A</c:v>
                </c:pt>
                <c:pt idx="326">
                  <c:v>#N/A</c:v>
                </c:pt>
                <c:pt idx="327">
                  <c:v>#N/A</c:v>
                </c:pt>
                <c:pt idx="328">
                  <c:v>#N/A</c:v>
                </c:pt>
                <c:pt idx="329">
                  <c:v>#N/A</c:v>
                </c:pt>
                <c:pt idx="330">
                  <c:v>#N/A</c:v>
                </c:pt>
                <c:pt idx="331">
                  <c:v>#N/A</c:v>
                </c:pt>
                <c:pt idx="332">
                  <c:v>#N/A</c:v>
                </c:pt>
                <c:pt idx="333">
                  <c:v>#N/A</c:v>
                </c:pt>
                <c:pt idx="334">
                  <c:v>#N/A</c:v>
                </c:pt>
                <c:pt idx="335">
                  <c:v>#N/A</c:v>
                </c:pt>
                <c:pt idx="336">
                  <c:v>#N/A</c:v>
                </c:pt>
                <c:pt idx="337">
                  <c:v>#N/A</c:v>
                </c:pt>
                <c:pt idx="338">
                  <c:v>#N/A</c:v>
                </c:pt>
                <c:pt idx="339">
                  <c:v>#N/A</c:v>
                </c:pt>
                <c:pt idx="340">
                  <c:v>#N/A</c:v>
                </c:pt>
                <c:pt idx="341">
                  <c:v>#N/A</c:v>
                </c:pt>
                <c:pt idx="342">
                  <c:v>#N/A</c:v>
                </c:pt>
                <c:pt idx="343">
                  <c:v>#N/A</c:v>
                </c:pt>
                <c:pt idx="344">
                  <c:v>#N/A</c:v>
                </c:pt>
                <c:pt idx="345">
                  <c:v>#N/A</c:v>
                </c:pt>
                <c:pt idx="346">
                  <c:v>#N/A</c:v>
                </c:pt>
                <c:pt idx="347">
                  <c:v>#N/A</c:v>
                </c:pt>
                <c:pt idx="348">
                  <c:v>#N/A</c:v>
                </c:pt>
                <c:pt idx="349">
                  <c:v>#N/A</c:v>
                </c:pt>
                <c:pt idx="350">
                  <c:v>#N/A</c:v>
                </c:pt>
                <c:pt idx="351">
                  <c:v>#N/A</c:v>
                </c:pt>
                <c:pt idx="352">
                  <c:v>#N/A</c:v>
                </c:pt>
                <c:pt idx="353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214-41D6-AEDC-DA12F7C5DDDC}"/>
            </c:ext>
          </c:extLst>
        </c:ser>
        <c:ser>
          <c:idx val="2"/>
          <c:order val="2"/>
          <c:tx>
            <c:strRef>
              <c:f>'R-Sq'!$I$2</c:f>
              <c:strCache>
                <c:ptCount val="1"/>
                <c:pt idx="0">
                  <c:v>Credit : M2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'R-Sq'!$A$3:$A$1355</c:f>
              <c:numCache>
                <c:formatCode>m/d/yyyy</c:formatCode>
                <c:ptCount val="1353"/>
                <c:pt idx="0">
                  <c:v>46173</c:v>
                </c:pt>
                <c:pt idx="1">
                  <c:v>46142</c:v>
                </c:pt>
                <c:pt idx="2">
                  <c:v>46112</c:v>
                </c:pt>
                <c:pt idx="3">
                  <c:v>46081</c:v>
                </c:pt>
                <c:pt idx="4">
                  <c:v>46053</c:v>
                </c:pt>
                <c:pt idx="5">
                  <c:v>46022</c:v>
                </c:pt>
                <c:pt idx="6">
                  <c:v>45991</c:v>
                </c:pt>
                <c:pt idx="7">
                  <c:v>45961</c:v>
                </c:pt>
                <c:pt idx="8">
                  <c:v>45930</c:v>
                </c:pt>
                <c:pt idx="9">
                  <c:v>45900</c:v>
                </c:pt>
                <c:pt idx="10">
                  <c:v>45869</c:v>
                </c:pt>
                <c:pt idx="11">
                  <c:v>45838</c:v>
                </c:pt>
                <c:pt idx="12">
                  <c:v>45808</c:v>
                </c:pt>
                <c:pt idx="13">
                  <c:v>45777</c:v>
                </c:pt>
                <c:pt idx="14">
                  <c:v>45747</c:v>
                </c:pt>
                <c:pt idx="15">
                  <c:v>45716</c:v>
                </c:pt>
                <c:pt idx="16">
                  <c:v>45688</c:v>
                </c:pt>
                <c:pt idx="17">
                  <c:v>45657</c:v>
                </c:pt>
                <c:pt idx="18">
                  <c:v>45626</c:v>
                </c:pt>
                <c:pt idx="19">
                  <c:v>45596</c:v>
                </c:pt>
                <c:pt idx="20">
                  <c:v>45565</c:v>
                </c:pt>
                <c:pt idx="21">
                  <c:v>45535</c:v>
                </c:pt>
                <c:pt idx="22">
                  <c:v>45504</c:v>
                </c:pt>
                <c:pt idx="23">
                  <c:v>45473</c:v>
                </c:pt>
                <c:pt idx="24">
                  <c:v>45443</c:v>
                </c:pt>
                <c:pt idx="25">
                  <c:v>45412</c:v>
                </c:pt>
                <c:pt idx="26">
                  <c:v>45382</c:v>
                </c:pt>
                <c:pt idx="27">
                  <c:v>45351</c:v>
                </c:pt>
                <c:pt idx="28">
                  <c:v>45322</c:v>
                </c:pt>
                <c:pt idx="29">
                  <c:v>45291</c:v>
                </c:pt>
                <c:pt idx="30">
                  <c:v>45260</c:v>
                </c:pt>
                <c:pt idx="31">
                  <c:v>45230</c:v>
                </c:pt>
                <c:pt idx="32">
                  <c:v>45199</c:v>
                </c:pt>
                <c:pt idx="33">
                  <c:v>45169</c:v>
                </c:pt>
                <c:pt idx="34">
                  <c:v>45138</c:v>
                </c:pt>
                <c:pt idx="35">
                  <c:v>45107</c:v>
                </c:pt>
                <c:pt idx="36">
                  <c:v>45077</c:v>
                </c:pt>
                <c:pt idx="37">
                  <c:v>45046</c:v>
                </c:pt>
                <c:pt idx="38">
                  <c:v>45016</c:v>
                </c:pt>
                <c:pt idx="39">
                  <c:v>44985</c:v>
                </c:pt>
                <c:pt idx="40">
                  <c:v>44957</c:v>
                </c:pt>
                <c:pt idx="41">
                  <c:v>44926</c:v>
                </c:pt>
                <c:pt idx="42">
                  <c:v>44895</c:v>
                </c:pt>
                <c:pt idx="43">
                  <c:v>44865</c:v>
                </c:pt>
                <c:pt idx="44">
                  <c:v>44834</c:v>
                </c:pt>
                <c:pt idx="45">
                  <c:v>44804</c:v>
                </c:pt>
                <c:pt idx="46">
                  <c:v>44773</c:v>
                </c:pt>
                <c:pt idx="47">
                  <c:v>44742</c:v>
                </c:pt>
                <c:pt idx="48">
                  <c:v>44712</c:v>
                </c:pt>
                <c:pt idx="49">
                  <c:v>44681</c:v>
                </c:pt>
                <c:pt idx="50">
                  <c:v>44651</c:v>
                </c:pt>
                <c:pt idx="51">
                  <c:v>44620</c:v>
                </c:pt>
                <c:pt idx="52">
                  <c:v>44592</c:v>
                </c:pt>
                <c:pt idx="53">
                  <c:v>44561</c:v>
                </c:pt>
                <c:pt idx="54">
                  <c:v>44530</c:v>
                </c:pt>
                <c:pt idx="55">
                  <c:v>44500</c:v>
                </c:pt>
                <c:pt idx="56">
                  <c:v>44469</c:v>
                </c:pt>
                <c:pt idx="57">
                  <c:v>44439</c:v>
                </c:pt>
                <c:pt idx="58">
                  <c:v>44408</c:v>
                </c:pt>
                <c:pt idx="59">
                  <c:v>44377</c:v>
                </c:pt>
                <c:pt idx="60">
                  <c:v>44347</c:v>
                </c:pt>
                <c:pt idx="61">
                  <c:v>44316</c:v>
                </c:pt>
                <c:pt idx="62">
                  <c:v>44286</c:v>
                </c:pt>
                <c:pt idx="63">
                  <c:v>44255</c:v>
                </c:pt>
                <c:pt idx="64">
                  <c:v>44227</c:v>
                </c:pt>
                <c:pt idx="65">
                  <c:v>44196</c:v>
                </c:pt>
                <c:pt idx="66">
                  <c:v>44165</c:v>
                </c:pt>
                <c:pt idx="67">
                  <c:v>44135</c:v>
                </c:pt>
                <c:pt idx="68">
                  <c:v>44104</c:v>
                </c:pt>
                <c:pt idx="69">
                  <c:v>44074</c:v>
                </c:pt>
                <c:pt idx="70">
                  <c:v>44043</c:v>
                </c:pt>
                <c:pt idx="71">
                  <c:v>44012</c:v>
                </c:pt>
                <c:pt idx="72">
                  <c:v>43982</c:v>
                </c:pt>
                <c:pt idx="73">
                  <c:v>43951</c:v>
                </c:pt>
                <c:pt idx="74">
                  <c:v>43921</c:v>
                </c:pt>
                <c:pt idx="75">
                  <c:v>43890</c:v>
                </c:pt>
                <c:pt idx="76">
                  <c:v>43861</c:v>
                </c:pt>
                <c:pt idx="77">
                  <c:v>43830</c:v>
                </c:pt>
                <c:pt idx="78">
                  <c:v>43799</c:v>
                </c:pt>
                <c:pt idx="79">
                  <c:v>43769</c:v>
                </c:pt>
                <c:pt idx="80">
                  <c:v>43738</c:v>
                </c:pt>
                <c:pt idx="81">
                  <c:v>43708</c:v>
                </c:pt>
                <c:pt idx="82">
                  <c:v>43677</c:v>
                </c:pt>
                <c:pt idx="83">
                  <c:v>43646</c:v>
                </c:pt>
                <c:pt idx="84">
                  <c:v>43616</c:v>
                </c:pt>
                <c:pt idx="85">
                  <c:v>43585</c:v>
                </c:pt>
                <c:pt idx="86">
                  <c:v>43555</c:v>
                </c:pt>
                <c:pt idx="87">
                  <c:v>43524</c:v>
                </c:pt>
                <c:pt idx="88">
                  <c:v>43496</c:v>
                </c:pt>
                <c:pt idx="89">
                  <c:v>43465</c:v>
                </c:pt>
                <c:pt idx="90">
                  <c:v>43434</c:v>
                </c:pt>
                <c:pt idx="91">
                  <c:v>43404</c:v>
                </c:pt>
                <c:pt idx="92">
                  <c:v>43373</c:v>
                </c:pt>
                <c:pt idx="93">
                  <c:v>43343</c:v>
                </c:pt>
                <c:pt idx="94">
                  <c:v>43312</c:v>
                </c:pt>
                <c:pt idx="95">
                  <c:v>43281</c:v>
                </c:pt>
                <c:pt idx="96">
                  <c:v>43251</c:v>
                </c:pt>
                <c:pt idx="97">
                  <c:v>43220</c:v>
                </c:pt>
                <c:pt idx="98">
                  <c:v>43190</c:v>
                </c:pt>
                <c:pt idx="99">
                  <c:v>43159</c:v>
                </c:pt>
                <c:pt idx="100">
                  <c:v>43131</c:v>
                </c:pt>
                <c:pt idx="101">
                  <c:v>43100</c:v>
                </c:pt>
                <c:pt idx="102">
                  <c:v>43069</c:v>
                </c:pt>
                <c:pt idx="103">
                  <c:v>43039</c:v>
                </c:pt>
                <c:pt idx="104">
                  <c:v>43008</c:v>
                </c:pt>
                <c:pt idx="105">
                  <c:v>42978</c:v>
                </c:pt>
                <c:pt idx="106">
                  <c:v>42947</c:v>
                </c:pt>
                <c:pt idx="107">
                  <c:v>42916</c:v>
                </c:pt>
                <c:pt idx="108">
                  <c:v>42886</c:v>
                </c:pt>
                <c:pt idx="109">
                  <c:v>42855</c:v>
                </c:pt>
                <c:pt idx="110">
                  <c:v>42825</c:v>
                </c:pt>
                <c:pt idx="111">
                  <c:v>42794</c:v>
                </c:pt>
                <c:pt idx="112">
                  <c:v>42766</c:v>
                </c:pt>
                <c:pt idx="113">
                  <c:v>42735</c:v>
                </c:pt>
                <c:pt idx="114">
                  <c:v>42704</c:v>
                </c:pt>
                <c:pt idx="115">
                  <c:v>42674</c:v>
                </c:pt>
                <c:pt idx="116">
                  <c:v>42643</c:v>
                </c:pt>
                <c:pt idx="117">
                  <c:v>42613</c:v>
                </c:pt>
                <c:pt idx="118">
                  <c:v>42582</c:v>
                </c:pt>
                <c:pt idx="119">
                  <c:v>42551</c:v>
                </c:pt>
                <c:pt idx="120">
                  <c:v>42521</c:v>
                </c:pt>
                <c:pt idx="121">
                  <c:v>42490</c:v>
                </c:pt>
                <c:pt idx="122">
                  <c:v>42460</c:v>
                </c:pt>
                <c:pt idx="123">
                  <c:v>42429</c:v>
                </c:pt>
                <c:pt idx="124">
                  <c:v>42400</c:v>
                </c:pt>
                <c:pt idx="125">
                  <c:v>42369</c:v>
                </c:pt>
                <c:pt idx="126">
                  <c:v>42338</c:v>
                </c:pt>
                <c:pt idx="127">
                  <c:v>42308</c:v>
                </c:pt>
                <c:pt idx="128">
                  <c:v>42277</c:v>
                </c:pt>
                <c:pt idx="129">
                  <c:v>42247</c:v>
                </c:pt>
                <c:pt idx="130">
                  <c:v>42216</c:v>
                </c:pt>
                <c:pt idx="131">
                  <c:v>42185</c:v>
                </c:pt>
                <c:pt idx="132">
                  <c:v>42155</c:v>
                </c:pt>
                <c:pt idx="133">
                  <c:v>42124</c:v>
                </c:pt>
                <c:pt idx="134">
                  <c:v>42094</c:v>
                </c:pt>
                <c:pt idx="135">
                  <c:v>42063</c:v>
                </c:pt>
                <c:pt idx="136">
                  <c:v>42035</c:v>
                </c:pt>
                <c:pt idx="137">
                  <c:v>42004</c:v>
                </c:pt>
                <c:pt idx="138">
                  <c:v>41973</c:v>
                </c:pt>
                <c:pt idx="139">
                  <c:v>41943</c:v>
                </c:pt>
                <c:pt idx="140">
                  <c:v>41912</c:v>
                </c:pt>
                <c:pt idx="141">
                  <c:v>41882</c:v>
                </c:pt>
                <c:pt idx="142">
                  <c:v>41851</c:v>
                </c:pt>
                <c:pt idx="143">
                  <c:v>41820</c:v>
                </c:pt>
                <c:pt idx="144">
                  <c:v>41790</c:v>
                </c:pt>
                <c:pt idx="145">
                  <c:v>41759</c:v>
                </c:pt>
                <c:pt idx="146">
                  <c:v>41729</c:v>
                </c:pt>
                <c:pt idx="147">
                  <c:v>41698</c:v>
                </c:pt>
                <c:pt idx="148">
                  <c:v>41670</c:v>
                </c:pt>
                <c:pt idx="149">
                  <c:v>41639</c:v>
                </c:pt>
                <c:pt idx="150">
                  <c:v>41608</c:v>
                </c:pt>
                <c:pt idx="151">
                  <c:v>41578</c:v>
                </c:pt>
                <c:pt idx="152">
                  <c:v>41547</c:v>
                </c:pt>
                <c:pt idx="153">
                  <c:v>41517</c:v>
                </c:pt>
                <c:pt idx="154">
                  <c:v>41486</c:v>
                </c:pt>
                <c:pt idx="155">
                  <c:v>41455</c:v>
                </c:pt>
                <c:pt idx="156">
                  <c:v>41425</c:v>
                </c:pt>
                <c:pt idx="157">
                  <c:v>41394</c:v>
                </c:pt>
                <c:pt idx="158">
                  <c:v>41364</c:v>
                </c:pt>
                <c:pt idx="159">
                  <c:v>41333</c:v>
                </c:pt>
                <c:pt idx="160">
                  <c:v>41305</c:v>
                </c:pt>
                <c:pt idx="161">
                  <c:v>41274</c:v>
                </c:pt>
                <c:pt idx="162">
                  <c:v>41243</c:v>
                </c:pt>
                <c:pt idx="163">
                  <c:v>41213</c:v>
                </c:pt>
                <c:pt idx="164">
                  <c:v>41182</c:v>
                </c:pt>
                <c:pt idx="165">
                  <c:v>41152</c:v>
                </c:pt>
                <c:pt idx="166">
                  <c:v>41121</c:v>
                </c:pt>
                <c:pt idx="167">
                  <c:v>41090</c:v>
                </c:pt>
                <c:pt idx="168">
                  <c:v>41060</c:v>
                </c:pt>
                <c:pt idx="169">
                  <c:v>41029</c:v>
                </c:pt>
                <c:pt idx="170">
                  <c:v>40999</c:v>
                </c:pt>
                <c:pt idx="171">
                  <c:v>40968</c:v>
                </c:pt>
                <c:pt idx="172">
                  <c:v>40939</c:v>
                </c:pt>
                <c:pt idx="173">
                  <c:v>40908</c:v>
                </c:pt>
                <c:pt idx="174">
                  <c:v>40877</c:v>
                </c:pt>
                <c:pt idx="175">
                  <c:v>40847</c:v>
                </c:pt>
                <c:pt idx="176">
                  <c:v>40816</c:v>
                </c:pt>
                <c:pt idx="177">
                  <c:v>40786</c:v>
                </c:pt>
                <c:pt idx="178">
                  <c:v>40755</c:v>
                </c:pt>
                <c:pt idx="179">
                  <c:v>40724</c:v>
                </c:pt>
                <c:pt idx="180">
                  <c:v>40694</c:v>
                </c:pt>
                <c:pt idx="181">
                  <c:v>40663</c:v>
                </c:pt>
                <c:pt idx="182">
                  <c:v>40633</c:v>
                </c:pt>
                <c:pt idx="183">
                  <c:v>40602</c:v>
                </c:pt>
                <c:pt idx="184">
                  <c:v>40574</c:v>
                </c:pt>
                <c:pt idx="185">
                  <c:v>40543</c:v>
                </c:pt>
                <c:pt idx="186">
                  <c:v>40512</c:v>
                </c:pt>
                <c:pt idx="187">
                  <c:v>40482</c:v>
                </c:pt>
                <c:pt idx="188">
                  <c:v>40451</c:v>
                </c:pt>
                <c:pt idx="189">
                  <c:v>40421</c:v>
                </c:pt>
                <c:pt idx="190">
                  <c:v>40390</c:v>
                </c:pt>
                <c:pt idx="191">
                  <c:v>40359</c:v>
                </c:pt>
                <c:pt idx="192">
                  <c:v>40329</c:v>
                </c:pt>
                <c:pt idx="193">
                  <c:v>40298</c:v>
                </c:pt>
                <c:pt idx="194">
                  <c:v>40268</c:v>
                </c:pt>
                <c:pt idx="195">
                  <c:v>40237</c:v>
                </c:pt>
                <c:pt idx="196">
                  <c:v>40209</c:v>
                </c:pt>
                <c:pt idx="197">
                  <c:v>40178</c:v>
                </c:pt>
                <c:pt idx="198">
                  <c:v>40147</c:v>
                </c:pt>
                <c:pt idx="199">
                  <c:v>40117</c:v>
                </c:pt>
                <c:pt idx="200">
                  <c:v>40086</c:v>
                </c:pt>
                <c:pt idx="201">
                  <c:v>40056</c:v>
                </c:pt>
                <c:pt idx="202">
                  <c:v>40025</c:v>
                </c:pt>
                <c:pt idx="203">
                  <c:v>39994</c:v>
                </c:pt>
                <c:pt idx="204">
                  <c:v>39964</c:v>
                </c:pt>
                <c:pt idx="205">
                  <c:v>39933</c:v>
                </c:pt>
                <c:pt idx="206">
                  <c:v>39903</c:v>
                </c:pt>
                <c:pt idx="207">
                  <c:v>39872</c:v>
                </c:pt>
                <c:pt idx="208">
                  <c:v>39844</c:v>
                </c:pt>
                <c:pt idx="209">
                  <c:v>39813</c:v>
                </c:pt>
                <c:pt idx="210">
                  <c:v>39782</c:v>
                </c:pt>
                <c:pt idx="211">
                  <c:v>39752</c:v>
                </c:pt>
                <c:pt idx="212">
                  <c:v>39721</c:v>
                </c:pt>
                <c:pt idx="213">
                  <c:v>39691</c:v>
                </c:pt>
                <c:pt idx="214">
                  <c:v>39660</c:v>
                </c:pt>
                <c:pt idx="215">
                  <c:v>39629</c:v>
                </c:pt>
                <c:pt idx="216">
                  <c:v>39599</c:v>
                </c:pt>
                <c:pt idx="217">
                  <c:v>39568</c:v>
                </c:pt>
                <c:pt idx="218">
                  <c:v>39538</c:v>
                </c:pt>
                <c:pt idx="219">
                  <c:v>39507</c:v>
                </c:pt>
                <c:pt idx="220">
                  <c:v>39478</c:v>
                </c:pt>
                <c:pt idx="221">
                  <c:v>39447</c:v>
                </c:pt>
                <c:pt idx="222">
                  <c:v>39416</c:v>
                </c:pt>
                <c:pt idx="223">
                  <c:v>39386</c:v>
                </c:pt>
                <c:pt idx="224">
                  <c:v>39355</c:v>
                </c:pt>
                <c:pt idx="225">
                  <c:v>39325</c:v>
                </c:pt>
                <c:pt idx="226">
                  <c:v>39294</c:v>
                </c:pt>
                <c:pt idx="227">
                  <c:v>39263</c:v>
                </c:pt>
                <c:pt idx="228">
                  <c:v>39233</c:v>
                </c:pt>
                <c:pt idx="229">
                  <c:v>39202</c:v>
                </c:pt>
                <c:pt idx="230">
                  <c:v>39172</c:v>
                </c:pt>
                <c:pt idx="231">
                  <c:v>39141</c:v>
                </c:pt>
                <c:pt idx="232">
                  <c:v>39113</c:v>
                </c:pt>
                <c:pt idx="233">
                  <c:v>39082</c:v>
                </c:pt>
                <c:pt idx="234">
                  <c:v>39051</c:v>
                </c:pt>
                <c:pt idx="235">
                  <c:v>39021</c:v>
                </c:pt>
                <c:pt idx="236">
                  <c:v>38990</c:v>
                </c:pt>
                <c:pt idx="237">
                  <c:v>38960</c:v>
                </c:pt>
                <c:pt idx="238">
                  <c:v>38929</c:v>
                </c:pt>
                <c:pt idx="239">
                  <c:v>38898</c:v>
                </c:pt>
                <c:pt idx="240">
                  <c:v>38868</c:v>
                </c:pt>
                <c:pt idx="241">
                  <c:v>38837</c:v>
                </c:pt>
                <c:pt idx="242">
                  <c:v>38807</c:v>
                </c:pt>
                <c:pt idx="243">
                  <c:v>38776</c:v>
                </c:pt>
                <c:pt idx="244">
                  <c:v>38748</c:v>
                </c:pt>
                <c:pt idx="245">
                  <c:v>38717</c:v>
                </c:pt>
                <c:pt idx="246">
                  <c:v>38686</c:v>
                </c:pt>
                <c:pt idx="247">
                  <c:v>38656</c:v>
                </c:pt>
                <c:pt idx="248">
                  <c:v>38625</c:v>
                </c:pt>
                <c:pt idx="249">
                  <c:v>38595</c:v>
                </c:pt>
                <c:pt idx="250">
                  <c:v>38564</c:v>
                </c:pt>
                <c:pt idx="251">
                  <c:v>38533</c:v>
                </c:pt>
                <c:pt idx="252">
                  <c:v>38503</c:v>
                </c:pt>
                <c:pt idx="253">
                  <c:v>38472</c:v>
                </c:pt>
                <c:pt idx="254">
                  <c:v>38442</c:v>
                </c:pt>
                <c:pt idx="255">
                  <c:v>38411</c:v>
                </c:pt>
                <c:pt idx="256">
                  <c:v>38383</c:v>
                </c:pt>
                <c:pt idx="257">
                  <c:v>38352</c:v>
                </c:pt>
                <c:pt idx="258">
                  <c:v>38321</c:v>
                </c:pt>
                <c:pt idx="259">
                  <c:v>38291</c:v>
                </c:pt>
                <c:pt idx="260">
                  <c:v>38260</c:v>
                </c:pt>
                <c:pt idx="261">
                  <c:v>38230</c:v>
                </c:pt>
                <c:pt idx="262">
                  <c:v>38199</c:v>
                </c:pt>
                <c:pt idx="263">
                  <c:v>38168</c:v>
                </c:pt>
                <c:pt idx="264">
                  <c:v>38138</c:v>
                </c:pt>
                <c:pt idx="265">
                  <c:v>38107</c:v>
                </c:pt>
                <c:pt idx="266">
                  <c:v>38077</c:v>
                </c:pt>
                <c:pt idx="267">
                  <c:v>38046</c:v>
                </c:pt>
                <c:pt idx="268">
                  <c:v>38017</c:v>
                </c:pt>
                <c:pt idx="269">
                  <c:v>37986</c:v>
                </c:pt>
                <c:pt idx="270">
                  <c:v>37955</c:v>
                </c:pt>
                <c:pt idx="271">
                  <c:v>37925</c:v>
                </c:pt>
                <c:pt idx="272">
                  <c:v>37894</c:v>
                </c:pt>
                <c:pt idx="273">
                  <c:v>37864</c:v>
                </c:pt>
                <c:pt idx="274">
                  <c:v>37833</c:v>
                </c:pt>
                <c:pt idx="275">
                  <c:v>37802</c:v>
                </c:pt>
                <c:pt idx="276">
                  <c:v>37772</c:v>
                </c:pt>
                <c:pt idx="277">
                  <c:v>37741</c:v>
                </c:pt>
                <c:pt idx="278">
                  <c:v>37711</c:v>
                </c:pt>
                <c:pt idx="279">
                  <c:v>37680</c:v>
                </c:pt>
                <c:pt idx="280">
                  <c:v>37652</c:v>
                </c:pt>
                <c:pt idx="281">
                  <c:v>37621</c:v>
                </c:pt>
                <c:pt idx="282">
                  <c:v>37590</c:v>
                </c:pt>
                <c:pt idx="283">
                  <c:v>37560</c:v>
                </c:pt>
                <c:pt idx="284">
                  <c:v>37529</c:v>
                </c:pt>
                <c:pt idx="285">
                  <c:v>37499</c:v>
                </c:pt>
                <c:pt idx="286">
                  <c:v>37468</c:v>
                </c:pt>
                <c:pt idx="287">
                  <c:v>37437</c:v>
                </c:pt>
                <c:pt idx="288">
                  <c:v>37407</c:v>
                </c:pt>
                <c:pt idx="289">
                  <c:v>37376</c:v>
                </c:pt>
                <c:pt idx="290">
                  <c:v>37346</c:v>
                </c:pt>
                <c:pt idx="291">
                  <c:v>37315</c:v>
                </c:pt>
                <c:pt idx="292">
                  <c:v>37287</c:v>
                </c:pt>
                <c:pt idx="293">
                  <c:v>37256</c:v>
                </c:pt>
                <c:pt idx="294">
                  <c:v>37225</c:v>
                </c:pt>
                <c:pt idx="295">
                  <c:v>37195</c:v>
                </c:pt>
                <c:pt idx="296">
                  <c:v>37164</c:v>
                </c:pt>
                <c:pt idx="297">
                  <c:v>37134</c:v>
                </c:pt>
                <c:pt idx="298">
                  <c:v>37103</c:v>
                </c:pt>
                <c:pt idx="299">
                  <c:v>37072</c:v>
                </c:pt>
                <c:pt idx="300">
                  <c:v>37042</c:v>
                </c:pt>
                <c:pt idx="301">
                  <c:v>37011</c:v>
                </c:pt>
                <c:pt idx="302">
                  <c:v>36981</c:v>
                </c:pt>
                <c:pt idx="303">
                  <c:v>36950</c:v>
                </c:pt>
                <c:pt idx="304">
                  <c:v>36922</c:v>
                </c:pt>
                <c:pt idx="305">
                  <c:v>36891</c:v>
                </c:pt>
                <c:pt idx="306">
                  <c:v>36860</c:v>
                </c:pt>
                <c:pt idx="307">
                  <c:v>36830</c:v>
                </c:pt>
                <c:pt idx="308">
                  <c:v>36799</c:v>
                </c:pt>
                <c:pt idx="309">
                  <c:v>36769</c:v>
                </c:pt>
                <c:pt idx="310">
                  <c:v>36738</c:v>
                </c:pt>
                <c:pt idx="311">
                  <c:v>36707</c:v>
                </c:pt>
                <c:pt idx="312">
                  <c:v>36677</c:v>
                </c:pt>
                <c:pt idx="313">
                  <c:v>36646</c:v>
                </c:pt>
                <c:pt idx="314">
                  <c:v>36616</c:v>
                </c:pt>
                <c:pt idx="315">
                  <c:v>36585</c:v>
                </c:pt>
                <c:pt idx="316">
                  <c:v>36556</c:v>
                </c:pt>
                <c:pt idx="317">
                  <c:v>36525</c:v>
                </c:pt>
                <c:pt idx="318">
                  <c:v>36494</c:v>
                </c:pt>
                <c:pt idx="319">
                  <c:v>36464</c:v>
                </c:pt>
                <c:pt idx="320">
                  <c:v>36433</c:v>
                </c:pt>
                <c:pt idx="321">
                  <c:v>36403</c:v>
                </c:pt>
                <c:pt idx="322">
                  <c:v>36372</c:v>
                </c:pt>
                <c:pt idx="323">
                  <c:v>36341</c:v>
                </c:pt>
                <c:pt idx="324">
                  <c:v>36311</c:v>
                </c:pt>
                <c:pt idx="325">
                  <c:v>36280</c:v>
                </c:pt>
                <c:pt idx="326">
                  <c:v>36250</c:v>
                </c:pt>
                <c:pt idx="327">
                  <c:v>36219</c:v>
                </c:pt>
                <c:pt idx="328">
                  <c:v>36191</c:v>
                </c:pt>
                <c:pt idx="329">
                  <c:v>36160</c:v>
                </c:pt>
                <c:pt idx="330">
                  <c:v>36129</c:v>
                </c:pt>
                <c:pt idx="331">
                  <c:v>36099</c:v>
                </c:pt>
                <c:pt idx="332">
                  <c:v>36068</c:v>
                </c:pt>
                <c:pt idx="333">
                  <c:v>36038</c:v>
                </c:pt>
                <c:pt idx="334">
                  <c:v>36007</c:v>
                </c:pt>
                <c:pt idx="335">
                  <c:v>35976</c:v>
                </c:pt>
                <c:pt idx="336">
                  <c:v>35946</c:v>
                </c:pt>
                <c:pt idx="337">
                  <c:v>35915</c:v>
                </c:pt>
                <c:pt idx="338">
                  <c:v>35885</c:v>
                </c:pt>
                <c:pt idx="339">
                  <c:v>35854</c:v>
                </c:pt>
                <c:pt idx="340">
                  <c:v>35826</c:v>
                </c:pt>
                <c:pt idx="341">
                  <c:v>35795</c:v>
                </c:pt>
                <c:pt idx="342">
                  <c:v>35764</c:v>
                </c:pt>
                <c:pt idx="343">
                  <c:v>35734</c:v>
                </c:pt>
                <c:pt idx="344">
                  <c:v>35703</c:v>
                </c:pt>
                <c:pt idx="345">
                  <c:v>35673</c:v>
                </c:pt>
                <c:pt idx="346">
                  <c:v>35642</c:v>
                </c:pt>
                <c:pt idx="347">
                  <c:v>35611</c:v>
                </c:pt>
                <c:pt idx="348">
                  <c:v>35581</c:v>
                </c:pt>
                <c:pt idx="349">
                  <c:v>35550</c:v>
                </c:pt>
                <c:pt idx="350">
                  <c:v>35520</c:v>
                </c:pt>
                <c:pt idx="351">
                  <c:v>35489</c:v>
                </c:pt>
                <c:pt idx="352">
                  <c:v>35461</c:v>
                </c:pt>
              </c:numCache>
            </c:numRef>
          </c:cat>
          <c:val>
            <c:numRef>
              <c:f>'R-Sq'!$I$3:$I$1355</c:f>
              <c:numCache>
                <c:formatCode>0%</c:formatCode>
                <c:ptCount val="1353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7.4458237606580338E-2</c:v>
                </c:pt>
                <c:pt idx="22">
                  <c:v>6.7403289383159301E-2</c:v>
                </c:pt>
                <c:pt idx="23">
                  <c:v>6.3300227995648412E-2</c:v>
                </c:pt>
                <c:pt idx="24">
                  <c:v>6.8654687968855821E-2</c:v>
                </c:pt>
                <c:pt idx="25">
                  <c:v>6.6426788639756484E-2</c:v>
                </c:pt>
                <c:pt idx="26">
                  <c:v>6.2602985761224389E-2</c:v>
                </c:pt>
                <c:pt idx="27">
                  <c:v>6.1542337749705502E-2</c:v>
                </c:pt>
                <c:pt idx="28">
                  <c:v>5.78372023975696E-2</c:v>
                </c:pt>
                <c:pt idx="29">
                  <c:v>5.307711292542959E-2</c:v>
                </c:pt>
                <c:pt idx="30">
                  <c:v>4.2303692235549487E-2</c:v>
                </c:pt>
                <c:pt idx="31">
                  <c:v>3.5749630220364613E-2</c:v>
                </c:pt>
                <c:pt idx="32">
                  <c:v>2.4742654376083476E-2</c:v>
                </c:pt>
                <c:pt idx="33">
                  <c:v>2.0691213493758638E-2</c:v>
                </c:pt>
                <c:pt idx="34">
                  <c:v>2.3056000230247228E-2</c:v>
                </c:pt>
                <c:pt idx="35">
                  <c:v>3.189058806735777E-2</c:v>
                </c:pt>
                <c:pt idx="36">
                  <c:v>4.2753435259941103E-2</c:v>
                </c:pt>
                <c:pt idx="37">
                  <c:v>3.7347378341733892E-2</c:v>
                </c:pt>
                <c:pt idx="38">
                  <c:v>2.4998737539383132E-2</c:v>
                </c:pt>
                <c:pt idx="39">
                  <c:v>1.5332417960990779E-2</c:v>
                </c:pt>
                <c:pt idx="40">
                  <c:v>6.3243785474043582E-3</c:v>
                </c:pt>
                <c:pt idx="41">
                  <c:v>4.6149074694944144E-3</c:v>
                </c:pt>
                <c:pt idx="42">
                  <c:v>6.6285160472980345E-4</c:v>
                </c:pt>
                <c:pt idx="43">
                  <c:v>2.4439463485921525E-5</c:v>
                </c:pt>
                <c:pt idx="44">
                  <c:v>9.0664039508280166E-4</c:v>
                </c:pt>
                <c:pt idx="45">
                  <c:v>7.6854447175356893E-3</c:v>
                </c:pt>
                <c:pt idx="46">
                  <c:v>1.0331483806195745E-2</c:v>
                </c:pt>
                <c:pt idx="47">
                  <c:v>1.1319534150854888E-2</c:v>
                </c:pt>
                <c:pt idx="48">
                  <c:v>1.5438651869411974E-2</c:v>
                </c:pt>
                <c:pt idx="49">
                  <c:v>1.4841877899983426E-2</c:v>
                </c:pt>
                <c:pt idx="50">
                  <c:v>1.1657297053410745E-2</c:v>
                </c:pt>
                <c:pt idx="51">
                  <c:v>4.1033000595314933E-3</c:v>
                </c:pt>
                <c:pt idx="52">
                  <c:v>1.7347420391831997E-3</c:v>
                </c:pt>
                <c:pt idx="53">
                  <c:v>5.3031648844882615E-5</c:v>
                </c:pt>
                <c:pt idx="54">
                  <c:v>1.6736468018630131E-5</c:v>
                </c:pt>
                <c:pt idx="55">
                  <c:v>5.6893481782875382E-7</c:v>
                </c:pt>
                <c:pt idx="56">
                  <c:v>1.0000502739016895E-4</c:v>
                </c:pt>
                <c:pt idx="57">
                  <c:v>6.541331722448449E-4</c:v>
                </c:pt>
                <c:pt idx="58">
                  <c:v>4.7398093064450362E-3</c:v>
                </c:pt>
                <c:pt idx="59">
                  <c:v>1.4147678167571703E-2</c:v>
                </c:pt>
                <c:pt idx="60">
                  <c:v>1.665631783772574E-2</c:v>
                </c:pt>
                <c:pt idx="61">
                  <c:v>2.1253829811554364E-2</c:v>
                </c:pt>
                <c:pt idx="62">
                  <c:v>2.2128475219559032E-2</c:v>
                </c:pt>
                <c:pt idx="63">
                  <c:v>2.6276199680159713E-2</c:v>
                </c:pt>
                <c:pt idx="64">
                  <c:v>2.3356164478699537E-2</c:v>
                </c:pt>
                <c:pt idx="65">
                  <c:v>2.2701606134476315E-2</c:v>
                </c:pt>
                <c:pt idx="66">
                  <c:v>3.0457222331381217E-2</c:v>
                </c:pt>
                <c:pt idx="67">
                  <c:v>4.1838924395743667E-2</c:v>
                </c:pt>
                <c:pt idx="68">
                  <c:v>4.565266135196526E-2</c:v>
                </c:pt>
                <c:pt idx="69">
                  <c:v>5.6194151211356853E-2</c:v>
                </c:pt>
                <c:pt idx="70">
                  <c:v>6.5668829053513969E-2</c:v>
                </c:pt>
                <c:pt idx="71">
                  <c:v>7.3930541236713859E-2</c:v>
                </c:pt>
                <c:pt idx="72">
                  <c:v>7.1336957205908422E-2</c:v>
                </c:pt>
                <c:pt idx="73">
                  <c:v>6.6130114820640032E-2</c:v>
                </c:pt>
                <c:pt idx="74">
                  <c:v>6.2258671760445784E-2</c:v>
                </c:pt>
                <c:pt idx="75">
                  <c:v>0.10651527200269804</c:v>
                </c:pt>
                <c:pt idx="76">
                  <c:v>0.10779474922321267</c:v>
                </c:pt>
                <c:pt idx="77">
                  <c:v>0.10173804302869978</c:v>
                </c:pt>
                <c:pt idx="78">
                  <c:v>0.10648054906582985</c:v>
                </c:pt>
                <c:pt idx="79">
                  <c:v>9.6893100190692527E-2</c:v>
                </c:pt>
                <c:pt idx="80">
                  <c:v>8.2368821478553386E-2</c:v>
                </c:pt>
                <c:pt idx="81">
                  <c:v>7.3060047169180992E-2</c:v>
                </c:pt>
                <c:pt idx="82">
                  <c:v>5.3670543583210134E-2</c:v>
                </c:pt>
                <c:pt idx="83">
                  <c:v>3.7422117276710749E-2</c:v>
                </c:pt>
                <c:pt idx="84">
                  <c:v>2.9956867332068097E-2</c:v>
                </c:pt>
                <c:pt idx="85">
                  <c:v>2.0150115666257261E-2</c:v>
                </c:pt>
                <c:pt idx="86">
                  <c:v>2.1243081056101995E-2</c:v>
                </c:pt>
                <c:pt idx="87">
                  <c:v>1.2615417578574524E-2</c:v>
                </c:pt>
                <c:pt idx="88">
                  <c:v>6.7149152836764115E-3</c:v>
                </c:pt>
                <c:pt idx="89">
                  <c:v>4.2580639446512048E-3</c:v>
                </c:pt>
                <c:pt idx="90">
                  <c:v>3.5109400271034381E-3</c:v>
                </c:pt>
                <c:pt idx="91">
                  <c:v>1.3574003718991312E-3</c:v>
                </c:pt>
                <c:pt idx="92">
                  <c:v>4.5041805739434386E-6</c:v>
                </c:pt>
                <c:pt idx="93">
                  <c:v>3.3322043807525204E-5</c:v>
                </c:pt>
                <c:pt idx="94">
                  <c:v>1.2066758560786784E-4</c:v>
                </c:pt>
                <c:pt idx="95">
                  <c:v>1.6946469080394704E-3</c:v>
                </c:pt>
                <c:pt idx="96">
                  <c:v>5.7347385339499282E-3</c:v>
                </c:pt>
                <c:pt idx="97">
                  <c:v>3.6550577036254571E-3</c:v>
                </c:pt>
                <c:pt idx="98">
                  <c:v>6.4550989886612243E-4</c:v>
                </c:pt>
                <c:pt idx="99">
                  <c:v>1.1800713241111565E-3</c:v>
                </c:pt>
                <c:pt idx="100">
                  <c:v>9.855250159192341E-3</c:v>
                </c:pt>
                <c:pt idx="101">
                  <c:v>1.334946975744992E-2</c:v>
                </c:pt>
                <c:pt idx="102">
                  <c:v>3.3349662917997673E-2</c:v>
                </c:pt>
                <c:pt idx="103">
                  <c:v>4.4731805717089949E-2</c:v>
                </c:pt>
                <c:pt idx="104">
                  <c:v>5.3119443275363984E-2</c:v>
                </c:pt>
                <c:pt idx="105">
                  <c:v>6.7428673165294564E-2</c:v>
                </c:pt>
                <c:pt idx="106">
                  <c:v>7.0131183541431927E-2</c:v>
                </c:pt>
                <c:pt idx="107">
                  <c:v>8.2217843717314887E-2</c:v>
                </c:pt>
                <c:pt idx="108">
                  <c:v>9.7941607193020142E-2</c:v>
                </c:pt>
                <c:pt idx="109">
                  <c:v>0.11463448300030255</c:v>
                </c:pt>
                <c:pt idx="110">
                  <c:v>0.11218487749140389</c:v>
                </c:pt>
                <c:pt idx="111">
                  <c:v>0.10744881361292875</c:v>
                </c:pt>
                <c:pt idx="112">
                  <c:v>0.11148092324047076</c:v>
                </c:pt>
                <c:pt idx="113">
                  <c:v>0.11663435327797288</c:v>
                </c:pt>
                <c:pt idx="114">
                  <c:v>0.13814162859680537</c:v>
                </c:pt>
                <c:pt idx="115">
                  <c:v>0.16367966665226238</c:v>
                </c:pt>
                <c:pt idx="116">
                  <c:v>0.19716389655720762</c:v>
                </c:pt>
                <c:pt idx="117">
                  <c:v>0.23723123115822159</c:v>
                </c:pt>
                <c:pt idx="118">
                  <c:v>0.25656351097983349</c:v>
                </c:pt>
                <c:pt idx="119">
                  <c:v>0.24834789534589341</c:v>
                </c:pt>
                <c:pt idx="120">
                  <c:v>0.22768915975909063</c:v>
                </c:pt>
                <c:pt idx="121">
                  <c:v>0.21526603663291266</c:v>
                </c:pt>
                <c:pt idx="122">
                  <c:v>0.2186507936479275</c:v>
                </c:pt>
                <c:pt idx="123">
                  <c:v>0.21395438099190556</c:v>
                </c:pt>
                <c:pt idx="124">
                  <c:v>0.21128502341843863</c:v>
                </c:pt>
                <c:pt idx="125">
                  <c:v>0.22468053962381818</c:v>
                </c:pt>
                <c:pt idx="126">
                  <c:v>0.22376579103363339</c:v>
                </c:pt>
                <c:pt idx="127">
                  <c:v>0.22720183800682814</c:v>
                </c:pt>
                <c:pt idx="128">
                  <c:v>0.22985917516591184</c:v>
                </c:pt>
                <c:pt idx="129">
                  <c:v>0.25422906143186935</c:v>
                </c:pt>
                <c:pt idx="130">
                  <c:v>0.27128101950423505</c:v>
                </c:pt>
                <c:pt idx="131">
                  <c:v>0.2704715349153769</c:v>
                </c:pt>
                <c:pt idx="132">
                  <c:v>0.27594899716854482</c:v>
                </c:pt>
                <c:pt idx="133">
                  <c:v>0.27284426109380611</c:v>
                </c:pt>
                <c:pt idx="134">
                  <c:v>0.26438034469249672</c:v>
                </c:pt>
                <c:pt idx="135">
                  <c:v>0.25287528465752146</c:v>
                </c:pt>
                <c:pt idx="136">
                  <c:v>0.23237391178074593</c:v>
                </c:pt>
                <c:pt idx="137">
                  <c:v>0.21013353741886084</c:v>
                </c:pt>
                <c:pt idx="138">
                  <c:v>0.17754261267854843</c:v>
                </c:pt>
                <c:pt idx="139">
                  <c:v>0.14821796401203938</c:v>
                </c:pt>
                <c:pt idx="140">
                  <c:v>0.12941550773995608</c:v>
                </c:pt>
                <c:pt idx="141">
                  <c:v>0.11300117116715114</c:v>
                </c:pt>
                <c:pt idx="142">
                  <c:v>9.2049103595359061E-2</c:v>
                </c:pt>
                <c:pt idx="143">
                  <c:v>6.9050372674233668E-2</c:v>
                </c:pt>
                <c:pt idx="144">
                  <c:v>5.5054463986530071E-2</c:v>
                </c:pt>
                <c:pt idx="145">
                  <c:v>2.6389776536428648E-2</c:v>
                </c:pt>
                <c:pt idx="146">
                  <c:v>1.4821210858742996E-2</c:v>
                </c:pt>
                <c:pt idx="147">
                  <c:v>1.7843841641430339E-2</c:v>
                </c:pt>
                <c:pt idx="148">
                  <c:v>5.1843904945333752E-2</c:v>
                </c:pt>
                <c:pt idx="149">
                  <c:v>6.700629784635527E-2</c:v>
                </c:pt>
                <c:pt idx="150">
                  <c:v>3.1378042570104861E-2</c:v>
                </c:pt>
                <c:pt idx="151">
                  <c:v>2.0255377833245511E-3</c:v>
                </c:pt>
                <c:pt idx="152">
                  <c:v>3.944799696196699E-3</c:v>
                </c:pt>
                <c:pt idx="153">
                  <c:v>6.4231768706802139E-2</c:v>
                </c:pt>
                <c:pt idx="154">
                  <c:v>0.19111214464920112</c:v>
                </c:pt>
                <c:pt idx="155">
                  <c:v>0.25576926928605043</c:v>
                </c:pt>
                <c:pt idx="156">
                  <c:v>0.31382666902479583</c:v>
                </c:pt>
                <c:pt idx="157">
                  <c:v>0.38185324201256676</c:v>
                </c:pt>
                <c:pt idx="158">
                  <c:v>0.44076636380162953</c:v>
                </c:pt>
                <c:pt idx="159">
                  <c:v>0.4795503229323046</c:v>
                </c:pt>
                <c:pt idx="160">
                  <c:v>0.51148519993718733</c:v>
                </c:pt>
                <c:pt idx="161">
                  <c:v>0.54739080805307294</c:v>
                </c:pt>
                <c:pt idx="162">
                  <c:v>0.57872833370264487</c:v>
                </c:pt>
                <c:pt idx="163">
                  <c:v>0.59591029708213183</c:v>
                </c:pt>
                <c:pt idx="164">
                  <c:v>0.59574893168185583</c:v>
                </c:pt>
                <c:pt idx="165">
                  <c:v>0.58792388701186626</c:v>
                </c:pt>
                <c:pt idx="166">
                  <c:v>0.58503081186876527</c:v>
                </c:pt>
                <c:pt idx="167">
                  <c:v>0.5823235062035923</c:v>
                </c:pt>
                <c:pt idx="168">
                  <c:v>0.56036131910326237</c:v>
                </c:pt>
                <c:pt idx="169">
                  <c:v>0.53088671800201181</c:v>
                </c:pt>
                <c:pt idx="170">
                  <c:v>0.50250293743841323</c:v>
                </c:pt>
                <c:pt idx="171">
                  <c:v>0.48071850615882999</c:v>
                </c:pt>
                <c:pt idx="172">
                  <c:v>0.45950863299696693</c:v>
                </c:pt>
                <c:pt idx="173">
                  <c:v>0.4385994160054596</c:v>
                </c:pt>
                <c:pt idx="174">
                  <c:v>0.42984615257404707</c:v>
                </c:pt>
                <c:pt idx="175">
                  <c:v>0.4226443515346886</c:v>
                </c:pt>
                <c:pt idx="176">
                  <c:v>0.41200403318697398</c:v>
                </c:pt>
                <c:pt idx="177">
                  <c:v>0.40831449313474977</c:v>
                </c:pt>
                <c:pt idx="178">
                  <c:v>0.40395381257190033</c:v>
                </c:pt>
                <c:pt idx="179">
                  <c:v>0.40034044143851183</c:v>
                </c:pt>
                <c:pt idx="180">
                  <c:v>0.39748607460250474</c:v>
                </c:pt>
                <c:pt idx="181">
                  <c:v>0.39617217595508136</c:v>
                </c:pt>
                <c:pt idx="182">
                  <c:v>0.39588397481738991</c:v>
                </c:pt>
                <c:pt idx="183">
                  <c:v>0.39861638191489362</c:v>
                </c:pt>
                <c:pt idx="184">
                  <c:v>0.40104373401662574</c:v>
                </c:pt>
                <c:pt idx="185">
                  <c:v>0.40306132311830561</c:v>
                </c:pt>
                <c:pt idx="186">
                  <c:v>0.40215692856749008</c:v>
                </c:pt>
                <c:pt idx="187">
                  <c:v>0.40130787830683273</c:v>
                </c:pt>
                <c:pt idx="188">
                  <c:v>0.40178305417718024</c:v>
                </c:pt>
                <c:pt idx="189">
                  <c:v>0.40168216912303589</c:v>
                </c:pt>
                <c:pt idx="190">
                  <c:v>0.40105104750765458</c:v>
                </c:pt>
                <c:pt idx="191">
                  <c:v>0.39814434685597738</c:v>
                </c:pt>
                <c:pt idx="192">
                  <c:v>0.39296875309754659</c:v>
                </c:pt>
                <c:pt idx="193">
                  <c:v>0.38985947805045235</c:v>
                </c:pt>
                <c:pt idx="194">
                  <c:v>0.3968662066284801</c:v>
                </c:pt>
                <c:pt idx="195">
                  <c:v>0.40461038619111056</c:v>
                </c:pt>
                <c:pt idx="196">
                  <c:v>0.40770197644775086</c:v>
                </c:pt>
                <c:pt idx="197">
                  <c:v>0.40796910569746214</c:v>
                </c:pt>
                <c:pt idx="198">
                  <c:v>0.41678271265585742</c:v>
                </c:pt>
                <c:pt idx="199">
                  <c:v>0.41768182350864752</c:v>
                </c:pt>
                <c:pt idx="200">
                  <c:v>0.41353568976498506</c:v>
                </c:pt>
                <c:pt idx="201">
                  <c:v>0.40934200116372088</c:v>
                </c:pt>
                <c:pt idx="202">
                  <c:v>0.40331302774156019</c:v>
                </c:pt>
                <c:pt idx="203">
                  <c:v>0.3968064712929702</c:v>
                </c:pt>
                <c:pt idx="204">
                  <c:v>0.3888388690521547</c:v>
                </c:pt>
                <c:pt idx="205">
                  <c:v>0.379295749286093</c:v>
                </c:pt>
                <c:pt idx="206">
                  <c:v>0.37310694126608179</c:v>
                </c:pt>
                <c:pt idx="207">
                  <c:v>0.37008125665050912</c:v>
                </c:pt>
                <c:pt idx="208">
                  <c:v>0.38276361068681375</c:v>
                </c:pt>
                <c:pt idx="209">
                  <c:v>0.38835855183030316</c:v>
                </c:pt>
                <c:pt idx="210">
                  <c:v>0.39867002548340619</c:v>
                </c:pt>
                <c:pt idx="211">
                  <c:v>0.41449408198707127</c:v>
                </c:pt>
                <c:pt idx="212">
                  <c:v>0.43545482399236102</c:v>
                </c:pt>
                <c:pt idx="213">
                  <c:v>0.4412432541435759</c:v>
                </c:pt>
                <c:pt idx="214">
                  <c:v>0.4655737376096038</c:v>
                </c:pt>
                <c:pt idx="215">
                  <c:v>0.51199931186048231</c:v>
                </c:pt>
                <c:pt idx="216">
                  <c:v>0.55502057384981396</c:v>
                </c:pt>
                <c:pt idx="217">
                  <c:v>0.56698218547505475</c:v>
                </c:pt>
                <c:pt idx="218">
                  <c:v>0.58038608001489544</c:v>
                </c:pt>
                <c:pt idx="219">
                  <c:v>0.62207716772009825</c:v>
                </c:pt>
                <c:pt idx="220">
                  <c:v>0.65166524884902977</c:v>
                </c:pt>
                <c:pt idx="221">
                  <c:v>0.69424053488472448</c:v>
                </c:pt>
                <c:pt idx="222">
                  <c:v>0.73081156610587428</c:v>
                </c:pt>
                <c:pt idx="223">
                  <c:v>0.746933406219083</c:v>
                </c:pt>
                <c:pt idx="224">
                  <c:v>0.7418567114894371</c:v>
                </c:pt>
                <c:pt idx="225">
                  <c:v>0.72390126011794564</c:v>
                </c:pt>
                <c:pt idx="226">
                  <c:v>0.70868612670996978</c:v>
                </c:pt>
                <c:pt idx="227">
                  <c:v>0.6898923178596289</c:v>
                </c:pt>
                <c:pt idx="228">
                  <c:v>0.64050525809175807</c:v>
                </c:pt>
                <c:pt idx="229">
                  <c:v>0.56747893712125974</c:v>
                </c:pt>
                <c:pt idx="230">
                  <c:v>0.50925055991256163</c:v>
                </c:pt>
                <c:pt idx="231">
                  <c:v>0.43858289996572841</c:v>
                </c:pt>
                <c:pt idx="232">
                  <c:v>0.37060906409598338</c:v>
                </c:pt>
                <c:pt idx="233">
                  <c:v>0.30861282972325754</c:v>
                </c:pt>
                <c:pt idx="234">
                  <c:v>0.24359939036709277</c:v>
                </c:pt>
                <c:pt idx="235">
                  <c:v>0.19058706574280798</c:v>
                </c:pt>
                <c:pt idx="236">
                  <c:v>0.16471065124685333</c:v>
                </c:pt>
                <c:pt idx="237">
                  <c:v>0.17131807051876455</c:v>
                </c:pt>
                <c:pt idx="238">
                  <c:v>0.17432692989553153</c:v>
                </c:pt>
                <c:pt idx="239">
                  <c:v>0.16680125971478743</c:v>
                </c:pt>
                <c:pt idx="240">
                  <c:v>0.16651621867358513</c:v>
                </c:pt>
                <c:pt idx="241">
                  <c:v>0.16398712485741293</c:v>
                </c:pt>
                <c:pt idx="242">
                  <c:v>0.17943190264804593</c:v>
                </c:pt>
                <c:pt idx="243">
                  <c:v>0.22478634181585622</c:v>
                </c:pt>
                <c:pt idx="244">
                  <c:v>0.27412731577874722</c:v>
                </c:pt>
                <c:pt idx="245">
                  <c:v>0.32874027557712415</c:v>
                </c:pt>
                <c:pt idx="246">
                  <c:v>0.43239783868655984</c:v>
                </c:pt>
                <c:pt idx="247">
                  <c:v>0.47078278334746348</c:v>
                </c:pt>
                <c:pt idx="248">
                  <c:v>0.48598282043174756</c:v>
                </c:pt>
                <c:pt idx="249">
                  <c:v>0.47033054011328607</c:v>
                </c:pt>
                <c:pt idx="250">
                  <c:v>0.43545063043101823</c:v>
                </c:pt>
                <c:pt idx="251">
                  <c:v>0.42859509797923745</c:v>
                </c:pt>
                <c:pt idx="252">
                  <c:v>0.416433660107217</c:v>
                </c:pt>
                <c:pt idx="253">
                  <c:v>0.3993883165705569</c:v>
                </c:pt>
                <c:pt idx="254">
                  <c:v>0.38756240206170889</c:v>
                </c:pt>
                <c:pt idx="255">
                  <c:v>0.41714286591335331</c:v>
                </c:pt>
                <c:pt idx="256">
                  <c:v>0.41538601445612616</c:v>
                </c:pt>
                <c:pt idx="257">
                  <c:v>0.40508077612648252</c:v>
                </c:pt>
                <c:pt idx="258">
                  <c:v>0.38708956891458501</c:v>
                </c:pt>
                <c:pt idx="259">
                  <c:v>0.33713945949687413</c:v>
                </c:pt>
                <c:pt idx="260">
                  <c:v>0.28997684643835786</c:v>
                </c:pt>
                <c:pt idx="261">
                  <c:v>0.26605081046347945</c:v>
                </c:pt>
                <c:pt idx="262">
                  <c:v>0.24127283837744459</c:v>
                </c:pt>
                <c:pt idx="263">
                  <c:v>0.22454350357077368</c:v>
                </c:pt>
                <c:pt idx="264">
                  <c:v>0.1988305190005567</c:v>
                </c:pt>
                <c:pt idx="265">
                  <c:v>0.19219102060393478</c:v>
                </c:pt>
                <c:pt idx="266">
                  <c:v>0.19581887803508985</c:v>
                </c:pt>
                <c:pt idx="267">
                  <c:v>0.19166322022477952</c:v>
                </c:pt>
                <c:pt idx="268">
                  <c:v>0.19293093195702285</c:v>
                </c:pt>
                <c:pt idx="269">
                  <c:v>0.19995874595112537</c:v>
                </c:pt>
                <c:pt idx="270">
                  <c:v>0.21326656828025239</c:v>
                </c:pt>
                <c:pt idx="271">
                  <c:v>0.23283116774010604</c:v>
                </c:pt>
                <c:pt idx="272">
                  <c:v>0.25468811105562478</c:v>
                </c:pt>
                <c:pt idx="273">
                  <c:v>0.28503959216479324</c:v>
                </c:pt>
                <c:pt idx="274">
                  <c:v>0.31737555024401026</c:v>
                </c:pt>
                <c:pt idx="275">
                  <c:v>0.34513043379220931</c:v>
                </c:pt>
                <c:pt idx="276">
                  <c:v>0.37211630054191347</c:v>
                </c:pt>
                <c:pt idx="277">
                  <c:v>0.38479996913130732</c:v>
                </c:pt>
                <c:pt idx="278">
                  <c:v>0.39507313340780426</c:v>
                </c:pt>
                <c:pt idx="279">
                  <c:v>0.43195510444007784</c:v>
                </c:pt>
                <c:pt idx="280">
                  <c:v>0.47365345230899214</c:v>
                </c:pt>
                <c:pt idx="281">
                  <c:v>0.51358137694516171</c:v>
                </c:pt>
                <c:pt idx="282">
                  <c:v>0.54708144513545742</c:v>
                </c:pt>
                <c:pt idx="283">
                  <c:v>0.57263292641018837</c:v>
                </c:pt>
                <c:pt idx="284">
                  <c:v>0.60936136945129893</c:v>
                </c:pt>
                <c:pt idx="285">
                  <c:v>0.67235585119170294</c:v>
                </c:pt>
                <c:pt idx="286">
                  <c:v>0.70368571415485959</c:v>
                </c:pt>
                <c:pt idx="287">
                  <c:v>0.73922644108825009</c:v>
                </c:pt>
                <c:pt idx="288">
                  <c:v>0.76294524358034599</c:v>
                </c:pt>
                <c:pt idx="289">
                  <c:v>0.77871793488053398</c:v>
                </c:pt>
                <c:pt idx="290">
                  <c:v>0.79395508180818952</c:v>
                </c:pt>
                <c:pt idx="291">
                  <c:v>0.80108899141935275</c:v>
                </c:pt>
                <c:pt idx="292">
                  <c:v>0.81168923005515869</c:v>
                </c:pt>
                <c:pt idx="293">
                  <c:v>0.81964138585678292</c:v>
                </c:pt>
                <c:pt idx="294">
                  <c:v>#N/A</c:v>
                </c:pt>
                <c:pt idx="295">
                  <c:v>#N/A</c:v>
                </c:pt>
                <c:pt idx="296">
                  <c:v>#N/A</c:v>
                </c:pt>
                <c:pt idx="297">
                  <c:v>#N/A</c:v>
                </c:pt>
                <c:pt idx="298">
                  <c:v>#N/A</c:v>
                </c:pt>
                <c:pt idx="299">
                  <c:v>#N/A</c:v>
                </c:pt>
                <c:pt idx="300">
                  <c:v>#N/A</c:v>
                </c:pt>
                <c:pt idx="301">
                  <c:v>#N/A</c:v>
                </c:pt>
                <c:pt idx="302">
                  <c:v>#N/A</c:v>
                </c:pt>
                <c:pt idx="303">
                  <c:v>#N/A</c:v>
                </c:pt>
                <c:pt idx="304">
                  <c:v>#N/A</c:v>
                </c:pt>
                <c:pt idx="305">
                  <c:v>#N/A</c:v>
                </c:pt>
                <c:pt idx="306">
                  <c:v>#N/A</c:v>
                </c:pt>
                <c:pt idx="307">
                  <c:v>#N/A</c:v>
                </c:pt>
                <c:pt idx="308">
                  <c:v>#N/A</c:v>
                </c:pt>
                <c:pt idx="309">
                  <c:v>#N/A</c:v>
                </c:pt>
                <c:pt idx="310">
                  <c:v>#N/A</c:v>
                </c:pt>
                <c:pt idx="311">
                  <c:v>#N/A</c:v>
                </c:pt>
                <c:pt idx="312">
                  <c:v>#N/A</c:v>
                </c:pt>
                <c:pt idx="313">
                  <c:v>#N/A</c:v>
                </c:pt>
                <c:pt idx="314">
                  <c:v>#N/A</c:v>
                </c:pt>
                <c:pt idx="315">
                  <c:v>#N/A</c:v>
                </c:pt>
                <c:pt idx="316">
                  <c:v>#N/A</c:v>
                </c:pt>
                <c:pt idx="317">
                  <c:v>#N/A</c:v>
                </c:pt>
                <c:pt idx="318">
                  <c:v>#N/A</c:v>
                </c:pt>
                <c:pt idx="319">
                  <c:v>#N/A</c:v>
                </c:pt>
                <c:pt idx="320">
                  <c:v>#N/A</c:v>
                </c:pt>
                <c:pt idx="321">
                  <c:v>#N/A</c:v>
                </c:pt>
                <c:pt idx="322">
                  <c:v>#N/A</c:v>
                </c:pt>
                <c:pt idx="323">
                  <c:v>#N/A</c:v>
                </c:pt>
                <c:pt idx="324">
                  <c:v>#N/A</c:v>
                </c:pt>
                <c:pt idx="325">
                  <c:v>#N/A</c:v>
                </c:pt>
                <c:pt idx="326">
                  <c:v>#N/A</c:v>
                </c:pt>
                <c:pt idx="327">
                  <c:v>#N/A</c:v>
                </c:pt>
                <c:pt idx="328">
                  <c:v>#N/A</c:v>
                </c:pt>
                <c:pt idx="329">
                  <c:v>#N/A</c:v>
                </c:pt>
                <c:pt idx="330">
                  <c:v>#N/A</c:v>
                </c:pt>
                <c:pt idx="331">
                  <c:v>#N/A</c:v>
                </c:pt>
                <c:pt idx="332">
                  <c:v>#N/A</c:v>
                </c:pt>
                <c:pt idx="333">
                  <c:v>#N/A</c:v>
                </c:pt>
                <c:pt idx="334">
                  <c:v>#N/A</c:v>
                </c:pt>
                <c:pt idx="335">
                  <c:v>#N/A</c:v>
                </c:pt>
                <c:pt idx="336">
                  <c:v>#N/A</c:v>
                </c:pt>
                <c:pt idx="337">
                  <c:v>#N/A</c:v>
                </c:pt>
                <c:pt idx="338">
                  <c:v>#N/A</c:v>
                </c:pt>
                <c:pt idx="339">
                  <c:v>#N/A</c:v>
                </c:pt>
                <c:pt idx="340">
                  <c:v>#N/A</c:v>
                </c:pt>
                <c:pt idx="341">
                  <c:v>#N/A</c:v>
                </c:pt>
                <c:pt idx="342">
                  <c:v>#N/A</c:v>
                </c:pt>
                <c:pt idx="343">
                  <c:v>#N/A</c:v>
                </c:pt>
                <c:pt idx="344">
                  <c:v>#N/A</c:v>
                </c:pt>
                <c:pt idx="345">
                  <c:v>#N/A</c:v>
                </c:pt>
                <c:pt idx="346">
                  <c:v>#N/A</c:v>
                </c:pt>
                <c:pt idx="347">
                  <c:v>#N/A</c:v>
                </c:pt>
                <c:pt idx="348">
                  <c:v>#N/A</c:v>
                </c:pt>
                <c:pt idx="349">
                  <c:v>#N/A</c:v>
                </c:pt>
                <c:pt idx="350">
                  <c:v>#N/A</c:v>
                </c:pt>
                <c:pt idx="351">
                  <c:v>#N/A</c:v>
                </c:pt>
                <c:pt idx="352">
                  <c:v>#N/A</c:v>
                </c:pt>
                <c:pt idx="353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214-41D6-AEDC-DA12F7C5DDD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58880608"/>
        <c:axId val="1758880128"/>
      </c:lineChart>
      <c:dateAx>
        <c:axId val="1758880608"/>
        <c:scaling>
          <c:orientation val="minMax"/>
          <c:min val="35796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yyyy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58880128"/>
        <c:crosses val="autoZero"/>
        <c:auto val="1"/>
        <c:lblOffset val="100"/>
        <c:baseTimeUnit val="months"/>
        <c:majorUnit val="2"/>
        <c:majorTimeUnit val="years"/>
      </c:dateAx>
      <c:valAx>
        <c:axId val="17588801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58880608"/>
        <c:crosses val="autoZero"/>
        <c:crossBetween val="midCat"/>
        <c:majorUnit val="0.2"/>
        <c:minorUnit val="0.1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R-Squared (out-sample)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'R-Sq'!$S$2</c:f>
              <c:strCache>
                <c:ptCount val="1"/>
                <c:pt idx="0">
                  <c:v>Debit+Credit : M2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'R-Sq'!$A$3:$A$1355</c:f>
              <c:numCache>
                <c:formatCode>m/d/yyyy</c:formatCode>
                <c:ptCount val="1353"/>
                <c:pt idx="0">
                  <c:v>46173</c:v>
                </c:pt>
                <c:pt idx="1">
                  <c:v>46142</c:v>
                </c:pt>
                <c:pt idx="2">
                  <c:v>46112</c:v>
                </c:pt>
                <c:pt idx="3">
                  <c:v>46081</c:v>
                </c:pt>
                <c:pt idx="4">
                  <c:v>46053</c:v>
                </c:pt>
                <c:pt idx="5">
                  <c:v>46022</c:v>
                </c:pt>
                <c:pt idx="6">
                  <c:v>45991</c:v>
                </c:pt>
                <c:pt idx="7">
                  <c:v>45961</c:v>
                </c:pt>
                <c:pt idx="8">
                  <c:v>45930</c:v>
                </c:pt>
                <c:pt idx="9">
                  <c:v>45900</c:v>
                </c:pt>
                <c:pt idx="10">
                  <c:v>45869</c:v>
                </c:pt>
                <c:pt idx="11">
                  <c:v>45838</c:v>
                </c:pt>
                <c:pt idx="12">
                  <c:v>45808</c:v>
                </c:pt>
                <c:pt idx="13">
                  <c:v>45777</c:v>
                </c:pt>
                <c:pt idx="14">
                  <c:v>45747</c:v>
                </c:pt>
                <c:pt idx="15">
                  <c:v>45716</c:v>
                </c:pt>
                <c:pt idx="16">
                  <c:v>45688</c:v>
                </c:pt>
                <c:pt idx="17">
                  <c:v>45657</c:v>
                </c:pt>
                <c:pt idx="18">
                  <c:v>45626</c:v>
                </c:pt>
                <c:pt idx="19">
                  <c:v>45596</c:v>
                </c:pt>
                <c:pt idx="20">
                  <c:v>45565</c:v>
                </c:pt>
                <c:pt idx="21">
                  <c:v>45535</c:v>
                </c:pt>
                <c:pt idx="22">
                  <c:v>45504</c:v>
                </c:pt>
                <c:pt idx="23">
                  <c:v>45473</c:v>
                </c:pt>
                <c:pt idx="24">
                  <c:v>45443</c:v>
                </c:pt>
                <c:pt idx="25">
                  <c:v>45412</c:v>
                </c:pt>
                <c:pt idx="26">
                  <c:v>45382</c:v>
                </c:pt>
                <c:pt idx="27">
                  <c:v>45351</c:v>
                </c:pt>
                <c:pt idx="28">
                  <c:v>45322</c:v>
                </c:pt>
                <c:pt idx="29">
                  <c:v>45291</c:v>
                </c:pt>
                <c:pt idx="30">
                  <c:v>45260</c:v>
                </c:pt>
                <c:pt idx="31">
                  <c:v>45230</c:v>
                </c:pt>
                <c:pt idx="32">
                  <c:v>45199</c:v>
                </c:pt>
                <c:pt idx="33">
                  <c:v>45169</c:v>
                </c:pt>
                <c:pt idx="34">
                  <c:v>45138</c:v>
                </c:pt>
                <c:pt idx="35">
                  <c:v>45107</c:v>
                </c:pt>
                <c:pt idx="36">
                  <c:v>45077</c:v>
                </c:pt>
                <c:pt idx="37">
                  <c:v>45046</c:v>
                </c:pt>
                <c:pt idx="38">
                  <c:v>45016</c:v>
                </c:pt>
                <c:pt idx="39">
                  <c:v>44985</c:v>
                </c:pt>
                <c:pt idx="40">
                  <c:v>44957</c:v>
                </c:pt>
                <c:pt idx="41">
                  <c:v>44926</c:v>
                </c:pt>
                <c:pt idx="42">
                  <c:v>44895</c:v>
                </c:pt>
                <c:pt idx="43">
                  <c:v>44865</c:v>
                </c:pt>
                <c:pt idx="44">
                  <c:v>44834</c:v>
                </c:pt>
                <c:pt idx="45">
                  <c:v>44804</c:v>
                </c:pt>
                <c:pt idx="46">
                  <c:v>44773</c:v>
                </c:pt>
                <c:pt idx="47">
                  <c:v>44742</c:v>
                </c:pt>
                <c:pt idx="48">
                  <c:v>44712</c:v>
                </c:pt>
                <c:pt idx="49">
                  <c:v>44681</c:v>
                </c:pt>
                <c:pt idx="50">
                  <c:v>44651</c:v>
                </c:pt>
                <c:pt idx="51">
                  <c:v>44620</c:v>
                </c:pt>
                <c:pt idx="52">
                  <c:v>44592</c:v>
                </c:pt>
                <c:pt idx="53">
                  <c:v>44561</c:v>
                </c:pt>
                <c:pt idx="54">
                  <c:v>44530</c:v>
                </c:pt>
                <c:pt idx="55">
                  <c:v>44500</c:v>
                </c:pt>
                <c:pt idx="56">
                  <c:v>44469</c:v>
                </c:pt>
                <c:pt idx="57">
                  <c:v>44439</c:v>
                </c:pt>
                <c:pt idx="58">
                  <c:v>44408</c:v>
                </c:pt>
                <c:pt idx="59">
                  <c:v>44377</c:v>
                </c:pt>
                <c:pt idx="60">
                  <c:v>44347</c:v>
                </c:pt>
                <c:pt idx="61">
                  <c:v>44316</c:v>
                </c:pt>
                <c:pt idx="62">
                  <c:v>44286</c:v>
                </c:pt>
                <c:pt idx="63">
                  <c:v>44255</c:v>
                </c:pt>
                <c:pt idx="64">
                  <c:v>44227</c:v>
                </c:pt>
                <c:pt idx="65">
                  <c:v>44196</c:v>
                </c:pt>
                <c:pt idx="66">
                  <c:v>44165</c:v>
                </c:pt>
                <c:pt idx="67">
                  <c:v>44135</c:v>
                </c:pt>
                <c:pt idx="68">
                  <c:v>44104</c:v>
                </c:pt>
                <c:pt idx="69">
                  <c:v>44074</c:v>
                </c:pt>
                <c:pt idx="70">
                  <c:v>44043</c:v>
                </c:pt>
                <c:pt idx="71">
                  <c:v>44012</c:v>
                </c:pt>
                <c:pt idx="72">
                  <c:v>43982</c:v>
                </c:pt>
                <c:pt idx="73">
                  <c:v>43951</c:v>
                </c:pt>
                <c:pt idx="74">
                  <c:v>43921</c:v>
                </c:pt>
                <c:pt idx="75">
                  <c:v>43890</c:v>
                </c:pt>
                <c:pt idx="76">
                  <c:v>43861</c:v>
                </c:pt>
                <c:pt idx="77">
                  <c:v>43830</c:v>
                </c:pt>
                <c:pt idx="78">
                  <c:v>43799</c:v>
                </c:pt>
                <c:pt idx="79">
                  <c:v>43769</c:v>
                </c:pt>
                <c:pt idx="80">
                  <c:v>43738</c:v>
                </c:pt>
                <c:pt idx="81">
                  <c:v>43708</c:v>
                </c:pt>
                <c:pt idx="82">
                  <c:v>43677</c:v>
                </c:pt>
                <c:pt idx="83">
                  <c:v>43646</c:v>
                </c:pt>
                <c:pt idx="84">
                  <c:v>43616</c:v>
                </c:pt>
                <c:pt idx="85">
                  <c:v>43585</c:v>
                </c:pt>
                <c:pt idx="86">
                  <c:v>43555</c:v>
                </c:pt>
                <c:pt idx="87">
                  <c:v>43524</c:v>
                </c:pt>
                <c:pt idx="88">
                  <c:v>43496</c:v>
                </c:pt>
                <c:pt idx="89">
                  <c:v>43465</c:v>
                </c:pt>
                <c:pt idx="90">
                  <c:v>43434</c:v>
                </c:pt>
                <c:pt idx="91">
                  <c:v>43404</c:v>
                </c:pt>
                <c:pt idx="92">
                  <c:v>43373</c:v>
                </c:pt>
                <c:pt idx="93">
                  <c:v>43343</c:v>
                </c:pt>
                <c:pt idx="94">
                  <c:v>43312</c:v>
                </c:pt>
                <c:pt idx="95">
                  <c:v>43281</c:v>
                </c:pt>
                <c:pt idx="96">
                  <c:v>43251</c:v>
                </c:pt>
                <c:pt idx="97">
                  <c:v>43220</c:v>
                </c:pt>
                <c:pt idx="98">
                  <c:v>43190</c:v>
                </c:pt>
                <c:pt idx="99">
                  <c:v>43159</c:v>
                </c:pt>
                <c:pt idx="100">
                  <c:v>43131</c:v>
                </c:pt>
                <c:pt idx="101">
                  <c:v>43100</c:v>
                </c:pt>
                <c:pt idx="102">
                  <c:v>43069</c:v>
                </c:pt>
                <c:pt idx="103">
                  <c:v>43039</c:v>
                </c:pt>
                <c:pt idx="104">
                  <c:v>43008</c:v>
                </c:pt>
                <c:pt idx="105">
                  <c:v>42978</c:v>
                </c:pt>
                <c:pt idx="106">
                  <c:v>42947</c:v>
                </c:pt>
                <c:pt idx="107">
                  <c:v>42916</c:v>
                </c:pt>
                <c:pt idx="108">
                  <c:v>42886</c:v>
                </c:pt>
                <c:pt idx="109">
                  <c:v>42855</c:v>
                </c:pt>
                <c:pt idx="110">
                  <c:v>42825</c:v>
                </c:pt>
                <c:pt idx="111">
                  <c:v>42794</c:v>
                </c:pt>
                <c:pt idx="112">
                  <c:v>42766</c:v>
                </c:pt>
                <c:pt idx="113">
                  <c:v>42735</c:v>
                </c:pt>
                <c:pt idx="114">
                  <c:v>42704</c:v>
                </c:pt>
                <c:pt idx="115">
                  <c:v>42674</c:v>
                </c:pt>
                <c:pt idx="116">
                  <c:v>42643</c:v>
                </c:pt>
                <c:pt idx="117">
                  <c:v>42613</c:v>
                </c:pt>
                <c:pt idx="118">
                  <c:v>42582</c:v>
                </c:pt>
                <c:pt idx="119">
                  <c:v>42551</c:v>
                </c:pt>
                <c:pt idx="120">
                  <c:v>42521</c:v>
                </c:pt>
                <c:pt idx="121">
                  <c:v>42490</c:v>
                </c:pt>
                <c:pt idx="122">
                  <c:v>42460</c:v>
                </c:pt>
                <c:pt idx="123">
                  <c:v>42429</c:v>
                </c:pt>
                <c:pt idx="124">
                  <c:v>42400</c:v>
                </c:pt>
                <c:pt idx="125">
                  <c:v>42369</c:v>
                </c:pt>
                <c:pt idx="126">
                  <c:v>42338</c:v>
                </c:pt>
                <c:pt idx="127">
                  <c:v>42308</c:v>
                </c:pt>
                <c:pt idx="128">
                  <c:v>42277</c:v>
                </c:pt>
                <c:pt idx="129">
                  <c:v>42247</c:v>
                </c:pt>
                <c:pt idx="130">
                  <c:v>42216</c:v>
                </c:pt>
                <c:pt idx="131">
                  <c:v>42185</c:v>
                </c:pt>
                <c:pt idx="132">
                  <c:v>42155</c:v>
                </c:pt>
                <c:pt idx="133">
                  <c:v>42124</c:v>
                </c:pt>
                <c:pt idx="134">
                  <c:v>42094</c:v>
                </c:pt>
                <c:pt idx="135">
                  <c:v>42063</c:v>
                </c:pt>
                <c:pt idx="136">
                  <c:v>42035</c:v>
                </c:pt>
                <c:pt idx="137">
                  <c:v>42004</c:v>
                </c:pt>
                <c:pt idx="138">
                  <c:v>41973</c:v>
                </c:pt>
                <c:pt idx="139">
                  <c:v>41943</c:v>
                </c:pt>
                <c:pt idx="140">
                  <c:v>41912</c:v>
                </c:pt>
                <c:pt idx="141">
                  <c:v>41882</c:v>
                </c:pt>
                <c:pt idx="142">
                  <c:v>41851</c:v>
                </c:pt>
                <c:pt idx="143">
                  <c:v>41820</c:v>
                </c:pt>
                <c:pt idx="144">
                  <c:v>41790</c:v>
                </c:pt>
                <c:pt idx="145">
                  <c:v>41759</c:v>
                </c:pt>
                <c:pt idx="146">
                  <c:v>41729</c:v>
                </c:pt>
                <c:pt idx="147">
                  <c:v>41698</c:v>
                </c:pt>
                <c:pt idx="148">
                  <c:v>41670</c:v>
                </c:pt>
                <c:pt idx="149">
                  <c:v>41639</c:v>
                </c:pt>
                <c:pt idx="150">
                  <c:v>41608</c:v>
                </c:pt>
                <c:pt idx="151">
                  <c:v>41578</c:v>
                </c:pt>
                <c:pt idx="152">
                  <c:v>41547</c:v>
                </c:pt>
                <c:pt idx="153">
                  <c:v>41517</c:v>
                </c:pt>
                <c:pt idx="154">
                  <c:v>41486</c:v>
                </c:pt>
                <c:pt idx="155">
                  <c:v>41455</c:v>
                </c:pt>
                <c:pt idx="156">
                  <c:v>41425</c:v>
                </c:pt>
                <c:pt idx="157">
                  <c:v>41394</c:v>
                </c:pt>
                <c:pt idx="158">
                  <c:v>41364</c:v>
                </c:pt>
                <c:pt idx="159">
                  <c:v>41333</c:v>
                </c:pt>
                <c:pt idx="160">
                  <c:v>41305</c:v>
                </c:pt>
                <c:pt idx="161">
                  <c:v>41274</c:v>
                </c:pt>
                <c:pt idx="162">
                  <c:v>41243</c:v>
                </c:pt>
                <c:pt idx="163">
                  <c:v>41213</c:v>
                </c:pt>
                <c:pt idx="164">
                  <c:v>41182</c:v>
                </c:pt>
                <c:pt idx="165">
                  <c:v>41152</c:v>
                </c:pt>
                <c:pt idx="166">
                  <c:v>41121</c:v>
                </c:pt>
                <c:pt idx="167">
                  <c:v>41090</c:v>
                </c:pt>
                <c:pt idx="168">
                  <c:v>41060</c:v>
                </c:pt>
                <c:pt idx="169">
                  <c:v>41029</c:v>
                </c:pt>
                <c:pt idx="170">
                  <c:v>40999</c:v>
                </c:pt>
                <c:pt idx="171">
                  <c:v>40968</c:v>
                </c:pt>
                <c:pt idx="172">
                  <c:v>40939</c:v>
                </c:pt>
                <c:pt idx="173">
                  <c:v>40908</c:v>
                </c:pt>
                <c:pt idx="174">
                  <c:v>40877</c:v>
                </c:pt>
                <c:pt idx="175">
                  <c:v>40847</c:v>
                </c:pt>
                <c:pt idx="176">
                  <c:v>40816</c:v>
                </c:pt>
                <c:pt idx="177">
                  <c:v>40786</c:v>
                </c:pt>
                <c:pt idx="178">
                  <c:v>40755</c:v>
                </c:pt>
                <c:pt idx="179">
                  <c:v>40724</c:v>
                </c:pt>
                <c:pt idx="180">
                  <c:v>40694</c:v>
                </c:pt>
                <c:pt idx="181">
                  <c:v>40663</c:v>
                </c:pt>
                <c:pt idx="182">
                  <c:v>40633</c:v>
                </c:pt>
                <c:pt idx="183">
                  <c:v>40602</c:v>
                </c:pt>
                <c:pt idx="184">
                  <c:v>40574</c:v>
                </c:pt>
                <c:pt idx="185">
                  <c:v>40543</c:v>
                </c:pt>
                <c:pt idx="186">
                  <c:v>40512</c:v>
                </c:pt>
                <c:pt idx="187">
                  <c:v>40482</c:v>
                </c:pt>
                <c:pt idx="188">
                  <c:v>40451</c:v>
                </c:pt>
                <c:pt idx="189">
                  <c:v>40421</c:v>
                </c:pt>
                <c:pt idx="190">
                  <c:v>40390</c:v>
                </c:pt>
                <c:pt idx="191">
                  <c:v>40359</c:v>
                </c:pt>
                <c:pt idx="192">
                  <c:v>40329</c:v>
                </c:pt>
                <c:pt idx="193">
                  <c:v>40298</c:v>
                </c:pt>
                <c:pt idx="194">
                  <c:v>40268</c:v>
                </c:pt>
                <c:pt idx="195">
                  <c:v>40237</c:v>
                </c:pt>
                <c:pt idx="196">
                  <c:v>40209</c:v>
                </c:pt>
                <c:pt idx="197">
                  <c:v>40178</c:v>
                </c:pt>
                <c:pt idx="198">
                  <c:v>40147</c:v>
                </c:pt>
                <c:pt idx="199">
                  <c:v>40117</c:v>
                </c:pt>
                <c:pt idx="200">
                  <c:v>40086</c:v>
                </c:pt>
                <c:pt idx="201">
                  <c:v>40056</c:v>
                </c:pt>
                <c:pt idx="202">
                  <c:v>40025</c:v>
                </c:pt>
                <c:pt idx="203">
                  <c:v>39994</c:v>
                </c:pt>
                <c:pt idx="204">
                  <c:v>39964</c:v>
                </c:pt>
                <c:pt idx="205">
                  <c:v>39933</c:v>
                </c:pt>
                <c:pt idx="206">
                  <c:v>39903</c:v>
                </c:pt>
                <c:pt idx="207">
                  <c:v>39872</c:v>
                </c:pt>
                <c:pt idx="208">
                  <c:v>39844</c:v>
                </c:pt>
                <c:pt idx="209">
                  <c:v>39813</c:v>
                </c:pt>
                <c:pt idx="210">
                  <c:v>39782</c:v>
                </c:pt>
                <c:pt idx="211">
                  <c:v>39752</c:v>
                </c:pt>
                <c:pt idx="212">
                  <c:v>39721</c:v>
                </c:pt>
                <c:pt idx="213">
                  <c:v>39691</c:v>
                </c:pt>
                <c:pt idx="214">
                  <c:v>39660</c:v>
                </c:pt>
                <c:pt idx="215">
                  <c:v>39629</c:v>
                </c:pt>
                <c:pt idx="216">
                  <c:v>39599</c:v>
                </c:pt>
                <c:pt idx="217">
                  <c:v>39568</c:v>
                </c:pt>
                <c:pt idx="218">
                  <c:v>39538</c:v>
                </c:pt>
                <c:pt idx="219">
                  <c:v>39507</c:v>
                </c:pt>
                <c:pt idx="220">
                  <c:v>39478</c:v>
                </c:pt>
                <c:pt idx="221">
                  <c:v>39447</c:v>
                </c:pt>
                <c:pt idx="222">
                  <c:v>39416</c:v>
                </c:pt>
                <c:pt idx="223">
                  <c:v>39386</c:v>
                </c:pt>
                <c:pt idx="224">
                  <c:v>39355</c:v>
                </c:pt>
                <c:pt idx="225">
                  <c:v>39325</c:v>
                </c:pt>
                <c:pt idx="226">
                  <c:v>39294</c:v>
                </c:pt>
                <c:pt idx="227">
                  <c:v>39263</c:v>
                </c:pt>
                <c:pt idx="228">
                  <c:v>39233</c:v>
                </c:pt>
                <c:pt idx="229">
                  <c:v>39202</c:v>
                </c:pt>
                <c:pt idx="230">
                  <c:v>39172</c:v>
                </c:pt>
                <c:pt idx="231">
                  <c:v>39141</c:v>
                </c:pt>
                <c:pt idx="232">
                  <c:v>39113</c:v>
                </c:pt>
                <c:pt idx="233">
                  <c:v>39082</c:v>
                </c:pt>
                <c:pt idx="234">
                  <c:v>39051</c:v>
                </c:pt>
                <c:pt idx="235">
                  <c:v>39021</c:v>
                </c:pt>
                <c:pt idx="236">
                  <c:v>38990</c:v>
                </c:pt>
                <c:pt idx="237">
                  <c:v>38960</c:v>
                </c:pt>
                <c:pt idx="238">
                  <c:v>38929</c:v>
                </c:pt>
                <c:pt idx="239">
                  <c:v>38898</c:v>
                </c:pt>
                <c:pt idx="240">
                  <c:v>38868</c:v>
                </c:pt>
                <c:pt idx="241">
                  <c:v>38837</c:v>
                </c:pt>
                <c:pt idx="242">
                  <c:v>38807</c:v>
                </c:pt>
                <c:pt idx="243">
                  <c:v>38776</c:v>
                </c:pt>
                <c:pt idx="244">
                  <c:v>38748</c:v>
                </c:pt>
                <c:pt idx="245">
                  <c:v>38717</c:v>
                </c:pt>
                <c:pt idx="246">
                  <c:v>38686</c:v>
                </c:pt>
                <c:pt idx="247">
                  <c:v>38656</c:v>
                </c:pt>
                <c:pt idx="248">
                  <c:v>38625</c:v>
                </c:pt>
                <c:pt idx="249">
                  <c:v>38595</c:v>
                </c:pt>
                <c:pt idx="250">
                  <c:v>38564</c:v>
                </c:pt>
                <c:pt idx="251">
                  <c:v>38533</c:v>
                </c:pt>
                <c:pt idx="252">
                  <c:v>38503</c:v>
                </c:pt>
                <c:pt idx="253">
                  <c:v>38472</c:v>
                </c:pt>
                <c:pt idx="254">
                  <c:v>38442</c:v>
                </c:pt>
                <c:pt idx="255">
                  <c:v>38411</c:v>
                </c:pt>
                <c:pt idx="256">
                  <c:v>38383</c:v>
                </c:pt>
                <c:pt idx="257">
                  <c:v>38352</c:v>
                </c:pt>
                <c:pt idx="258">
                  <c:v>38321</c:v>
                </c:pt>
                <c:pt idx="259">
                  <c:v>38291</c:v>
                </c:pt>
                <c:pt idx="260">
                  <c:v>38260</c:v>
                </c:pt>
                <c:pt idx="261">
                  <c:v>38230</c:v>
                </c:pt>
                <c:pt idx="262">
                  <c:v>38199</c:v>
                </c:pt>
                <c:pt idx="263">
                  <c:v>38168</c:v>
                </c:pt>
                <c:pt idx="264">
                  <c:v>38138</c:v>
                </c:pt>
                <c:pt idx="265">
                  <c:v>38107</c:v>
                </c:pt>
                <c:pt idx="266">
                  <c:v>38077</c:v>
                </c:pt>
                <c:pt idx="267">
                  <c:v>38046</c:v>
                </c:pt>
                <c:pt idx="268">
                  <c:v>38017</c:v>
                </c:pt>
                <c:pt idx="269">
                  <c:v>37986</c:v>
                </c:pt>
                <c:pt idx="270">
                  <c:v>37955</c:v>
                </c:pt>
                <c:pt idx="271">
                  <c:v>37925</c:v>
                </c:pt>
                <c:pt idx="272">
                  <c:v>37894</c:v>
                </c:pt>
                <c:pt idx="273">
                  <c:v>37864</c:v>
                </c:pt>
                <c:pt idx="274">
                  <c:v>37833</c:v>
                </c:pt>
                <c:pt idx="275">
                  <c:v>37802</c:v>
                </c:pt>
                <c:pt idx="276">
                  <c:v>37772</c:v>
                </c:pt>
                <c:pt idx="277">
                  <c:v>37741</c:v>
                </c:pt>
                <c:pt idx="278">
                  <c:v>37711</c:v>
                </c:pt>
                <c:pt idx="279">
                  <c:v>37680</c:v>
                </c:pt>
                <c:pt idx="280">
                  <c:v>37652</c:v>
                </c:pt>
                <c:pt idx="281">
                  <c:v>37621</c:v>
                </c:pt>
                <c:pt idx="282">
                  <c:v>37590</c:v>
                </c:pt>
                <c:pt idx="283">
                  <c:v>37560</c:v>
                </c:pt>
                <c:pt idx="284">
                  <c:v>37529</c:v>
                </c:pt>
                <c:pt idx="285">
                  <c:v>37499</c:v>
                </c:pt>
                <c:pt idx="286">
                  <c:v>37468</c:v>
                </c:pt>
                <c:pt idx="287">
                  <c:v>37437</c:v>
                </c:pt>
                <c:pt idx="288">
                  <c:v>37407</c:v>
                </c:pt>
                <c:pt idx="289">
                  <c:v>37376</c:v>
                </c:pt>
                <c:pt idx="290">
                  <c:v>37346</c:v>
                </c:pt>
                <c:pt idx="291">
                  <c:v>37315</c:v>
                </c:pt>
                <c:pt idx="292">
                  <c:v>37287</c:v>
                </c:pt>
                <c:pt idx="293">
                  <c:v>37256</c:v>
                </c:pt>
                <c:pt idx="294">
                  <c:v>37225</c:v>
                </c:pt>
                <c:pt idx="295">
                  <c:v>37195</c:v>
                </c:pt>
                <c:pt idx="296">
                  <c:v>37164</c:v>
                </c:pt>
                <c:pt idx="297">
                  <c:v>37134</c:v>
                </c:pt>
                <c:pt idx="298">
                  <c:v>37103</c:v>
                </c:pt>
                <c:pt idx="299">
                  <c:v>37072</c:v>
                </c:pt>
                <c:pt idx="300">
                  <c:v>37042</c:v>
                </c:pt>
                <c:pt idx="301">
                  <c:v>37011</c:v>
                </c:pt>
                <c:pt idx="302">
                  <c:v>36981</c:v>
                </c:pt>
                <c:pt idx="303">
                  <c:v>36950</c:v>
                </c:pt>
                <c:pt idx="304">
                  <c:v>36922</c:v>
                </c:pt>
                <c:pt idx="305">
                  <c:v>36891</c:v>
                </c:pt>
                <c:pt idx="306">
                  <c:v>36860</c:v>
                </c:pt>
                <c:pt idx="307">
                  <c:v>36830</c:v>
                </c:pt>
                <c:pt idx="308">
                  <c:v>36799</c:v>
                </c:pt>
                <c:pt idx="309">
                  <c:v>36769</c:v>
                </c:pt>
                <c:pt idx="310">
                  <c:v>36738</c:v>
                </c:pt>
                <c:pt idx="311">
                  <c:v>36707</c:v>
                </c:pt>
                <c:pt idx="312">
                  <c:v>36677</c:v>
                </c:pt>
                <c:pt idx="313">
                  <c:v>36646</c:v>
                </c:pt>
                <c:pt idx="314">
                  <c:v>36616</c:v>
                </c:pt>
                <c:pt idx="315">
                  <c:v>36585</c:v>
                </c:pt>
                <c:pt idx="316">
                  <c:v>36556</c:v>
                </c:pt>
                <c:pt idx="317">
                  <c:v>36525</c:v>
                </c:pt>
                <c:pt idx="318">
                  <c:v>36494</c:v>
                </c:pt>
                <c:pt idx="319">
                  <c:v>36464</c:v>
                </c:pt>
                <c:pt idx="320">
                  <c:v>36433</c:v>
                </c:pt>
                <c:pt idx="321">
                  <c:v>36403</c:v>
                </c:pt>
                <c:pt idx="322">
                  <c:v>36372</c:v>
                </c:pt>
                <c:pt idx="323">
                  <c:v>36341</c:v>
                </c:pt>
                <c:pt idx="324">
                  <c:v>36311</c:v>
                </c:pt>
                <c:pt idx="325">
                  <c:v>36280</c:v>
                </c:pt>
                <c:pt idx="326">
                  <c:v>36250</c:v>
                </c:pt>
                <c:pt idx="327">
                  <c:v>36219</c:v>
                </c:pt>
                <c:pt idx="328">
                  <c:v>36191</c:v>
                </c:pt>
                <c:pt idx="329">
                  <c:v>36160</c:v>
                </c:pt>
                <c:pt idx="330">
                  <c:v>36129</c:v>
                </c:pt>
                <c:pt idx="331">
                  <c:v>36099</c:v>
                </c:pt>
                <c:pt idx="332">
                  <c:v>36068</c:v>
                </c:pt>
                <c:pt idx="333">
                  <c:v>36038</c:v>
                </c:pt>
                <c:pt idx="334">
                  <c:v>36007</c:v>
                </c:pt>
                <c:pt idx="335">
                  <c:v>35976</c:v>
                </c:pt>
                <c:pt idx="336">
                  <c:v>35946</c:v>
                </c:pt>
                <c:pt idx="337">
                  <c:v>35915</c:v>
                </c:pt>
                <c:pt idx="338">
                  <c:v>35885</c:v>
                </c:pt>
                <c:pt idx="339">
                  <c:v>35854</c:v>
                </c:pt>
                <c:pt idx="340">
                  <c:v>35826</c:v>
                </c:pt>
                <c:pt idx="341">
                  <c:v>35795</c:v>
                </c:pt>
                <c:pt idx="342">
                  <c:v>35764</c:v>
                </c:pt>
                <c:pt idx="343">
                  <c:v>35734</c:v>
                </c:pt>
                <c:pt idx="344">
                  <c:v>35703</c:v>
                </c:pt>
                <c:pt idx="345">
                  <c:v>35673</c:v>
                </c:pt>
                <c:pt idx="346">
                  <c:v>35642</c:v>
                </c:pt>
                <c:pt idx="347">
                  <c:v>35611</c:v>
                </c:pt>
                <c:pt idx="348">
                  <c:v>35581</c:v>
                </c:pt>
                <c:pt idx="349">
                  <c:v>35550</c:v>
                </c:pt>
                <c:pt idx="350">
                  <c:v>35520</c:v>
                </c:pt>
                <c:pt idx="351">
                  <c:v>35489</c:v>
                </c:pt>
                <c:pt idx="352">
                  <c:v>35461</c:v>
                </c:pt>
              </c:numCache>
            </c:numRef>
          </c:cat>
          <c:val>
            <c:numRef>
              <c:f>'R-Sq'!$S$3:$S$1355</c:f>
              <c:numCache>
                <c:formatCode>0%</c:formatCode>
                <c:ptCount val="1353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  <c:pt idx="31">
                  <c:v>#N/A</c:v>
                </c:pt>
                <c:pt idx="32">
                  <c:v>#N/A</c:v>
                </c:pt>
                <c:pt idx="33">
                  <c:v>#N/A</c:v>
                </c:pt>
                <c:pt idx="34">
                  <c:v>#N/A</c:v>
                </c:pt>
                <c:pt idx="35">
                  <c:v>#N/A</c:v>
                </c:pt>
                <c:pt idx="36">
                  <c:v>#N/A</c:v>
                </c:pt>
                <c:pt idx="37">
                  <c:v>#N/A</c:v>
                </c:pt>
                <c:pt idx="38">
                  <c:v>#N/A</c:v>
                </c:pt>
                <c:pt idx="39">
                  <c:v>#N/A</c:v>
                </c:pt>
                <c:pt idx="40">
                  <c:v>#N/A</c:v>
                </c:pt>
                <c:pt idx="41">
                  <c:v>#N/A</c:v>
                </c:pt>
                <c:pt idx="42">
                  <c:v>0.60469670712630763</c:v>
                </c:pt>
                <c:pt idx="43">
                  <c:v>0.61118912750855359</c:v>
                </c:pt>
                <c:pt idx="44">
                  <c:v>0.60851255492897594</c:v>
                </c:pt>
                <c:pt idx="45">
                  <c:v>0.4145660176472078</c:v>
                </c:pt>
                <c:pt idx="46">
                  <c:v>0.39886355773885307</c:v>
                </c:pt>
                <c:pt idx="47">
                  <c:v>0.50767898660191668</c:v>
                </c:pt>
                <c:pt idx="48">
                  <c:v>0.4156928603338409</c:v>
                </c:pt>
                <c:pt idx="49">
                  <c:v>0.48677254427154976</c:v>
                </c:pt>
                <c:pt idx="50">
                  <c:v>0.58747095112277514</c:v>
                </c:pt>
                <c:pt idx="51">
                  <c:v>0.70396602877327863</c:v>
                </c:pt>
                <c:pt idx="52">
                  <c:v>0.76880897733243825</c:v>
                </c:pt>
                <c:pt idx="53">
                  <c:v>0.80296023015397244</c:v>
                </c:pt>
                <c:pt idx="54">
                  <c:v>0.84274040491051794</c:v>
                </c:pt>
                <c:pt idx="55">
                  <c:v>0.84840367267267192</c:v>
                </c:pt>
                <c:pt idx="56">
                  <c:v>0.86799596535177026</c:v>
                </c:pt>
                <c:pt idx="57">
                  <c:v>0.88276340485348448</c:v>
                </c:pt>
                <c:pt idx="58">
                  <c:v>0.89141002588210805</c:v>
                </c:pt>
                <c:pt idx="59">
                  <c:v>0.88971225652537123</c:v>
                </c:pt>
                <c:pt idx="60">
                  <c:v>0.88392586981912491</c:v>
                </c:pt>
                <c:pt idx="61">
                  <c:v>0.87878730568385766</c:v>
                </c:pt>
                <c:pt idx="62">
                  <c:v>0.87336754339275902</c:v>
                </c:pt>
                <c:pt idx="63">
                  <c:v>0.85401501347287401</c:v>
                </c:pt>
                <c:pt idx="64">
                  <c:v>0.80610578482520912</c:v>
                </c:pt>
                <c:pt idx="65">
                  <c:v>0.7507664863480612</c:v>
                </c:pt>
                <c:pt idx="66">
                  <c:v>0.71429190464625525</c:v>
                </c:pt>
                <c:pt idx="67">
                  <c:v>0.64578945456932535</c:v>
                </c:pt>
                <c:pt idx="68">
                  <c:v>0.61975436354623625</c:v>
                </c:pt>
                <c:pt idx="69">
                  <c:v>0.49885923387861797</c:v>
                </c:pt>
                <c:pt idx="70">
                  <c:v>0.45570122255535883</c:v>
                </c:pt>
                <c:pt idx="71">
                  <c:v>0.48129219689336866</c:v>
                </c:pt>
                <c:pt idx="72">
                  <c:v>0.58015671046079043</c:v>
                </c:pt>
                <c:pt idx="73">
                  <c:v>0.68559397643594344</c:v>
                </c:pt>
                <c:pt idx="74">
                  <c:v>0.79710477327148832</c:v>
                </c:pt>
                <c:pt idx="75">
                  <c:v>0.67722921741098718</c:v>
                </c:pt>
                <c:pt idx="76">
                  <c:v>0.63749434162076057</c:v>
                </c:pt>
                <c:pt idx="77">
                  <c:v>0.62663914707945967</c:v>
                </c:pt>
                <c:pt idx="78">
                  <c:v>0.61667110426409866</c:v>
                </c:pt>
                <c:pt idx="79">
                  <c:v>0.59105639619025585</c:v>
                </c:pt>
                <c:pt idx="80">
                  <c:v>0.60097655615971468</c:v>
                </c:pt>
                <c:pt idx="81">
                  <c:v>0.55184065835458274</c:v>
                </c:pt>
                <c:pt idx="82">
                  <c:v>0.50222704430973153</c:v>
                </c:pt>
                <c:pt idx="83">
                  <c:v>0.41099445295012849</c:v>
                </c:pt>
                <c:pt idx="84">
                  <c:v>0.33118825478595609</c:v>
                </c:pt>
                <c:pt idx="85">
                  <c:v>0.2591383196055892</c:v>
                </c:pt>
                <c:pt idx="86">
                  <c:v>0.18259648145250965</c:v>
                </c:pt>
                <c:pt idx="87">
                  <c:v>7.9599679587322669E-2</c:v>
                </c:pt>
                <c:pt idx="88">
                  <c:v>7.4156284276444204E-2</c:v>
                </c:pt>
                <c:pt idx="89">
                  <c:v>0.12690739206126558</c:v>
                </c:pt>
                <c:pt idx="90">
                  <c:v>0.21274658925720719</c:v>
                </c:pt>
                <c:pt idx="91">
                  <c:v>0.34446871490316261</c:v>
                </c:pt>
                <c:pt idx="92">
                  <c:v>0.52773237360779068</c:v>
                </c:pt>
                <c:pt idx="93">
                  <c:v>0.63855165536141401</c:v>
                </c:pt>
                <c:pt idx="94">
                  <c:v>0.78792095126477857</c:v>
                </c:pt>
                <c:pt idx="95">
                  <c:v>0.83106186985245201</c:v>
                </c:pt>
                <c:pt idx="96">
                  <c:v>0.90192510574353824</c:v>
                </c:pt>
                <c:pt idx="97">
                  <c:v>0.8839909678135367</c:v>
                </c:pt>
                <c:pt idx="98">
                  <c:v>0.82195755659110892</c:v>
                </c:pt>
                <c:pt idx="99">
                  <c:v>0.77754381809927853</c:v>
                </c:pt>
                <c:pt idx="100">
                  <c:v>0.73986232370624461</c:v>
                </c:pt>
                <c:pt idx="101">
                  <c:v>0.72303987945346238</c:v>
                </c:pt>
                <c:pt idx="102">
                  <c:v>0.6991859731575879</c:v>
                </c:pt>
                <c:pt idx="103">
                  <c:v>0.66475185934720882</c:v>
                </c:pt>
                <c:pt idx="104">
                  <c:v>0.64310686941645068</c:v>
                </c:pt>
                <c:pt idx="105">
                  <c:v>0.60406773878785092</c:v>
                </c:pt>
                <c:pt idx="106">
                  <c:v>0.54114067425617984</c:v>
                </c:pt>
                <c:pt idx="107">
                  <c:v>0.50301866910270321</c:v>
                </c:pt>
                <c:pt idx="108">
                  <c:v>0.4171219462265745</c:v>
                </c:pt>
                <c:pt idx="109">
                  <c:v>0.33937515987272587</c:v>
                </c:pt>
                <c:pt idx="110">
                  <c:v>0.34545504524019671</c:v>
                </c:pt>
                <c:pt idx="111">
                  <c:v>0.14412802948166728</c:v>
                </c:pt>
                <c:pt idx="112">
                  <c:v>1.559733414985745E-2</c:v>
                </c:pt>
                <c:pt idx="113">
                  <c:v>3.1557591806083379E-3</c:v>
                </c:pt>
                <c:pt idx="114">
                  <c:v>4.7599311532729435E-2</c:v>
                </c:pt>
                <c:pt idx="115">
                  <c:v>0.17183052529086965</c:v>
                </c:pt>
                <c:pt idx="116">
                  <c:v>0.36361773540319081</c:v>
                </c:pt>
                <c:pt idx="117">
                  <c:v>0.60983327284179467</c:v>
                </c:pt>
                <c:pt idx="118">
                  <c:v>0.56702977275960298</c:v>
                </c:pt>
                <c:pt idx="119">
                  <c:v>0.5780831783801349</c:v>
                </c:pt>
                <c:pt idx="120">
                  <c:v>0.62682693393630817</c:v>
                </c:pt>
                <c:pt idx="121">
                  <c:v>0.67775432797726187</c:v>
                </c:pt>
                <c:pt idx="122">
                  <c:v>0.71124378787532305</c:v>
                </c:pt>
                <c:pt idx="123">
                  <c:v>0.67745145767556225</c:v>
                </c:pt>
                <c:pt idx="124">
                  <c:v>0.69769594826474435</c:v>
                </c:pt>
                <c:pt idx="125">
                  <c:v>0.70825992568359708</c:v>
                </c:pt>
                <c:pt idx="126">
                  <c:v>0.69103000333514664</c:v>
                </c:pt>
                <c:pt idx="127">
                  <c:v>0.70658170422695343</c:v>
                </c:pt>
                <c:pt idx="128">
                  <c:v>0.70936780540793709</c:v>
                </c:pt>
                <c:pt idx="129">
                  <c:v>0.68520803039514733</c:v>
                </c:pt>
                <c:pt idx="130">
                  <c:v>0.60803918478583185</c:v>
                </c:pt>
                <c:pt idx="131">
                  <c:v>0.62193527195452947</c:v>
                </c:pt>
                <c:pt idx="132">
                  <c:v>0.68383734669122576</c:v>
                </c:pt>
                <c:pt idx="133">
                  <c:v>0.72719115299345927</c:v>
                </c:pt>
                <c:pt idx="134">
                  <c:v>0.77901905761842483</c:v>
                </c:pt>
                <c:pt idx="135">
                  <c:v>0.77140985330112066</c:v>
                </c:pt>
                <c:pt idx="136">
                  <c:v>0.73846205948106136</c:v>
                </c:pt>
                <c:pt idx="137">
                  <c:v>0.6902901723599485</c:v>
                </c:pt>
                <c:pt idx="138">
                  <c:v>0.70444734113975038</c:v>
                </c:pt>
                <c:pt idx="139">
                  <c:v>0.71324213817041504</c:v>
                </c:pt>
                <c:pt idx="140">
                  <c:v>0.72471650698786882</c:v>
                </c:pt>
                <c:pt idx="141">
                  <c:v>0.73338458974778775</c:v>
                </c:pt>
                <c:pt idx="142">
                  <c:v>0.72981167572626859</c:v>
                </c:pt>
                <c:pt idx="143">
                  <c:v>0.71728909443340561</c:v>
                </c:pt>
                <c:pt idx="144">
                  <c:v>0.69231999883385698</c:v>
                </c:pt>
                <c:pt idx="145">
                  <c:v>0.55293712555766095</c:v>
                </c:pt>
                <c:pt idx="146">
                  <c:v>0.38890556838470941</c:v>
                </c:pt>
                <c:pt idx="147">
                  <c:v>0.26860627464486719</c:v>
                </c:pt>
                <c:pt idx="148">
                  <c:v>0.13612490938694433</c:v>
                </c:pt>
                <c:pt idx="149">
                  <c:v>2.9950893609185777E-2</c:v>
                </c:pt>
                <c:pt idx="150">
                  <c:v>2.0000110285140118E-2</c:v>
                </c:pt>
                <c:pt idx="151">
                  <c:v>0.18079439046094153</c:v>
                </c:pt>
                <c:pt idx="152">
                  <c:v>0.14096837971172957</c:v>
                </c:pt>
                <c:pt idx="153">
                  <c:v>3.6266207841860978E-2</c:v>
                </c:pt>
                <c:pt idx="154">
                  <c:v>2.0786092286133696E-2</c:v>
                </c:pt>
                <c:pt idx="155">
                  <c:v>7.1088845650607344E-2</c:v>
                </c:pt>
                <c:pt idx="156">
                  <c:v>0.11572547451167843</c:v>
                </c:pt>
                <c:pt idx="157">
                  <c:v>0.20928307629719922</c:v>
                </c:pt>
                <c:pt idx="158">
                  <c:v>0.34006890274371437</c:v>
                </c:pt>
                <c:pt idx="159">
                  <c:v>0.43153383719783028</c:v>
                </c:pt>
                <c:pt idx="160">
                  <c:v>0.488513444725378</c:v>
                </c:pt>
                <c:pt idx="161">
                  <c:v>0.55217849502933902</c:v>
                </c:pt>
                <c:pt idx="162">
                  <c:v>0.58583955338244531</c:v>
                </c:pt>
                <c:pt idx="163">
                  <c:v>0.64376778214115793</c:v>
                </c:pt>
                <c:pt idx="164">
                  <c:v>0.63671607891901272</c:v>
                </c:pt>
                <c:pt idx="165">
                  <c:v>0.62493075799096542</c:v>
                </c:pt>
                <c:pt idx="166">
                  <c:v>0.6660535034007149</c:v>
                </c:pt>
                <c:pt idx="167">
                  <c:v>0.70501984350479208</c:v>
                </c:pt>
                <c:pt idx="168">
                  <c:v>0.69982320078485005</c:v>
                </c:pt>
                <c:pt idx="169">
                  <c:v>0.68436535818047994</c:v>
                </c:pt>
                <c:pt idx="170">
                  <c:v>0.61389091101594151</c:v>
                </c:pt>
                <c:pt idx="171">
                  <c:v>0.52140276231389893</c:v>
                </c:pt>
                <c:pt idx="172">
                  <c:v>0.44110223810435373</c:v>
                </c:pt>
                <c:pt idx="173">
                  <c:v>0.33596759575189183</c:v>
                </c:pt>
                <c:pt idx="174">
                  <c:v>0.24707941598025221</c:v>
                </c:pt>
                <c:pt idx="175">
                  <c:v>0.19237700200619934</c:v>
                </c:pt>
                <c:pt idx="176">
                  <c:v>0.13222116777674781</c:v>
                </c:pt>
                <c:pt idx="177">
                  <c:v>5.2752288437936119E-2</c:v>
                </c:pt>
                <c:pt idx="178">
                  <c:v>2.0043948983334094E-2</c:v>
                </c:pt>
                <c:pt idx="179">
                  <c:v>6.7031760557876546E-2</c:v>
                </c:pt>
                <c:pt idx="180">
                  <c:v>0.22926676720480099</c:v>
                </c:pt>
                <c:pt idx="181">
                  <c:v>0.46828718169254913</c:v>
                </c:pt>
                <c:pt idx="182">
                  <c:v>0.60991820861828971</c:v>
                </c:pt>
                <c:pt idx="183">
                  <c:v>0.71965279057364473</c:v>
                </c:pt>
                <c:pt idx="184">
                  <c:v>0.79041441984493743</c:v>
                </c:pt>
                <c:pt idx="185">
                  <c:v>0.77869645936402243</c:v>
                </c:pt>
                <c:pt idx="186">
                  <c:v>0.7740280256394152</c:v>
                </c:pt>
                <c:pt idx="187">
                  <c:v>0.76021805343928017</c:v>
                </c:pt>
                <c:pt idx="188">
                  <c:v>0.72642558615821173</c:v>
                </c:pt>
                <c:pt idx="189">
                  <c:v>0.67378627901048427</c:v>
                </c:pt>
                <c:pt idx="190">
                  <c:v>0.61101637890339411</c:v>
                </c:pt>
                <c:pt idx="191">
                  <c:v>0.58706201852575612</c:v>
                </c:pt>
                <c:pt idx="192">
                  <c:v>0.60676093574641143</c:v>
                </c:pt>
                <c:pt idx="193">
                  <c:v>0.57264029466894506</c:v>
                </c:pt>
                <c:pt idx="194">
                  <c:v>0.45052098070986407</c:v>
                </c:pt>
                <c:pt idx="195">
                  <c:v>0.27941390323768861</c:v>
                </c:pt>
                <c:pt idx="196">
                  <c:v>0.17978361552437655</c:v>
                </c:pt>
                <c:pt idx="197">
                  <c:v>0.1602546094217962</c:v>
                </c:pt>
                <c:pt idx="198">
                  <c:v>9.7632310245699391E-2</c:v>
                </c:pt>
                <c:pt idx="199">
                  <c:v>7.8746871028890789E-2</c:v>
                </c:pt>
                <c:pt idx="200">
                  <c:v>0.11414577715542215</c:v>
                </c:pt>
                <c:pt idx="201">
                  <c:v>0.16237177059351804</c:v>
                </c:pt>
                <c:pt idx="202">
                  <c:v>0.20967860617521819</c:v>
                </c:pt>
                <c:pt idx="203">
                  <c:v>0.26553112366784953</c:v>
                </c:pt>
                <c:pt idx="204">
                  <c:v>0.31399194467145225</c:v>
                </c:pt>
                <c:pt idx="205">
                  <c:v>0.36369065725574184</c:v>
                </c:pt>
                <c:pt idx="206">
                  <c:v>0.4126787381306099</c:v>
                </c:pt>
                <c:pt idx="207">
                  <c:v>0.48288073281386423</c:v>
                </c:pt>
                <c:pt idx="208">
                  <c:v>0.47939519742077119</c:v>
                </c:pt>
                <c:pt idx="209">
                  <c:v>0.46259296217835694</c:v>
                </c:pt>
                <c:pt idx="210">
                  <c:v>0.40816995863802352</c:v>
                </c:pt>
                <c:pt idx="211">
                  <c:v>0.33232552474541799</c:v>
                </c:pt>
                <c:pt idx="212">
                  <c:v>0.26191357804628373</c:v>
                </c:pt>
                <c:pt idx="213">
                  <c:v>0.41777293483724098</c:v>
                </c:pt>
                <c:pt idx="214">
                  <c:v>0.5018555302392862</c:v>
                </c:pt>
                <c:pt idx="215">
                  <c:v>0.54486259606125764</c:v>
                </c:pt>
                <c:pt idx="216">
                  <c:v>0.62427870709365008</c:v>
                </c:pt>
                <c:pt idx="217">
                  <c:v>0.70323665785546741</c:v>
                </c:pt>
                <c:pt idx="218">
                  <c:v>0.74842308232071719</c:v>
                </c:pt>
                <c:pt idx="219">
                  <c:v>0.83657221194003817</c:v>
                </c:pt>
                <c:pt idx="220">
                  <c:v>0.8910542697020889</c:v>
                </c:pt>
                <c:pt idx="221">
                  <c:v>0.90453517893039637</c:v>
                </c:pt>
                <c:pt idx="222">
                  <c:v>0.91488485901092131</c:v>
                </c:pt>
                <c:pt idx="223">
                  <c:v>0.91813647493637407</c:v>
                </c:pt>
                <c:pt idx="224">
                  <c:v>0.90264563001970266</c:v>
                </c:pt>
                <c:pt idx="225">
                  <c:v>0.86414623563466486</c:v>
                </c:pt>
                <c:pt idx="226">
                  <c:v>0.8338457795637283</c:v>
                </c:pt>
                <c:pt idx="227">
                  <c:v>0.81300304964521297</c:v>
                </c:pt>
                <c:pt idx="228">
                  <c:v>0.74158692814839544</c:v>
                </c:pt>
                <c:pt idx="229">
                  <c:v>0.58824447368723698</c:v>
                </c:pt>
                <c:pt idx="230">
                  <c:v>0.33417573882547758</c:v>
                </c:pt>
                <c:pt idx="231">
                  <c:v>9.8274839293237451E-2</c:v>
                </c:pt>
                <c:pt idx="232">
                  <c:v>2.3603790458728391E-3</c:v>
                </c:pt>
                <c:pt idx="233">
                  <c:v>0.18874510502819022</c:v>
                </c:pt>
                <c:pt idx="234">
                  <c:v>0.16198418523409064</c:v>
                </c:pt>
                <c:pt idx="235">
                  <c:v>3.1889023448597148E-2</c:v>
                </c:pt>
                <c:pt idx="236">
                  <c:v>8.6928986231932879E-3</c:v>
                </c:pt>
                <c:pt idx="237">
                  <c:v>0.10654003985180382</c:v>
                </c:pt>
                <c:pt idx="238">
                  <c:v>0.2263140952670897</c:v>
                </c:pt>
                <c:pt idx="239">
                  <c:v>0.31419794120855821</c:v>
                </c:pt>
                <c:pt idx="240">
                  <c:v>0.42561896109693553</c:v>
                </c:pt>
                <c:pt idx="241">
                  <c:v>0.54040324238433712</c:v>
                </c:pt>
                <c:pt idx="242">
                  <c:v>0.63662998815432481</c:v>
                </c:pt>
                <c:pt idx="243">
                  <c:v>0.69372208273115854</c:v>
                </c:pt>
                <c:pt idx="244">
                  <c:v>0.74765279093196024</c:v>
                </c:pt>
                <c:pt idx="245">
                  <c:v>0.7520870682502433</c:v>
                </c:pt>
                <c:pt idx="246">
                  <c:v>0.73941298032207547</c:v>
                </c:pt>
                <c:pt idx="247">
                  <c:v>0.74657506147043939</c:v>
                </c:pt>
                <c:pt idx="248">
                  <c:v>0.82963330163471949</c:v>
                </c:pt>
                <c:pt idx="249">
                  <c:v>0.8780487124448354</c:v>
                </c:pt>
                <c:pt idx="250">
                  <c:v>0.89297554364727971</c:v>
                </c:pt>
                <c:pt idx="251">
                  <c:v>0.85606146887594581</c:v>
                </c:pt>
                <c:pt idx="252">
                  <c:v>0.82347083655414299</c:v>
                </c:pt>
                <c:pt idx="253">
                  <c:v>0.7392856387821729</c:v>
                </c:pt>
                <c:pt idx="254">
                  <c:v>0.68323924720413887</c:v>
                </c:pt>
                <c:pt idx="255">
                  <c:v>0.58455297813684559</c:v>
                </c:pt>
                <c:pt idx="256">
                  <c:v>0.45746810560418499</c:v>
                </c:pt>
                <c:pt idx="257">
                  <c:v>0.4423640003926822</c:v>
                </c:pt>
                <c:pt idx="258">
                  <c:v>0.36401539239702912</c:v>
                </c:pt>
                <c:pt idx="259">
                  <c:v>0.23572133016698724</c:v>
                </c:pt>
                <c:pt idx="260">
                  <c:v>0.11884033692936405</c:v>
                </c:pt>
                <c:pt idx="261">
                  <c:v>2.5381308086409111E-2</c:v>
                </c:pt>
                <c:pt idx="262">
                  <c:v>1.1020305384462359E-3</c:v>
                </c:pt>
                <c:pt idx="263">
                  <c:v>5.8193487167310036E-2</c:v>
                </c:pt>
                <c:pt idx="264">
                  <c:v>0.16142035215974102</c:v>
                </c:pt>
                <c:pt idx="265">
                  <c:v>0.2504366862545877</c:v>
                </c:pt>
                <c:pt idx="266">
                  <c:v>0.23867271097067122</c:v>
                </c:pt>
                <c:pt idx="267">
                  <c:v>0.24594267519517643</c:v>
                </c:pt>
                <c:pt idx="268">
                  <c:v>0.31944351912339097</c:v>
                </c:pt>
                <c:pt idx="269">
                  <c:v>0.35318798738464591</c:v>
                </c:pt>
                <c:pt idx="270">
                  <c:v>0.32942477778355256</c:v>
                </c:pt>
                <c:pt idx="271">
                  <c:v>0.22435128343300162</c:v>
                </c:pt>
                <c:pt idx="272">
                  <c:v>0.11161653968337305</c:v>
                </c:pt>
                <c:pt idx="273">
                  <c:v>1.8553698054439821E-2</c:v>
                </c:pt>
                <c:pt idx="274">
                  <c:v>1.3932411796316709E-4</c:v>
                </c:pt>
                <c:pt idx="275">
                  <c:v>1.145880885137961E-2</c:v>
                </c:pt>
                <c:pt idx="276">
                  <c:v>0.13950572109013532</c:v>
                </c:pt>
                <c:pt idx="277">
                  <c:v>0.33726928946971957</c:v>
                </c:pt>
                <c:pt idx="278">
                  <c:v>0.61095974762289906</c:v>
                </c:pt>
                <c:pt idx="279">
                  <c:v>0.60451441887439306</c:v>
                </c:pt>
                <c:pt idx="280">
                  <c:v>0.64027083889585235</c:v>
                </c:pt>
                <c:pt idx="281">
                  <c:v>0.66476393756470153</c:v>
                </c:pt>
                <c:pt idx="282">
                  <c:v>0.66960382233596061</c:v>
                </c:pt>
                <c:pt idx="283">
                  <c:v>0.59286442810795281</c:v>
                </c:pt>
                <c:pt idx="284">
                  <c:v>0.62219627688996015</c:v>
                </c:pt>
                <c:pt idx="285">
                  <c:v>0.60730143878005538</c:v>
                </c:pt>
                <c:pt idx="286">
                  <c:v>0.60094671542365385</c:v>
                </c:pt>
                <c:pt idx="287">
                  <c:v>0.65250396793934951</c:v>
                </c:pt>
                <c:pt idx="288">
                  <c:v>0.63449598299973942</c:v>
                </c:pt>
                <c:pt idx="289">
                  <c:v>0.5967438088333501</c:v>
                </c:pt>
                <c:pt idx="290">
                  <c:v>0.5541556327296483</c:v>
                </c:pt>
                <c:pt idx="291">
                  <c:v>0.5680446456047924</c:v>
                </c:pt>
                <c:pt idx="292">
                  <c:v>0.62023448846022666</c:v>
                </c:pt>
                <c:pt idx="293">
                  <c:v>0.69817979315535506</c:v>
                </c:pt>
                <c:pt idx="294">
                  <c:v>#N/A</c:v>
                </c:pt>
                <c:pt idx="295">
                  <c:v>#N/A</c:v>
                </c:pt>
                <c:pt idx="296">
                  <c:v>#N/A</c:v>
                </c:pt>
                <c:pt idx="297">
                  <c:v>#N/A</c:v>
                </c:pt>
                <c:pt idx="298">
                  <c:v>#N/A</c:v>
                </c:pt>
                <c:pt idx="299">
                  <c:v>#N/A</c:v>
                </c:pt>
                <c:pt idx="300">
                  <c:v>#N/A</c:v>
                </c:pt>
                <c:pt idx="301">
                  <c:v>#N/A</c:v>
                </c:pt>
                <c:pt idx="302">
                  <c:v>#N/A</c:v>
                </c:pt>
                <c:pt idx="303">
                  <c:v>#N/A</c:v>
                </c:pt>
                <c:pt idx="304">
                  <c:v>#N/A</c:v>
                </c:pt>
                <c:pt idx="305">
                  <c:v>#N/A</c:v>
                </c:pt>
                <c:pt idx="306">
                  <c:v>#N/A</c:v>
                </c:pt>
                <c:pt idx="307">
                  <c:v>#N/A</c:v>
                </c:pt>
                <c:pt idx="308">
                  <c:v>#N/A</c:v>
                </c:pt>
                <c:pt idx="309">
                  <c:v>#N/A</c:v>
                </c:pt>
                <c:pt idx="310">
                  <c:v>#N/A</c:v>
                </c:pt>
                <c:pt idx="311">
                  <c:v>#N/A</c:v>
                </c:pt>
                <c:pt idx="312">
                  <c:v>#N/A</c:v>
                </c:pt>
                <c:pt idx="313">
                  <c:v>#N/A</c:v>
                </c:pt>
                <c:pt idx="314">
                  <c:v>#N/A</c:v>
                </c:pt>
                <c:pt idx="315">
                  <c:v>#N/A</c:v>
                </c:pt>
                <c:pt idx="316">
                  <c:v>#N/A</c:v>
                </c:pt>
                <c:pt idx="317">
                  <c:v>#N/A</c:v>
                </c:pt>
                <c:pt idx="318">
                  <c:v>#N/A</c:v>
                </c:pt>
                <c:pt idx="319">
                  <c:v>#N/A</c:v>
                </c:pt>
                <c:pt idx="320">
                  <c:v>#N/A</c:v>
                </c:pt>
                <c:pt idx="321">
                  <c:v>#N/A</c:v>
                </c:pt>
                <c:pt idx="322">
                  <c:v>#N/A</c:v>
                </c:pt>
                <c:pt idx="323">
                  <c:v>#N/A</c:v>
                </c:pt>
                <c:pt idx="324">
                  <c:v>#N/A</c:v>
                </c:pt>
                <c:pt idx="325">
                  <c:v>#N/A</c:v>
                </c:pt>
                <c:pt idx="326">
                  <c:v>#N/A</c:v>
                </c:pt>
                <c:pt idx="327">
                  <c:v>#N/A</c:v>
                </c:pt>
                <c:pt idx="328">
                  <c:v>#N/A</c:v>
                </c:pt>
                <c:pt idx="329">
                  <c:v>#N/A</c:v>
                </c:pt>
                <c:pt idx="330">
                  <c:v>#N/A</c:v>
                </c:pt>
                <c:pt idx="331">
                  <c:v>#N/A</c:v>
                </c:pt>
                <c:pt idx="332">
                  <c:v>#N/A</c:v>
                </c:pt>
                <c:pt idx="333">
                  <c:v>#N/A</c:v>
                </c:pt>
                <c:pt idx="334">
                  <c:v>#N/A</c:v>
                </c:pt>
                <c:pt idx="335">
                  <c:v>#N/A</c:v>
                </c:pt>
                <c:pt idx="336">
                  <c:v>#N/A</c:v>
                </c:pt>
                <c:pt idx="337">
                  <c:v>#N/A</c:v>
                </c:pt>
                <c:pt idx="338">
                  <c:v>#N/A</c:v>
                </c:pt>
                <c:pt idx="339">
                  <c:v>#N/A</c:v>
                </c:pt>
                <c:pt idx="340">
                  <c:v>#N/A</c:v>
                </c:pt>
                <c:pt idx="341">
                  <c:v>#N/A</c:v>
                </c:pt>
                <c:pt idx="342">
                  <c:v>#N/A</c:v>
                </c:pt>
                <c:pt idx="343">
                  <c:v>#N/A</c:v>
                </c:pt>
                <c:pt idx="344">
                  <c:v>#N/A</c:v>
                </c:pt>
                <c:pt idx="345">
                  <c:v>#N/A</c:v>
                </c:pt>
                <c:pt idx="346">
                  <c:v>#N/A</c:v>
                </c:pt>
                <c:pt idx="347">
                  <c:v>#N/A</c:v>
                </c:pt>
                <c:pt idx="348">
                  <c:v>#N/A</c:v>
                </c:pt>
                <c:pt idx="349">
                  <c:v>#N/A</c:v>
                </c:pt>
                <c:pt idx="350">
                  <c:v>#N/A</c:v>
                </c:pt>
                <c:pt idx="351">
                  <c:v>#N/A</c:v>
                </c:pt>
                <c:pt idx="352">
                  <c:v>#N/A</c:v>
                </c:pt>
                <c:pt idx="353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8A4-48DC-B51F-150164B6D6BD}"/>
            </c:ext>
          </c:extLst>
        </c:ser>
        <c:ser>
          <c:idx val="1"/>
          <c:order val="1"/>
          <c:tx>
            <c:strRef>
              <c:f>'R-Sq'!$T$2</c:f>
              <c:strCache>
                <c:ptCount val="1"/>
                <c:pt idx="0">
                  <c:v>Debit : M2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'R-Sq'!$A$3:$A$1355</c:f>
              <c:numCache>
                <c:formatCode>m/d/yyyy</c:formatCode>
                <c:ptCount val="1353"/>
                <c:pt idx="0">
                  <c:v>46173</c:v>
                </c:pt>
                <c:pt idx="1">
                  <c:v>46142</c:v>
                </c:pt>
                <c:pt idx="2">
                  <c:v>46112</c:v>
                </c:pt>
                <c:pt idx="3">
                  <c:v>46081</c:v>
                </c:pt>
                <c:pt idx="4">
                  <c:v>46053</c:v>
                </c:pt>
                <c:pt idx="5">
                  <c:v>46022</c:v>
                </c:pt>
                <c:pt idx="6">
                  <c:v>45991</c:v>
                </c:pt>
                <c:pt idx="7">
                  <c:v>45961</c:v>
                </c:pt>
                <c:pt idx="8">
                  <c:v>45930</c:v>
                </c:pt>
                <c:pt idx="9">
                  <c:v>45900</c:v>
                </c:pt>
                <c:pt idx="10">
                  <c:v>45869</c:v>
                </c:pt>
                <c:pt idx="11">
                  <c:v>45838</c:v>
                </c:pt>
                <c:pt idx="12">
                  <c:v>45808</c:v>
                </c:pt>
                <c:pt idx="13">
                  <c:v>45777</c:v>
                </c:pt>
                <c:pt idx="14">
                  <c:v>45747</c:v>
                </c:pt>
                <c:pt idx="15">
                  <c:v>45716</c:v>
                </c:pt>
                <c:pt idx="16">
                  <c:v>45688</c:v>
                </c:pt>
                <c:pt idx="17">
                  <c:v>45657</c:v>
                </c:pt>
                <c:pt idx="18">
                  <c:v>45626</c:v>
                </c:pt>
                <c:pt idx="19">
                  <c:v>45596</c:v>
                </c:pt>
                <c:pt idx="20">
                  <c:v>45565</c:v>
                </c:pt>
                <c:pt idx="21">
                  <c:v>45535</c:v>
                </c:pt>
                <c:pt idx="22">
                  <c:v>45504</c:v>
                </c:pt>
                <c:pt idx="23">
                  <c:v>45473</c:v>
                </c:pt>
                <c:pt idx="24">
                  <c:v>45443</c:v>
                </c:pt>
                <c:pt idx="25">
                  <c:v>45412</c:v>
                </c:pt>
                <c:pt idx="26">
                  <c:v>45382</c:v>
                </c:pt>
                <c:pt idx="27">
                  <c:v>45351</c:v>
                </c:pt>
                <c:pt idx="28">
                  <c:v>45322</c:v>
                </c:pt>
                <c:pt idx="29">
                  <c:v>45291</c:v>
                </c:pt>
                <c:pt idx="30">
                  <c:v>45260</c:v>
                </c:pt>
                <c:pt idx="31">
                  <c:v>45230</c:v>
                </c:pt>
                <c:pt idx="32">
                  <c:v>45199</c:v>
                </c:pt>
                <c:pt idx="33">
                  <c:v>45169</c:v>
                </c:pt>
                <c:pt idx="34">
                  <c:v>45138</c:v>
                </c:pt>
                <c:pt idx="35">
                  <c:v>45107</c:v>
                </c:pt>
                <c:pt idx="36">
                  <c:v>45077</c:v>
                </c:pt>
                <c:pt idx="37">
                  <c:v>45046</c:v>
                </c:pt>
                <c:pt idx="38">
                  <c:v>45016</c:v>
                </c:pt>
                <c:pt idx="39">
                  <c:v>44985</c:v>
                </c:pt>
                <c:pt idx="40">
                  <c:v>44957</c:v>
                </c:pt>
                <c:pt idx="41">
                  <c:v>44926</c:v>
                </c:pt>
                <c:pt idx="42">
                  <c:v>44895</c:v>
                </c:pt>
                <c:pt idx="43">
                  <c:v>44865</c:v>
                </c:pt>
                <c:pt idx="44">
                  <c:v>44834</c:v>
                </c:pt>
                <c:pt idx="45">
                  <c:v>44804</c:v>
                </c:pt>
                <c:pt idx="46">
                  <c:v>44773</c:v>
                </c:pt>
                <c:pt idx="47">
                  <c:v>44742</c:v>
                </c:pt>
                <c:pt idx="48">
                  <c:v>44712</c:v>
                </c:pt>
                <c:pt idx="49">
                  <c:v>44681</c:v>
                </c:pt>
                <c:pt idx="50">
                  <c:v>44651</c:v>
                </c:pt>
                <c:pt idx="51">
                  <c:v>44620</c:v>
                </c:pt>
                <c:pt idx="52">
                  <c:v>44592</c:v>
                </c:pt>
                <c:pt idx="53">
                  <c:v>44561</c:v>
                </c:pt>
                <c:pt idx="54">
                  <c:v>44530</c:v>
                </c:pt>
                <c:pt idx="55">
                  <c:v>44500</c:v>
                </c:pt>
                <c:pt idx="56">
                  <c:v>44469</c:v>
                </c:pt>
                <c:pt idx="57">
                  <c:v>44439</c:v>
                </c:pt>
                <c:pt idx="58">
                  <c:v>44408</c:v>
                </c:pt>
                <c:pt idx="59">
                  <c:v>44377</c:v>
                </c:pt>
                <c:pt idx="60">
                  <c:v>44347</c:v>
                </c:pt>
                <c:pt idx="61">
                  <c:v>44316</c:v>
                </c:pt>
                <c:pt idx="62">
                  <c:v>44286</c:v>
                </c:pt>
                <c:pt idx="63">
                  <c:v>44255</c:v>
                </c:pt>
                <c:pt idx="64">
                  <c:v>44227</c:v>
                </c:pt>
                <c:pt idx="65">
                  <c:v>44196</c:v>
                </c:pt>
                <c:pt idx="66">
                  <c:v>44165</c:v>
                </c:pt>
                <c:pt idx="67">
                  <c:v>44135</c:v>
                </c:pt>
                <c:pt idx="68">
                  <c:v>44104</c:v>
                </c:pt>
                <c:pt idx="69">
                  <c:v>44074</c:v>
                </c:pt>
                <c:pt idx="70">
                  <c:v>44043</c:v>
                </c:pt>
                <c:pt idx="71">
                  <c:v>44012</c:v>
                </c:pt>
                <c:pt idx="72">
                  <c:v>43982</c:v>
                </c:pt>
                <c:pt idx="73">
                  <c:v>43951</c:v>
                </c:pt>
                <c:pt idx="74">
                  <c:v>43921</c:v>
                </c:pt>
                <c:pt idx="75">
                  <c:v>43890</c:v>
                </c:pt>
                <c:pt idx="76">
                  <c:v>43861</c:v>
                </c:pt>
                <c:pt idx="77">
                  <c:v>43830</c:v>
                </c:pt>
                <c:pt idx="78">
                  <c:v>43799</c:v>
                </c:pt>
                <c:pt idx="79">
                  <c:v>43769</c:v>
                </c:pt>
                <c:pt idx="80">
                  <c:v>43738</c:v>
                </c:pt>
                <c:pt idx="81">
                  <c:v>43708</c:v>
                </c:pt>
                <c:pt idx="82">
                  <c:v>43677</c:v>
                </c:pt>
                <c:pt idx="83">
                  <c:v>43646</c:v>
                </c:pt>
                <c:pt idx="84">
                  <c:v>43616</c:v>
                </c:pt>
                <c:pt idx="85">
                  <c:v>43585</c:v>
                </c:pt>
                <c:pt idx="86">
                  <c:v>43555</c:v>
                </c:pt>
                <c:pt idx="87">
                  <c:v>43524</c:v>
                </c:pt>
                <c:pt idx="88">
                  <c:v>43496</c:v>
                </c:pt>
                <c:pt idx="89">
                  <c:v>43465</c:v>
                </c:pt>
                <c:pt idx="90">
                  <c:v>43434</c:v>
                </c:pt>
                <c:pt idx="91">
                  <c:v>43404</c:v>
                </c:pt>
                <c:pt idx="92">
                  <c:v>43373</c:v>
                </c:pt>
                <c:pt idx="93">
                  <c:v>43343</c:v>
                </c:pt>
                <c:pt idx="94">
                  <c:v>43312</c:v>
                </c:pt>
                <c:pt idx="95">
                  <c:v>43281</c:v>
                </c:pt>
                <c:pt idx="96">
                  <c:v>43251</c:v>
                </c:pt>
                <c:pt idx="97">
                  <c:v>43220</c:v>
                </c:pt>
                <c:pt idx="98">
                  <c:v>43190</c:v>
                </c:pt>
                <c:pt idx="99">
                  <c:v>43159</c:v>
                </c:pt>
                <c:pt idx="100">
                  <c:v>43131</c:v>
                </c:pt>
                <c:pt idx="101">
                  <c:v>43100</c:v>
                </c:pt>
                <c:pt idx="102">
                  <c:v>43069</c:v>
                </c:pt>
                <c:pt idx="103">
                  <c:v>43039</c:v>
                </c:pt>
                <c:pt idx="104">
                  <c:v>43008</c:v>
                </c:pt>
                <c:pt idx="105">
                  <c:v>42978</c:v>
                </c:pt>
                <c:pt idx="106">
                  <c:v>42947</c:v>
                </c:pt>
                <c:pt idx="107">
                  <c:v>42916</c:v>
                </c:pt>
                <c:pt idx="108">
                  <c:v>42886</c:v>
                </c:pt>
                <c:pt idx="109">
                  <c:v>42855</c:v>
                </c:pt>
                <c:pt idx="110">
                  <c:v>42825</c:v>
                </c:pt>
                <c:pt idx="111">
                  <c:v>42794</c:v>
                </c:pt>
                <c:pt idx="112">
                  <c:v>42766</c:v>
                </c:pt>
                <c:pt idx="113">
                  <c:v>42735</c:v>
                </c:pt>
                <c:pt idx="114">
                  <c:v>42704</c:v>
                </c:pt>
                <c:pt idx="115">
                  <c:v>42674</c:v>
                </c:pt>
                <c:pt idx="116">
                  <c:v>42643</c:v>
                </c:pt>
                <c:pt idx="117">
                  <c:v>42613</c:v>
                </c:pt>
                <c:pt idx="118">
                  <c:v>42582</c:v>
                </c:pt>
                <c:pt idx="119">
                  <c:v>42551</c:v>
                </c:pt>
                <c:pt idx="120">
                  <c:v>42521</c:v>
                </c:pt>
                <c:pt idx="121">
                  <c:v>42490</c:v>
                </c:pt>
                <c:pt idx="122">
                  <c:v>42460</c:v>
                </c:pt>
                <c:pt idx="123">
                  <c:v>42429</c:v>
                </c:pt>
                <c:pt idx="124">
                  <c:v>42400</c:v>
                </c:pt>
                <c:pt idx="125">
                  <c:v>42369</c:v>
                </c:pt>
                <c:pt idx="126">
                  <c:v>42338</c:v>
                </c:pt>
                <c:pt idx="127">
                  <c:v>42308</c:v>
                </c:pt>
                <c:pt idx="128">
                  <c:v>42277</c:v>
                </c:pt>
                <c:pt idx="129">
                  <c:v>42247</c:v>
                </c:pt>
                <c:pt idx="130">
                  <c:v>42216</c:v>
                </c:pt>
                <c:pt idx="131">
                  <c:v>42185</c:v>
                </c:pt>
                <c:pt idx="132">
                  <c:v>42155</c:v>
                </c:pt>
                <c:pt idx="133">
                  <c:v>42124</c:v>
                </c:pt>
                <c:pt idx="134">
                  <c:v>42094</c:v>
                </c:pt>
                <c:pt idx="135">
                  <c:v>42063</c:v>
                </c:pt>
                <c:pt idx="136">
                  <c:v>42035</c:v>
                </c:pt>
                <c:pt idx="137">
                  <c:v>42004</c:v>
                </c:pt>
                <c:pt idx="138">
                  <c:v>41973</c:v>
                </c:pt>
                <c:pt idx="139">
                  <c:v>41943</c:v>
                </c:pt>
                <c:pt idx="140">
                  <c:v>41912</c:v>
                </c:pt>
                <c:pt idx="141">
                  <c:v>41882</c:v>
                </c:pt>
                <c:pt idx="142">
                  <c:v>41851</c:v>
                </c:pt>
                <c:pt idx="143">
                  <c:v>41820</c:v>
                </c:pt>
                <c:pt idx="144">
                  <c:v>41790</c:v>
                </c:pt>
                <c:pt idx="145">
                  <c:v>41759</c:v>
                </c:pt>
                <c:pt idx="146">
                  <c:v>41729</c:v>
                </c:pt>
                <c:pt idx="147">
                  <c:v>41698</c:v>
                </c:pt>
                <c:pt idx="148">
                  <c:v>41670</c:v>
                </c:pt>
                <c:pt idx="149">
                  <c:v>41639</c:v>
                </c:pt>
                <c:pt idx="150">
                  <c:v>41608</c:v>
                </c:pt>
                <c:pt idx="151">
                  <c:v>41578</c:v>
                </c:pt>
                <c:pt idx="152">
                  <c:v>41547</c:v>
                </c:pt>
                <c:pt idx="153">
                  <c:v>41517</c:v>
                </c:pt>
                <c:pt idx="154">
                  <c:v>41486</c:v>
                </c:pt>
                <c:pt idx="155">
                  <c:v>41455</c:v>
                </c:pt>
                <c:pt idx="156">
                  <c:v>41425</c:v>
                </c:pt>
                <c:pt idx="157">
                  <c:v>41394</c:v>
                </c:pt>
                <c:pt idx="158">
                  <c:v>41364</c:v>
                </c:pt>
                <c:pt idx="159">
                  <c:v>41333</c:v>
                </c:pt>
                <c:pt idx="160">
                  <c:v>41305</c:v>
                </c:pt>
                <c:pt idx="161">
                  <c:v>41274</c:v>
                </c:pt>
                <c:pt idx="162">
                  <c:v>41243</c:v>
                </c:pt>
                <c:pt idx="163">
                  <c:v>41213</c:v>
                </c:pt>
                <c:pt idx="164">
                  <c:v>41182</c:v>
                </c:pt>
                <c:pt idx="165">
                  <c:v>41152</c:v>
                </c:pt>
                <c:pt idx="166">
                  <c:v>41121</c:v>
                </c:pt>
                <c:pt idx="167">
                  <c:v>41090</c:v>
                </c:pt>
                <c:pt idx="168">
                  <c:v>41060</c:v>
                </c:pt>
                <c:pt idx="169">
                  <c:v>41029</c:v>
                </c:pt>
                <c:pt idx="170">
                  <c:v>40999</c:v>
                </c:pt>
                <c:pt idx="171">
                  <c:v>40968</c:v>
                </c:pt>
                <c:pt idx="172">
                  <c:v>40939</c:v>
                </c:pt>
                <c:pt idx="173">
                  <c:v>40908</c:v>
                </c:pt>
                <c:pt idx="174">
                  <c:v>40877</c:v>
                </c:pt>
                <c:pt idx="175">
                  <c:v>40847</c:v>
                </c:pt>
                <c:pt idx="176">
                  <c:v>40816</c:v>
                </c:pt>
                <c:pt idx="177">
                  <c:v>40786</c:v>
                </c:pt>
                <c:pt idx="178">
                  <c:v>40755</c:v>
                </c:pt>
                <c:pt idx="179">
                  <c:v>40724</c:v>
                </c:pt>
                <c:pt idx="180">
                  <c:v>40694</c:v>
                </c:pt>
                <c:pt idx="181">
                  <c:v>40663</c:v>
                </c:pt>
                <c:pt idx="182">
                  <c:v>40633</c:v>
                </c:pt>
                <c:pt idx="183">
                  <c:v>40602</c:v>
                </c:pt>
                <c:pt idx="184">
                  <c:v>40574</c:v>
                </c:pt>
                <c:pt idx="185">
                  <c:v>40543</c:v>
                </c:pt>
                <c:pt idx="186">
                  <c:v>40512</c:v>
                </c:pt>
                <c:pt idx="187">
                  <c:v>40482</c:v>
                </c:pt>
                <c:pt idx="188">
                  <c:v>40451</c:v>
                </c:pt>
                <c:pt idx="189">
                  <c:v>40421</c:v>
                </c:pt>
                <c:pt idx="190">
                  <c:v>40390</c:v>
                </c:pt>
                <c:pt idx="191">
                  <c:v>40359</c:v>
                </c:pt>
                <c:pt idx="192">
                  <c:v>40329</c:v>
                </c:pt>
                <c:pt idx="193">
                  <c:v>40298</c:v>
                </c:pt>
                <c:pt idx="194">
                  <c:v>40268</c:v>
                </c:pt>
                <c:pt idx="195">
                  <c:v>40237</c:v>
                </c:pt>
                <c:pt idx="196">
                  <c:v>40209</c:v>
                </c:pt>
                <c:pt idx="197">
                  <c:v>40178</c:v>
                </c:pt>
                <c:pt idx="198">
                  <c:v>40147</c:v>
                </c:pt>
                <c:pt idx="199">
                  <c:v>40117</c:v>
                </c:pt>
                <c:pt idx="200">
                  <c:v>40086</c:v>
                </c:pt>
                <c:pt idx="201">
                  <c:v>40056</c:v>
                </c:pt>
                <c:pt idx="202">
                  <c:v>40025</c:v>
                </c:pt>
                <c:pt idx="203">
                  <c:v>39994</c:v>
                </c:pt>
                <c:pt idx="204">
                  <c:v>39964</c:v>
                </c:pt>
                <c:pt idx="205">
                  <c:v>39933</c:v>
                </c:pt>
                <c:pt idx="206">
                  <c:v>39903</c:v>
                </c:pt>
                <c:pt idx="207">
                  <c:v>39872</c:v>
                </c:pt>
                <c:pt idx="208">
                  <c:v>39844</c:v>
                </c:pt>
                <c:pt idx="209">
                  <c:v>39813</c:v>
                </c:pt>
                <c:pt idx="210">
                  <c:v>39782</c:v>
                </c:pt>
                <c:pt idx="211">
                  <c:v>39752</c:v>
                </c:pt>
                <c:pt idx="212">
                  <c:v>39721</c:v>
                </c:pt>
                <c:pt idx="213">
                  <c:v>39691</c:v>
                </c:pt>
                <c:pt idx="214">
                  <c:v>39660</c:v>
                </c:pt>
                <c:pt idx="215">
                  <c:v>39629</c:v>
                </c:pt>
                <c:pt idx="216">
                  <c:v>39599</c:v>
                </c:pt>
                <c:pt idx="217">
                  <c:v>39568</c:v>
                </c:pt>
                <c:pt idx="218">
                  <c:v>39538</c:v>
                </c:pt>
                <c:pt idx="219">
                  <c:v>39507</c:v>
                </c:pt>
                <c:pt idx="220">
                  <c:v>39478</c:v>
                </c:pt>
                <c:pt idx="221">
                  <c:v>39447</c:v>
                </c:pt>
                <c:pt idx="222">
                  <c:v>39416</c:v>
                </c:pt>
                <c:pt idx="223">
                  <c:v>39386</c:v>
                </c:pt>
                <c:pt idx="224">
                  <c:v>39355</c:v>
                </c:pt>
                <c:pt idx="225">
                  <c:v>39325</c:v>
                </c:pt>
                <c:pt idx="226">
                  <c:v>39294</c:v>
                </c:pt>
                <c:pt idx="227">
                  <c:v>39263</c:v>
                </c:pt>
                <c:pt idx="228">
                  <c:v>39233</c:v>
                </c:pt>
                <c:pt idx="229">
                  <c:v>39202</c:v>
                </c:pt>
                <c:pt idx="230">
                  <c:v>39172</c:v>
                </c:pt>
                <c:pt idx="231">
                  <c:v>39141</c:v>
                </c:pt>
                <c:pt idx="232">
                  <c:v>39113</c:v>
                </c:pt>
                <c:pt idx="233">
                  <c:v>39082</c:v>
                </c:pt>
                <c:pt idx="234">
                  <c:v>39051</c:v>
                </c:pt>
                <c:pt idx="235">
                  <c:v>39021</c:v>
                </c:pt>
                <c:pt idx="236">
                  <c:v>38990</c:v>
                </c:pt>
                <c:pt idx="237">
                  <c:v>38960</c:v>
                </c:pt>
                <c:pt idx="238">
                  <c:v>38929</c:v>
                </c:pt>
                <c:pt idx="239">
                  <c:v>38898</c:v>
                </c:pt>
                <c:pt idx="240">
                  <c:v>38868</c:v>
                </c:pt>
                <c:pt idx="241">
                  <c:v>38837</c:v>
                </c:pt>
                <c:pt idx="242">
                  <c:v>38807</c:v>
                </c:pt>
                <c:pt idx="243">
                  <c:v>38776</c:v>
                </c:pt>
                <c:pt idx="244">
                  <c:v>38748</c:v>
                </c:pt>
                <c:pt idx="245">
                  <c:v>38717</c:v>
                </c:pt>
                <c:pt idx="246">
                  <c:v>38686</c:v>
                </c:pt>
                <c:pt idx="247">
                  <c:v>38656</c:v>
                </c:pt>
                <c:pt idx="248">
                  <c:v>38625</c:v>
                </c:pt>
                <c:pt idx="249">
                  <c:v>38595</c:v>
                </c:pt>
                <c:pt idx="250">
                  <c:v>38564</c:v>
                </c:pt>
                <c:pt idx="251">
                  <c:v>38533</c:v>
                </c:pt>
                <c:pt idx="252">
                  <c:v>38503</c:v>
                </c:pt>
                <c:pt idx="253">
                  <c:v>38472</c:v>
                </c:pt>
                <c:pt idx="254">
                  <c:v>38442</c:v>
                </c:pt>
                <c:pt idx="255">
                  <c:v>38411</c:v>
                </c:pt>
                <c:pt idx="256">
                  <c:v>38383</c:v>
                </c:pt>
                <c:pt idx="257">
                  <c:v>38352</c:v>
                </c:pt>
                <c:pt idx="258">
                  <c:v>38321</c:v>
                </c:pt>
                <c:pt idx="259">
                  <c:v>38291</c:v>
                </c:pt>
                <c:pt idx="260">
                  <c:v>38260</c:v>
                </c:pt>
                <c:pt idx="261">
                  <c:v>38230</c:v>
                </c:pt>
                <c:pt idx="262">
                  <c:v>38199</c:v>
                </c:pt>
                <c:pt idx="263">
                  <c:v>38168</c:v>
                </c:pt>
                <c:pt idx="264">
                  <c:v>38138</c:v>
                </c:pt>
                <c:pt idx="265">
                  <c:v>38107</c:v>
                </c:pt>
                <c:pt idx="266">
                  <c:v>38077</c:v>
                </c:pt>
                <c:pt idx="267">
                  <c:v>38046</c:v>
                </c:pt>
                <c:pt idx="268">
                  <c:v>38017</c:v>
                </c:pt>
                <c:pt idx="269">
                  <c:v>37986</c:v>
                </c:pt>
                <c:pt idx="270">
                  <c:v>37955</c:v>
                </c:pt>
                <c:pt idx="271">
                  <c:v>37925</c:v>
                </c:pt>
                <c:pt idx="272">
                  <c:v>37894</c:v>
                </c:pt>
                <c:pt idx="273">
                  <c:v>37864</c:v>
                </c:pt>
                <c:pt idx="274">
                  <c:v>37833</c:v>
                </c:pt>
                <c:pt idx="275">
                  <c:v>37802</c:v>
                </c:pt>
                <c:pt idx="276">
                  <c:v>37772</c:v>
                </c:pt>
                <c:pt idx="277">
                  <c:v>37741</c:v>
                </c:pt>
                <c:pt idx="278">
                  <c:v>37711</c:v>
                </c:pt>
                <c:pt idx="279">
                  <c:v>37680</c:v>
                </c:pt>
                <c:pt idx="280">
                  <c:v>37652</c:v>
                </c:pt>
                <c:pt idx="281">
                  <c:v>37621</c:v>
                </c:pt>
                <c:pt idx="282">
                  <c:v>37590</c:v>
                </c:pt>
                <c:pt idx="283">
                  <c:v>37560</c:v>
                </c:pt>
                <c:pt idx="284">
                  <c:v>37529</c:v>
                </c:pt>
                <c:pt idx="285">
                  <c:v>37499</c:v>
                </c:pt>
                <c:pt idx="286">
                  <c:v>37468</c:v>
                </c:pt>
                <c:pt idx="287">
                  <c:v>37437</c:v>
                </c:pt>
                <c:pt idx="288">
                  <c:v>37407</c:v>
                </c:pt>
                <c:pt idx="289">
                  <c:v>37376</c:v>
                </c:pt>
                <c:pt idx="290">
                  <c:v>37346</c:v>
                </c:pt>
                <c:pt idx="291">
                  <c:v>37315</c:v>
                </c:pt>
                <c:pt idx="292">
                  <c:v>37287</c:v>
                </c:pt>
                <c:pt idx="293">
                  <c:v>37256</c:v>
                </c:pt>
                <c:pt idx="294">
                  <c:v>37225</c:v>
                </c:pt>
                <c:pt idx="295">
                  <c:v>37195</c:v>
                </c:pt>
                <c:pt idx="296">
                  <c:v>37164</c:v>
                </c:pt>
                <c:pt idx="297">
                  <c:v>37134</c:v>
                </c:pt>
                <c:pt idx="298">
                  <c:v>37103</c:v>
                </c:pt>
                <c:pt idx="299">
                  <c:v>37072</c:v>
                </c:pt>
                <c:pt idx="300">
                  <c:v>37042</c:v>
                </c:pt>
                <c:pt idx="301">
                  <c:v>37011</c:v>
                </c:pt>
                <c:pt idx="302">
                  <c:v>36981</c:v>
                </c:pt>
                <c:pt idx="303">
                  <c:v>36950</c:v>
                </c:pt>
                <c:pt idx="304">
                  <c:v>36922</c:v>
                </c:pt>
                <c:pt idx="305">
                  <c:v>36891</c:v>
                </c:pt>
                <c:pt idx="306">
                  <c:v>36860</c:v>
                </c:pt>
                <c:pt idx="307">
                  <c:v>36830</c:v>
                </c:pt>
                <c:pt idx="308">
                  <c:v>36799</c:v>
                </c:pt>
                <c:pt idx="309">
                  <c:v>36769</c:v>
                </c:pt>
                <c:pt idx="310">
                  <c:v>36738</c:v>
                </c:pt>
                <c:pt idx="311">
                  <c:v>36707</c:v>
                </c:pt>
                <c:pt idx="312">
                  <c:v>36677</c:v>
                </c:pt>
                <c:pt idx="313">
                  <c:v>36646</c:v>
                </c:pt>
                <c:pt idx="314">
                  <c:v>36616</c:v>
                </c:pt>
                <c:pt idx="315">
                  <c:v>36585</c:v>
                </c:pt>
                <c:pt idx="316">
                  <c:v>36556</c:v>
                </c:pt>
                <c:pt idx="317">
                  <c:v>36525</c:v>
                </c:pt>
                <c:pt idx="318">
                  <c:v>36494</c:v>
                </c:pt>
                <c:pt idx="319">
                  <c:v>36464</c:v>
                </c:pt>
                <c:pt idx="320">
                  <c:v>36433</c:v>
                </c:pt>
                <c:pt idx="321">
                  <c:v>36403</c:v>
                </c:pt>
                <c:pt idx="322">
                  <c:v>36372</c:v>
                </c:pt>
                <c:pt idx="323">
                  <c:v>36341</c:v>
                </c:pt>
                <c:pt idx="324">
                  <c:v>36311</c:v>
                </c:pt>
                <c:pt idx="325">
                  <c:v>36280</c:v>
                </c:pt>
                <c:pt idx="326">
                  <c:v>36250</c:v>
                </c:pt>
                <c:pt idx="327">
                  <c:v>36219</c:v>
                </c:pt>
                <c:pt idx="328">
                  <c:v>36191</c:v>
                </c:pt>
                <c:pt idx="329">
                  <c:v>36160</c:v>
                </c:pt>
                <c:pt idx="330">
                  <c:v>36129</c:v>
                </c:pt>
                <c:pt idx="331">
                  <c:v>36099</c:v>
                </c:pt>
                <c:pt idx="332">
                  <c:v>36068</c:v>
                </c:pt>
                <c:pt idx="333">
                  <c:v>36038</c:v>
                </c:pt>
                <c:pt idx="334">
                  <c:v>36007</c:v>
                </c:pt>
                <c:pt idx="335">
                  <c:v>35976</c:v>
                </c:pt>
                <c:pt idx="336">
                  <c:v>35946</c:v>
                </c:pt>
                <c:pt idx="337">
                  <c:v>35915</c:v>
                </c:pt>
                <c:pt idx="338">
                  <c:v>35885</c:v>
                </c:pt>
                <c:pt idx="339">
                  <c:v>35854</c:v>
                </c:pt>
                <c:pt idx="340">
                  <c:v>35826</c:v>
                </c:pt>
                <c:pt idx="341">
                  <c:v>35795</c:v>
                </c:pt>
                <c:pt idx="342">
                  <c:v>35764</c:v>
                </c:pt>
                <c:pt idx="343">
                  <c:v>35734</c:v>
                </c:pt>
                <c:pt idx="344">
                  <c:v>35703</c:v>
                </c:pt>
                <c:pt idx="345">
                  <c:v>35673</c:v>
                </c:pt>
                <c:pt idx="346">
                  <c:v>35642</c:v>
                </c:pt>
                <c:pt idx="347">
                  <c:v>35611</c:v>
                </c:pt>
                <c:pt idx="348">
                  <c:v>35581</c:v>
                </c:pt>
                <c:pt idx="349">
                  <c:v>35550</c:v>
                </c:pt>
                <c:pt idx="350">
                  <c:v>35520</c:v>
                </c:pt>
                <c:pt idx="351">
                  <c:v>35489</c:v>
                </c:pt>
                <c:pt idx="352">
                  <c:v>35461</c:v>
                </c:pt>
              </c:numCache>
            </c:numRef>
          </c:cat>
          <c:val>
            <c:numRef>
              <c:f>'R-Sq'!$T$3:$T$1355</c:f>
              <c:numCache>
                <c:formatCode>0%</c:formatCode>
                <c:ptCount val="1353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  <c:pt idx="31">
                  <c:v>#N/A</c:v>
                </c:pt>
                <c:pt idx="32">
                  <c:v>#N/A</c:v>
                </c:pt>
                <c:pt idx="33">
                  <c:v>#N/A</c:v>
                </c:pt>
                <c:pt idx="34">
                  <c:v>#N/A</c:v>
                </c:pt>
                <c:pt idx="35">
                  <c:v>#N/A</c:v>
                </c:pt>
                <c:pt idx="36">
                  <c:v>#N/A</c:v>
                </c:pt>
                <c:pt idx="37">
                  <c:v>#N/A</c:v>
                </c:pt>
                <c:pt idx="38">
                  <c:v>#N/A</c:v>
                </c:pt>
                <c:pt idx="39">
                  <c:v>#N/A</c:v>
                </c:pt>
                <c:pt idx="40">
                  <c:v>#N/A</c:v>
                </c:pt>
                <c:pt idx="41">
                  <c:v>#N/A</c:v>
                </c:pt>
                <c:pt idx="42">
                  <c:v>0.53868448433019489</c:v>
                </c:pt>
                <c:pt idx="43">
                  <c:v>0.53150217654555465</c:v>
                </c:pt>
                <c:pt idx="44">
                  <c:v>0.53201878226025301</c:v>
                </c:pt>
                <c:pt idx="45">
                  <c:v>0.440202420277988</c:v>
                </c:pt>
                <c:pt idx="46">
                  <c:v>0.39073576726817322</c:v>
                </c:pt>
                <c:pt idx="47">
                  <c:v>0.38175566282426393</c:v>
                </c:pt>
                <c:pt idx="48">
                  <c:v>0.37305318916015456</c:v>
                </c:pt>
                <c:pt idx="49">
                  <c:v>0.48352854419387187</c:v>
                </c:pt>
                <c:pt idx="50">
                  <c:v>0.62249389778824926</c:v>
                </c:pt>
                <c:pt idx="51">
                  <c:v>0.75974398719730463</c:v>
                </c:pt>
                <c:pt idx="52">
                  <c:v>0.81512450418955218</c:v>
                </c:pt>
                <c:pt idx="53">
                  <c:v>0.85961472674032691</c:v>
                </c:pt>
                <c:pt idx="54">
                  <c:v>0.91194685202051406</c:v>
                </c:pt>
                <c:pt idx="55">
                  <c:v>0.88614133409482188</c:v>
                </c:pt>
                <c:pt idx="56">
                  <c:v>0.86108114924618673</c:v>
                </c:pt>
                <c:pt idx="57">
                  <c:v>0.85577415663970735</c:v>
                </c:pt>
                <c:pt idx="58">
                  <c:v>0.86715378413834976</c:v>
                </c:pt>
                <c:pt idx="59">
                  <c:v>0.86845078580903057</c:v>
                </c:pt>
                <c:pt idx="60">
                  <c:v>0.86941857075897966</c:v>
                </c:pt>
                <c:pt idx="61">
                  <c:v>0.86949368875441047</c:v>
                </c:pt>
                <c:pt idx="62">
                  <c:v>0.86448461913308572</c:v>
                </c:pt>
                <c:pt idx="63">
                  <c:v>0.84537422296506359</c:v>
                </c:pt>
                <c:pt idx="64">
                  <c:v>0.81727799103789234</c:v>
                </c:pt>
                <c:pt idx="65">
                  <c:v>0.78391416656464086</c:v>
                </c:pt>
                <c:pt idx="66">
                  <c:v>0.75687680800808077</c:v>
                </c:pt>
                <c:pt idx="67">
                  <c:v>0.70697066154647792</c:v>
                </c:pt>
                <c:pt idx="68">
                  <c:v>0.70369991105462282</c:v>
                </c:pt>
                <c:pt idx="69">
                  <c:v>0.59741479185883029</c:v>
                </c:pt>
                <c:pt idx="70">
                  <c:v>0.58442348304278136</c:v>
                </c:pt>
                <c:pt idx="71">
                  <c:v>0.62694022288572249</c:v>
                </c:pt>
                <c:pt idx="72">
                  <c:v>0.71560827669198823</c:v>
                </c:pt>
                <c:pt idx="73">
                  <c:v>0.78211587746985678</c:v>
                </c:pt>
                <c:pt idx="74">
                  <c:v>0.8612918477192445</c:v>
                </c:pt>
                <c:pt idx="75">
                  <c:v>0.82599896049506683</c:v>
                </c:pt>
                <c:pt idx="76">
                  <c:v>0.7966655933241249</c:v>
                </c:pt>
                <c:pt idx="77">
                  <c:v>0.79118616172069534</c:v>
                </c:pt>
                <c:pt idx="78">
                  <c:v>0.78740139825767297</c:v>
                </c:pt>
                <c:pt idx="79">
                  <c:v>0.75362179069407387</c:v>
                </c:pt>
                <c:pt idx="80">
                  <c:v>0.72414898519795801</c:v>
                </c:pt>
                <c:pt idx="81">
                  <c:v>0.68022447368406647</c:v>
                </c:pt>
                <c:pt idx="82">
                  <c:v>0.61169804457184607</c:v>
                </c:pt>
                <c:pt idx="83">
                  <c:v>0.49283389285847834</c:v>
                </c:pt>
                <c:pt idx="84">
                  <c:v>0.40527600149883791</c:v>
                </c:pt>
                <c:pt idx="85">
                  <c:v>0.33391564278396946</c:v>
                </c:pt>
                <c:pt idx="86">
                  <c:v>0.27962834529926561</c:v>
                </c:pt>
                <c:pt idx="87">
                  <c:v>0.21447501462408661</c:v>
                </c:pt>
                <c:pt idx="88">
                  <c:v>0.21742283984478922</c:v>
                </c:pt>
                <c:pt idx="89">
                  <c:v>0.26641447316986999</c:v>
                </c:pt>
                <c:pt idx="90">
                  <c:v>0.36138576340864287</c:v>
                </c:pt>
                <c:pt idx="91">
                  <c:v>0.49036278791341753</c:v>
                </c:pt>
                <c:pt idx="92">
                  <c:v>0.66071586980533958</c:v>
                </c:pt>
                <c:pt idx="93">
                  <c:v>0.74593356851042603</c:v>
                </c:pt>
                <c:pt idx="94">
                  <c:v>0.8603762724692966</c:v>
                </c:pt>
                <c:pt idx="95">
                  <c:v>0.91202980437600478</c:v>
                </c:pt>
                <c:pt idx="96">
                  <c:v>0.88375918935447961</c:v>
                </c:pt>
                <c:pt idx="97">
                  <c:v>0.85348990167235161</c:v>
                </c:pt>
                <c:pt idx="98">
                  <c:v>0.79566892070705852</c:v>
                </c:pt>
                <c:pt idx="99">
                  <c:v>0.76998289622767302</c:v>
                </c:pt>
                <c:pt idx="100">
                  <c:v>0.74512336198856632</c:v>
                </c:pt>
                <c:pt idx="101">
                  <c:v>0.73241774127495074</c:v>
                </c:pt>
                <c:pt idx="102">
                  <c:v>0.70742733008509162</c:v>
                </c:pt>
                <c:pt idx="103">
                  <c:v>0.67604962534646718</c:v>
                </c:pt>
                <c:pt idx="104">
                  <c:v>0.67790580441337622</c:v>
                </c:pt>
                <c:pt idx="105">
                  <c:v>0.6629766701655051</c:v>
                </c:pt>
                <c:pt idx="106">
                  <c:v>0.60538611277023657</c:v>
                </c:pt>
                <c:pt idx="107">
                  <c:v>0.5861855200476801</c:v>
                </c:pt>
                <c:pt idx="108">
                  <c:v>0.5274321214875265</c:v>
                </c:pt>
                <c:pt idx="109">
                  <c:v>0.46935908982705765</c:v>
                </c:pt>
                <c:pt idx="110">
                  <c:v>0.4755670548024683</c:v>
                </c:pt>
                <c:pt idx="111">
                  <c:v>0.20134739712732277</c:v>
                </c:pt>
                <c:pt idx="112">
                  <c:v>0.1214997903808591</c:v>
                </c:pt>
                <c:pt idx="113">
                  <c:v>0.12317421193060975</c:v>
                </c:pt>
                <c:pt idx="114">
                  <c:v>0.26701520823655067</c:v>
                </c:pt>
                <c:pt idx="115">
                  <c:v>0.33769077946192794</c:v>
                </c:pt>
                <c:pt idx="116">
                  <c:v>0.40038592842449128</c:v>
                </c:pt>
                <c:pt idx="117">
                  <c:v>0.44549822352083224</c:v>
                </c:pt>
                <c:pt idx="118">
                  <c:v>0.42451306130050193</c:v>
                </c:pt>
                <c:pt idx="119">
                  <c:v>0.49950259006470277</c:v>
                </c:pt>
                <c:pt idx="120">
                  <c:v>0.60340401884215689</c:v>
                </c:pt>
                <c:pt idx="121">
                  <c:v>0.66898482168959184</c:v>
                </c:pt>
                <c:pt idx="122">
                  <c:v>0.67005592880967879</c:v>
                </c:pt>
                <c:pt idx="123">
                  <c:v>0.67048853954229293</c:v>
                </c:pt>
                <c:pt idx="124">
                  <c:v>0.6799967424556187</c:v>
                </c:pt>
                <c:pt idx="125">
                  <c:v>0.68688631429449398</c:v>
                </c:pt>
                <c:pt idx="126">
                  <c:v>0.6873336615118254</c:v>
                </c:pt>
                <c:pt idx="127">
                  <c:v>0.66053491901604078</c:v>
                </c:pt>
                <c:pt idx="128">
                  <c:v>0.68611318680067046</c:v>
                </c:pt>
                <c:pt idx="129">
                  <c:v>0.66919949794491684</c:v>
                </c:pt>
                <c:pt idx="130">
                  <c:v>0.62340962090517571</c:v>
                </c:pt>
                <c:pt idx="131">
                  <c:v>0.624481292065029</c:v>
                </c:pt>
                <c:pt idx="132">
                  <c:v>0.66094138063520147</c:v>
                </c:pt>
                <c:pt idx="133">
                  <c:v>0.70155213065549316</c:v>
                </c:pt>
                <c:pt idx="134">
                  <c:v>0.75712275366514337</c:v>
                </c:pt>
                <c:pt idx="135">
                  <c:v>0.73348143643734398</c:v>
                </c:pt>
                <c:pt idx="136">
                  <c:v>0.69263409111781615</c:v>
                </c:pt>
                <c:pt idx="137">
                  <c:v>0.61609437509709442</c:v>
                </c:pt>
                <c:pt idx="138">
                  <c:v>0.58871315766982302</c:v>
                </c:pt>
                <c:pt idx="139">
                  <c:v>0.57344542075936833</c:v>
                </c:pt>
                <c:pt idx="140">
                  <c:v>0.57231103072315392</c:v>
                </c:pt>
                <c:pt idx="141">
                  <c:v>0.58492778100086706</c:v>
                </c:pt>
                <c:pt idx="142">
                  <c:v>0.56907905161537919</c:v>
                </c:pt>
                <c:pt idx="143">
                  <c:v>0.52387439554688919</c:v>
                </c:pt>
                <c:pt idx="144">
                  <c:v>0.4792243980706351</c:v>
                </c:pt>
                <c:pt idx="145">
                  <c:v>0.2508616709309307</c:v>
                </c:pt>
                <c:pt idx="146">
                  <c:v>6.157933690132629E-2</c:v>
                </c:pt>
                <c:pt idx="147">
                  <c:v>1.2423788209972069E-2</c:v>
                </c:pt>
                <c:pt idx="148">
                  <c:v>6.8912316073715604E-4</c:v>
                </c:pt>
                <c:pt idx="149">
                  <c:v>3.1148802717955669E-3</c:v>
                </c:pt>
                <c:pt idx="150">
                  <c:v>0.1776261364659304</c:v>
                </c:pt>
                <c:pt idx="151">
                  <c:v>0.3462114509539751</c:v>
                </c:pt>
                <c:pt idx="152">
                  <c:v>4.1989663722218185E-2</c:v>
                </c:pt>
                <c:pt idx="153">
                  <c:v>4.0084392118289992E-2</c:v>
                </c:pt>
                <c:pt idx="154">
                  <c:v>0.28837582561154479</c:v>
                </c:pt>
                <c:pt idx="155">
                  <c:v>0.45056448684318906</c:v>
                </c:pt>
                <c:pt idx="156">
                  <c:v>0.54741523541303938</c:v>
                </c:pt>
                <c:pt idx="157">
                  <c:v>0.61859272085404093</c:v>
                </c:pt>
                <c:pt idx="158">
                  <c:v>0.67353489850807924</c:v>
                </c:pt>
                <c:pt idx="159">
                  <c:v>0.7206948505064239</c:v>
                </c:pt>
                <c:pt idx="160">
                  <c:v>0.75770541316046769</c:v>
                </c:pt>
                <c:pt idx="161">
                  <c:v>0.78144361626909242</c:v>
                </c:pt>
                <c:pt idx="162">
                  <c:v>0.79169875148471325</c:v>
                </c:pt>
                <c:pt idx="163">
                  <c:v>0.8097053301323347</c:v>
                </c:pt>
                <c:pt idx="164">
                  <c:v>0.80056167111051535</c:v>
                </c:pt>
                <c:pt idx="165">
                  <c:v>0.78326625747156553</c:v>
                </c:pt>
                <c:pt idx="166">
                  <c:v>0.79416795270145768</c:v>
                </c:pt>
                <c:pt idx="167">
                  <c:v>0.80822373881115961</c:v>
                </c:pt>
                <c:pt idx="168">
                  <c:v>0.7954510065609639</c:v>
                </c:pt>
                <c:pt idx="169">
                  <c:v>0.78701282219522217</c:v>
                </c:pt>
                <c:pt idx="170">
                  <c:v>0.73726530604305174</c:v>
                </c:pt>
                <c:pt idx="171">
                  <c:v>0.66739305290404216</c:v>
                </c:pt>
                <c:pt idx="172">
                  <c:v>0.60818364733407948</c:v>
                </c:pt>
                <c:pt idx="173">
                  <c:v>0.51491380244764673</c:v>
                </c:pt>
                <c:pt idx="174">
                  <c:v>0.40341728807178695</c:v>
                </c:pt>
                <c:pt idx="175">
                  <c:v>0.32020040930827653</c:v>
                </c:pt>
                <c:pt idx="176">
                  <c:v>0.23627668488559006</c:v>
                </c:pt>
                <c:pt idx="177">
                  <c:v>0.22249932676219608</c:v>
                </c:pt>
                <c:pt idx="178">
                  <c:v>0.16117602476948809</c:v>
                </c:pt>
                <c:pt idx="179">
                  <c:v>0.13817636196684147</c:v>
                </c:pt>
                <c:pt idx="180">
                  <c:v>0.27406101279000139</c:v>
                </c:pt>
                <c:pt idx="181">
                  <c:v>0.57035611606262637</c:v>
                </c:pt>
                <c:pt idx="182">
                  <c:v>0.76352214740075453</c:v>
                </c:pt>
                <c:pt idx="183">
                  <c:v>0.82428786287716183</c:v>
                </c:pt>
                <c:pt idx="184">
                  <c:v>0.89042475030993862</c:v>
                </c:pt>
                <c:pt idx="185">
                  <c:v>0.87970327313205299</c:v>
                </c:pt>
                <c:pt idx="186">
                  <c:v>0.8639806499631455</c:v>
                </c:pt>
                <c:pt idx="187">
                  <c:v>0.85381443336195528</c:v>
                </c:pt>
                <c:pt idx="188">
                  <c:v>0.82581808219878883</c:v>
                </c:pt>
                <c:pt idx="189">
                  <c:v>0.78386552577428092</c:v>
                </c:pt>
                <c:pt idx="190">
                  <c:v>0.74135314694622956</c:v>
                </c:pt>
                <c:pt idx="191">
                  <c:v>0.72177872646594987</c:v>
                </c:pt>
                <c:pt idx="192">
                  <c:v>0.74335207980293672</c:v>
                </c:pt>
                <c:pt idx="193">
                  <c:v>0.72416008823706313</c:v>
                </c:pt>
                <c:pt idx="194">
                  <c:v>0.6640365743710368</c:v>
                </c:pt>
                <c:pt idx="195">
                  <c:v>0.5076024872469912</c:v>
                </c:pt>
                <c:pt idx="196">
                  <c:v>0.39179231039572771</c:v>
                </c:pt>
                <c:pt idx="197">
                  <c:v>0.36291270086027377</c:v>
                </c:pt>
                <c:pt idx="198">
                  <c:v>0.17414756361561484</c:v>
                </c:pt>
                <c:pt idx="199">
                  <c:v>0.11339729272830483</c:v>
                </c:pt>
                <c:pt idx="200">
                  <c:v>0.17313714713427189</c:v>
                </c:pt>
                <c:pt idx="201">
                  <c:v>0.23132208853216249</c:v>
                </c:pt>
                <c:pt idx="202">
                  <c:v>0.2990793281329297</c:v>
                </c:pt>
                <c:pt idx="203">
                  <c:v>0.36928717877062772</c:v>
                </c:pt>
                <c:pt idx="204">
                  <c:v>0.44510320572185486</c:v>
                </c:pt>
                <c:pt idx="205">
                  <c:v>0.49848192689191417</c:v>
                </c:pt>
                <c:pt idx="206">
                  <c:v>0.55813765669261473</c:v>
                </c:pt>
                <c:pt idx="207">
                  <c:v>0.63532458791376445</c:v>
                </c:pt>
                <c:pt idx="208">
                  <c:v>0.71947002201743515</c:v>
                </c:pt>
                <c:pt idx="209">
                  <c:v>0.74251820934659318</c:v>
                </c:pt>
                <c:pt idx="210">
                  <c:v>0.69355172481787919</c:v>
                </c:pt>
                <c:pt idx="211">
                  <c:v>0.67332406985335402</c:v>
                </c:pt>
                <c:pt idx="212">
                  <c:v>0.67506541102324613</c:v>
                </c:pt>
                <c:pt idx="213">
                  <c:v>0.73162202154465583</c:v>
                </c:pt>
                <c:pt idx="214">
                  <c:v>0.78452777933864559</c:v>
                </c:pt>
                <c:pt idx="215">
                  <c:v>0.7774700518453016</c:v>
                </c:pt>
                <c:pt idx="216">
                  <c:v>0.79523121197225988</c:v>
                </c:pt>
                <c:pt idx="217">
                  <c:v>0.83170012787705616</c:v>
                </c:pt>
                <c:pt idx="218">
                  <c:v>0.84793200262579016</c:v>
                </c:pt>
                <c:pt idx="219">
                  <c:v>0.89212060655156888</c:v>
                </c:pt>
                <c:pt idx="220">
                  <c:v>0.90956739708152878</c:v>
                </c:pt>
                <c:pt idx="221">
                  <c:v>0.91754080849696673</c:v>
                </c:pt>
                <c:pt idx="222">
                  <c:v>0.9232827236596669</c:v>
                </c:pt>
                <c:pt idx="223">
                  <c:v>0.92802687595130884</c:v>
                </c:pt>
                <c:pt idx="224">
                  <c:v>0.93103258996366989</c:v>
                </c:pt>
                <c:pt idx="225">
                  <c:v>0.9253120836996962</c:v>
                </c:pt>
                <c:pt idx="226">
                  <c:v>0.92081690626278412</c:v>
                </c:pt>
                <c:pt idx="227">
                  <c:v>0.90725147540470441</c:v>
                </c:pt>
                <c:pt idx="228">
                  <c:v>0.9045653532161928</c:v>
                </c:pt>
                <c:pt idx="229">
                  <c:v>0.8970800042333319</c:v>
                </c:pt>
                <c:pt idx="230">
                  <c:v>0.82796813414568704</c:v>
                </c:pt>
                <c:pt idx="231">
                  <c:v>0.72268667950658882</c:v>
                </c:pt>
                <c:pt idx="232">
                  <c:v>0.58968670019616742</c:v>
                </c:pt>
                <c:pt idx="233">
                  <c:v>0.39663326761463935</c:v>
                </c:pt>
                <c:pt idx="234">
                  <c:v>0.39987404881704319</c:v>
                </c:pt>
                <c:pt idx="235">
                  <c:v>0.41419376297768901</c:v>
                </c:pt>
                <c:pt idx="236">
                  <c:v>0.47767011359336925</c:v>
                </c:pt>
                <c:pt idx="237">
                  <c:v>0.56336258187015997</c:v>
                </c:pt>
                <c:pt idx="238">
                  <c:v>0.63682019160974235</c:v>
                </c:pt>
                <c:pt idx="239">
                  <c:v>0.68146194498902313</c:v>
                </c:pt>
                <c:pt idx="240">
                  <c:v>0.72027263022029753</c:v>
                </c:pt>
                <c:pt idx="241">
                  <c:v>0.77981575280763882</c:v>
                </c:pt>
                <c:pt idx="242">
                  <c:v>0.79487277645295118</c:v>
                </c:pt>
                <c:pt idx="243">
                  <c:v>0.79167713532527173</c:v>
                </c:pt>
                <c:pt idx="244">
                  <c:v>0.8019414240692323</c:v>
                </c:pt>
                <c:pt idx="245">
                  <c:v>0.78371911999296529</c:v>
                </c:pt>
                <c:pt idx="246">
                  <c:v>0.77969218238338278</c:v>
                </c:pt>
                <c:pt idx="247">
                  <c:v>0.7747838197454987</c:v>
                </c:pt>
                <c:pt idx="248">
                  <c:v>0.8195933349518868</c:v>
                </c:pt>
                <c:pt idx="249">
                  <c:v>0.85814725969729566</c:v>
                </c:pt>
                <c:pt idx="250">
                  <c:v>0.87903469822027636</c:v>
                </c:pt>
                <c:pt idx="251">
                  <c:v>0.852545506585353</c:v>
                </c:pt>
                <c:pt idx="252">
                  <c:v>0.81680235536125434</c:v>
                </c:pt>
                <c:pt idx="253">
                  <c:v>0.72795378964214741</c:v>
                </c:pt>
                <c:pt idx="254">
                  <c:v>0.62319607151176148</c:v>
                </c:pt>
                <c:pt idx="255">
                  <c:v>0.49991670515757392</c:v>
                </c:pt>
                <c:pt idx="256">
                  <c:v>0.35874134121545204</c:v>
                </c:pt>
                <c:pt idx="257">
                  <c:v>0.28114032317848392</c:v>
                </c:pt>
                <c:pt idx="258">
                  <c:v>0.14914230056166478</c:v>
                </c:pt>
                <c:pt idx="259">
                  <c:v>8.2966394149395661E-2</c:v>
                </c:pt>
                <c:pt idx="260">
                  <c:v>2.248872660773242E-2</c:v>
                </c:pt>
                <c:pt idx="261">
                  <c:v>1.2410558714109953E-3</c:v>
                </c:pt>
                <c:pt idx="262">
                  <c:v>1.6837478019548338E-2</c:v>
                </c:pt>
                <c:pt idx="263">
                  <c:v>0.12114158655023671</c:v>
                </c:pt>
                <c:pt idx="264">
                  <c:v>0.25643279686032144</c:v>
                </c:pt>
                <c:pt idx="265">
                  <c:v>0.34253916439286758</c:v>
                </c:pt>
                <c:pt idx="266">
                  <c:v>0.33345044263846557</c:v>
                </c:pt>
                <c:pt idx="267">
                  <c:v>0.33253145719255423</c:v>
                </c:pt>
                <c:pt idx="268">
                  <c:v>0.37076554580834215</c:v>
                </c:pt>
                <c:pt idx="269">
                  <c:v>0.35590595904547406</c:v>
                </c:pt>
                <c:pt idx="270">
                  <c:v>0.32980293491810453</c:v>
                </c:pt>
                <c:pt idx="271">
                  <c:v>0.23378502004057175</c:v>
                </c:pt>
                <c:pt idx="272">
                  <c:v>0.11563668741103837</c:v>
                </c:pt>
                <c:pt idx="273">
                  <c:v>2.3367396408663092E-2</c:v>
                </c:pt>
                <c:pt idx="274">
                  <c:v>4.3025575408415232E-4</c:v>
                </c:pt>
                <c:pt idx="275">
                  <c:v>2.1689742929773062E-2</c:v>
                </c:pt>
                <c:pt idx="276">
                  <c:v>0.1907321667043648</c:v>
                </c:pt>
                <c:pt idx="277">
                  <c:v>0.45419009245535075</c:v>
                </c:pt>
                <c:pt idx="278">
                  <c:v>0.75874150074017621</c:v>
                </c:pt>
                <c:pt idx="279">
                  <c:v>0.74879152888266143</c:v>
                </c:pt>
                <c:pt idx="280">
                  <c:v>0.80747882961267525</c:v>
                </c:pt>
                <c:pt idx="281">
                  <c:v>0.82295855351614389</c:v>
                </c:pt>
                <c:pt idx="282">
                  <c:v>0.79595222410444599</c:v>
                </c:pt>
                <c:pt idx="283">
                  <c:v>0.68942740292222227</c:v>
                </c:pt>
                <c:pt idx="284">
                  <c:v>0.68469152622223006</c:v>
                </c:pt>
                <c:pt idx="285">
                  <c:v>0.69255489585352392</c:v>
                </c:pt>
                <c:pt idx="286">
                  <c:v>0.66563156964813597</c:v>
                </c:pt>
                <c:pt idx="287">
                  <c:v>0.67817974487393906</c:v>
                </c:pt>
                <c:pt idx="288">
                  <c:v>0.65394789627229422</c:v>
                </c:pt>
                <c:pt idx="289">
                  <c:v>0.62697267780312427</c:v>
                </c:pt>
                <c:pt idx="290">
                  <c:v>0.59065906242845323</c:v>
                </c:pt>
                <c:pt idx="291">
                  <c:v>0.57491012382010465</c:v>
                </c:pt>
                <c:pt idx="292">
                  <c:v>0.59307172209028947</c:v>
                </c:pt>
                <c:pt idx="293">
                  <c:v>0.66481662853567536</c:v>
                </c:pt>
                <c:pt idx="294">
                  <c:v>#N/A</c:v>
                </c:pt>
                <c:pt idx="295">
                  <c:v>#N/A</c:v>
                </c:pt>
                <c:pt idx="296">
                  <c:v>#N/A</c:v>
                </c:pt>
                <c:pt idx="297">
                  <c:v>#N/A</c:v>
                </c:pt>
                <c:pt idx="298">
                  <c:v>#N/A</c:v>
                </c:pt>
                <c:pt idx="299">
                  <c:v>#N/A</c:v>
                </c:pt>
                <c:pt idx="300">
                  <c:v>#N/A</c:v>
                </c:pt>
                <c:pt idx="301">
                  <c:v>#N/A</c:v>
                </c:pt>
                <c:pt idx="302">
                  <c:v>#N/A</c:v>
                </c:pt>
                <c:pt idx="303">
                  <c:v>#N/A</c:v>
                </c:pt>
                <c:pt idx="304">
                  <c:v>#N/A</c:v>
                </c:pt>
                <c:pt idx="305">
                  <c:v>#N/A</c:v>
                </c:pt>
                <c:pt idx="306">
                  <c:v>#N/A</c:v>
                </c:pt>
                <c:pt idx="307">
                  <c:v>#N/A</c:v>
                </c:pt>
                <c:pt idx="308">
                  <c:v>#N/A</c:v>
                </c:pt>
                <c:pt idx="309">
                  <c:v>#N/A</c:v>
                </c:pt>
                <c:pt idx="310">
                  <c:v>#N/A</c:v>
                </c:pt>
                <c:pt idx="311">
                  <c:v>#N/A</c:v>
                </c:pt>
                <c:pt idx="312">
                  <c:v>#N/A</c:v>
                </c:pt>
                <c:pt idx="313">
                  <c:v>#N/A</c:v>
                </c:pt>
                <c:pt idx="314">
                  <c:v>#N/A</c:v>
                </c:pt>
                <c:pt idx="315">
                  <c:v>#N/A</c:v>
                </c:pt>
                <c:pt idx="316">
                  <c:v>#N/A</c:v>
                </c:pt>
                <c:pt idx="317">
                  <c:v>#N/A</c:v>
                </c:pt>
                <c:pt idx="318">
                  <c:v>#N/A</c:v>
                </c:pt>
                <c:pt idx="319">
                  <c:v>#N/A</c:v>
                </c:pt>
                <c:pt idx="320">
                  <c:v>#N/A</c:v>
                </c:pt>
                <c:pt idx="321">
                  <c:v>#N/A</c:v>
                </c:pt>
                <c:pt idx="322">
                  <c:v>#N/A</c:v>
                </c:pt>
                <c:pt idx="323">
                  <c:v>#N/A</c:v>
                </c:pt>
                <c:pt idx="324">
                  <c:v>#N/A</c:v>
                </c:pt>
                <c:pt idx="325">
                  <c:v>#N/A</c:v>
                </c:pt>
                <c:pt idx="326">
                  <c:v>#N/A</c:v>
                </c:pt>
                <c:pt idx="327">
                  <c:v>#N/A</c:v>
                </c:pt>
                <c:pt idx="328">
                  <c:v>#N/A</c:v>
                </c:pt>
                <c:pt idx="329">
                  <c:v>#N/A</c:v>
                </c:pt>
                <c:pt idx="330">
                  <c:v>#N/A</c:v>
                </c:pt>
                <c:pt idx="331">
                  <c:v>#N/A</c:v>
                </c:pt>
                <c:pt idx="332">
                  <c:v>#N/A</c:v>
                </c:pt>
                <c:pt idx="333">
                  <c:v>#N/A</c:v>
                </c:pt>
                <c:pt idx="334">
                  <c:v>#N/A</c:v>
                </c:pt>
                <c:pt idx="335">
                  <c:v>#N/A</c:v>
                </c:pt>
                <c:pt idx="336">
                  <c:v>#N/A</c:v>
                </c:pt>
                <c:pt idx="337">
                  <c:v>#N/A</c:v>
                </c:pt>
                <c:pt idx="338">
                  <c:v>#N/A</c:v>
                </c:pt>
                <c:pt idx="339">
                  <c:v>#N/A</c:v>
                </c:pt>
                <c:pt idx="340">
                  <c:v>#N/A</c:v>
                </c:pt>
                <c:pt idx="341">
                  <c:v>#N/A</c:v>
                </c:pt>
                <c:pt idx="342">
                  <c:v>#N/A</c:v>
                </c:pt>
                <c:pt idx="343">
                  <c:v>#N/A</c:v>
                </c:pt>
                <c:pt idx="344">
                  <c:v>#N/A</c:v>
                </c:pt>
                <c:pt idx="345">
                  <c:v>#N/A</c:v>
                </c:pt>
                <c:pt idx="346">
                  <c:v>#N/A</c:v>
                </c:pt>
                <c:pt idx="347">
                  <c:v>#N/A</c:v>
                </c:pt>
                <c:pt idx="348">
                  <c:v>#N/A</c:v>
                </c:pt>
                <c:pt idx="349">
                  <c:v>#N/A</c:v>
                </c:pt>
                <c:pt idx="350">
                  <c:v>#N/A</c:v>
                </c:pt>
                <c:pt idx="351">
                  <c:v>#N/A</c:v>
                </c:pt>
                <c:pt idx="352">
                  <c:v>#N/A</c:v>
                </c:pt>
                <c:pt idx="353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8A4-48DC-B51F-150164B6D6BD}"/>
            </c:ext>
          </c:extLst>
        </c:ser>
        <c:ser>
          <c:idx val="2"/>
          <c:order val="2"/>
          <c:tx>
            <c:strRef>
              <c:f>'R-Sq'!$U$2</c:f>
              <c:strCache>
                <c:ptCount val="1"/>
                <c:pt idx="0">
                  <c:v>Credit : M2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'R-Sq'!$A$3:$A$1355</c:f>
              <c:numCache>
                <c:formatCode>m/d/yyyy</c:formatCode>
                <c:ptCount val="1353"/>
                <c:pt idx="0">
                  <c:v>46173</c:v>
                </c:pt>
                <c:pt idx="1">
                  <c:v>46142</c:v>
                </c:pt>
                <c:pt idx="2">
                  <c:v>46112</c:v>
                </c:pt>
                <c:pt idx="3">
                  <c:v>46081</c:v>
                </c:pt>
                <c:pt idx="4">
                  <c:v>46053</c:v>
                </c:pt>
                <c:pt idx="5">
                  <c:v>46022</c:v>
                </c:pt>
                <c:pt idx="6">
                  <c:v>45991</c:v>
                </c:pt>
                <c:pt idx="7">
                  <c:v>45961</c:v>
                </c:pt>
                <c:pt idx="8">
                  <c:v>45930</c:v>
                </c:pt>
                <c:pt idx="9">
                  <c:v>45900</c:v>
                </c:pt>
                <c:pt idx="10">
                  <c:v>45869</c:v>
                </c:pt>
                <c:pt idx="11">
                  <c:v>45838</c:v>
                </c:pt>
                <c:pt idx="12">
                  <c:v>45808</c:v>
                </c:pt>
                <c:pt idx="13">
                  <c:v>45777</c:v>
                </c:pt>
                <c:pt idx="14">
                  <c:v>45747</c:v>
                </c:pt>
                <c:pt idx="15">
                  <c:v>45716</c:v>
                </c:pt>
                <c:pt idx="16">
                  <c:v>45688</c:v>
                </c:pt>
                <c:pt idx="17">
                  <c:v>45657</c:v>
                </c:pt>
                <c:pt idx="18">
                  <c:v>45626</c:v>
                </c:pt>
                <c:pt idx="19">
                  <c:v>45596</c:v>
                </c:pt>
                <c:pt idx="20">
                  <c:v>45565</c:v>
                </c:pt>
                <c:pt idx="21">
                  <c:v>45535</c:v>
                </c:pt>
                <c:pt idx="22">
                  <c:v>45504</c:v>
                </c:pt>
                <c:pt idx="23">
                  <c:v>45473</c:v>
                </c:pt>
                <c:pt idx="24">
                  <c:v>45443</c:v>
                </c:pt>
                <c:pt idx="25">
                  <c:v>45412</c:v>
                </c:pt>
                <c:pt idx="26">
                  <c:v>45382</c:v>
                </c:pt>
                <c:pt idx="27">
                  <c:v>45351</c:v>
                </c:pt>
                <c:pt idx="28">
                  <c:v>45322</c:v>
                </c:pt>
                <c:pt idx="29">
                  <c:v>45291</c:v>
                </c:pt>
                <c:pt idx="30">
                  <c:v>45260</c:v>
                </c:pt>
                <c:pt idx="31">
                  <c:v>45230</c:v>
                </c:pt>
                <c:pt idx="32">
                  <c:v>45199</c:v>
                </c:pt>
                <c:pt idx="33">
                  <c:v>45169</c:v>
                </c:pt>
                <c:pt idx="34">
                  <c:v>45138</c:v>
                </c:pt>
                <c:pt idx="35">
                  <c:v>45107</c:v>
                </c:pt>
                <c:pt idx="36">
                  <c:v>45077</c:v>
                </c:pt>
                <c:pt idx="37">
                  <c:v>45046</c:v>
                </c:pt>
                <c:pt idx="38">
                  <c:v>45016</c:v>
                </c:pt>
                <c:pt idx="39">
                  <c:v>44985</c:v>
                </c:pt>
                <c:pt idx="40">
                  <c:v>44957</c:v>
                </c:pt>
                <c:pt idx="41">
                  <c:v>44926</c:v>
                </c:pt>
                <c:pt idx="42">
                  <c:v>44895</c:v>
                </c:pt>
                <c:pt idx="43">
                  <c:v>44865</c:v>
                </c:pt>
                <c:pt idx="44">
                  <c:v>44834</c:v>
                </c:pt>
                <c:pt idx="45">
                  <c:v>44804</c:v>
                </c:pt>
                <c:pt idx="46">
                  <c:v>44773</c:v>
                </c:pt>
                <c:pt idx="47">
                  <c:v>44742</c:v>
                </c:pt>
                <c:pt idx="48">
                  <c:v>44712</c:v>
                </c:pt>
                <c:pt idx="49">
                  <c:v>44681</c:v>
                </c:pt>
                <c:pt idx="50">
                  <c:v>44651</c:v>
                </c:pt>
                <c:pt idx="51">
                  <c:v>44620</c:v>
                </c:pt>
                <c:pt idx="52">
                  <c:v>44592</c:v>
                </c:pt>
                <c:pt idx="53">
                  <c:v>44561</c:v>
                </c:pt>
                <c:pt idx="54">
                  <c:v>44530</c:v>
                </c:pt>
                <c:pt idx="55">
                  <c:v>44500</c:v>
                </c:pt>
                <c:pt idx="56">
                  <c:v>44469</c:v>
                </c:pt>
                <c:pt idx="57">
                  <c:v>44439</c:v>
                </c:pt>
                <c:pt idx="58">
                  <c:v>44408</c:v>
                </c:pt>
                <c:pt idx="59">
                  <c:v>44377</c:v>
                </c:pt>
                <c:pt idx="60">
                  <c:v>44347</c:v>
                </c:pt>
                <c:pt idx="61">
                  <c:v>44316</c:v>
                </c:pt>
                <c:pt idx="62">
                  <c:v>44286</c:v>
                </c:pt>
                <c:pt idx="63">
                  <c:v>44255</c:v>
                </c:pt>
                <c:pt idx="64">
                  <c:v>44227</c:v>
                </c:pt>
                <c:pt idx="65">
                  <c:v>44196</c:v>
                </c:pt>
                <c:pt idx="66">
                  <c:v>44165</c:v>
                </c:pt>
                <c:pt idx="67">
                  <c:v>44135</c:v>
                </c:pt>
                <c:pt idx="68">
                  <c:v>44104</c:v>
                </c:pt>
                <c:pt idx="69">
                  <c:v>44074</c:v>
                </c:pt>
                <c:pt idx="70">
                  <c:v>44043</c:v>
                </c:pt>
                <c:pt idx="71">
                  <c:v>44012</c:v>
                </c:pt>
                <c:pt idx="72">
                  <c:v>43982</c:v>
                </c:pt>
                <c:pt idx="73">
                  <c:v>43951</c:v>
                </c:pt>
                <c:pt idx="74">
                  <c:v>43921</c:v>
                </c:pt>
                <c:pt idx="75">
                  <c:v>43890</c:v>
                </c:pt>
                <c:pt idx="76">
                  <c:v>43861</c:v>
                </c:pt>
                <c:pt idx="77">
                  <c:v>43830</c:v>
                </c:pt>
                <c:pt idx="78">
                  <c:v>43799</c:v>
                </c:pt>
                <c:pt idx="79">
                  <c:v>43769</c:v>
                </c:pt>
                <c:pt idx="80">
                  <c:v>43738</c:v>
                </c:pt>
                <c:pt idx="81">
                  <c:v>43708</c:v>
                </c:pt>
                <c:pt idx="82">
                  <c:v>43677</c:v>
                </c:pt>
                <c:pt idx="83">
                  <c:v>43646</c:v>
                </c:pt>
                <c:pt idx="84">
                  <c:v>43616</c:v>
                </c:pt>
                <c:pt idx="85">
                  <c:v>43585</c:v>
                </c:pt>
                <c:pt idx="86">
                  <c:v>43555</c:v>
                </c:pt>
                <c:pt idx="87">
                  <c:v>43524</c:v>
                </c:pt>
                <c:pt idx="88">
                  <c:v>43496</c:v>
                </c:pt>
                <c:pt idx="89">
                  <c:v>43465</c:v>
                </c:pt>
                <c:pt idx="90">
                  <c:v>43434</c:v>
                </c:pt>
                <c:pt idx="91">
                  <c:v>43404</c:v>
                </c:pt>
                <c:pt idx="92">
                  <c:v>43373</c:v>
                </c:pt>
                <c:pt idx="93">
                  <c:v>43343</c:v>
                </c:pt>
                <c:pt idx="94">
                  <c:v>43312</c:v>
                </c:pt>
                <c:pt idx="95">
                  <c:v>43281</c:v>
                </c:pt>
                <c:pt idx="96">
                  <c:v>43251</c:v>
                </c:pt>
                <c:pt idx="97">
                  <c:v>43220</c:v>
                </c:pt>
                <c:pt idx="98">
                  <c:v>43190</c:v>
                </c:pt>
                <c:pt idx="99">
                  <c:v>43159</c:v>
                </c:pt>
                <c:pt idx="100">
                  <c:v>43131</c:v>
                </c:pt>
                <c:pt idx="101">
                  <c:v>43100</c:v>
                </c:pt>
                <c:pt idx="102">
                  <c:v>43069</c:v>
                </c:pt>
                <c:pt idx="103">
                  <c:v>43039</c:v>
                </c:pt>
                <c:pt idx="104">
                  <c:v>43008</c:v>
                </c:pt>
                <c:pt idx="105">
                  <c:v>42978</c:v>
                </c:pt>
                <c:pt idx="106">
                  <c:v>42947</c:v>
                </c:pt>
                <c:pt idx="107">
                  <c:v>42916</c:v>
                </c:pt>
                <c:pt idx="108">
                  <c:v>42886</c:v>
                </c:pt>
                <c:pt idx="109">
                  <c:v>42855</c:v>
                </c:pt>
                <c:pt idx="110">
                  <c:v>42825</c:v>
                </c:pt>
                <c:pt idx="111">
                  <c:v>42794</c:v>
                </c:pt>
                <c:pt idx="112">
                  <c:v>42766</c:v>
                </c:pt>
                <c:pt idx="113">
                  <c:v>42735</c:v>
                </c:pt>
                <c:pt idx="114">
                  <c:v>42704</c:v>
                </c:pt>
                <c:pt idx="115">
                  <c:v>42674</c:v>
                </c:pt>
                <c:pt idx="116">
                  <c:v>42643</c:v>
                </c:pt>
                <c:pt idx="117">
                  <c:v>42613</c:v>
                </c:pt>
                <c:pt idx="118">
                  <c:v>42582</c:v>
                </c:pt>
                <c:pt idx="119">
                  <c:v>42551</c:v>
                </c:pt>
                <c:pt idx="120">
                  <c:v>42521</c:v>
                </c:pt>
                <c:pt idx="121">
                  <c:v>42490</c:v>
                </c:pt>
                <c:pt idx="122">
                  <c:v>42460</c:v>
                </c:pt>
                <c:pt idx="123">
                  <c:v>42429</c:v>
                </c:pt>
                <c:pt idx="124">
                  <c:v>42400</c:v>
                </c:pt>
                <c:pt idx="125">
                  <c:v>42369</c:v>
                </c:pt>
                <c:pt idx="126">
                  <c:v>42338</c:v>
                </c:pt>
                <c:pt idx="127">
                  <c:v>42308</c:v>
                </c:pt>
                <c:pt idx="128">
                  <c:v>42277</c:v>
                </c:pt>
                <c:pt idx="129">
                  <c:v>42247</c:v>
                </c:pt>
                <c:pt idx="130">
                  <c:v>42216</c:v>
                </c:pt>
                <c:pt idx="131">
                  <c:v>42185</c:v>
                </c:pt>
                <c:pt idx="132">
                  <c:v>42155</c:v>
                </c:pt>
                <c:pt idx="133">
                  <c:v>42124</c:v>
                </c:pt>
                <c:pt idx="134">
                  <c:v>42094</c:v>
                </c:pt>
                <c:pt idx="135">
                  <c:v>42063</c:v>
                </c:pt>
                <c:pt idx="136">
                  <c:v>42035</c:v>
                </c:pt>
                <c:pt idx="137">
                  <c:v>42004</c:v>
                </c:pt>
                <c:pt idx="138">
                  <c:v>41973</c:v>
                </c:pt>
                <c:pt idx="139">
                  <c:v>41943</c:v>
                </c:pt>
                <c:pt idx="140">
                  <c:v>41912</c:v>
                </c:pt>
                <c:pt idx="141">
                  <c:v>41882</c:v>
                </c:pt>
                <c:pt idx="142">
                  <c:v>41851</c:v>
                </c:pt>
                <c:pt idx="143">
                  <c:v>41820</c:v>
                </c:pt>
                <c:pt idx="144">
                  <c:v>41790</c:v>
                </c:pt>
                <c:pt idx="145">
                  <c:v>41759</c:v>
                </c:pt>
                <c:pt idx="146">
                  <c:v>41729</c:v>
                </c:pt>
                <c:pt idx="147">
                  <c:v>41698</c:v>
                </c:pt>
                <c:pt idx="148">
                  <c:v>41670</c:v>
                </c:pt>
                <c:pt idx="149">
                  <c:v>41639</c:v>
                </c:pt>
                <c:pt idx="150">
                  <c:v>41608</c:v>
                </c:pt>
                <c:pt idx="151">
                  <c:v>41578</c:v>
                </c:pt>
                <c:pt idx="152">
                  <c:v>41547</c:v>
                </c:pt>
                <c:pt idx="153">
                  <c:v>41517</c:v>
                </c:pt>
                <c:pt idx="154">
                  <c:v>41486</c:v>
                </c:pt>
                <c:pt idx="155">
                  <c:v>41455</c:v>
                </c:pt>
                <c:pt idx="156">
                  <c:v>41425</c:v>
                </c:pt>
                <c:pt idx="157">
                  <c:v>41394</c:v>
                </c:pt>
                <c:pt idx="158">
                  <c:v>41364</c:v>
                </c:pt>
                <c:pt idx="159">
                  <c:v>41333</c:v>
                </c:pt>
                <c:pt idx="160">
                  <c:v>41305</c:v>
                </c:pt>
                <c:pt idx="161">
                  <c:v>41274</c:v>
                </c:pt>
                <c:pt idx="162">
                  <c:v>41243</c:v>
                </c:pt>
                <c:pt idx="163">
                  <c:v>41213</c:v>
                </c:pt>
                <c:pt idx="164">
                  <c:v>41182</c:v>
                </c:pt>
                <c:pt idx="165">
                  <c:v>41152</c:v>
                </c:pt>
                <c:pt idx="166">
                  <c:v>41121</c:v>
                </c:pt>
                <c:pt idx="167">
                  <c:v>41090</c:v>
                </c:pt>
                <c:pt idx="168">
                  <c:v>41060</c:v>
                </c:pt>
                <c:pt idx="169">
                  <c:v>41029</c:v>
                </c:pt>
                <c:pt idx="170">
                  <c:v>40999</c:v>
                </c:pt>
                <c:pt idx="171">
                  <c:v>40968</c:v>
                </c:pt>
                <c:pt idx="172">
                  <c:v>40939</c:v>
                </c:pt>
                <c:pt idx="173">
                  <c:v>40908</c:v>
                </c:pt>
                <c:pt idx="174">
                  <c:v>40877</c:v>
                </c:pt>
                <c:pt idx="175">
                  <c:v>40847</c:v>
                </c:pt>
                <c:pt idx="176">
                  <c:v>40816</c:v>
                </c:pt>
                <c:pt idx="177">
                  <c:v>40786</c:v>
                </c:pt>
                <c:pt idx="178">
                  <c:v>40755</c:v>
                </c:pt>
                <c:pt idx="179">
                  <c:v>40724</c:v>
                </c:pt>
                <c:pt idx="180">
                  <c:v>40694</c:v>
                </c:pt>
                <c:pt idx="181">
                  <c:v>40663</c:v>
                </c:pt>
                <c:pt idx="182">
                  <c:v>40633</c:v>
                </c:pt>
                <c:pt idx="183">
                  <c:v>40602</c:v>
                </c:pt>
                <c:pt idx="184">
                  <c:v>40574</c:v>
                </c:pt>
                <c:pt idx="185">
                  <c:v>40543</c:v>
                </c:pt>
                <c:pt idx="186">
                  <c:v>40512</c:v>
                </c:pt>
                <c:pt idx="187">
                  <c:v>40482</c:v>
                </c:pt>
                <c:pt idx="188">
                  <c:v>40451</c:v>
                </c:pt>
                <c:pt idx="189">
                  <c:v>40421</c:v>
                </c:pt>
                <c:pt idx="190">
                  <c:v>40390</c:v>
                </c:pt>
                <c:pt idx="191">
                  <c:v>40359</c:v>
                </c:pt>
                <c:pt idx="192">
                  <c:v>40329</c:v>
                </c:pt>
                <c:pt idx="193">
                  <c:v>40298</c:v>
                </c:pt>
                <c:pt idx="194">
                  <c:v>40268</c:v>
                </c:pt>
                <c:pt idx="195">
                  <c:v>40237</c:v>
                </c:pt>
                <c:pt idx="196">
                  <c:v>40209</c:v>
                </c:pt>
                <c:pt idx="197">
                  <c:v>40178</c:v>
                </c:pt>
                <c:pt idx="198">
                  <c:v>40147</c:v>
                </c:pt>
                <c:pt idx="199">
                  <c:v>40117</c:v>
                </c:pt>
                <c:pt idx="200">
                  <c:v>40086</c:v>
                </c:pt>
                <c:pt idx="201">
                  <c:v>40056</c:v>
                </c:pt>
                <c:pt idx="202">
                  <c:v>40025</c:v>
                </c:pt>
                <c:pt idx="203">
                  <c:v>39994</c:v>
                </c:pt>
                <c:pt idx="204">
                  <c:v>39964</c:v>
                </c:pt>
                <c:pt idx="205">
                  <c:v>39933</c:v>
                </c:pt>
                <c:pt idx="206">
                  <c:v>39903</c:v>
                </c:pt>
                <c:pt idx="207">
                  <c:v>39872</c:v>
                </c:pt>
                <c:pt idx="208">
                  <c:v>39844</c:v>
                </c:pt>
                <c:pt idx="209">
                  <c:v>39813</c:v>
                </c:pt>
                <c:pt idx="210">
                  <c:v>39782</c:v>
                </c:pt>
                <c:pt idx="211">
                  <c:v>39752</c:v>
                </c:pt>
                <c:pt idx="212">
                  <c:v>39721</c:v>
                </c:pt>
                <c:pt idx="213">
                  <c:v>39691</c:v>
                </c:pt>
                <c:pt idx="214">
                  <c:v>39660</c:v>
                </c:pt>
                <c:pt idx="215">
                  <c:v>39629</c:v>
                </c:pt>
                <c:pt idx="216">
                  <c:v>39599</c:v>
                </c:pt>
                <c:pt idx="217">
                  <c:v>39568</c:v>
                </c:pt>
                <c:pt idx="218">
                  <c:v>39538</c:v>
                </c:pt>
                <c:pt idx="219">
                  <c:v>39507</c:v>
                </c:pt>
                <c:pt idx="220">
                  <c:v>39478</c:v>
                </c:pt>
                <c:pt idx="221">
                  <c:v>39447</c:v>
                </c:pt>
                <c:pt idx="222">
                  <c:v>39416</c:v>
                </c:pt>
                <c:pt idx="223">
                  <c:v>39386</c:v>
                </c:pt>
                <c:pt idx="224">
                  <c:v>39355</c:v>
                </c:pt>
                <c:pt idx="225">
                  <c:v>39325</c:v>
                </c:pt>
                <c:pt idx="226">
                  <c:v>39294</c:v>
                </c:pt>
                <c:pt idx="227">
                  <c:v>39263</c:v>
                </c:pt>
                <c:pt idx="228">
                  <c:v>39233</c:v>
                </c:pt>
                <c:pt idx="229">
                  <c:v>39202</c:v>
                </c:pt>
                <c:pt idx="230">
                  <c:v>39172</c:v>
                </c:pt>
                <c:pt idx="231">
                  <c:v>39141</c:v>
                </c:pt>
                <c:pt idx="232">
                  <c:v>39113</c:v>
                </c:pt>
                <c:pt idx="233">
                  <c:v>39082</c:v>
                </c:pt>
                <c:pt idx="234">
                  <c:v>39051</c:v>
                </c:pt>
                <c:pt idx="235">
                  <c:v>39021</c:v>
                </c:pt>
                <c:pt idx="236">
                  <c:v>38990</c:v>
                </c:pt>
                <c:pt idx="237">
                  <c:v>38960</c:v>
                </c:pt>
                <c:pt idx="238">
                  <c:v>38929</c:v>
                </c:pt>
                <c:pt idx="239">
                  <c:v>38898</c:v>
                </c:pt>
                <c:pt idx="240">
                  <c:v>38868</c:v>
                </c:pt>
                <c:pt idx="241">
                  <c:v>38837</c:v>
                </c:pt>
                <c:pt idx="242">
                  <c:v>38807</c:v>
                </c:pt>
                <c:pt idx="243">
                  <c:v>38776</c:v>
                </c:pt>
                <c:pt idx="244">
                  <c:v>38748</c:v>
                </c:pt>
                <c:pt idx="245">
                  <c:v>38717</c:v>
                </c:pt>
                <c:pt idx="246">
                  <c:v>38686</c:v>
                </c:pt>
                <c:pt idx="247">
                  <c:v>38656</c:v>
                </c:pt>
                <c:pt idx="248">
                  <c:v>38625</c:v>
                </c:pt>
                <c:pt idx="249">
                  <c:v>38595</c:v>
                </c:pt>
                <c:pt idx="250">
                  <c:v>38564</c:v>
                </c:pt>
                <c:pt idx="251">
                  <c:v>38533</c:v>
                </c:pt>
                <c:pt idx="252">
                  <c:v>38503</c:v>
                </c:pt>
                <c:pt idx="253">
                  <c:v>38472</c:v>
                </c:pt>
                <c:pt idx="254">
                  <c:v>38442</c:v>
                </c:pt>
                <c:pt idx="255">
                  <c:v>38411</c:v>
                </c:pt>
                <c:pt idx="256">
                  <c:v>38383</c:v>
                </c:pt>
                <c:pt idx="257">
                  <c:v>38352</c:v>
                </c:pt>
                <c:pt idx="258">
                  <c:v>38321</c:v>
                </c:pt>
                <c:pt idx="259">
                  <c:v>38291</c:v>
                </c:pt>
                <c:pt idx="260">
                  <c:v>38260</c:v>
                </c:pt>
                <c:pt idx="261">
                  <c:v>38230</c:v>
                </c:pt>
                <c:pt idx="262">
                  <c:v>38199</c:v>
                </c:pt>
                <c:pt idx="263">
                  <c:v>38168</c:v>
                </c:pt>
                <c:pt idx="264">
                  <c:v>38138</c:v>
                </c:pt>
                <c:pt idx="265">
                  <c:v>38107</c:v>
                </c:pt>
                <c:pt idx="266">
                  <c:v>38077</c:v>
                </c:pt>
                <c:pt idx="267">
                  <c:v>38046</c:v>
                </c:pt>
                <c:pt idx="268">
                  <c:v>38017</c:v>
                </c:pt>
                <c:pt idx="269">
                  <c:v>37986</c:v>
                </c:pt>
                <c:pt idx="270">
                  <c:v>37955</c:v>
                </c:pt>
                <c:pt idx="271">
                  <c:v>37925</c:v>
                </c:pt>
                <c:pt idx="272">
                  <c:v>37894</c:v>
                </c:pt>
                <c:pt idx="273">
                  <c:v>37864</c:v>
                </c:pt>
                <c:pt idx="274">
                  <c:v>37833</c:v>
                </c:pt>
                <c:pt idx="275">
                  <c:v>37802</c:v>
                </c:pt>
                <c:pt idx="276">
                  <c:v>37772</c:v>
                </c:pt>
                <c:pt idx="277">
                  <c:v>37741</c:v>
                </c:pt>
                <c:pt idx="278">
                  <c:v>37711</c:v>
                </c:pt>
                <c:pt idx="279">
                  <c:v>37680</c:v>
                </c:pt>
                <c:pt idx="280">
                  <c:v>37652</c:v>
                </c:pt>
                <c:pt idx="281">
                  <c:v>37621</c:v>
                </c:pt>
                <c:pt idx="282">
                  <c:v>37590</c:v>
                </c:pt>
                <c:pt idx="283">
                  <c:v>37560</c:v>
                </c:pt>
                <c:pt idx="284">
                  <c:v>37529</c:v>
                </c:pt>
                <c:pt idx="285">
                  <c:v>37499</c:v>
                </c:pt>
                <c:pt idx="286">
                  <c:v>37468</c:v>
                </c:pt>
                <c:pt idx="287">
                  <c:v>37437</c:v>
                </c:pt>
                <c:pt idx="288">
                  <c:v>37407</c:v>
                </c:pt>
                <c:pt idx="289">
                  <c:v>37376</c:v>
                </c:pt>
                <c:pt idx="290">
                  <c:v>37346</c:v>
                </c:pt>
                <c:pt idx="291">
                  <c:v>37315</c:v>
                </c:pt>
                <c:pt idx="292">
                  <c:v>37287</c:v>
                </c:pt>
                <c:pt idx="293">
                  <c:v>37256</c:v>
                </c:pt>
                <c:pt idx="294">
                  <c:v>37225</c:v>
                </c:pt>
                <c:pt idx="295">
                  <c:v>37195</c:v>
                </c:pt>
                <c:pt idx="296">
                  <c:v>37164</c:v>
                </c:pt>
                <c:pt idx="297">
                  <c:v>37134</c:v>
                </c:pt>
                <c:pt idx="298">
                  <c:v>37103</c:v>
                </c:pt>
                <c:pt idx="299">
                  <c:v>37072</c:v>
                </c:pt>
                <c:pt idx="300">
                  <c:v>37042</c:v>
                </c:pt>
                <c:pt idx="301">
                  <c:v>37011</c:v>
                </c:pt>
                <c:pt idx="302">
                  <c:v>36981</c:v>
                </c:pt>
                <c:pt idx="303">
                  <c:v>36950</c:v>
                </c:pt>
                <c:pt idx="304">
                  <c:v>36922</c:v>
                </c:pt>
                <c:pt idx="305">
                  <c:v>36891</c:v>
                </c:pt>
                <c:pt idx="306">
                  <c:v>36860</c:v>
                </c:pt>
                <c:pt idx="307">
                  <c:v>36830</c:v>
                </c:pt>
                <c:pt idx="308">
                  <c:v>36799</c:v>
                </c:pt>
                <c:pt idx="309">
                  <c:v>36769</c:v>
                </c:pt>
                <c:pt idx="310">
                  <c:v>36738</c:v>
                </c:pt>
                <c:pt idx="311">
                  <c:v>36707</c:v>
                </c:pt>
                <c:pt idx="312">
                  <c:v>36677</c:v>
                </c:pt>
                <c:pt idx="313">
                  <c:v>36646</c:v>
                </c:pt>
                <c:pt idx="314">
                  <c:v>36616</c:v>
                </c:pt>
                <c:pt idx="315">
                  <c:v>36585</c:v>
                </c:pt>
                <c:pt idx="316">
                  <c:v>36556</c:v>
                </c:pt>
                <c:pt idx="317">
                  <c:v>36525</c:v>
                </c:pt>
                <c:pt idx="318">
                  <c:v>36494</c:v>
                </c:pt>
                <c:pt idx="319">
                  <c:v>36464</c:v>
                </c:pt>
                <c:pt idx="320">
                  <c:v>36433</c:v>
                </c:pt>
                <c:pt idx="321">
                  <c:v>36403</c:v>
                </c:pt>
                <c:pt idx="322">
                  <c:v>36372</c:v>
                </c:pt>
                <c:pt idx="323">
                  <c:v>36341</c:v>
                </c:pt>
                <c:pt idx="324">
                  <c:v>36311</c:v>
                </c:pt>
                <c:pt idx="325">
                  <c:v>36280</c:v>
                </c:pt>
                <c:pt idx="326">
                  <c:v>36250</c:v>
                </c:pt>
                <c:pt idx="327">
                  <c:v>36219</c:v>
                </c:pt>
                <c:pt idx="328">
                  <c:v>36191</c:v>
                </c:pt>
                <c:pt idx="329">
                  <c:v>36160</c:v>
                </c:pt>
                <c:pt idx="330">
                  <c:v>36129</c:v>
                </c:pt>
                <c:pt idx="331">
                  <c:v>36099</c:v>
                </c:pt>
                <c:pt idx="332">
                  <c:v>36068</c:v>
                </c:pt>
                <c:pt idx="333">
                  <c:v>36038</c:v>
                </c:pt>
                <c:pt idx="334">
                  <c:v>36007</c:v>
                </c:pt>
                <c:pt idx="335">
                  <c:v>35976</c:v>
                </c:pt>
                <c:pt idx="336">
                  <c:v>35946</c:v>
                </c:pt>
                <c:pt idx="337">
                  <c:v>35915</c:v>
                </c:pt>
                <c:pt idx="338">
                  <c:v>35885</c:v>
                </c:pt>
                <c:pt idx="339">
                  <c:v>35854</c:v>
                </c:pt>
                <c:pt idx="340">
                  <c:v>35826</c:v>
                </c:pt>
                <c:pt idx="341">
                  <c:v>35795</c:v>
                </c:pt>
                <c:pt idx="342">
                  <c:v>35764</c:v>
                </c:pt>
                <c:pt idx="343">
                  <c:v>35734</c:v>
                </c:pt>
                <c:pt idx="344">
                  <c:v>35703</c:v>
                </c:pt>
                <c:pt idx="345">
                  <c:v>35673</c:v>
                </c:pt>
                <c:pt idx="346">
                  <c:v>35642</c:v>
                </c:pt>
                <c:pt idx="347">
                  <c:v>35611</c:v>
                </c:pt>
                <c:pt idx="348">
                  <c:v>35581</c:v>
                </c:pt>
                <c:pt idx="349">
                  <c:v>35550</c:v>
                </c:pt>
                <c:pt idx="350">
                  <c:v>35520</c:v>
                </c:pt>
                <c:pt idx="351">
                  <c:v>35489</c:v>
                </c:pt>
                <c:pt idx="352">
                  <c:v>35461</c:v>
                </c:pt>
              </c:numCache>
            </c:numRef>
          </c:cat>
          <c:val>
            <c:numRef>
              <c:f>'R-Sq'!$U$3:$U$1355</c:f>
              <c:numCache>
                <c:formatCode>0%</c:formatCode>
                <c:ptCount val="1353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  <c:pt idx="31">
                  <c:v>#N/A</c:v>
                </c:pt>
                <c:pt idx="32">
                  <c:v>#N/A</c:v>
                </c:pt>
                <c:pt idx="33">
                  <c:v>#N/A</c:v>
                </c:pt>
                <c:pt idx="34">
                  <c:v>#N/A</c:v>
                </c:pt>
                <c:pt idx="35">
                  <c:v>#N/A</c:v>
                </c:pt>
                <c:pt idx="36">
                  <c:v>#N/A</c:v>
                </c:pt>
                <c:pt idx="37">
                  <c:v>#N/A</c:v>
                </c:pt>
                <c:pt idx="38">
                  <c:v>#N/A</c:v>
                </c:pt>
                <c:pt idx="39">
                  <c:v>#N/A</c:v>
                </c:pt>
                <c:pt idx="40">
                  <c:v>#N/A</c:v>
                </c:pt>
                <c:pt idx="41">
                  <c:v>#N/A</c:v>
                </c:pt>
                <c:pt idx="42">
                  <c:v>0.13334353186286715</c:v>
                </c:pt>
                <c:pt idx="43">
                  <c:v>0.11104941334389216</c:v>
                </c:pt>
                <c:pt idx="44">
                  <c:v>0.10079852718407782</c:v>
                </c:pt>
                <c:pt idx="45">
                  <c:v>0.13292345829276964</c:v>
                </c:pt>
                <c:pt idx="46">
                  <c:v>3.9564495922225246E-2</c:v>
                </c:pt>
                <c:pt idx="47">
                  <c:v>7.8626155877089708E-4</c:v>
                </c:pt>
                <c:pt idx="48">
                  <c:v>5.2907592740910449E-3</c:v>
                </c:pt>
                <c:pt idx="49">
                  <c:v>5.6400846465542782E-2</c:v>
                </c:pt>
                <c:pt idx="50">
                  <c:v>0.12159558217786813</c:v>
                </c:pt>
                <c:pt idx="51">
                  <c:v>0.2409748923048505</c:v>
                </c:pt>
                <c:pt idx="52">
                  <c:v>0.32328811659922019</c:v>
                </c:pt>
                <c:pt idx="53">
                  <c:v>0.34783594191839895</c:v>
                </c:pt>
                <c:pt idx="54">
                  <c:v>0.42425485483275377</c:v>
                </c:pt>
                <c:pt idx="55">
                  <c:v>0.49696188154319587</c:v>
                </c:pt>
                <c:pt idx="56">
                  <c:v>0.6089887863049428</c:v>
                </c:pt>
                <c:pt idx="57">
                  <c:v>0.70799903057592772</c:v>
                </c:pt>
                <c:pt idx="58">
                  <c:v>0.70997987067420165</c:v>
                </c:pt>
                <c:pt idx="59">
                  <c:v>0.72669581718280907</c:v>
                </c:pt>
                <c:pt idx="60">
                  <c:v>0.72522121142995977</c:v>
                </c:pt>
                <c:pt idx="61">
                  <c:v>0.70002544344348794</c:v>
                </c:pt>
                <c:pt idx="62">
                  <c:v>0.67856301483725656</c:v>
                </c:pt>
                <c:pt idx="63">
                  <c:v>0.60739597326093975</c:v>
                </c:pt>
                <c:pt idx="64">
                  <c:v>0.46140414640278399</c:v>
                </c:pt>
                <c:pt idx="65">
                  <c:v>0.32759439008236602</c:v>
                </c:pt>
                <c:pt idx="66">
                  <c:v>0.24605427105030581</c:v>
                </c:pt>
                <c:pt idx="67">
                  <c:v>0.13879836914084609</c:v>
                </c:pt>
                <c:pt idx="68">
                  <c:v>4.9634297145663579E-2</c:v>
                </c:pt>
                <c:pt idx="69">
                  <c:v>1.2699167803086438E-2</c:v>
                </c:pt>
                <c:pt idx="70">
                  <c:v>1.1289021137303801E-3</c:v>
                </c:pt>
                <c:pt idx="71">
                  <c:v>3.6667733856984783E-2</c:v>
                </c:pt>
                <c:pt idx="72">
                  <c:v>8.0772670988685055E-2</c:v>
                </c:pt>
                <c:pt idx="73">
                  <c:v>5.4819948459600039E-2</c:v>
                </c:pt>
                <c:pt idx="74">
                  <c:v>8.3123304768594836E-2</c:v>
                </c:pt>
                <c:pt idx="75">
                  <c:v>0.31015226103332977</c:v>
                </c:pt>
                <c:pt idx="76">
                  <c:v>0.31681432938965276</c:v>
                </c:pt>
                <c:pt idx="77">
                  <c:v>0.27202154041869764</c:v>
                </c:pt>
                <c:pt idx="78">
                  <c:v>0.23974575675991738</c:v>
                </c:pt>
                <c:pt idx="79">
                  <c:v>0.16009453738493268</c:v>
                </c:pt>
                <c:pt idx="80">
                  <c:v>7.9777427325520484E-2</c:v>
                </c:pt>
                <c:pt idx="81">
                  <c:v>8.0062239154057926E-2</c:v>
                </c:pt>
                <c:pt idx="82">
                  <c:v>4.3383875492255537E-2</c:v>
                </c:pt>
                <c:pt idx="83">
                  <c:v>3.1298688168884078E-2</c:v>
                </c:pt>
                <c:pt idx="84">
                  <c:v>4.4796715985606826E-2</c:v>
                </c:pt>
                <c:pt idx="85">
                  <c:v>8.4820353587288552E-2</c:v>
                </c:pt>
                <c:pt idx="86">
                  <c:v>0.22090743609905852</c:v>
                </c:pt>
                <c:pt idx="87">
                  <c:v>0.50976060328791717</c:v>
                </c:pt>
                <c:pt idx="88">
                  <c:v>0.5482311649577174</c:v>
                </c:pt>
                <c:pt idx="89">
                  <c:v>0.40474624144780103</c:v>
                </c:pt>
                <c:pt idx="90">
                  <c:v>0.30415534300775049</c:v>
                </c:pt>
                <c:pt idx="91">
                  <c:v>0.26552528104604067</c:v>
                </c:pt>
                <c:pt idx="92">
                  <c:v>0.18738324385872454</c:v>
                </c:pt>
                <c:pt idx="93">
                  <c:v>6.3235104465979769E-2</c:v>
                </c:pt>
                <c:pt idx="94">
                  <c:v>4.4926343255387226E-2</c:v>
                </c:pt>
                <c:pt idx="95">
                  <c:v>1.9070975581039717E-2</c:v>
                </c:pt>
                <c:pt idx="96">
                  <c:v>0.33360638299904721</c:v>
                </c:pt>
                <c:pt idx="97">
                  <c:v>0.54666857418106329</c:v>
                </c:pt>
                <c:pt idx="98">
                  <c:v>0.52344873127968639</c:v>
                </c:pt>
                <c:pt idx="99">
                  <c:v>0.45992203899549422</c:v>
                </c:pt>
                <c:pt idx="100">
                  <c:v>0.41893589150943322</c:v>
                </c:pt>
                <c:pt idx="101">
                  <c:v>0.41819061531156421</c:v>
                </c:pt>
                <c:pt idx="102">
                  <c:v>0.42741568567039018</c:v>
                </c:pt>
                <c:pt idx="103">
                  <c:v>0.36663398445369172</c:v>
                </c:pt>
                <c:pt idx="104">
                  <c:v>0.28498809159725963</c:v>
                </c:pt>
                <c:pt idx="105">
                  <c:v>0.19918583306353849</c:v>
                </c:pt>
                <c:pt idx="106">
                  <c:v>0.12310324724764894</c:v>
                </c:pt>
                <c:pt idx="107">
                  <c:v>6.2248210395002869E-2</c:v>
                </c:pt>
                <c:pt idx="108">
                  <c:v>6.6684968974043265E-3</c:v>
                </c:pt>
                <c:pt idx="109">
                  <c:v>9.5520713880750869E-4</c:v>
                </c:pt>
                <c:pt idx="110">
                  <c:v>3.7839307760892792E-3</c:v>
                </c:pt>
                <c:pt idx="111">
                  <c:v>2.6526891510382832E-3</c:v>
                </c:pt>
                <c:pt idx="112">
                  <c:v>7.7259896445562859E-2</c:v>
                </c:pt>
                <c:pt idx="113">
                  <c:v>0.19690755079316666</c:v>
                </c:pt>
                <c:pt idx="114">
                  <c:v>0.27480674822839224</c:v>
                </c:pt>
                <c:pt idx="115">
                  <c:v>0.28499273122188329</c:v>
                </c:pt>
                <c:pt idx="116">
                  <c:v>0.27342826557411215</c:v>
                </c:pt>
                <c:pt idx="117">
                  <c:v>0.20363214609505467</c:v>
                </c:pt>
                <c:pt idx="118">
                  <c:v>0.18066134662653041</c:v>
                </c:pt>
                <c:pt idx="119">
                  <c:v>0.2962353845659435</c:v>
                </c:pt>
                <c:pt idx="120">
                  <c:v>0.44534467650284354</c:v>
                </c:pt>
                <c:pt idx="121">
                  <c:v>0.50343770689679701</c:v>
                </c:pt>
                <c:pt idx="122">
                  <c:v>0.45634833817557535</c:v>
                </c:pt>
                <c:pt idx="123">
                  <c:v>0.42295385339695324</c:v>
                </c:pt>
                <c:pt idx="124">
                  <c:v>0.32896972305940486</c:v>
                </c:pt>
                <c:pt idx="125">
                  <c:v>0.27963408178575505</c:v>
                </c:pt>
                <c:pt idx="126">
                  <c:v>0.2587251953031825</c:v>
                </c:pt>
                <c:pt idx="127">
                  <c:v>0.17838205431048956</c:v>
                </c:pt>
                <c:pt idx="128">
                  <c:v>0.17270758156540417</c:v>
                </c:pt>
                <c:pt idx="129">
                  <c:v>0.14228424281419683</c:v>
                </c:pt>
                <c:pt idx="130">
                  <c:v>8.049453220116147E-2</c:v>
                </c:pt>
                <c:pt idx="131">
                  <c:v>2.0866183866531978E-2</c:v>
                </c:pt>
                <c:pt idx="132">
                  <c:v>8.2440981818686463E-4</c:v>
                </c:pt>
                <c:pt idx="133">
                  <c:v>4.8718135095266847E-3</c:v>
                </c:pt>
                <c:pt idx="134">
                  <c:v>9.0688876631904913E-4</c:v>
                </c:pt>
                <c:pt idx="135">
                  <c:v>1.7296996745536444E-2</c:v>
                </c:pt>
                <c:pt idx="136">
                  <c:v>3.2051307590883892E-2</c:v>
                </c:pt>
                <c:pt idx="137">
                  <c:v>6.740720876403633E-2</c:v>
                </c:pt>
                <c:pt idx="138">
                  <c:v>0.15141527928210285</c:v>
                </c:pt>
                <c:pt idx="139">
                  <c:v>0.2062021764574247</c:v>
                </c:pt>
                <c:pt idx="140">
                  <c:v>0.26343686854374021</c:v>
                </c:pt>
                <c:pt idx="141">
                  <c:v>0.38236003656021234</c:v>
                </c:pt>
                <c:pt idx="142">
                  <c:v>0.45855598060689884</c:v>
                </c:pt>
                <c:pt idx="143">
                  <c:v>0.55359159378706146</c:v>
                </c:pt>
                <c:pt idx="144">
                  <c:v>0.55175580043575501</c:v>
                </c:pt>
                <c:pt idx="145">
                  <c:v>0.60789148957114569</c:v>
                </c:pt>
                <c:pt idx="146">
                  <c:v>0.61091757901585531</c:v>
                </c:pt>
                <c:pt idx="147">
                  <c:v>0.45866837015661432</c:v>
                </c:pt>
                <c:pt idx="148">
                  <c:v>0.32019104162543605</c:v>
                </c:pt>
                <c:pt idx="149">
                  <c:v>0.11760712527742846</c:v>
                </c:pt>
                <c:pt idx="150">
                  <c:v>8.1923055945788845E-2</c:v>
                </c:pt>
                <c:pt idx="151">
                  <c:v>2.3531726726863777E-2</c:v>
                </c:pt>
                <c:pt idx="152">
                  <c:v>3.1584411780659023E-2</c:v>
                </c:pt>
                <c:pt idx="153">
                  <c:v>0.18974991235973648</c:v>
                </c:pt>
                <c:pt idx="154">
                  <c:v>0.29620598423703615</c:v>
                </c:pt>
                <c:pt idx="155">
                  <c:v>0.40334267972375137</c:v>
                </c:pt>
                <c:pt idx="156">
                  <c:v>0.53387311947250504</c:v>
                </c:pt>
                <c:pt idx="157">
                  <c:v>0.59434212682476395</c:v>
                </c:pt>
                <c:pt idx="158">
                  <c:v>0.57814027963188097</c:v>
                </c:pt>
                <c:pt idx="159">
                  <c:v>0.58417641648710117</c:v>
                </c:pt>
                <c:pt idx="160">
                  <c:v>0.63815476656033865</c:v>
                </c:pt>
                <c:pt idx="161">
                  <c:v>0.6519557712394034</c:v>
                </c:pt>
                <c:pt idx="162">
                  <c:v>0.65496418081926999</c:v>
                </c:pt>
                <c:pt idx="163">
                  <c:v>0.61554196189195487</c:v>
                </c:pt>
                <c:pt idx="164">
                  <c:v>0.54793254562050087</c:v>
                </c:pt>
                <c:pt idx="165">
                  <c:v>0.52696405782785882</c:v>
                </c:pt>
                <c:pt idx="166">
                  <c:v>0.41410204792172955</c:v>
                </c:pt>
                <c:pt idx="167">
                  <c:v>0.30214274531697644</c:v>
                </c:pt>
                <c:pt idx="168">
                  <c:v>0.27981294602581425</c:v>
                </c:pt>
                <c:pt idx="169">
                  <c:v>0.23886595953842513</c:v>
                </c:pt>
                <c:pt idx="170">
                  <c:v>0.20202368997146339</c:v>
                </c:pt>
                <c:pt idx="171">
                  <c:v>0.21459574114898347</c:v>
                </c:pt>
                <c:pt idx="172">
                  <c:v>0.21517377563777582</c:v>
                </c:pt>
                <c:pt idx="173">
                  <c:v>0.21348091747363754</c:v>
                </c:pt>
                <c:pt idx="174">
                  <c:v>0.19819029717392028</c:v>
                </c:pt>
                <c:pt idx="175">
                  <c:v>0.15244269869055846</c:v>
                </c:pt>
                <c:pt idx="176">
                  <c:v>0.10747011754216648</c:v>
                </c:pt>
                <c:pt idx="177">
                  <c:v>0.23693741874103894</c:v>
                </c:pt>
                <c:pt idx="178">
                  <c:v>0.20688583417557066</c:v>
                </c:pt>
                <c:pt idx="179">
                  <c:v>1.7329046609795239E-2</c:v>
                </c:pt>
                <c:pt idx="180">
                  <c:v>2.1073551449531221E-2</c:v>
                </c:pt>
                <c:pt idx="181">
                  <c:v>4.0411342022375708E-2</c:v>
                </c:pt>
                <c:pt idx="182">
                  <c:v>4.6365613189683012E-2</c:v>
                </c:pt>
                <c:pt idx="183">
                  <c:v>7.8829151526246408E-2</c:v>
                </c:pt>
                <c:pt idx="184">
                  <c:v>0.13487446152091012</c:v>
                </c:pt>
                <c:pt idx="185">
                  <c:v>0.12940841215363599</c:v>
                </c:pt>
                <c:pt idx="186">
                  <c:v>0.14026248764336874</c:v>
                </c:pt>
                <c:pt idx="187">
                  <c:v>0.10817842783442642</c:v>
                </c:pt>
                <c:pt idx="188">
                  <c:v>6.5390313667289299E-2</c:v>
                </c:pt>
                <c:pt idx="189">
                  <c:v>4.7012208644109238E-2</c:v>
                </c:pt>
                <c:pt idx="190">
                  <c:v>3.0395332277327696E-2</c:v>
                </c:pt>
                <c:pt idx="191">
                  <c:v>2.8555506505921955E-2</c:v>
                </c:pt>
                <c:pt idx="192">
                  <c:v>2.597856511094979E-2</c:v>
                </c:pt>
                <c:pt idx="193">
                  <c:v>1.400837714927384E-2</c:v>
                </c:pt>
                <c:pt idx="194">
                  <c:v>9.1044447705381122E-3</c:v>
                </c:pt>
                <c:pt idx="195">
                  <c:v>3.7298103267148185E-2</c:v>
                </c:pt>
                <c:pt idx="196">
                  <c:v>6.4339847724105698E-2</c:v>
                </c:pt>
                <c:pt idx="197">
                  <c:v>7.4538756914383331E-2</c:v>
                </c:pt>
                <c:pt idx="198">
                  <c:v>4.9103695675722795E-3</c:v>
                </c:pt>
                <c:pt idx="199">
                  <c:v>1.3876603749318215E-3</c:v>
                </c:pt>
                <c:pt idx="200">
                  <c:v>1.8641175053415234E-4</c:v>
                </c:pt>
                <c:pt idx="201">
                  <c:v>4.0627848844074151E-4</c:v>
                </c:pt>
                <c:pt idx="202">
                  <c:v>2.3344622094613678E-3</c:v>
                </c:pt>
                <c:pt idx="203">
                  <c:v>6.743602659540043E-4</c:v>
                </c:pt>
                <c:pt idx="204">
                  <c:v>4.1178986981374975E-3</c:v>
                </c:pt>
                <c:pt idx="205">
                  <c:v>1.6675244524381377E-2</c:v>
                </c:pt>
                <c:pt idx="206">
                  <c:v>5.8785868518821636E-2</c:v>
                </c:pt>
                <c:pt idx="207">
                  <c:v>0.19104563745747596</c:v>
                </c:pt>
                <c:pt idx="208">
                  <c:v>0.37357385068689059</c:v>
                </c:pt>
                <c:pt idx="209">
                  <c:v>0.35701923736832164</c:v>
                </c:pt>
                <c:pt idx="210">
                  <c:v>0.14036679163419269</c:v>
                </c:pt>
                <c:pt idx="211">
                  <c:v>1.9746423098265502E-2</c:v>
                </c:pt>
                <c:pt idx="212">
                  <c:v>7.7663851537483413E-4</c:v>
                </c:pt>
                <c:pt idx="213">
                  <c:v>6.7366331880047106E-2</c:v>
                </c:pt>
                <c:pt idx="214">
                  <c:v>0.23693183256110528</c:v>
                </c:pt>
                <c:pt idx="215">
                  <c:v>0.34399943222221274</c:v>
                </c:pt>
                <c:pt idx="216">
                  <c:v>0.46011442091045063</c:v>
                </c:pt>
                <c:pt idx="217">
                  <c:v>0.56022199253381966</c:v>
                </c:pt>
                <c:pt idx="218">
                  <c:v>0.62620500779791721</c:v>
                </c:pt>
                <c:pt idx="219">
                  <c:v>0.74083011065805549</c:v>
                </c:pt>
                <c:pt idx="220">
                  <c:v>0.80808250473127674</c:v>
                </c:pt>
                <c:pt idx="221">
                  <c:v>0.83066663482365066</c:v>
                </c:pt>
                <c:pt idx="222">
                  <c:v>0.84708654450594667</c:v>
                </c:pt>
                <c:pt idx="223">
                  <c:v>0.83489821513559448</c:v>
                </c:pt>
                <c:pt idx="224">
                  <c:v>0.77872748800584357</c:v>
                </c:pt>
                <c:pt idx="225">
                  <c:v>0.69022894290891068</c:v>
                </c:pt>
                <c:pt idx="226">
                  <c:v>0.61009203806211454</c:v>
                </c:pt>
                <c:pt idx="227">
                  <c:v>0.51032929670664351</c:v>
                </c:pt>
                <c:pt idx="228">
                  <c:v>0.31226970194018133</c:v>
                </c:pt>
                <c:pt idx="229">
                  <c:v>9.9411703412667904E-2</c:v>
                </c:pt>
                <c:pt idx="230">
                  <c:v>3.5899145573156229E-7</c:v>
                </c:pt>
                <c:pt idx="231">
                  <c:v>7.4659681521721866E-2</c:v>
                </c:pt>
                <c:pt idx="232">
                  <c:v>0.26119123220642754</c:v>
                </c:pt>
                <c:pt idx="233">
                  <c:v>0.54600617802780027</c:v>
                </c:pt>
                <c:pt idx="234">
                  <c:v>0.50847682444620257</c:v>
                </c:pt>
                <c:pt idx="235">
                  <c:v>0.26022571682063239</c:v>
                </c:pt>
                <c:pt idx="236">
                  <c:v>6.3222135959485934E-2</c:v>
                </c:pt>
                <c:pt idx="237">
                  <c:v>1.3158394346040509E-5</c:v>
                </c:pt>
                <c:pt idx="238">
                  <c:v>2.7450997501691946E-2</c:v>
                </c:pt>
                <c:pt idx="239">
                  <c:v>7.8537999185913823E-2</c:v>
                </c:pt>
                <c:pt idx="240">
                  <c:v>0.16167566721916116</c:v>
                </c:pt>
                <c:pt idx="241">
                  <c:v>0.25404543897108439</c:v>
                </c:pt>
                <c:pt idx="242">
                  <c:v>0.36979308925009735</c:v>
                </c:pt>
                <c:pt idx="243">
                  <c:v>0.48806399770099196</c:v>
                </c:pt>
                <c:pt idx="244">
                  <c:v>0.58396858172149857</c:v>
                </c:pt>
                <c:pt idx="245">
                  <c:v>0.61481747167164402</c:v>
                </c:pt>
                <c:pt idx="246">
                  <c:v>0.60003424068187983</c:v>
                </c:pt>
                <c:pt idx="247">
                  <c:v>0.65106956335786115</c:v>
                </c:pt>
                <c:pt idx="248">
                  <c:v>0.78095641093937251</c:v>
                </c:pt>
                <c:pt idx="249">
                  <c:v>0.7955301561385193</c:v>
                </c:pt>
                <c:pt idx="250">
                  <c:v>0.73721481660630916</c:v>
                </c:pt>
                <c:pt idx="251">
                  <c:v>0.67187595461470517</c:v>
                </c:pt>
                <c:pt idx="252">
                  <c:v>0.63744717993369016</c:v>
                </c:pt>
                <c:pt idx="253">
                  <c:v>0.57876696473817346</c:v>
                </c:pt>
                <c:pt idx="254">
                  <c:v>0.60062596434698667</c:v>
                </c:pt>
                <c:pt idx="255">
                  <c:v>0.51639606184565012</c:v>
                </c:pt>
                <c:pt idx="256">
                  <c:v>0.41011911914473814</c:v>
                </c:pt>
                <c:pt idx="257">
                  <c:v>0.45577257713553965</c:v>
                </c:pt>
                <c:pt idx="258">
                  <c:v>0.45824752354822823</c:v>
                </c:pt>
                <c:pt idx="259">
                  <c:v>0.34170062562678594</c:v>
                </c:pt>
                <c:pt idx="260">
                  <c:v>0.24034371047496667</c:v>
                </c:pt>
                <c:pt idx="261">
                  <c:v>9.2292842335241668E-2</c:v>
                </c:pt>
                <c:pt idx="262">
                  <c:v>1.6188169415646596E-2</c:v>
                </c:pt>
                <c:pt idx="263">
                  <c:v>8.7053607908610083E-5</c:v>
                </c:pt>
                <c:pt idx="264">
                  <c:v>1.4247983267418871E-2</c:v>
                </c:pt>
                <c:pt idx="265">
                  <c:v>3.9728152604389146E-2</c:v>
                </c:pt>
                <c:pt idx="266">
                  <c:v>2.2491316937154202E-2</c:v>
                </c:pt>
                <c:pt idx="267">
                  <c:v>1.6253632789124714E-2</c:v>
                </c:pt>
                <c:pt idx="268">
                  <c:v>7.4148568706799117E-2</c:v>
                </c:pt>
                <c:pt idx="269">
                  <c:v>0.13281141183507536</c:v>
                </c:pt>
                <c:pt idx="270">
                  <c:v>0.13196268400854383</c:v>
                </c:pt>
                <c:pt idx="271">
                  <c:v>0.10879898992946205</c:v>
                </c:pt>
                <c:pt idx="272">
                  <c:v>6.9149911554916052E-2</c:v>
                </c:pt>
                <c:pt idx="273">
                  <c:v>8.7117272903162353E-3</c:v>
                </c:pt>
                <c:pt idx="274">
                  <c:v>1.9252826185457041E-8</c:v>
                </c:pt>
                <c:pt idx="275">
                  <c:v>2.1372430226145483E-3</c:v>
                </c:pt>
                <c:pt idx="276">
                  <c:v>6.3758579063206408E-2</c:v>
                </c:pt>
                <c:pt idx="277">
                  <c:v>0.17962029058342024</c:v>
                </c:pt>
                <c:pt idx="278">
                  <c:v>0.39104396128362473</c:v>
                </c:pt>
                <c:pt idx="279">
                  <c:v>0.3647650752332442</c:v>
                </c:pt>
                <c:pt idx="280">
                  <c:v>0.34869559758463697</c:v>
                </c:pt>
                <c:pt idx="281">
                  <c:v>0.35446149547867617</c:v>
                </c:pt>
                <c:pt idx="282">
                  <c:v>0.34544523148979678</c:v>
                </c:pt>
                <c:pt idx="283">
                  <c:v>0.31562766935377695</c:v>
                </c:pt>
                <c:pt idx="284">
                  <c:v>0.34939147054756148</c:v>
                </c:pt>
                <c:pt idx="285">
                  <c:v>0.26756610598826952</c:v>
                </c:pt>
                <c:pt idx="286">
                  <c:v>0.25751703482128913</c:v>
                </c:pt>
                <c:pt idx="287">
                  <c:v>0.25599086524249304</c:v>
                </c:pt>
                <c:pt idx="288">
                  <c:v>0.23221283840803775</c:v>
                </c:pt>
                <c:pt idx="289">
                  <c:v>0.17330861920414772</c:v>
                </c:pt>
                <c:pt idx="290">
                  <c:v>0.12758713566292934</c:v>
                </c:pt>
                <c:pt idx="291">
                  <c:v>0.15853174489709984</c:v>
                </c:pt>
                <c:pt idx="292">
                  <c:v>0.31480762714289384</c:v>
                </c:pt>
                <c:pt idx="293">
                  <c:v>0.42974330455131715</c:v>
                </c:pt>
                <c:pt idx="294">
                  <c:v>#N/A</c:v>
                </c:pt>
                <c:pt idx="295">
                  <c:v>#N/A</c:v>
                </c:pt>
                <c:pt idx="296">
                  <c:v>#N/A</c:v>
                </c:pt>
                <c:pt idx="297">
                  <c:v>#N/A</c:v>
                </c:pt>
                <c:pt idx="298">
                  <c:v>#N/A</c:v>
                </c:pt>
                <c:pt idx="299">
                  <c:v>#N/A</c:v>
                </c:pt>
                <c:pt idx="300">
                  <c:v>#N/A</c:v>
                </c:pt>
                <c:pt idx="301">
                  <c:v>#N/A</c:v>
                </c:pt>
                <c:pt idx="302">
                  <c:v>#N/A</c:v>
                </c:pt>
                <c:pt idx="303">
                  <c:v>#N/A</c:v>
                </c:pt>
                <c:pt idx="304">
                  <c:v>#N/A</c:v>
                </c:pt>
                <c:pt idx="305">
                  <c:v>#N/A</c:v>
                </c:pt>
                <c:pt idx="306">
                  <c:v>#N/A</c:v>
                </c:pt>
                <c:pt idx="307">
                  <c:v>#N/A</c:v>
                </c:pt>
                <c:pt idx="308">
                  <c:v>#N/A</c:v>
                </c:pt>
                <c:pt idx="309">
                  <c:v>#N/A</c:v>
                </c:pt>
                <c:pt idx="310">
                  <c:v>#N/A</c:v>
                </c:pt>
                <c:pt idx="311">
                  <c:v>#N/A</c:v>
                </c:pt>
                <c:pt idx="312">
                  <c:v>#N/A</c:v>
                </c:pt>
                <c:pt idx="313">
                  <c:v>#N/A</c:v>
                </c:pt>
                <c:pt idx="314">
                  <c:v>#N/A</c:v>
                </c:pt>
                <c:pt idx="315">
                  <c:v>#N/A</c:v>
                </c:pt>
                <c:pt idx="316">
                  <c:v>#N/A</c:v>
                </c:pt>
                <c:pt idx="317">
                  <c:v>#N/A</c:v>
                </c:pt>
                <c:pt idx="318">
                  <c:v>#N/A</c:v>
                </c:pt>
                <c:pt idx="319">
                  <c:v>#N/A</c:v>
                </c:pt>
                <c:pt idx="320">
                  <c:v>#N/A</c:v>
                </c:pt>
                <c:pt idx="321">
                  <c:v>#N/A</c:v>
                </c:pt>
                <c:pt idx="322">
                  <c:v>#N/A</c:v>
                </c:pt>
                <c:pt idx="323">
                  <c:v>#N/A</c:v>
                </c:pt>
                <c:pt idx="324">
                  <c:v>#N/A</c:v>
                </c:pt>
                <c:pt idx="325">
                  <c:v>#N/A</c:v>
                </c:pt>
                <c:pt idx="326">
                  <c:v>#N/A</c:v>
                </c:pt>
                <c:pt idx="327">
                  <c:v>#N/A</c:v>
                </c:pt>
                <c:pt idx="328">
                  <c:v>#N/A</c:v>
                </c:pt>
                <c:pt idx="329">
                  <c:v>#N/A</c:v>
                </c:pt>
                <c:pt idx="330">
                  <c:v>#N/A</c:v>
                </c:pt>
                <c:pt idx="331">
                  <c:v>#N/A</c:v>
                </c:pt>
                <c:pt idx="332">
                  <c:v>#N/A</c:v>
                </c:pt>
                <c:pt idx="333">
                  <c:v>#N/A</c:v>
                </c:pt>
                <c:pt idx="334">
                  <c:v>#N/A</c:v>
                </c:pt>
                <c:pt idx="335">
                  <c:v>#N/A</c:v>
                </c:pt>
                <c:pt idx="336">
                  <c:v>#N/A</c:v>
                </c:pt>
                <c:pt idx="337">
                  <c:v>#N/A</c:v>
                </c:pt>
                <c:pt idx="338">
                  <c:v>#N/A</c:v>
                </c:pt>
                <c:pt idx="339">
                  <c:v>#N/A</c:v>
                </c:pt>
                <c:pt idx="340">
                  <c:v>#N/A</c:v>
                </c:pt>
                <c:pt idx="341">
                  <c:v>#N/A</c:v>
                </c:pt>
                <c:pt idx="342">
                  <c:v>#N/A</c:v>
                </c:pt>
                <c:pt idx="343">
                  <c:v>#N/A</c:v>
                </c:pt>
                <c:pt idx="344">
                  <c:v>#N/A</c:v>
                </c:pt>
                <c:pt idx="345">
                  <c:v>#N/A</c:v>
                </c:pt>
                <c:pt idx="346">
                  <c:v>#N/A</c:v>
                </c:pt>
                <c:pt idx="347">
                  <c:v>#N/A</c:v>
                </c:pt>
                <c:pt idx="348">
                  <c:v>#N/A</c:v>
                </c:pt>
                <c:pt idx="349">
                  <c:v>#N/A</c:v>
                </c:pt>
                <c:pt idx="350">
                  <c:v>#N/A</c:v>
                </c:pt>
                <c:pt idx="351">
                  <c:v>#N/A</c:v>
                </c:pt>
                <c:pt idx="352">
                  <c:v>#N/A</c:v>
                </c:pt>
                <c:pt idx="353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8A4-48DC-B51F-150164B6D6B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58880608"/>
        <c:axId val="1758880128"/>
      </c:lineChart>
      <c:dateAx>
        <c:axId val="1758880608"/>
        <c:scaling>
          <c:orientation val="minMax"/>
          <c:min val="35796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yyyy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58880128"/>
        <c:crosses val="autoZero"/>
        <c:auto val="1"/>
        <c:lblOffset val="100"/>
        <c:baseTimeUnit val="months"/>
        <c:majorUnit val="2"/>
        <c:majorTimeUnit val="years"/>
      </c:dateAx>
      <c:valAx>
        <c:axId val="17588801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58880608"/>
        <c:crosses val="autoZero"/>
        <c:crossBetween val="midCat"/>
        <c:majorUnit val="0.2"/>
        <c:minorUnit val="0.1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R-Squared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'R-Sq'!$G$2</c:f>
              <c:strCache>
                <c:ptCount val="1"/>
                <c:pt idx="0">
                  <c:v>Debit+Credit : M2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'R-Sq'!$A$3:$A$1355</c:f>
              <c:numCache>
                <c:formatCode>m/d/yyyy</c:formatCode>
                <c:ptCount val="1353"/>
                <c:pt idx="0">
                  <c:v>46173</c:v>
                </c:pt>
                <c:pt idx="1">
                  <c:v>46142</c:v>
                </c:pt>
                <c:pt idx="2">
                  <c:v>46112</c:v>
                </c:pt>
                <c:pt idx="3">
                  <c:v>46081</c:v>
                </c:pt>
                <c:pt idx="4">
                  <c:v>46053</c:v>
                </c:pt>
                <c:pt idx="5">
                  <c:v>46022</c:v>
                </c:pt>
                <c:pt idx="6">
                  <c:v>45991</c:v>
                </c:pt>
                <c:pt idx="7">
                  <c:v>45961</c:v>
                </c:pt>
                <c:pt idx="8">
                  <c:v>45930</c:v>
                </c:pt>
                <c:pt idx="9">
                  <c:v>45900</c:v>
                </c:pt>
                <c:pt idx="10">
                  <c:v>45869</c:v>
                </c:pt>
                <c:pt idx="11">
                  <c:v>45838</c:v>
                </c:pt>
                <c:pt idx="12">
                  <c:v>45808</c:v>
                </c:pt>
                <c:pt idx="13">
                  <c:v>45777</c:v>
                </c:pt>
                <c:pt idx="14">
                  <c:v>45747</c:v>
                </c:pt>
                <c:pt idx="15">
                  <c:v>45716</c:v>
                </c:pt>
                <c:pt idx="16">
                  <c:v>45688</c:v>
                </c:pt>
                <c:pt idx="17">
                  <c:v>45657</c:v>
                </c:pt>
                <c:pt idx="18">
                  <c:v>45626</c:v>
                </c:pt>
                <c:pt idx="19">
                  <c:v>45596</c:v>
                </c:pt>
                <c:pt idx="20">
                  <c:v>45565</c:v>
                </c:pt>
                <c:pt idx="21">
                  <c:v>45535</c:v>
                </c:pt>
                <c:pt idx="22">
                  <c:v>45504</c:v>
                </c:pt>
                <c:pt idx="23">
                  <c:v>45473</c:v>
                </c:pt>
                <c:pt idx="24">
                  <c:v>45443</c:v>
                </c:pt>
                <c:pt idx="25">
                  <c:v>45412</c:v>
                </c:pt>
                <c:pt idx="26">
                  <c:v>45382</c:v>
                </c:pt>
                <c:pt idx="27">
                  <c:v>45351</c:v>
                </c:pt>
                <c:pt idx="28">
                  <c:v>45322</c:v>
                </c:pt>
                <c:pt idx="29">
                  <c:v>45291</c:v>
                </c:pt>
                <c:pt idx="30">
                  <c:v>45260</c:v>
                </c:pt>
                <c:pt idx="31">
                  <c:v>45230</c:v>
                </c:pt>
                <c:pt idx="32">
                  <c:v>45199</c:v>
                </c:pt>
                <c:pt idx="33">
                  <c:v>45169</c:v>
                </c:pt>
                <c:pt idx="34">
                  <c:v>45138</c:v>
                </c:pt>
                <c:pt idx="35">
                  <c:v>45107</c:v>
                </c:pt>
                <c:pt idx="36">
                  <c:v>45077</c:v>
                </c:pt>
                <c:pt idx="37">
                  <c:v>45046</c:v>
                </c:pt>
                <c:pt idx="38">
                  <c:v>45016</c:v>
                </c:pt>
                <c:pt idx="39">
                  <c:v>44985</c:v>
                </c:pt>
                <c:pt idx="40">
                  <c:v>44957</c:v>
                </c:pt>
                <c:pt idx="41">
                  <c:v>44926</c:v>
                </c:pt>
                <c:pt idx="42">
                  <c:v>44895</c:v>
                </c:pt>
                <c:pt idx="43">
                  <c:v>44865</c:v>
                </c:pt>
                <c:pt idx="44">
                  <c:v>44834</c:v>
                </c:pt>
                <c:pt idx="45">
                  <c:v>44804</c:v>
                </c:pt>
                <c:pt idx="46">
                  <c:v>44773</c:v>
                </c:pt>
                <c:pt idx="47">
                  <c:v>44742</c:v>
                </c:pt>
                <c:pt idx="48">
                  <c:v>44712</c:v>
                </c:pt>
                <c:pt idx="49">
                  <c:v>44681</c:v>
                </c:pt>
                <c:pt idx="50">
                  <c:v>44651</c:v>
                </c:pt>
                <c:pt idx="51">
                  <c:v>44620</c:v>
                </c:pt>
                <c:pt idx="52">
                  <c:v>44592</c:v>
                </c:pt>
                <c:pt idx="53">
                  <c:v>44561</c:v>
                </c:pt>
                <c:pt idx="54">
                  <c:v>44530</c:v>
                </c:pt>
                <c:pt idx="55">
                  <c:v>44500</c:v>
                </c:pt>
                <c:pt idx="56">
                  <c:v>44469</c:v>
                </c:pt>
                <c:pt idx="57">
                  <c:v>44439</c:v>
                </c:pt>
                <c:pt idx="58">
                  <c:v>44408</c:v>
                </c:pt>
                <c:pt idx="59">
                  <c:v>44377</c:v>
                </c:pt>
                <c:pt idx="60">
                  <c:v>44347</c:v>
                </c:pt>
                <c:pt idx="61">
                  <c:v>44316</c:v>
                </c:pt>
                <c:pt idx="62">
                  <c:v>44286</c:v>
                </c:pt>
                <c:pt idx="63">
                  <c:v>44255</c:v>
                </c:pt>
                <c:pt idx="64">
                  <c:v>44227</c:v>
                </c:pt>
                <c:pt idx="65">
                  <c:v>44196</c:v>
                </c:pt>
                <c:pt idx="66">
                  <c:v>44165</c:v>
                </c:pt>
                <c:pt idx="67">
                  <c:v>44135</c:v>
                </c:pt>
                <c:pt idx="68">
                  <c:v>44104</c:v>
                </c:pt>
                <c:pt idx="69">
                  <c:v>44074</c:v>
                </c:pt>
                <c:pt idx="70">
                  <c:v>44043</c:v>
                </c:pt>
                <c:pt idx="71">
                  <c:v>44012</c:v>
                </c:pt>
                <c:pt idx="72">
                  <c:v>43982</c:v>
                </c:pt>
                <c:pt idx="73">
                  <c:v>43951</c:v>
                </c:pt>
                <c:pt idx="74">
                  <c:v>43921</c:v>
                </c:pt>
                <c:pt idx="75">
                  <c:v>43890</c:v>
                </c:pt>
                <c:pt idx="76">
                  <c:v>43861</c:v>
                </c:pt>
                <c:pt idx="77">
                  <c:v>43830</c:v>
                </c:pt>
                <c:pt idx="78">
                  <c:v>43799</c:v>
                </c:pt>
                <c:pt idx="79">
                  <c:v>43769</c:v>
                </c:pt>
                <c:pt idx="80">
                  <c:v>43738</c:v>
                </c:pt>
                <c:pt idx="81">
                  <c:v>43708</c:v>
                </c:pt>
                <c:pt idx="82">
                  <c:v>43677</c:v>
                </c:pt>
                <c:pt idx="83">
                  <c:v>43646</c:v>
                </c:pt>
                <c:pt idx="84">
                  <c:v>43616</c:v>
                </c:pt>
                <c:pt idx="85">
                  <c:v>43585</c:v>
                </c:pt>
                <c:pt idx="86">
                  <c:v>43555</c:v>
                </c:pt>
                <c:pt idx="87">
                  <c:v>43524</c:v>
                </c:pt>
                <c:pt idx="88">
                  <c:v>43496</c:v>
                </c:pt>
                <c:pt idx="89">
                  <c:v>43465</c:v>
                </c:pt>
                <c:pt idx="90">
                  <c:v>43434</c:v>
                </c:pt>
                <c:pt idx="91">
                  <c:v>43404</c:v>
                </c:pt>
                <c:pt idx="92">
                  <c:v>43373</c:v>
                </c:pt>
                <c:pt idx="93">
                  <c:v>43343</c:v>
                </c:pt>
                <c:pt idx="94">
                  <c:v>43312</c:v>
                </c:pt>
                <c:pt idx="95">
                  <c:v>43281</c:v>
                </c:pt>
                <c:pt idx="96">
                  <c:v>43251</c:v>
                </c:pt>
                <c:pt idx="97">
                  <c:v>43220</c:v>
                </c:pt>
                <c:pt idx="98">
                  <c:v>43190</c:v>
                </c:pt>
                <c:pt idx="99">
                  <c:v>43159</c:v>
                </c:pt>
                <c:pt idx="100">
                  <c:v>43131</c:v>
                </c:pt>
                <c:pt idx="101">
                  <c:v>43100</c:v>
                </c:pt>
                <c:pt idx="102">
                  <c:v>43069</c:v>
                </c:pt>
                <c:pt idx="103">
                  <c:v>43039</c:v>
                </c:pt>
                <c:pt idx="104">
                  <c:v>43008</c:v>
                </c:pt>
                <c:pt idx="105">
                  <c:v>42978</c:v>
                </c:pt>
                <c:pt idx="106">
                  <c:v>42947</c:v>
                </c:pt>
                <c:pt idx="107">
                  <c:v>42916</c:v>
                </c:pt>
                <c:pt idx="108">
                  <c:v>42886</c:v>
                </c:pt>
                <c:pt idx="109">
                  <c:v>42855</c:v>
                </c:pt>
                <c:pt idx="110">
                  <c:v>42825</c:v>
                </c:pt>
                <c:pt idx="111">
                  <c:v>42794</c:v>
                </c:pt>
                <c:pt idx="112">
                  <c:v>42766</c:v>
                </c:pt>
                <c:pt idx="113">
                  <c:v>42735</c:v>
                </c:pt>
                <c:pt idx="114">
                  <c:v>42704</c:v>
                </c:pt>
                <c:pt idx="115">
                  <c:v>42674</c:v>
                </c:pt>
                <c:pt idx="116">
                  <c:v>42643</c:v>
                </c:pt>
                <c:pt idx="117">
                  <c:v>42613</c:v>
                </c:pt>
                <c:pt idx="118">
                  <c:v>42582</c:v>
                </c:pt>
                <c:pt idx="119">
                  <c:v>42551</c:v>
                </c:pt>
                <c:pt idx="120">
                  <c:v>42521</c:v>
                </c:pt>
                <c:pt idx="121">
                  <c:v>42490</c:v>
                </c:pt>
                <c:pt idx="122">
                  <c:v>42460</c:v>
                </c:pt>
                <c:pt idx="123">
                  <c:v>42429</c:v>
                </c:pt>
                <c:pt idx="124">
                  <c:v>42400</c:v>
                </c:pt>
                <c:pt idx="125">
                  <c:v>42369</c:v>
                </c:pt>
                <c:pt idx="126">
                  <c:v>42338</c:v>
                </c:pt>
                <c:pt idx="127">
                  <c:v>42308</c:v>
                </c:pt>
                <c:pt idx="128">
                  <c:v>42277</c:v>
                </c:pt>
                <c:pt idx="129">
                  <c:v>42247</c:v>
                </c:pt>
                <c:pt idx="130">
                  <c:v>42216</c:v>
                </c:pt>
                <c:pt idx="131">
                  <c:v>42185</c:v>
                </c:pt>
                <c:pt idx="132">
                  <c:v>42155</c:v>
                </c:pt>
                <c:pt idx="133">
                  <c:v>42124</c:v>
                </c:pt>
                <c:pt idx="134">
                  <c:v>42094</c:v>
                </c:pt>
                <c:pt idx="135">
                  <c:v>42063</c:v>
                </c:pt>
                <c:pt idx="136">
                  <c:v>42035</c:v>
                </c:pt>
                <c:pt idx="137">
                  <c:v>42004</c:v>
                </c:pt>
                <c:pt idx="138">
                  <c:v>41973</c:v>
                </c:pt>
                <c:pt idx="139">
                  <c:v>41943</c:v>
                </c:pt>
                <c:pt idx="140">
                  <c:v>41912</c:v>
                </c:pt>
                <c:pt idx="141">
                  <c:v>41882</c:v>
                </c:pt>
                <c:pt idx="142">
                  <c:v>41851</c:v>
                </c:pt>
                <c:pt idx="143">
                  <c:v>41820</c:v>
                </c:pt>
                <c:pt idx="144">
                  <c:v>41790</c:v>
                </c:pt>
                <c:pt idx="145">
                  <c:v>41759</c:v>
                </c:pt>
                <c:pt idx="146">
                  <c:v>41729</c:v>
                </c:pt>
                <c:pt idx="147">
                  <c:v>41698</c:v>
                </c:pt>
                <c:pt idx="148">
                  <c:v>41670</c:v>
                </c:pt>
                <c:pt idx="149">
                  <c:v>41639</c:v>
                </c:pt>
                <c:pt idx="150">
                  <c:v>41608</c:v>
                </c:pt>
                <c:pt idx="151">
                  <c:v>41578</c:v>
                </c:pt>
                <c:pt idx="152">
                  <c:v>41547</c:v>
                </c:pt>
                <c:pt idx="153">
                  <c:v>41517</c:v>
                </c:pt>
                <c:pt idx="154">
                  <c:v>41486</c:v>
                </c:pt>
                <c:pt idx="155">
                  <c:v>41455</c:v>
                </c:pt>
                <c:pt idx="156">
                  <c:v>41425</c:v>
                </c:pt>
                <c:pt idx="157">
                  <c:v>41394</c:v>
                </c:pt>
                <c:pt idx="158">
                  <c:v>41364</c:v>
                </c:pt>
                <c:pt idx="159">
                  <c:v>41333</c:v>
                </c:pt>
                <c:pt idx="160">
                  <c:v>41305</c:v>
                </c:pt>
                <c:pt idx="161">
                  <c:v>41274</c:v>
                </c:pt>
                <c:pt idx="162">
                  <c:v>41243</c:v>
                </c:pt>
                <c:pt idx="163">
                  <c:v>41213</c:v>
                </c:pt>
                <c:pt idx="164">
                  <c:v>41182</c:v>
                </c:pt>
                <c:pt idx="165">
                  <c:v>41152</c:v>
                </c:pt>
                <c:pt idx="166">
                  <c:v>41121</c:v>
                </c:pt>
                <c:pt idx="167">
                  <c:v>41090</c:v>
                </c:pt>
                <c:pt idx="168">
                  <c:v>41060</c:v>
                </c:pt>
                <c:pt idx="169">
                  <c:v>41029</c:v>
                </c:pt>
                <c:pt idx="170">
                  <c:v>40999</c:v>
                </c:pt>
                <c:pt idx="171">
                  <c:v>40968</c:v>
                </c:pt>
                <c:pt idx="172">
                  <c:v>40939</c:v>
                </c:pt>
                <c:pt idx="173">
                  <c:v>40908</c:v>
                </c:pt>
                <c:pt idx="174">
                  <c:v>40877</c:v>
                </c:pt>
                <c:pt idx="175">
                  <c:v>40847</c:v>
                </c:pt>
                <c:pt idx="176">
                  <c:v>40816</c:v>
                </c:pt>
                <c:pt idx="177">
                  <c:v>40786</c:v>
                </c:pt>
                <c:pt idx="178">
                  <c:v>40755</c:v>
                </c:pt>
                <c:pt idx="179">
                  <c:v>40724</c:v>
                </c:pt>
                <c:pt idx="180">
                  <c:v>40694</c:v>
                </c:pt>
                <c:pt idx="181">
                  <c:v>40663</c:v>
                </c:pt>
                <c:pt idx="182">
                  <c:v>40633</c:v>
                </c:pt>
                <c:pt idx="183">
                  <c:v>40602</c:v>
                </c:pt>
                <c:pt idx="184">
                  <c:v>40574</c:v>
                </c:pt>
                <c:pt idx="185">
                  <c:v>40543</c:v>
                </c:pt>
                <c:pt idx="186">
                  <c:v>40512</c:v>
                </c:pt>
                <c:pt idx="187">
                  <c:v>40482</c:v>
                </c:pt>
                <c:pt idx="188">
                  <c:v>40451</c:v>
                </c:pt>
                <c:pt idx="189">
                  <c:v>40421</c:v>
                </c:pt>
                <c:pt idx="190">
                  <c:v>40390</c:v>
                </c:pt>
                <c:pt idx="191">
                  <c:v>40359</c:v>
                </c:pt>
                <c:pt idx="192">
                  <c:v>40329</c:v>
                </c:pt>
                <c:pt idx="193">
                  <c:v>40298</c:v>
                </c:pt>
                <c:pt idx="194">
                  <c:v>40268</c:v>
                </c:pt>
                <c:pt idx="195">
                  <c:v>40237</c:v>
                </c:pt>
                <c:pt idx="196">
                  <c:v>40209</c:v>
                </c:pt>
                <c:pt idx="197">
                  <c:v>40178</c:v>
                </c:pt>
                <c:pt idx="198">
                  <c:v>40147</c:v>
                </c:pt>
                <c:pt idx="199">
                  <c:v>40117</c:v>
                </c:pt>
                <c:pt idx="200">
                  <c:v>40086</c:v>
                </c:pt>
                <c:pt idx="201">
                  <c:v>40056</c:v>
                </c:pt>
                <c:pt idx="202">
                  <c:v>40025</c:v>
                </c:pt>
                <c:pt idx="203">
                  <c:v>39994</c:v>
                </c:pt>
                <c:pt idx="204">
                  <c:v>39964</c:v>
                </c:pt>
                <c:pt idx="205">
                  <c:v>39933</c:v>
                </c:pt>
                <c:pt idx="206">
                  <c:v>39903</c:v>
                </c:pt>
                <c:pt idx="207">
                  <c:v>39872</c:v>
                </c:pt>
                <c:pt idx="208">
                  <c:v>39844</c:v>
                </c:pt>
                <c:pt idx="209">
                  <c:v>39813</c:v>
                </c:pt>
                <c:pt idx="210">
                  <c:v>39782</c:v>
                </c:pt>
                <c:pt idx="211">
                  <c:v>39752</c:v>
                </c:pt>
                <c:pt idx="212">
                  <c:v>39721</c:v>
                </c:pt>
                <c:pt idx="213">
                  <c:v>39691</c:v>
                </c:pt>
                <c:pt idx="214">
                  <c:v>39660</c:v>
                </c:pt>
                <c:pt idx="215">
                  <c:v>39629</c:v>
                </c:pt>
                <c:pt idx="216">
                  <c:v>39599</c:v>
                </c:pt>
                <c:pt idx="217">
                  <c:v>39568</c:v>
                </c:pt>
                <c:pt idx="218">
                  <c:v>39538</c:v>
                </c:pt>
                <c:pt idx="219">
                  <c:v>39507</c:v>
                </c:pt>
                <c:pt idx="220">
                  <c:v>39478</c:v>
                </c:pt>
                <c:pt idx="221">
                  <c:v>39447</c:v>
                </c:pt>
                <c:pt idx="222">
                  <c:v>39416</c:v>
                </c:pt>
                <c:pt idx="223">
                  <c:v>39386</c:v>
                </c:pt>
                <c:pt idx="224">
                  <c:v>39355</c:v>
                </c:pt>
                <c:pt idx="225">
                  <c:v>39325</c:v>
                </c:pt>
                <c:pt idx="226">
                  <c:v>39294</c:v>
                </c:pt>
                <c:pt idx="227">
                  <c:v>39263</c:v>
                </c:pt>
                <c:pt idx="228">
                  <c:v>39233</c:v>
                </c:pt>
                <c:pt idx="229">
                  <c:v>39202</c:v>
                </c:pt>
                <c:pt idx="230">
                  <c:v>39172</c:v>
                </c:pt>
                <c:pt idx="231">
                  <c:v>39141</c:v>
                </c:pt>
                <c:pt idx="232">
                  <c:v>39113</c:v>
                </c:pt>
                <c:pt idx="233">
                  <c:v>39082</c:v>
                </c:pt>
                <c:pt idx="234">
                  <c:v>39051</c:v>
                </c:pt>
                <c:pt idx="235">
                  <c:v>39021</c:v>
                </c:pt>
                <c:pt idx="236">
                  <c:v>38990</c:v>
                </c:pt>
                <c:pt idx="237">
                  <c:v>38960</c:v>
                </c:pt>
                <c:pt idx="238">
                  <c:v>38929</c:v>
                </c:pt>
                <c:pt idx="239">
                  <c:v>38898</c:v>
                </c:pt>
                <c:pt idx="240">
                  <c:v>38868</c:v>
                </c:pt>
                <c:pt idx="241">
                  <c:v>38837</c:v>
                </c:pt>
                <c:pt idx="242">
                  <c:v>38807</c:v>
                </c:pt>
                <c:pt idx="243">
                  <c:v>38776</c:v>
                </c:pt>
                <c:pt idx="244">
                  <c:v>38748</c:v>
                </c:pt>
                <c:pt idx="245">
                  <c:v>38717</c:v>
                </c:pt>
                <c:pt idx="246">
                  <c:v>38686</c:v>
                </c:pt>
                <c:pt idx="247">
                  <c:v>38656</c:v>
                </c:pt>
                <c:pt idx="248">
                  <c:v>38625</c:v>
                </c:pt>
                <c:pt idx="249">
                  <c:v>38595</c:v>
                </c:pt>
                <c:pt idx="250">
                  <c:v>38564</c:v>
                </c:pt>
                <c:pt idx="251">
                  <c:v>38533</c:v>
                </c:pt>
                <c:pt idx="252">
                  <c:v>38503</c:v>
                </c:pt>
                <c:pt idx="253">
                  <c:v>38472</c:v>
                </c:pt>
                <c:pt idx="254">
                  <c:v>38442</c:v>
                </c:pt>
                <c:pt idx="255">
                  <c:v>38411</c:v>
                </c:pt>
                <c:pt idx="256">
                  <c:v>38383</c:v>
                </c:pt>
                <c:pt idx="257">
                  <c:v>38352</c:v>
                </c:pt>
                <c:pt idx="258">
                  <c:v>38321</c:v>
                </c:pt>
                <c:pt idx="259">
                  <c:v>38291</c:v>
                </c:pt>
                <c:pt idx="260">
                  <c:v>38260</c:v>
                </c:pt>
                <c:pt idx="261">
                  <c:v>38230</c:v>
                </c:pt>
                <c:pt idx="262">
                  <c:v>38199</c:v>
                </c:pt>
                <c:pt idx="263">
                  <c:v>38168</c:v>
                </c:pt>
                <c:pt idx="264">
                  <c:v>38138</c:v>
                </c:pt>
                <c:pt idx="265">
                  <c:v>38107</c:v>
                </c:pt>
                <c:pt idx="266">
                  <c:v>38077</c:v>
                </c:pt>
                <c:pt idx="267">
                  <c:v>38046</c:v>
                </c:pt>
                <c:pt idx="268">
                  <c:v>38017</c:v>
                </c:pt>
                <c:pt idx="269">
                  <c:v>37986</c:v>
                </c:pt>
                <c:pt idx="270">
                  <c:v>37955</c:v>
                </c:pt>
                <c:pt idx="271">
                  <c:v>37925</c:v>
                </c:pt>
                <c:pt idx="272">
                  <c:v>37894</c:v>
                </c:pt>
                <c:pt idx="273">
                  <c:v>37864</c:v>
                </c:pt>
                <c:pt idx="274">
                  <c:v>37833</c:v>
                </c:pt>
                <c:pt idx="275">
                  <c:v>37802</c:v>
                </c:pt>
                <c:pt idx="276">
                  <c:v>37772</c:v>
                </c:pt>
                <c:pt idx="277">
                  <c:v>37741</c:v>
                </c:pt>
                <c:pt idx="278">
                  <c:v>37711</c:v>
                </c:pt>
                <c:pt idx="279">
                  <c:v>37680</c:v>
                </c:pt>
                <c:pt idx="280">
                  <c:v>37652</c:v>
                </c:pt>
                <c:pt idx="281">
                  <c:v>37621</c:v>
                </c:pt>
                <c:pt idx="282">
                  <c:v>37590</c:v>
                </c:pt>
                <c:pt idx="283">
                  <c:v>37560</c:v>
                </c:pt>
                <c:pt idx="284">
                  <c:v>37529</c:v>
                </c:pt>
                <c:pt idx="285">
                  <c:v>37499</c:v>
                </c:pt>
                <c:pt idx="286">
                  <c:v>37468</c:v>
                </c:pt>
                <c:pt idx="287">
                  <c:v>37437</c:v>
                </c:pt>
                <c:pt idx="288">
                  <c:v>37407</c:v>
                </c:pt>
                <c:pt idx="289">
                  <c:v>37376</c:v>
                </c:pt>
                <c:pt idx="290">
                  <c:v>37346</c:v>
                </c:pt>
                <c:pt idx="291">
                  <c:v>37315</c:v>
                </c:pt>
                <c:pt idx="292">
                  <c:v>37287</c:v>
                </c:pt>
                <c:pt idx="293">
                  <c:v>37256</c:v>
                </c:pt>
                <c:pt idx="294">
                  <c:v>37225</c:v>
                </c:pt>
                <c:pt idx="295">
                  <c:v>37195</c:v>
                </c:pt>
                <c:pt idx="296">
                  <c:v>37164</c:v>
                </c:pt>
                <c:pt idx="297">
                  <c:v>37134</c:v>
                </c:pt>
                <c:pt idx="298">
                  <c:v>37103</c:v>
                </c:pt>
                <c:pt idx="299">
                  <c:v>37072</c:v>
                </c:pt>
                <c:pt idx="300">
                  <c:v>37042</c:v>
                </c:pt>
                <c:pt idx="301">
                  <c:v>37011</c:v>
                </c:pt>
                <c:pt idx="302">
                  <c:v>36981</c:v>
                </c:pt>
                <c:pt idx="303">
                  <c:v>36950</c:v>
                </c:pt>
                <c:pt idx="304">
                  <c:v>36922</c:v>
                </c:pt>
                <c:pt idx="305">
                  <c:v>36891</c:v>
                </c:pt>
                <c:pt idx="306">
                  <c:v>36860</c:v>
                </c:pt>
                <c:pt idx="307">
                  <c:v>36830</c:v>
                </c:pt>
                <c:pt idx="308">
                  <c:v>36799</c:v>
                </c:pt>
                <c:pt idx="309">
                  <c:v>36769</c:v>
                </c:pt>
                <c:pt idx="310">
                  <c:v>36738</c:v>
                </c:pt>
                <c:pt idx="311">
                  <c:v>36707</c:v>
                </c:pt>
                <c:pt idx="312">
                  <c:v>36677</c:v>
                </c:pt>
                <c:pt idx="313">
                  <c:v>36646</c:v>
                </c:pt>
                <c:pt idx="314">
                  <c:v>36616</c:v>
                </c:pt>
                <c:pt idx="315">
                  <c:v>36585</c:v>
                </c:pt>
                <c:pt idx="316">
                  <c:v>36556</c:v>
                </c:pt>
                <c:pt idx="317">
                  <c:v>36525</c:v>
                </c:pt>
                <c:pt idx="318">
                  <c:v>36494</c:v>
                </c:pt>
                <c:pt idx="319">
                  <c:v>36464</c:v>
                </c:pt>
                <c:pt idx="320">
                  <c:v>36433</c:v>
                </c:pt>
                <c:pt idx="321">
                  <c:v>36403</c:v>
                </c:pt>
                <c:pt idx="322">
                  <c:v>36372</c:v>
                </c:pt>
                <c:pt idx="323">
                  <c:v>36341</c:v>
                </c:pt>
                <c:pt idx="324">
                  <c:v>36311</c:v>
                </c:pt>
                <c:pt idx="325">
                  <c:v>36280</c:v>
                </c:pt>
                <c:pt idx="326">
                  <c:v>36250</c:v>
                </c:pt>
                <c:pt idx="327">
                  <c:v>36219</c:v>
                </c:pt>
                <c:pt idx="328">
                  <c:v>36191</c:v>
                </c:pt>
                <c:pt idx="329">
                  <c:v>36160</c:v>
                </c:pt>
                <c:pt idx="330">
                  <c:v>36129</c:v>
                </c:pt>
                <c:pt idx="331">
                  <c:v>36099</c:v>
                </c:pt>
                <c:pt idx="332">
                  <c:v>36068</c:v>
                </c:pt>
                <c:pt idx="333">
                  <c:v>36038</c:v>
                </c:pt>
                <c:pt idx="334">
                  <c:v>36007</c:v>
                </c:pt>
                <c:pt idx="335">
                  <c:v>35976</c:v>
                </c:pt>
                <c:pt idx="336">
                  <c:v>35946</c:v>
                </c:pt>
                <c:pt idx="337">
                  <c:v>35915</c:v>
                </c:pt>
                <c:pt idx="338">
                  <c:v>35885</c:v>
                </c:pt>
                <c:pt idx="339">
                  <c:v>35854</c:v>
                </c:pt>
                <c:pt idx="340">
                  <c:v>35826</c:v>
                </c:pt>
                <c:pt idx="341">
                  <c:v>35795</c:v>
                </c:pt>
                <c:pt idx="342">
                  <c:v>35764</c:v>
                </c:pt>
                <c:pt idx="343">
                  <c:v>35734</c:v>
                </c:pt>
                <c:pt idx="344">
                  <c:v>35703</c:v>
                </c:pt>
                <c:pt idx="345">
                  <c:v>35673</c:v>
                </c:pt>
                <c:pt idx="346">
                  <c:v>35642</c:v>
                </c:pt>
                <c:pt idx="347">
                  <c:v>35611</c:v>
                </c:pt>
                <c:pt idx="348">
                  <c:v>35581</c:v>
                </c:pt>
                <c:pt idx="349">
                  <c:v>35550</c:v>
                </c:pt>
                <c:pt idx="350">
                  <c:v>35520</c:v>
                </c:pt>
                <c:pt idx="351">
                  <c:v>35489</c:v>
                </c:pt>
                <c:pt idx="352">
                  <c:v>35461</c:v>
                </c:pt>
              </c:numCache>
            </c:numRef>
          </c:cat>
          <c:val>
            <c:numRef>
              <c:f>'R-Sq'!$G$3:$G$1355</c:f>
              <c:numCache>
                <c:formatCode>0%</c:formatCode>
                <c:ptCount val="1353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0.50679859071116407</c:v>
                </c:pt>
                <c:pt idx="22">
                  <c:v>0.48553233192630174</c:v>
                </c:pt>
                <c:pt idx="23">
                  <c:v>0.4570218204823307</c:v>
                </c:pt>
                <c:pt idx="24">
                  <c:v>0.44444710271505805</c:v>
                </c:pt>
                <c:pt idx="25">
                  <c:v>0.42894952063317898</c:v>
                </c:pt>
                <c:pt idx="26">
                  <c:v>0.42098102030796403</c:v>
                </c:pt>
                <c:pt idx="27">
                  <c:v>0.41174178765388875</c:v>
                </c:pt>
                <c:pt idx="28">
                  <c:v>0.3996721496795782</c:v>
                </c:pt>
                <c:pt idx="29">
                  <c:v>0.39446950943986631</c:v>
                </c:pt>
                <c:pt idx="30">
                  <c:v>0.37790831881560483</c:v>
                </c:pt>
                <c:pt idx="31">
                  <c:v>0.36499765211621588</c:v>
                </c:pt>
                <c:pt idx="32">
                  <c:v>0.34549700968281338</c:v>
                </c:pt>
                <c:pt idx="33">
                  <c:v>0.34563714623920805</c:v>
                </c:pt>
                <c:pt idx="34">
                  <c:v>0.36013957915434142</c:v>
                </c:pt>
                <c:pt idx="35">
                  <c:v>0.38630945791811699</c:v>
                </c:pt>
                <c:pt idx="36">
                  <c:v>0.4174070802773357</c:v>
                </c:pt>
                <c:pt idx="37">
                  <c:v>0.41078030107287011</c:v>
                </c:pt>
                <c:pt idx="38">
                  <c:v>0.38661265566626463</c:v>
                </c:pt>
                <c:pt idx="39">
                  <c:v>0.36163907749372842</c:v>
                </c:pt>
                <c:pt idx="40">
                  <c:v>0.3328267946953497</c:v>
                </c:pt>
                <c:pt idx="41">
                  <c:v>0.32837517246265374</c:v>
                </c:pt>
                <c:pt idx="42">
                  <c:v>0.30552254464906303</c:v>
                </c:pt>
                <c:pt idx="43">
                  <c:v>0.30035089073586929</c:v>
                </c:pt>
                <c:pt idx="44">
                  <c:v>0.28278110127128236</c:v>
                </c:pt>
                <c:pt idx="45">
                  <c:v>0.2496613820459534</c:v>
                </c:pt>
                <c:pt idx="46">
                  <c:v>0.24652425747874279</c:v>
                </c:pt>
                <c:pt idx="47">
                  <c:v>0.25267572700242091</c:v>
                </c:pt>
                <c:pt idx="48">
                  <c:v>0.23521057403032747</c:v>
                </c:pt>
                <c:pt idx="49">
                  <c:v>0.23655723894289893</c:v>
                </c:pt>
                <c:pt idx="50">
                  <c:v>0.24757160033148848</c:v>
                </c:pt>
                <c:pt idx="51">
                  <c:v>0.27621863926433959</c:v>
                </c:pt>
                <c:pt idx="52">
                  <c:v>0.28932532950433365</c:v>
                </c:pt>
                <c:pt idx="53">
                  <c:v>0.32487094253077581</c:v>
                </c:pt>
                <c:pt idx="54">
                  <c:v>0.33104142138793724</c:v>
                </c:pt>
                <c:pt idx="55">
                  <c:v>0.32485089504672382</c:v>
                </c:pt>
                <c:pt idx="56">
                  <c:v>0.31966436356074579</c:v>
                </c:pt>
                <c:pt idx="57">
                  <c:v>0.3180815447954991</c:v>
                </c:pt>
                <c:pt idx="58">
                  <c:v>0.33281680682806114</c:v>
                </c:pt>
                <c:pt idx="59">
                  <c:v>0.36745307510723507</c:v>
                </c:pt>
                <c:pt idx="60">
                  <c:v>0.37374456131374673</c:v>
                </c:pt>
                <c:pt idx="61">
                  <c:v>0.38913007843798642</c:v>
                </c:pt>
                <c:pt idx="62">
                  <c:v>0.39914205249319473</c:v>
                </c:pt>
                <c:pt idx="63">
                  <c:v>0.42201492705962756</c:v>
                </c:pt>
                <c:pt idx="64">
                  <c:v>0.42339924959890518</c:v>
                </c:pt>
                <c:pt idx="65">
                  <c:v>0.42993469963539327</c:v>
                </c:pt>
                <c:pt idx="66">
                  <c:v>0.46802325356260677</c:v>
                </c:pt>
                <c:pt idx="67">
                  <c:v>0.5099002666914122</c:v>
                </c:pt>
                <c:pt idx="68">
                  <c:v>0.53055946043360969</c:v>
                </c:pt>
                <c:pt idx="69">
                  <c:v>0.59555187960911882</c:v>
                </c:pt>
                <c:pt idx="70">
                  <c:v>0.64678981442599848</c:v>
                </c:pt>
                <c:pt idx="71">
                  <c:v>0.69403064337221287</c:v>
                </c:pt>
                <c:pt idx="72">
                  <c:v>0.68745974155388312</c:v>
                </c:pt>
                <c:pt idx="73">
                  <c:v>0.70321070553250953</c:v>
                </c:pt>
                <c:pt idx="74">
                  <c:v>0.68830178600442304</c:v>
                </c:pt>
                <c:pt idx="75">
                  <c:v>0.68355568308118597</c:v>
                </c:pt>
                <c:pt idx="76">
                  <c:v>0.66367514406113637</c:v>
                </c:pt>
                <c:pt idx="77">
                  <c:v>0.6452350306316208</c:v>
                </c:pt>
                <c:pt idx="78">
                  <c:v>0.65260784674380268</c:v>
                </c:pt>
                <c:pt idx="79">
                  <c:v>0.63628447636333496</c:v>
                </c:pt>
                <c:pt idx="80">
                  <c:v>0.61507051943256663</c:v>
                </c:pt>
                <c:pt idx="81">
                  <c:v>0.59378062555973454</c:v>
                </c:pt>
                <c:pt idx="82">
                  <c:v>0.56869940217672665</c:v>
                </c:pt>
                <c:pt idx="83">
                  <c:v>0.5507399318999201</c:v>
                </c:pt>
                <c:pt idx="84">
                  <c:v>0.54214552679962114</c:v>
                </c:pt>
                <c:pt idx="85">
                  <c:v>0.51347334015521351</c:v>
                </c:pt>
                <c:pt idx="86">
                  <c:v>0.52604979432528176</c:v>
                </c:pt>
                <c:pt idx="87">
                  <c:v>0.51273897566639337</c:v>
                </c:pt>
                <c:pt idx="88">
                  <c:v>0.48174846049269016</c:v>
                </c:pt>
                <c:pt idx="89">
                  <c:v>0.48300818025657666</c:v>
                </c:pt>
                <c:pt idx="90">
                  <c:v>0.46597230870366074</c:v>
                </c:pt>
                <c:pt idx="91">
                  <c:v>0.46165193835109197</c:v>
                </c:pt>
                <c:pt idx="92">
                  <c:v>0.45157238244912096</c:v>
                </c:pt>
                <c:pt idx="93">
                  <c:v>0.45479198854176339</c:v>
                </c:pt>
                <c:pt idx="94">
                  <c:v>0.48055534613384704</c:v>
                </c:pt>
                <c:pt idx="95">
                  <c:v>0.51522482374511369</c:v>
                </c:pt>
                <c:pt idx="96">
                  <c:v>0.56791700133574208</c:v>
                </c:pt>
                <c:pt idx="97">
                  <c:v>0.55421578737756272</c:v>
                </c:pt>
                <c:pt idx="98">
                  <c:v>0.55601838416008287</c:v>
                </c:pt>
                <c:pt idx="99">
                  <c:v>0.54745073411937395</c:v>
                </c:pt>
                <c:pt idx="100">
                  <c:v>0.51726312829136023</c:v>
                </c:pt>
                <c:pt idx="101">
                  <c:v>0.50559840636645181</c:v>
                </c:pt>
                <c:pt idx="102">
                  <c:v>0.50041415207151874</c:v>
                </c:pt>
                <c:pt idx="103">
                  <c:v>0.52558296996844556</c:v>
                </c:pt>
                <c:pt idx="104">
                  <c:v>0.54971800543353566</c:v>
                </c:pt>
                <c:pt idx="105">
                  <c:v>0.56680468805440642</c:v>
                </c:pt>
                <c:pt idx="106">
                  <c:v>0.59186585519206991</c:v>
                </c:pt>
                <c:pt idx="107">
                  <c:v>0.60093448367958358</c:v>
                </c:pt>
                <c:pt idx="108">
                  <c:v>0.61569622473158614</c:v>
                </c:pt>
                <c:pt idx="109">
                  <c:v>0.63526236833246952</c:v>
                </c:pt>
                <c:pt idx="110">
                  <c:v>0.63368793847293803</c:v>
                </c:pt>
                <c:pt idx="111">
                  <c:v>0.65136222440020397</c:v>
                </c:pt>
                <c:pt idx="112">
                  <c:v>0.65413597975138282</c:v>
                </c:pt>
                <c:pt idx="113">
                  <c:v>0.65488096667950713</c:v>
                </c:pt>
                <c:pt idx="114">
                  <c:v>0.65780235902878326</c:v>
                </c:pt>
                <c:pt idx="115">
                  <c:v>0.65831514614943443</c:v>
                </c:pt>
                <c:pt idx="116">
                  <c:v>0.66120487056767552</c:v>
                </c:pt>
                <c:pt idx="117">
                  <c:v>0.65465845448958015</c:v>
                </c:pt>
                <c:pt idx="118">
                  <c:v>0.65949307890569386</c:v>
                </c:pt>
                <c:pt idx="119">
                  <c:v>0.6555533380905173</c:v>
                </c:pt>
                <c:pt idx="120">
                  <c:v>0.653039901671014</c:v>
                </c:pt>
                <c:pt idx="121">
                  <c:v>0.65510726985316614</c:v>
                </c:pt>
                <c:pt idx="122">
                  <c:v>0.65702315629198116</c:v>
                </c:pt>
                <c:pt idx="123">
                  <c:v>0.66066925161890255</c:v>
                </c:pt>
                <c:pt idx="124">
                  <c:v>0.65983074639293626</c:v>
                </c:pt>
                <c:pt idx="125">
                  <c:v>0.65190232095773271</c:v>
                </c:pt>
                <c:pt idx="126">
                  <c:v>0.65068927447681113</c:v>
                </c:pt>
                <c:pt idx="127">
                  <c:v>0.64922551733038447</c:v>
                </c:pt>
                <c:pt idx="128">
                  <c:v>0.63950123644208223</c:v>
                </c:pt>
                <c:pt idx="129">
                  <c:v>0.62327755054710021</c:v>
                </c:pt>
                <c:pt idx="130">
                  <c:v>0.60573720377777984</c:v>
                </c:pt>
                <c:pt idx="131">
                  <c:v>0.59146669991660428</c:v>
                </c:pt>
                <c:pt idx="132">
                  <c:v>0.60247996723512509</c:v>
                </c:pt>
                <c:pt idx="133">
                  <c:v>0.58640458791296901</c:v>
                </c:pt>
                <c:pt idx="134">
                  <c:v>0.54199530507143134</c:v>
                </c:pt>
                <c:pt idx="135">
                  <c:v>0.47094510543594192</c:v>
                </c:pt>
                <c:pt idx="136">
                  <c:v>0.41914374624331202</c:v>
                </c:pt>
                <c:pt idx="137">
                  <c:v>0.40139658331017147</c:v>
                </c:pt>
                <c:pt idx="138">
                  <c:v>0.32145592978160054</c:v>
                </c:pt>
                <c:pt idx="139">
                  <c:v>0.27505646659007538</c:v>
                </c:pt>
                <c:pt idx="140">
                  <c:v>0.26720605304220396</c:v>
                </c:pt>
                <c:pt idx="141">
                  <c:v>0.25176804777967454</c:v>
                </c:pt>
                <c:pt idx="142">
                  <c:v>0.24490979341055485</c:v>
                </c:pt>
                <c:pt idx="143">
                  <c:v>0.25116653758897395</c:v>
                </c:pt>
                <c:pt idx="144">
                  <c:v>0.2606613893100756</c:v>
                </c:pt>
                <c:pt idx="145">
                  <c:v>0.27910329974588588</c:v>
                </c:pt>
                <c:pt idx="146">
                  <c:v>0.29859638266321059</c:v>
                </c:pt>
                <c:pt idx="147">
                  <c:v>0.32098348250435921</c:v>
                </c:pt>
                <c:pt idx="148">
                  <c:v>0.32349885449254479</c:v>
                </c:pt>
                <c:pt idx="149">
                  <c:v>0.32555431076601976</c:v>
                </c:pt>
                <c:pt idx="150">
                  <c:v>0.29606869004868458</c:v>
                </c:pt>
                <c:pt idx="151">
                  <c:v>0.2851883061634975</c:v>
                </c:pt>
                <c:pt idx="152">
                  <c:v>0.2826808435792395</c:v>
                </c:pt>
                <c:pt idx="153">
                  <c:v>0.38213679347835439</c:v>
                </c:pt>
                <c:pt idx="154">
                  <c:v>0.45210201533294198</c:v>
                </c:pt>
                <c:pt idx="155">
                  <c:v>0.47371133733126941</c:v>
                </c:pt>
                <c:pt idx="156">
                  <c:v>0.51237290154245685</c:v>
                </c:pt>
                <c:pt idx="157">
                  <c:v>0.56997106009458121</c:v>
                </c:pt>
                <c:pt idx="158">
                  <c:v>0.61319106215232744</c:v>
                </c:pt>
                <c:pt idx="159">
                  <c:v>0.6428076778682007</c:v>
                </c:pt>
                <c:pt idx="160">
                  <c:v>0.67351280521446288</c:v>
                </c:pt>
                <c:pt idx="161">
                  <c:v>0.70448594252112173</c:v>
                </c:pt>
                <c:pt idx="162">
                  <c:v>0.7314997840630415</c:v>
                </c:pt>
                <c:pt idx="163">
                  <c:v>0.7541731563058981</c:v>
                </c:pt>
                <c:pt idx="164">
                  <c:v>0.7647052931837508</c:v>
                </c:pt>
                <c:pt idx="165">
                  <c:v>0.76579026018427876</c:v>
                </c:pt>
                <c:pt idx="166">
                  <c:v>0.76959608216669773</c:v>
                </c:pt>
                <c:pt idx="167">
                  <c:v>0.7809765615805544</c:v>
                </c:pt>
                <c:pt idx="168">
                  <c:v>0.78329248510488114</c:v>
                </c:pt>
                <c:pt idx="169">
                  <c:v>0.77480302173977667</c:v>
                </c:pt>
                <c:pt idx="170">
                  <c:v>0.75655519902204083</c:v>
                </c:pt>
                <c:pt idx="171">
                  <c:v>0.74113034530815758</c:v>
                </c:pt>
                <c:pt idx="172">
                  <c:v>0.72841328049511289</c:v>
                </c:pt>
                <c:pt idx="173">
                  <c:v>0.71491853770352765</c:v>
                </c:pt>
                <c:pt idx="174">
                  <c:v>0.71023841336317817</c:v>
                </c:pt>
                <c:pt idx="175">
                  <c:v>0.70685715686453288</c:v>
                </c:pt>
                <c:pt idx="176">
                  <c:v>0.70044174568866102</c:v>
                </c:pt>
                <c:pt idx="177">
                  <c:v>0.69891569693233846</c:v>
                </c:pt>
                <c:pt idx="178">
                  <c:v>0.69714534726192057</c:v>
                </c:pt>
                <c:pt idx="179">
                  <c:v>0.69663237508922704</c:v>
                </c:pt>
                <c:pt idx="180">
                  <c:v>0.69597113801906296</c:v>
                </c:pt>
                <c:pt idx="181">
                  <c:v>0.69524610199561943</c:v>
                </c:pt>
                <c:pt idx="182">
                  <c:v>0.69485115301504619</c:v>
                </c:pt>
                <c:pt idx="183">
                  <c:v>0.69509286728449593</c:v>
                </c:pt>
                <c:pt idx="184">
                  <c:v>0.69532467579542201</c:v>
                </c:pt>
                <c:pt idx="185">
                  <c:v>0.69400990103040672</c:v>
                </c:pt>
                <c:pt idx="186">
                  <c:v>0.69194106055832416</c:v>
                </c:pt>
                <c:pt idx="187">
                  <c:v>0.69118343303012586</c:v>
                </c:pt>
                <c:pt idx="188">
                  <c:v>0.6908680793381089</c:v>
                </c:pt>
                <c:pt idx="189">
                  <c:v>0.68963296471372493</c:v>
                </c:pt>
                <c:pt idx="190">
                  <c:v>0.68853981690217736</c:v>
                </c:pt>
                <c:pt idx="191">
                  <c:v>0.68653113132959032</c:v>
                </c:pt>
                <c:pt idx="192">
                  <c:v>0.68314411166024369</c:v>
                </c:pt>
                <c:pt idx="193">
                  <c:v>0.68119910447515797</c:v>
                </c:pt>
                <c:pt idx="194">
                  <c:v>0.68688824446053875</c:v>
                </c:pt>
                <c:pt idx="195">
                  <c:v>0.695732166300987</c:v>
                </c:pt>
                <c:pt idx="196">
                  <c:v>0.70122072868223839</c:v>
                </c:pt>
                <c:pt idx="197">
                  <c:v>0.70304900062459119</c:v>
                </c:pt>
                <c:pt idx="198">
                  <c:v>0.71710651172335393</c:v>
                </c:pt>
                <c:pt idx="199">
                  <c:v>0.72144624638661892</c:v>
                </c:pt>
                <c:pt idx="200">
                  <c:v>0.71568734342765161</c:v>
                </c:pt>
                <c:pt idx="201">
                  <c:v>0.71064665289067086</c:v>
                </c:pt>
                <c:pt idx="202">
                  <c:v>0.70330859063853912</c:v>
                </c:pt>
                <c:pt idx="203">
                  <c:v>0.69651776258329745</c:v>
                </c:pt>
                <c:pt idx="204">
                  <c:v>0.6858186098121507</c:v>
                </c:pt>
                <c:pt idx="205">
                  <c:v>0.67439192921744873</c:v>
                </c:pt>
                <c:pt idx="206">
                  <c:v>0.66377580313567941</c:v>
                </c:pt>
                <c:pt idx="207">
                  <c:v>0.65129874141683786</c:v>
                </c:pt>
                <c:pt idx="208">
                  <c:v>0.64777524010903398</c:v>
                </c:pt>
                <c:pt idx="209">
                  <c:v>0.63660472017571823</c:v>
                </c:pt>
                <c:pt idx="210">
                  <c:v>0.63019385318753263</c:v>
                </c:pt>
                <c:pt idx="211">
                  <c:v>0.63138348658429699</c:v>
                </c:pt>
                <c:pt idx="212">
                  <c:v>0.64278328032904131</c:v>
                </c:pt>
                <c:pt idx="213">
                  <c:v>0.64712768959267697</c:v>
                </c:pt>
                <c:pt idx="214">
                  <c:v>0.65977852687836602</c:v>
                </c:pt>
                <c:pt idx="215">
                  <c:v>0.69204157470920757</c:v>
                </c:pt>
                <c:pt idx="216">
                  <c:v>0.72072560693444165</c:v>
                </c:pt>
                <c:pt idx="217">
                  <c:v>0.72616969891614846</c:v>
                </c:pt>
                <c:pt idx="218">
                  <c:v>0.73015914495735079</c:v>
                </c:pt>
                <c:pt idx="219">
                  <c:v>0.75269480683564083</c:v>
                </c:pt>
                <c:pt idx="220">
                  <c:v>0.77600034268992002</c:v>
                </c:pt>
                <c:pt idx="221">
                  <c:v>0.793089035502068</c:v>
                </c:pt>
                <c:pt idx="222">
                  <c:v>0.79827570097281375</c:v>
                </c:pt>
                <c:pt idx="223">
                  <c:v>0.79227976950949575</c:v>
                </c:pt>
                <c:pt idx="224">
                  <c:v>0.78179509149102577</c:v>
                </c:pt>
                <c:pt idx="225">
                  <c:v>0.77035687435155287</c:v>
                </c:pt>
                <c:pt idx="226">
                  <c:v>0.75034729988611826</c:v>
                </c:pt>
                <c:pt idx="227">
                  <c:v>0.73049493925037978</c:v>
                </c:pt>
                <c:pt idx="228">
                  <c:v>0.68312523476560039</c:v>
                </c:pt>
                <c:pt idx="229">
                  <c:v>0.61209264624397042</c:v>
                </c:pt>
                <c:pt idx="230">
                  <c:v>0.55391963369367359</c:v>
                </c:pt>
                <c:pt idx="231">
                  <c:v>0.48514346048547891</c:v>
                </c:pt>
                <c:pt idx="232">
                  <c:v>0.39826072276128127</c:v>
                </c:pt>
                <c:pt idx="233">
                  <c:v>0.31221142791137635</c:v>
                </c:pt>
                <c:pt idx="234">
                  <c:v>0.22450749614632023</c:v>
                </c:pt>
                <c:pt idx="235">
                  <c:v>0.16151533561498255</c:v>
                </c:pt>
                <c:pt idx="236">
                  <c:v>0.12239650737609435</c:v>
                </c:pt>
                <c:pt idx="237">
                  <c:v>0.10647118207504326</c:v>
                </c:pt>
                <c:pt idx="238">
                  <c:v>0.10423010505810677</c:v>
                </c:pt>
                <c:pt idx="239">
                  <c:v>0.10380983118568225</c:v>
                </c:pt>
                <c:pt idx="240">
                  <c:v>0.10911183875063674</c:v>
                </c:pt>
                <c:pt idx="241">
                  <c:v>0.12089449411133993</c:v>
                </c:pt>
                <c:pt idx="242">
                  <c:v>0.13227837518142044</c:v>
                </c:pt>
                <c:pt idx="243">
                  <c:v>0.16481306398557463</c:v>
                </c:pt>
                <c:pt idx="244">
                  <c:v>0.21780200857489476</c:v>
                </c:pt>
                <c:pt idx="245">
                  <c:v>0.30060274392644853</c:v>
                </c:pt>
                <c:pt idx="246">
                  <c:v>0.39595279891633339</c:v>
                </c:pt>
                <c:pt idx="247">
                  <c:v>0.45535200520867819</c:v>
                </c:pt>
                <c:pt idx="248">
                  <c:v>0.52254581820662294</c:v>
                </c:pt>
                <c:pt idx="249">
                  <c:v>0.57671063730667615</c:v>
                </c:pt>
                <c:pt idx="250">
                  <c:v>0.61435356023757282</c:v>
                </c:pt>
                <c:pt idx="251">
                  <c:v>0.63315297558597905</c:v>
                </c:pt>
                <c:pt idx="252">
                  <c:v>0.64831066861397835</c:v>
                </c:pt>
                <c:pt idx="253">
                  <c:v>0.66062449257660905</c:v>
                </c:pt>
                <c:pt idx="254">
                  <c:v>0.67366298468568497</c:v>
                </c:pt>
                <c:pt idx="255">
                  <c:v>0.67049336205557608</c:v>
                </c:pt>
                <c:pt idx="256">
                  <c:v>0.66361645946146774</c:v>
                </c:pt>
                <c:pt idx="257">
                  <c:v>0.67873917325798849</c:v>
                </c:pt>
                <c:pt idx="258">
                  <c:v>0.69135938293505828</c:v>
                </c:pt>
                <c:pt idx="259">
                  <c:v>0.69528117098092868</c:v>
                </c:pt>
                <c:pt idx="260">
                  <c:v>0.69404407654306988</c:v>
                </c:pt>
                <c:pt idx="261">
                  <c:v>0.69436379098530221</c:v>
                </c:pt>
                <c:pt idx="262">
                  <c:v>0.69339104409574515</c:v>
                </c:pt>
                <c:pt idx="263">
                  <c:v>0.69478939564463971</c:v>
                </c:pt>
                <c:pt idx="264">
                  <c:v>0.69082409807455691</c:v>
                </c:pt>
                <c:pt idx="265">
                  <c:v>0.69275308782517175</c:v>
                </c:pt>
                <c:pt idx="266">
                  <c:v>0.69722489332211246</c:v>
                </c:pt>
                <c:pt idx="267">
                  <c:v>0.69606432030681931</c:v>
                </c:pt>
                <c:pt idx="268">
                  <c:v>0.69613096329357205</c:v>
                </c:pt>
                <c:pt idx="269">
                  <c:v>0.69732082584068478</c:v>
                </c:pt>
                <c:pt idx="270">
                  <c:v>0.69912426811836303</c:v>
                </c:pt>
                <c:pt idx="271">
                  <c:v>0.6967740974207719</c:v>
                </c:pt>
                <c:pt idx="272">
                  <c:v>0.69771830297219917</c:v>
                </c:pt>
                <c:pt idx="273">
                  <c:v>0.68816657274738602</c:v>
                </c:pt>
                <c:pt idx="274">
                  <c:v>0.66749917513703982</c:v>
                </c:pt>
                <c:pt idx="275">
                  <c:v>0.66612308526716524</c:v>
                </c:pt>
                <c:pt idx="276">
                  <c:v>0.66646551870427684</c:v>
                </c:pt>
                <c:pt idx="277">
                  <c:v>0.66670417655579417</c:v>
                </c:pt>
                <c:pt idx="278">
                  <c:v>0.66445348290404693</c:v>
                </c:pt>
                <c:pt idx="279">
                  <c:v>0.66401963851235535</c:v>
                </c:pt>
                <c:pt idx="280">
                  <c:v>0.66526471864833248</c:v>
                </c:pt>
                <c:pt idx="281">
                  <c:v>0.66749326222848671</c:v>
                </c:pt>
                <c:pt idx="282">
                  <c:v>0.66924767697750065</c:v>
                </c:pt>
                <c:pt idx="283">
                  <c:v>0.67637515827726347</c:v>
                </c:pt>
                <c:pt idx="284">
                  <c:v>0.67750255438035978</c:v>
                </c:pt>
                <c:pt idx="285">
                  <c:v>0.6834107045890816</c:v>
                </c:pt>
                <c:pt idx="286">
                  <c:v>0.69166427215170312</c:v>
                </c:pt>
                <c:pt idx="287">
                  <c:v>0.69933495166606707</c:v>
                </c:pt>
                <c:pt idx="288">
                  <c:v>0.7093082248372401</c:v>
                </c:pt>
                <c:pt idx="289">
                  <c:v>0.72269687367504354</c:v>
                </c:pt>
                <c:pt idx="290">
                  <c:v>0.74039834121071912</c:v>
                </c:pt>
                <c:pt idx="291">
                  <c:v>0.7569444446692275</c:v>
                </c:pt>
                <c:pt idx="292">
                  <c:v>0.77052311803272255</c:v>
                </c:pt>
                <c:pt idx="293">
                  <c:v>0.77936472731635065</c:v>
                </c:pt>
                <c:pt idx="294">
                  <c:v>#N/A</c:v>
                </c:pt>
                <c:pt idx="295">
                  <c:v>#N/A</c:v>
                </c:pt>
                <c:pt idx="296">
                  <c:v>#N/A</c:v>
                </c:pt>
                <c:pt idx="297">
                  <c:v>#N/A</c:v>
                </c:pt>
                <c:pt idx="298">
                  <c:v>#N/A</c:v>
                </c:pt>
                <c:pt idx="299">
                  <c:v>#N/A</c:v>
                </c:pt>
                <c:pt idx="300">
                  <c:v>#N/A</c:v>
                </c:pt>
                <c:pt idx="301">
                  <c:v>#N/A</c:v>
                </c:pt>
                <c:pt idx="302">
                  <c:v>#N/A</c:v>
                </c:pt>
                <c:pt idx="303">
                  <c:v>#N/A</c:v>
                </c:pt>
                <c:pt idx="304">
                  <c:v>#N/A</c:v>
                </c:pt>
                <c:pt idx="305">
                  <c:v>#N/A</c:v>
                </c:pt>
                <c:pt idx="306">
                  <c:v>#N/A</c:v>
                </c:pt>
                <c:pt idx="307">
                  <c:v>#N/A</c:v>
                </c:pt>
                <c:pt idx="308">
                  <c:v>#N/A</c:v>
                </c:pt>
                <c:pt idx="309">
                  <c:v>#N/A</c:v>
                </c:pt>
                <c:pt idx="310">
                  <c:v>#N/A</c:v>
                </c:pt>
                <c:pt idx="311">
                  <c:v>#N/A</c:v>
                </c:pt>
                <c:pt idx="312">
                  <c:v>#N/A</c:v>
                </c:pt>
                <c:pt idx="313">
                  <c:v>#N/A</c:v>
                </c:pt>
                <c:pt idx="314">
                  <c:v>#N/A</c:v>
                </c:pt>
                <c:pt idx="315">
                  <c:v>#N/A</c:v>
                </c:pt>
                <c:pt idx="316">
                  <c:v>#N/A</c:v>
                </c:pt>
                <c:pt idx="317">
                  <c:v>#N/A</c:v>
                </c:pt>
                <c:pt idx="318">
                  <c:v>#N/A</c:v>
                </c:pt>
                <c:pt idx="319">
                  <c:v>#N/A</c:v>
                </c:pt>
                <c:pt idx="320">
                  <c:v>#N/A</c:v>
                </c:pt>
                <c:pt idx="321">
                  <c:v>#N/A</c:v>
                </c:pt>
                <c:pt idx="322">
                  <c:v>#N/A</c:v>
                </c:pt>
                <c:pt idx="323">
                  <c:v>#N/A</c:v>
                </c:pt>
                <c:pt idx="324">
                  <c:v>#N/A</c:v>
                </c:pt>
                <c:pt idx="325">
                  <c:v>#N/A</c:v>
                </c:pt>
                <c:pt idx="326">
                  <c:v>#N/A</c:v>
                </c:pt>
                <c:pt idx="327">
                  <c:v>#N/A</c:v>
                </c:pt>
                <c:pt idx="328">
                  <c:v>#N/A</c:v>
                </c:pt>
                <c:pt idx="329">
                  <c:v>#N/A</c:v>
                </c:pt>
                <c:pt idx="330">
                  <c:v>#N/A</c:v>
                </c:pt>
                <c:pt idx="331">
                  <c:v>#N/A</c:v>
                </c:pt>
                <c:pt idx="332">
                  <c:v>#N/A</c:v>
                </c:pt>
                <c:pt idx="333">
                  <c:v>#N/A</c:v>
                </c:pt>
                <c:pt idx="334">
                  <c:v>#N/A</c:v>
                </c:pt>
                <c:pt idx="335">
                  <c:v>#N/A</c:v>
                </c:pt>
                <c:pt idx="336">
                  <c:v>#N/A</c:v>
                </c:pt>
                <c:pt idx="337">
                  <c:v>#N/A</c:v>
                </c:pt>
                <c:pt idx="338">
                  <c:v>#N/A</c:v>
                </c:pt>
                <c:pt idx="339">
                  <c:v>#N/A</c:v>
                </c:pt>
                <c:pt idx="340">
                  <c:v>#N/A</c:v>
                </c:pt>
                <c:pt idx="341">
                  <c:v>#N/A</c:v>
                </c:pt>
                <c:pt idx="342">
                  <c:v>#N/A</c:v>
                </c:pt>
                <c:pt idx="343">
                  <c:v>#N/A</c:v>
                </c:pt>
                <c:pt idx="344">
                  <c:v>#N/A</c:v>
                </c:pt>
                <c:pt idx="345">
                  <c:v>#N/A</c:v>
                </c:pt>
                <c:pt idx="346">
                  <c:v>#N/A</c:v>
                </c:pt>
                <c:pt idx="347">
                  <c:v>#N/A</c:v>
                </c:pt>
                <c:pt idx="348">
                  <c:v>#N/A</c:v>
                </c:pt>
                <c:pt idx="349">
                  <c:v>#N/A</c:v>
                </c:pt>
                <c:pt idx="350">
                  <c:v>#N/A</c:v>
                </c:pt>
                <c:pt idx="351">
                  <c:v>#N/A</c:v>
                </c:pt>
                <c:pt idx="352">
                  <c:v>#N/A</c:v>
                </c:pt>
                <c:pt idx="353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70E-4A2E-B81D-5CE02CA58481}"/>
            </c:ext>
          </c:extLst>
        </c:ser>
        <c:ser>
          <c:idx val="1"/>
          <c:order val="1"/>
          <c:tx>
            <c:strRef>
              <c:f>'R-Sq'!$S$2</c:f>
              <c:strCache>
                <c:ptCount val="1"/>
                <c:pt idx="0">
                  <c:v>Debit+Credit : M2</c:v>
                </c:pt>
              </c:strCache>
            </c:strRef>
          </c:tx>
          <c:spPr>
            <a:ln w="19050" cap="rnd">
              <a:solidFill>
                <a:schemeClr val="accent1"/>
              </a:solidFill>
              <a:prstDash val="sysDash"/>
              <a:round/>
            </a:ln>
            <a:effectLst/>
          </c:spPr>
          <c:marker>
            <c:symbol val="none"/>
          </c:marker>
          <c:cat>
            <c:numRef>
              <c:f>'R-Sq'!$A$3:$A$1355</c:f>
              <c:numCache>
                <c:formatCode>m/d/yyyy</c:formatCode>
                <c:ptCount val="1353"/>
                <c:pt idx="0">
                  <c:v>46173</c:v>
                </c:pt>
                <c:pt idx="1">
                  <c:v>46142</c:v>
                </c:pt>
                <c:pt idx="2">
                  <c:v>46112</c:v>
                </c:pt>
                <c:pt idx="3">
                  <c:v>46081</c:v>
                </c:pt>
                <c:pt idx="4">
                  <c:v>46053</c:v>
                </c:pt>
                <c:pt idx="5">
                  <c:v>46022</c:v>
                </c:pt>
                <c:pt idx="6">
                  <c:v>45991</c:v>
                </c:pt>
                <c:pt idx="7">
                  <c:v>45961</c:v>
                </c:pt>
                <c:pt idx="8">
                  <c:v>45930</c:v>
                </c:pt>
                <c:pt idx="9">
                  <c:v>45900</c:v>
                </c:pt>
                <c:pt idx="10">
                  <c:v>45869</c:v>
                </c:pt>
                <c:pt idx="11">
                  <c:v>45838</c:v>
                </c:pt>
                <c:pt idx="12">
                  <c:v>45808</c:v>
                </c:pt>
                <c:pt idx="13">
                  <c:v>45777</c:v>
                </c:pt>
                <c:pt idx="14">
                  <c:v>45747</c:v>
                </c:pt>
                <c:pt idx="15">
                  <c:v>45716</c:v>
                </c:pt>
                <c:pt idx="16">
                  <c:v>45688</c:v>
                </c:pt>
                <c:pt idx="17">
                  <c:v>45657</c:v>
                </c:pt>
                <c:pt idx="18">
                  <c:v>45626</c:v>
                </c:pt>
                <c:pt idx="19">
                  <c:v>45596</c:v>
                </c:pt>
                <c:pt idx="20">
                  <c:v>45565</c:v>
                </c:pt>
                <c:pt idx="21">
                  <c:v>45535</c:v>
                </c:pt>
                <c:pt idx="22">
                  <c:v>45504</c:v>
                </c:pt>
                <c:pt idx="23">
                  <c:v>45473</c:v>
                </c:pt>
                <c:pt idx="24">
                  <c:v>45443</c:v>
                </c:pt>
                <c:pt idx="25">
                  <c:v>45412</c:v>
                </c:pt>
                <c:pt idx="26">
                  <c:v>45382</c:v>
                </c:pt>
                <c:pt idx="27">
                  <c:v>45351</c:v>
                </c:pt>
                <c:pt idx="28">
                  <c:v>45322</c:v>
                </c:pt>
                <c:pt idx="29">
                  <c:v>45291</c:v>
                </c:pt>
                <c:pt idx="30">
                  <c:v>45260</c:v>
                </c:pt>
                <c:pt idx="31">
                  <c:v>45230</c:v>
                </c:pt>
                <c:pt idx="32">
                  <c:v>45199</c:v>
                </c:pt>
                <c:pt idx="33">
                  <c:v>45169</c:v>
                </c:pt>
                <c:pt idx="34">
                  <c:v>45138</c:v>
                </c:pt>
                <c:pt idx="35">
                  <c:v>45107</c:v>
                </c:pt>
                <c:pt idx="36">
                  <c:v>45077</c:v>
                </c:pt>
                <c:pt idx="37">
                  <c:v>45046</c:v>
                </c:pt>
                <c:pt idx="38">
                  <c:v>45016</c:v>
                </c:pt>
                <c:pt idx="39">
                  <c:v>44985</c:v>
                </c:pt>
                <c:pt idx="40">
                  <c:v>44957</c:v>
                </c:pt>
                <c:pt idx="41">
                  <c:v>44926</c:v>
                </c:pt>
                <c:pt idx="42">
                  <c:v>44895</c:v>
                </c:pt>
                <c:pt idx="43">
                  <c:v>44865</c:v>
                </c:pt>
                <c:pt idx="44">
                  <c:v>44834</c:v>
                </c:pt>
                <c:pt idx="45">
                  <c:v>44804</c:v>
                </c:pt>
                <c:pt idx="46">
                  <c:v>44773</c:v>
                </c:pt>
                <c:pt idx="47">
                  <c:v>44742</c:v>
                </c:pt>
                <c:pt idx="48">
                  <c:v>44712</c:v>
                </c:pt>
                <c:pt idx="49">
                  <c:v>44681</c:v>
                </c:pt>
                <c:pt idx="50">
                  <c:v>44651</c:v>
                </c:pt>
                <c:pt idx="51">
                  <c:v>44620</c:v>
                </c:pt>
                <c:pt idx="52">
                  <c:v>44592</c:v>
                </c:pt>
                <c:pt idx="53">
                  <c:v>44561</c:v>
                </c:pt>
                <c:pt idx="54">
                  <c:v>44530</c:v>
                </c:pt>
                <c:pt idx="55">
                  <c:v>44500</c:v>
                </c:pt>
                <c:pt idx="56">
                  <c:v>44469</c:v>
                </c:pt>
                <c:pt idx="57">
                  <c:v>44439</c:v>
                </c:pt>
                <c:pt idx="58">
                  <c:v>44408</c:v>
                </c:pt>
                <c:pt idx="59">
                  <c:v>44377</c:v>
                </c:pt>
                <c:pt idx="60">
                  <c:v>44347</c:v>
                </c:pt>
                <c:pt idx="61">
                  <c:v>44316</c:v>
                </c:pt>
                <c:pt idx="62">
                  <c:v>44286</c:v>
                </c:pt>
                <c:pt idx="63">
                  <c:v>44255</c:v>
                </c:pt>
                <c:pt idx="64">
                  <c:v>44227</c:v>
                </c:pt>
                <c:pt idx="65">
                  <c:v>44196</c:v>
                </c:pt>
                <c:pt idx="66">
                  <c:v>44165</c:v>
                </c:pt>
                <c:pt idx="67">
                  <c:v>44135</c:v>
                </c:pt>
                <c:pt idx="68">
                  <c:v>44104</c:v>
                </c:pt>
                <c:pt idx="69">
                  <c:v>44074</c:v>
                </c:pt>
                <c:pt idx="70">
                  <c:v>44043</c:v>
                </c:pt>
                <c:pt idx="71">
                  <c:v>44012</c:v>
                </c:pt>
                <c:pt idx="72">
                  <c:v>43982</c:v>
                </c:pt>
                <c:pt idx="73">
                  <c:v>43951</c:v>
                </c:pt>
                <c:pt idx="74">
                  <c:v>43921</c:v>
                </c:pt>
                <c:pt idx="75">
                  <c:v>43890</c:v>
                </c:pt>
                <c:pt idx="76">
                  <c:v>43861</c:v>
                </c:pt>
                <c:pt idx="77">
                  <c:v>43830</c:v>
                </c:pt>
                <c:pt idx="78">
                  <c:v>43799</c:v>
                </c:pt>
                <c:pt idx="79">
                  <c:v>43769</c:v>
                </c:pt>
                <c:pt idx="80">
                  <c:v>43738</c:v>
                </c:pt>
                <c:pt idx="81">
                  <c:v>43708</c:v>
                </c:pt>
                <c:pt idx="82">
                  <c:v>43677</c:v>
                </c:pt>
                <c:pt idx="83">
                  <c:v>43646</c:v>
                </c:pt>
                <c:pt idx="84">
                  <c:v>43616</c:v>
                </c:pt>
                <c:pt idx="85">
                  <c:v>43585</c:v>
                </c:pt>
                <c:pt idx="86">
                  <c:v>43555</c:v>
                </c:pt>
                <c:pt idx="87">
                  <c:v>43524</c:v>
                </c:pt>
                <c:pt idx="88">
                  <c:v>43496</c:v>
                </c:pt>
                <c:pt idx="89">
                  <c:v>43465</c:v>
                </c:pt>
                <c:pt idx="90">
                  <c:v>43434</c:v>
                </c:pt>
                <c:pt idx="91">
                  <c:v>43404</c:v>
                </c:pt>
                <c:pt idx="92">
                  <c:v>43373</c:v>
                </c:pt>
                <c:pt idx="93">
                  <c:v>43343</c:v>
                </c:pt>
                <c:pt idx="94">
                  <c:v>43312</c:v>
                </c:pt>
                <c:pt idx="95">
                  <c:v>43281</c:v>
                </c:pt>
                <c:pt idx="96">
                  <c:v>43251</c:v>
                </c:pt>
                <c:pt idx="97">
                  <c:v>43220</c:v>
                </c:pt>
                <c:pt idx="98">
                  <c:v>43190</c:v>
                </c:pt>
                <c:pt idx="99">
                  <c:v>43159</c:v>
                </c:pt>
                <c:pt idx="100">
                  <c:v>43131</c:v>
                </c:pt>
                <c:pt idx="101">
                  <c:v>43100</c:v>
                </c:pt>
                <c:pt idx="102">
                  <c:v>43069</c:v>
                </c:pt>
                <c:pt idx="103">
                  <c:v>43039</c:v>
                </c:pt>
                <c:pt idx="104">
                  <c:v>43008</c:v>
                </c:pt>
                <c:pt idx="105">
                  <c:v>42978</c:v>
                </c:pt>
                <c:pt idx="106">
                  <c:v>42947</c:v>
                </c:pt>
                <c:pt idx="107">
                  <c:v>42916</c:v>
                </c:pt>
                <c:pt idx="108">
                  <c:v>42886</c:v>
                </c:pt>
                <c:pt idx="109">
                  <c:v>42855</c:v>
                </c:pt>
                <c:pt idx="110">
                  <c:v>42825</c:v>
                </c:pt>
                <c:pt idx="111">
                  <c:v>42794</c:v>
                </c:pt>
                <c:pt idx="112">
                  <c:v>42766</c:v>
                </c:pt>
                <c:pt idx="113">
                  <c:v>42735</c:v>
                </c:pt>
                <c:pt idx="114">
                  <c:v>42704</c:v>
                </c:pt>
                <c:pt idx="115">
                  <c:v>42674</c:v>
                </c:pt>
                <c:pt idx="116">
                  <c:v>42643</c:v>
                </c:pt>
                <c:pt idx="117">
                  <c:v>42613</c:v>
                </c:pt>
                <c:pt idx="118">
                  <c:v>42582</c:v>
                </c:pt>
                <c:pt idx="119">
                  <c:v>42551</c:v>
                </c:pt>
                <c:pt idx="120">
                  <c:v>42521</c:v>
                </c:pt>
                <c:pt idx="121">
                  <c:v>42490</c:v>
                </c:pt>
                <c:pt idx="122">
                  <c:v>42460</c:v>
                </c:pt>
                <c:pt idx="123">
                  <c:v>42429</c:v>
                </c:pt>
                <c:pt idx="124">
                  <c:v>42400</c:v>
                </c:pt>
                <c:pt idx="125">
                  <c:v>42369</c:v>
                </c:pt>
                <c:pt idx="126">
                  <c:v>42338</c:v>
                </c:pt>
                <c:pt idx="127">
                  <c:v>42308</c:v>
                </c:pt>
                <c:pt idx="128">
                  <c:v>42277</c:v>
                </c:pt>
                <c:pt idx="129">
                  <c:v>42247</c:v>
                </c:pt>
                <c:pt idx="130">
                  <c:v>42216</c:v>
                </c:pt>
                <c:pt idx="131">
                  <c:v>42185</c:v>
                </c:pt>
                <c:pt idx="132">
                  <c:v>42155</c:v>
                </c:pt>
                <c:pt idx="133">
                  <c:v>42124</c:v>
                </c:pt>
                <c:pt idx="134">
                  <c:v>42094</c:v>
                </c:pt>
                <c:pt idx="135">
                  <c:v>42063</c:v>
                </c:pt>
                <c:pt idx="136">
                  <c:v>42035</c:v>
                </c:pt>
                <c:pt idx="137">
                  <c:v>42004</c:v>
                </c:pt>
                <c:pt idx="138">
                  <c:v>41973</c:v>
                </c:pt>
                <c:pt idx="139">
                  <c:v>41943</c:v>
                </c:pt>
                <c:pt idx="140">
                  <c:v>41912</c:v>
                </c:pt>
                <c:pt idx="141">
                  <c:v>41882</c:v>
                </c:pt>
                <c:pt idx="142">
                  <c:v>41851</c:v>
                </c:pt>
                <c:pt idx="143">
                  <c:v>41820</c:v>
                </c:pt>
                <c:pt idx="144">
                  <c:v>41790</c:v>
                </c:pt>
                <c:pt idx="145">
                  <c:v>41759</c:v>
                </c:pt>
                <c:pt idx="146">
                  <c:v>41729</c:v>
                </c:pt>
                <c:pt idx="147">
                  <c:v>41698</c:v>
                </c:pt>
                <c:pt idx="148">
                  <c:v>41670</c:v>
                </c:pt>
                <c:pt idx="149">
                  <c:v>41639</c:v>
                </c:pt>
                <c:pt idx="150">
                  <c:v>41608</c:v>
                </c:pt>
                <c:pt idx="151">
                  <c:v>41578</c:v>
                </c:pt>
                <c:pt idx="152">
                  <c:v>41547</c:v>
                </c:pt>
                <c:pt idx="153">
                  <c:v>41517</c:v>
                </c:pt>
                <c:pt idx="154">
                  <c:v>41486</c:v>
                </c:pt>
                <c:pt idx="155">
                  <c:v>41455</c:v>
                </c:pt>
                <c:pt idx="156">
                  <c:v>41425</c:v>
                </c:pt>
                <c:pt idx="157">
                  <c:v>41394</c:v>
                </c:pt>
                <c:pt idx="158">
                  <c:v>41364</c:v>
                </c:pt>
                <c:pt idx="159">
                  <c:v>41333</c:v>
                </c:pt>
                <c:pt idx="160">
                  <c:v>41305</c:v>
                </c:pt>
                <c:pt idx="161">
                  <c:v>41274</c:v>
                </c:pt>
                <c:pt idx="162">
                  <c:v>41243</c:v>
                </c:pt>
                <c:pt idx="163">
                  <c:v>41213</c:v>
                </c:pt>
                <c:pt idx="164">
                  <c:v>41182</c:v>
                </c:pt>
                <c:pt idx="165">
                  <c:v>41152</c:v>
                </c:pt>
                <c:pt idx="166">
                  <c:v>41121</c:v>
                </c:pt>
                <c:pt idx="167">
                  <c:v>41090</c:v>
                </c:pt>
                <c:pt idx="168">
                  <c:v>41060</c:v>
                </c:pt>
                <c:pt idx="169">
                  <c:v>41029</c:v>
                </c:pt>
                <c:pt idx="170">
                  <c:v>40999</c:v>
                </c:pt>
                <c:pt idx="171">
                  <c:v>40968</c:v>
                </c:pt>
                <c:pt idx="172">
                  <c:v>40939</c:v>
                </c:pt>
                <c:pt idx="173">
                  <c:v>40908</c:v>
                </c:pt>
                <c:pt idx="174">
                  <c:v>40877</c:v>
                </c:pt>
                <c:pt idx="175">
                  <c:v>40847</c:v>
                </c:pt>
                <c:pt idx="176">
                  <c:v>40816</c:v>
                </c:pt>
                <c:pt idx="177">
                  <c:v>40786</c:v>
                </c:pt>
                <c:pt idx="178">
                  <c:v>40755</c:v>
                </c:pt>
                <c:pt idx="179">
                  <c:v>40724</c:v>
                </c:pt>
                <c:pt idx="180">
                  <c:v>40694</c:v>
                </c:pt>
                <c:pt idx="181">
                  <c:v>40663</c:v>
                </c:pt>
                <c:pt idx="182">
                  <c:v>40633</c:v>
                </c:pt>
                <c:pt idx="183">
                  <c:v>40602</c:v>
                </c:pt>
                <c:pt idx="184">
                  <c:v>40574</c:v>
                </c:pt>
                <c:pt idx="185">
                  <c:v>40543</c:v>
                </c:pt>
                <c:pt idx="186">
                  <c:v>40512</c:v>
                </c:pt>
                <c:pt idx="187">
                  <c:v>40482</c:v>
                </c:pt>
                <c:pt idx="188">
                  <c:v>40451</c:v>
                </c:pt>
                <c:pt idx="189">
                  <c:v>40421</c:v>
                </c:pt>
                <c:pt idx="190">
                  <c:v>40390</c:v>
                </c:pt>
                <c:pt idx="191">
                  <c:v>40359</c:v>
                </c:pt>
                <c:pt idx="192">
                  <c:v>40329</c:v>
                </c:pt>
                <c:pt idx="193">
                  <c:v>40298</c:v>
                </c:pt>
                <c:pt idx="194">
                  <c:v>40268</c:v>
                </c:pt>
                <c:pt idx="195">
                  <c:v>40237</c:v>
                </c:pt>
                <c:pt idx="196">
                  <c:v>40209</c:v>
                </c:pt>
                <c:pt idx="197">
                  <c:v>40178</c:v>
                </c:pt>
                <c:pt idx="198">
                  <c:v>40147</c:v>
                </c:pt>
                <c:pt idx="199">
                  <c:v>40117</c:v>
                </c:pt>
                <c:pt idx="200">
                  <c:v>40086</c:v>
                </c:pt>
                <c:pt idx="201">
                  <c:v>40056</c:v>
                </c:pt>
                <c:pt idx="202">
                  <c:v>40025</c:v>
                </c:pt>
                <c:pt idx="203">
                  <c:v>39994</c:v>
                </c:pt>
                <c:pt idx="204">
                  <c:v>39964</c:v>
                </c:pt>
                <c:pt idx="205">
                  <c:v>39933</c:v>
                </c:pt>
                <c:pt idx="206">
                  <c:v>39903</c:v>
                </c:pt>
                <c:pt idx="207">
                  <c:v>39872</c:v>
                </c:pt>
                <c:pt idx="208">
                  <c:v>39844</c:v>
                </c:pt>
                <c:pt idx="209">
                  <c:v>39813</c:v>
                </c:pt>
                <c:pt idx="210">
                  <c:v>39782</c:v>
                </c:pt>
                <c:pt idx="211">
                  <c:v>39752</c:v>
                </c:pt>
                <c:pt idx="212">
                  <c:v>39721</c:v>
                </c:pt>
                <c:pt idx="213">
                  <c:v>39691</c:v>
                </c:pt>
                <c:pt idx="214">
                  <c:v>39660</c:v>
                </c:pt>
                <c:pt idx="215">
                  <c:v>39629</c:v>
                </c:pt>
                <c:pt idx="216">
                  <c:v>39599</c:v>
                </c:pt>
                <c:pt idx="217">
                  <c:v>39568</c:v>
                </c:pt>
                <c:pt idx="218">
                  <c:v>39538</c:v>
                </c:pt>
                <c:pt idx="219">
                  <c:v>39507</c:v>
                </c:pt>
                <c:pt idx="220">
                  <c:v>39478</c:v>
                </c:pt>
                <c:pt idx="221">
                  <c:v>39447</c:v>
                </c:pt>
                <c:pt idx="222">
                  <c:v>39416</c:v>
                </c:pt>
                <c:pt idx="223">
                  <c:v>39386</c:v>
                </c:pt>
                <c:pt idx="224">
                  <c:v>39355</c:v>
                </c:pt>
                <c:pt idx="225">
                  <c:v>39325</c:v>
                </c:pt>
                <c:pt idx="226">
                  <c:v>39294</c:v>
                </c:pt>
                <c:pt idx="227">
                  <c:v>39263</c:v>
                </c:pt>
                <c:pt idx="228">
                  <c:v>39233</c:v>
                </c:pt>
                <c:pt idx="229">
                  <c:v>39202</c:v>
                </c:pt>
                <c:pt idx="230">
                  <c:v>39172</c:v>
                </c:pt>
                <c:pt idx="231">
                  <c:v>39141</c:v>
                </c:pt>
                <c:pt idx="232">
                  <c:v>39113</c:v>
                </c:pt>
                <c:pt idx="233">
                  <c:v>39082</c:v>
                </c:pt>
                <c:pt idx="234">
                  <c:v>39051</c:v>
                </c:pt>
                <c:pt idx="235">
                  <c:v>39021</c:v>
                </c:pt>
                <c:pt idx="236">
                  <c:v>38990</c:v>
                </c:pt>
                <c:pt idx="237">
                  <c:v>38960</c:v>
                </c:pt>
                <c:pt idx="238">
                  <c:v>38929</c:v>
                </c:pt>
                <c:pt idx="239">
                  <c:v>38898</c:v>
                </c:pt>
                <c:pt idx="240">
                  <c:v>38868</c:v>
                </c:pt>
                <c:pt idx="241">
                  <c:v>38837</c:v>
                </c:pt>
                <c:pt idx="242">
                  <c:v>38807</c:v>
                </c:pt>
                <c:pt idx="243">
                  <c:v>38776</c:v>
                </c:pt>
                <c:pt idx="244">
                  <c:v>38748</c:v>
                </c:pt>
                <c:pt idx="245">
                  <c:v>38717</c:v>
                </c:pt>
                <c:pt idx="246">
                  <c:v>38686</c:v>
                </c:pt>
                <c:pt idx="247">
                  <c:v>38656</c:v>
                </c:pt>
                <c:pt idx="248">
                  <c:v>38625</c:v>
                </c:pt>
                <c:pt idx="249">
                  <c:v>38595</c:v>
                </c:pt>
                <c:pt idx="250">
                  <c:v>38564</c:v>
                </c:pt>
                <c:pt idx="251">
                  <c:v>38533</c:v>
                </c:pt>
                <c:pt idx="252">
                  <c:v>38503</c:v>
                </c:pt>
                <c:pt idx="253">
                  <c:v>38472</c:v>
                </c:pt>
                <c:pt idx="254">
                  <c:v>38442</c:v>
                </c:pt>
                <c:pt idx="255">
                  <c:v>38411</c:v>
                </c:pt>
                <c:pt idx="256">
                  <c:v>38383</c:v>
                </c:pt>
                <c:pt idx="257">
                  <c:v>38352</c:v>
                </c:pt>
                <c:pt idx="258">
                  <c:v>38321</c:v>
                </c:pt>
                <c:pt idx="259">
                  <c:v>38291</c:v>
                </c:pt>
                <c:pt idx="260">
                  <c:v>38260</c:v>
                </c:pt>
                <c:pt idx="261">
                  <c:v>38230</c:v>
                </c:pt>
                <c:pt idx="262">
                  <c:v>38199</c:v>
                </c:pt>
                <c:pt idx="263">
                  <c:v>38168</c:v>
                </c:pt>
                <c:pt idx="264">
                  <c:v>38138</c:v>
                </c:pt>
                <c:pt idx="265">
                  <c:v>38107</c:v>
                </c:pt>
                <c:pt idx="266">
                  <c:v>38077</c:v>
                </c:pt>
                <c:pt idx="267">
                  <c:v>38046</c:v>
                </c:pt>
                <c:pt idx="268">
                  <c:v>38017</c:v>
                </c:pt>
                <c:pt idx="269">
                  <c:v>37986</c:v>
                </c:pt>
                <c:pt idx="270">
                  <c:v>37955</c:v>
                </c:pt>
                <c:pt idx="271">
                  <c:v>37925</c:v>
                </c:pt>
                <c:pt idx="272">
                  <c:v>37894</c:v>
                </c:pt>
                <c:pt idx="273">
                  <c:v>37864</c:v>
                </c:pt>
                <c:pt idx="274">
                  <c:v>37833</c:v>
                </c:pt>
                <c:pt idx="275">
                  <c:v>37802</c:v>
                </c:pt>
                <c:pt idx="276">
                  <c:v>37772</c:v>
                </c:pt>
                <c:pt idx="277">
                  <c:v>37741</c:v>
                </c:pt>
                <c:pt idx="278">
                  <c:v>37711</c:v>
                </c:pt>
                <c:pt idx="279">
                  <c:v>37680</c:v>
                </c:pt>
                <c:pt idx="280">
                  <c:v>37652</c:v>
                </c:pt>
                <c:pt idx="281">
                  <c:v>37621</c:v>
                </c:pt>
                <c:pt idx="282">
                  <c:v>37590</c:v>
                </c:pt>
                <c:pt idx="283">
                  <c:v>37560</c:v>
                </c:pt>
                <c:pt idx="284">
                  <c:v>37529</c:v>
                </c:pt>
                <c:pt idx="285">
                  <c:v>37499</c:v>
                </c:pt>
                <c:pt idx="286">
                  <c:v>37468</c:v>
                </c:pt>
                <c:pt idx="287">
                  <c:v>37437</c:v>
                </c:pt>
                <c:pt idx="288">
                  <c:v>37407</c:v>
                </c:pt>
                <c:pt idx="289">
                  <c:v>37376</c:v>
                </c:pt>
                <c:pt idx="290">
                  <c:v>37346</c:v>
                </c:pt>
                <c:pt idx="291">
                  <c:v>37315</c:v>
                </c:pt>
                <c:pt idx="292">
                  <c:v>37287</c:v>
                </c:pt>
                <c:pt idx="293">
                  <c:v>37256</c:v>
                </c:pt>
                <c:pt idx="294">
                  <c:v>37225</c:v>
                </c:pt>
                <c:pt idx="295">
                  <c:v>37195</c:v>
                </c:pt>
                <c:pt idx="296">
                  <c:v>37164</c:v>
                </c:pt>
                <c:pt idx="297">
                  <c:v>37134</c:v>
                </c:pt>
                <c:pt idx="298">
                  <c:v>37103</c:v>
                </c:pt>
                <c:pt idx="299">
                  <c:v>37072</c:v>
                </c:pt>
                <c:pt idx="300">
                  <c:v>37042</c:v>
                </c:pt>
                <c:pt idx="301">
                  <c:v>37011</c:v>
                </c:pt>
                <c:pt idx="302">
                  <c:v>36981</c:v>
                </c:pt>
                <c:pt idx="303">
                  <c:v>36950</c:v>
                </c:pt>
                <c:pt idx="304">
                  <c:v>36922</c:v>
                </c:pt>
                <c:pt idx="305">
                  <c:v>36891</c:v>
                </c:pt>
                <c:pt idx="306">
                  <c:v>36860</c:v>
                </c:pt>
                <c:pt idx="307">
                  <c:v>36830</c:v>
                </c:pt>
                <c:pt idx="308">
                  <c:v>36799</c:v>
                </c:pt>
                <c:pt idx="309">
                  <c:v>36769</c:v>
                </c:pt>
                <c:pt idx="310">
                  <c:v>36738</c:v>
                </c:pt>
                <c:pt idx="311">
                  <c:v>36707</c:v>
                </c:pt>
                <c:pt idx="312">
                  <c:v>36677</c:v>
                </c:pt>
                <c:pt idx="313">
                  <c:v>36646</c:v>
                </c:pt>
                <c:pt idx="314">
                  <c:v>36616</c:v>
                </c:pt>
                <c:pt idx="315">
                  <c:v>36585</c:v>
                </c:pt>
                <c:pt idx="316">
                  <c:v>36556</c:v>
                </c:pt>
                <c:pt idx="317">
                  <c:v>36525</c:v>
                </c:pt>
                <c:pt idx="318">
                  <c:v>36494</c:v>
                </c:pt>
                <c:pt idx="319">
                  <c:v>36464</c:v>
                </c:pt>
                <c:pt idx="320">
                  <c:v>36433</c:v>
                </c:pt>
                <c:pt idx="321">
                  <c:v>36403</c:v>
                </c:pt>
                <c:pt idx="322">
                  <c:v>36372</c:v>
                </c:pt>
                <c:pt idx="323">
                  <c:v>36341</c:v>
                </c:pt>
                <c:pt idx="324">
                  <c:v>36311</c:v>
                </c:pt>
                <c:pt idx="325">
                  <c:v>36280</c:v>
                </c:pt>
                <c:pt idx="326">
                  <c:v>36250</c:v>
                </c:pt>
                <c:pt idx="327">
                  <c:v>36219</c:v>
                </c:pt>
                <c:pt idx="328">
                  <c:v>36191</c:v>
                </c:pt>
                <c:pt idx="329">
                  <c:v>36160</c:v>
                </c:pt>
                <c:pt idx="330">
                  <c:v>36129</c:v>
                </c:pt>
                <c:pt idx="331">
                  <c:v>36099</c:v>
                </c:pt>
                <c:pt idx="332">
                  <c:v>36068</c:v>
                </c:pt>
                <c:pt idx="333">
                  <c:v>36038</c:v>
                </c:pt>
                <c:pt idx="334">
                  <c:v>36007</c:v>
                </c:pt>
                <c:pt idx="335">
                  <c:v>35976</c:v>
                </c:pt>
                <c:pt idx="336">
                  <c:v>35946</c:v>
                </c:pt>
                <c:pt idx="337">
                  <c:v>35915</c:v>
                </c:pt>
                <c:pt idx="338">
                  <c:v>35885</c:v>
                </c:pt>
                <c:pt idx="339">
                  <c:v>35854</c:v>
                </c:pt>
                <c:pt idx="340">
                  <c:v>35826</c:v>
                </c:pt>
                <c:pt idx="341">
                  <c:v>35795</c:v>
                </c:pt>
                <c:pt idx="342">
                  <c:v>35764</c:v>
                </c:pt>
                <c:pt idx="343">
                  <c:v>35734</c:v>
                </c:pt>
                <c:pt idx="344">
                  <c:v>35703</c:v>
                </c:pt>
                <c:pt idx="345">
                  <c:v>35673</c:v>
                </c:pt>
                <c:pt idx="346">
                  <c:v>35642</c:v>
                </c:pt>
                <c:pt idx="347">
                  <c:v>35611</c:v>
                </c:pt>
                <c:pt idx="348">
                  <c:v>35581</c:v>
                </c:pt>
                <c:pt idx="349">
                  <c:v>35550</c:v>
                </c:pt>
                <c:pt idx="350">
                  <c:v>35520</c:v>
                </c:pt>
                <c:pt idx="351">
                  <c:v>35489</c:v>
                </c:pt>
                <c:pt idx="352">
                  <c:v>35461</c:v>
                </c:pt>
              </c:numCache>
            </c:numRef>
          </c:cat>
          <c:val>
            <c:numRef>
              <c:f>'R-Sq'!$S$3:$S$1355</c:f>
              <c:numCache>
                <c:formatCode>0%</c:formatCode>
                <c:ptCount val="1353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  <c:pt idx="31">
                  <c:v>#N/A</c:v>
                </c:pt>
                <c:pt idx="32">
                  <c:v>#N/A</c:v>
                </c:pt>
                <c:pt idx="33">
                  <c:v>#N/A</c:v>
                </c:pt>
                <c:pt idx="34">
                  <c:v>#N/A</c:v>
                </c:pt>
                <c:pt idx="35">
                  <c:v>#N/A</c:v>
                </c:pt>
                <c:pt idx="36">
                  <c:v>#N/A</c:v>
                </c:pt>
                <c:pt idx="37">
                  <c:v>#N/A</c:v>
                </c:pt>
                <c:pt idx="38">
                  <c:v>#N/A</c:v>
                </c:pt>
                <c:pt idx="39">
                  <c:v>#N/A</c:v>
                </c:pt>
                <c:pt idx="40">
                  <c:v>#N/A</c:v>
                </c:pt>
                <c:pt idx="41">
                  <c:v>#N/A</c:v>
                </c:pt>
                <c:pt idx="42">
                  <c:v>0.60469670712630763</c:v>
                </c:pt>
                <c:pt idx="43">
                  <c:v>0.61118912750855359</c:v>
                </c:pt>
                <c:pt idx="44">
                  <c:v>0.60851255492897594</c:v>
                </c:pt>
                <c:pt idx="45">
                  <c:v>0.4145660176472078</c:v>
                </c:pt>
                <c:pt idx="46">
                  <c:v>0.39886355773885307</c:v>
                </c:pt>
                <c:pt idx="47">
                  <c:v>0.50767898660191668</c:v>
                </c:pt>
                <c:pt idx="48">
                  <c:v>0.4156928603338409</c:v>
                </c:pt>
                <c:pt idx="49">
                  <c:v>0.48677254427154976</c:v>
                </c:pt>
                <c:pt idx="50">
                  <c:v>0.58747095112277514</c:v>
                </c:pt>
                <c:pt idx="51">
                  <c:v>0.70396602877327863</c:v>
                </c:pt>
                <c:pt idx="52">
                  <c:v>0.76880897733243825</c:v>
                </c:pt>
                <c:pt idx="53">
                  <c:v>0.80296023015397244</c:v>
                </c:pt>
                <c:pt idx="54">
                  <c:v>0.84274040491051794</c:v>
                </c:pt>
                <c:pt idx="55">
                  <c:v>0.84840367267267192</c:v>
                </c:pt>
                <c:pt idx="56">
                  <c:v>0.86799596535177026</c:v>
                </c:pt>
                <c:pt idx="57">
                  <c:v>0.88276340485348448</c:v>
                </c:pt>
                <c:pt idx="58">
                  <c:v>0.89141002588210805</c:v>
                </c:pt>
                <c:pt idx="59">
                  <c:v>0.88971225652537123</c:v>
                </c:pt>
                <c:pt idx="60">
                  <c:v>0.88392586981912491</c:v>
                </c:pt>
                <c:pt idx="61">
                  <c:v>0.87878730568385766</c:v>
                </c:pt>
                <c:pt idx="62">
                  <c:v>0.87336754339275902</c:v>
                </c:pt>
                <c:pt idx="63">
                  <c:v>0.85401501347287401</c:v>
                </c:pt>
                <c:pt idx="64">
                  <c:v>0.80610578482520912</c:v>
                </c:pt>
                <c:pt idx="65">
                  <c:v>0.7507664863480612</c:v>
                </c:pt>
                <c:pt idx="66">
                  <c:v>0.71429190464625525</c:v>
                </c:pt>
                <c:pt idx="67">
                  <c:v>0.64578945456932535</c:v>
                </c:pt>
                <c:pt idx="68">
                  <c:v>0.61975436354623625</c:v>
                </c:pt>
                <c:pt idx="69">
                  <c:v>0.49885923387861797</c:v>
                </c:pt>
                <c:pt idx="70">
                  <c:v>0.45570122255535883</c:v>
                </c:pt>
                <c:pt idx="71">
                  <c:v>0.48129219689336866</c:v>
                </c:pt>
                <c:pt idx="72">
                  <c:v>0.58015671046079043</c:v>
                </c:pt>
                <c:pt idx="73">
                  <c:v>0.68559397643594344</c:v>
                </c:pt>
                <c:pt idx="74">
                  <c:v>0.79710477327148832</c:v>
                </c:pt>
                <c:pt idx="75">
                  <c:v>0.67722921741098718</c:v>
                </c:pt>
                <c:pt idx="76">
                  <c:v>0.63749434162076057</c:v>
                </c:pt>
                <c:pt idx="77">
                  <c:v>0.62663914707945967</c:v>
                </c:pt>
                <c:pt idx="78">
                  <c:v>0.61667110426409866</c:v>
                </c:pt>
                <c:pt idx="79">
                  <c:v>0.59105639619025585</c:v>
                </c:pt>
                <c:pt idx="80">
                  <c:v>0.60097655615971468</c:v>
                </c:pt>
                <c:pt idx="81">
                  <c:v>0.55184065835458274</c:v>
                </c:pt>
                <c:pt idx="82">
                  <c:v>0.50222704430973153</c:v>
                </c:pt>
                <c:pt idx="83">
                  <c:v>0.41099445295012849</c:v>
                </c:pt>
                <c:pt idx="84">
                  <c:v>0.33118825478595609</c:v>
                </c:pt>
                <c:pt idx="85">
                  <c:v>0.2591383196055892</c:v>
                </c:pt>
                <c:pt idx="86">
                  <c:v>0.18259648145250965</c:v>
                </c:pt>
                <c:pt idx="87">
                  <c:v>7.9599679587322669E-2</c:v>
                </c:pt>
                <c:pt idx="88">
                  <c:v>7.4156284276444204E-2</c:v>
                </c:pt>
                <c:pt idx="89">
                  <c:v>0.12690739206126558</c:v>
                </c:pt>
                <c:pt idx="90">
                  <c:v>0.21274658925720719</c:v>
                </c:pt>
                <c:pt idx="91">
                  <c:v>0.34446871490316261</c:v>
                </c:pt>
                <c:pt idx="92">
                  <c:v>0.52773237360779068</c:v>
                </c:pt>
                <c:pt idx="93">
                  <c:v>0.63855165536141401</c:v>
                </c:pt>
                <c:pt idx="94">
                  <c:v>0.78792095126477857</c:v>
                </c:pt>
                <c:pt idx="95">
                  <c:v>0.83106186985245201</c:v>
                </c:pt>
                <c:pt idx="96">
                  <c:v>0.90192510574353824</c:v>
                </c:pt>
                <c:pt idx="97">
                  <c:v>0.8839909678135367</c:v>
                </c:pt>
                <c:pt idx="98">
                  <c:v>0.82195755659110892</c:v>
                </c:pt>
                <c:pt idx="99">
                  <c:v>0.77754381809927853</c:v>
                </c:pt>
                <c:pt idx="100">
                  <c:v>0.73986232370624461</c:v>
                </c:pt>
                <c:pt idx="101">
                  <c:v>0.72303987945346238</c:v>
                </c:pt>
                <c:pt idx="102">
                  <c:v>0.6991859731575879</c:v>
                </c:pt>
                <c:pt idx="103">
                  <c:v>0.66475185934720882</c:v>
                </c:pt>
                <c:pt idx="104">
                  <c:v>0.64310686941645068</c:v>
                </c:pt>
                <c:pt idx="105">
                  <c:v>0.60406773878785092</c:v>
                </c:pt>
                <c:pt idx="106">
                  <c:v>0.54114067425617984</c:v>
                </c:pt>
                <c:pt idx="107">
                  <c:v>0.50301866910270321</c:v>
                </c:pt>
                <c:pt idx="108">
                  <c:v>0.4171219462265745</c:v>
                </c:pt>
                <c:pt idx="109">
                  <c:v>0.33937515987272587</c:v>
                </c:pt>
                <c:pt idx="110">
                  <c:v>0.34545504524019671</c:v>
                </c:pt>
                <c:pt idx="111">
                  <c:v>0.14412802948166728</c:v>
                </c:pt>
                <c:pt idx="112">
                  <c:v>1.559733414985745E-2</c:v>
                </c:pt>
                <c:pt idx="113">
                  <c:v>3.1557591806083379E-3</c:v>
                </c:pt>
                <c:pt idx="114">
                  <c:v>4.7599311532729435E-2</c:v>
                </c:pt>
                <c:pt idx="115">
                  <c:v>0.17183052529086965</c:v>
                </c:pt>
                <c:pt idx="116">
                  <c:v>0.36361773540319081</c:v>
                </c:pt>
                <c:pt idx="117">
                  <c:v>0.60983327284179467</c:v>
                </c:pt>
                <c:pt idx="118">
                  <c:v>0.56702977275960298</c:v>
                </c:pt>
                <c:pt idx="119">
                  <c:v>0.5780831783801349</c:v>
                </c:pt>
                <c:pt idx="120">
                  <c:v>0.62682693393630817</c:v>
                </c:pt>
                <c:pt idx="121">
                  <c:v>0.67775432797726187</c:v>
                </c:pt>
                <c:pt idx="122">
                  <c:v>0.71124378787532305</c:v>
                </c:pt>
                <c:pt idx="123">
                  <c:v>0.67745145767556225</c:v>
                </c:pt>
                <c:pt idx="124">
                  <c:v>0.69769594826474435</c:v>
                </c:pt>
                <c:pt idx="125">
                  <c:v>0.70825992568359708</c:v>
                </c:pt>
                <c:pt idx="126">
                  <c:v>0.69103000333514664</c:v>
                </c:pt>
                <c:pt idx="127">
                  <c:v>0.70658170422695343</c:v>
                </c:pt>
                <c:pt idx="128">
                  <c:v>0.70936780540793709</c:v>
                </c:pt>
                <c:pt idx="129">
                  <c:v>0.68520803039514733</c:v>
                </c:pt>
                <c:pt idx="130">
                  <c:v>0.60803918478583185</c:v>
                </c:pt>
                <c:pt idx="131">
                  <c:v>0.62193527195452947</c:v>
                </c:pt>
                <c:pt idx="132">
                  <c:v>0.68383734669122576</c:v>
                </c:pt>
                <c:pt idx="133">
                  <c:v>0.72719115299345927</c:v>
                </c:pt>
                <c:pt idx="134">
                  <c:v>0.77901905761842483</c:v>
                </c:pt>
                <c:pt idx="135">
                  <c:v>0.77140985330112066</c:v>
                </c:pt>
                <c:pt idx="136">
                  <c:v>0.73846205948106136</c:v>
                </c:pt>
                <c:pt idx="137">
                  <c:v>0.6902901723599485</c:v>
                </c:pt>
                <c:pt idx="138">
                  <c:v>0.70444734113975038</c:v>
                </c:pt>
                <c:pt idx="139">
                  <c:v>0.71324213817041504</c:v>
                </c:pt>
                <c:pt idx="140">
                  <c:v>0.72471650698786882</c:v>
                </c:pt>
                <c:pt idx="141">
                  <c:v>0.73338458974778775</c:v>
                </c:pt>
                <c:pt idx="142">
                  <c:v>0.72981167572626859</c:v>
                </c:pt>
                <c:pt idx="143">
                  <c:v>0.71728909443340561</c:v>
                </c:pt>
                <c:pt idx="144">
                  <c:v>0.69231999883385698</c:v>
                </c:pt>
                <c:pt idx="145">
                  <c:v>0.55293712555766095</c:v>
                </c:pt>
                <c:pt idx="146">
                  <c:v>0.38890556838470941</c:v>
                </c:pt>
                <c:pt idx="147">
                  <c:v>0.26860627464486719</c:v>
                </c:pt>
                <c:pt idx="148">
                  <c:v>0.13612490938694433</c:v>
                </c:pt>
                <c:pt idx="149">
                  <c:v>2.9950893609185777E-2</c:v>
                </c:pt>
                <c:pt idx="150">
                  <c:v>2.0000110285140118E-2</c:v>
                </c:pt>
                <c:pt idx="151">
                  <c:v>0.18079439046094153</c:v>
                </c:pt>
                <c:pt idx="152">
                  <c:v>0.14096837971172957</c:v>
                </c:pt>
                <c:pt idx="153">
                  <c:v>3.6266207841860978E-2</c:v>
                </c:pt>
                <c:pt idx="154">
                  <c:v>2.0786092286133696E-2</c:v>
                </c:pt>
                <c:pt idx="155">
                  <c:v>7.1088845650607344E-2</c:v>
                </c:pt>
                <c:pt idx="156">
                  <c:v>0.11572547451167843</c:v>
                </c:pt>
                <c:pt idx="157">
                  <c:v>0.20928307629719922</c:v>
                </c:pt>
                <c:pt idx="158">
                  <c:v>0.34006890274371437</c:v>
                </c:pt>
                <c:pt idx="159">
                  <c:v>0.43153383719783028</c:v>
                </c:pt>
                <c:pt idx="160">
                  <c:v>0.488513444725378</c:v>
                </c:pt>
                <c:pt idx="161">
                  <c:v>0.55217849502933902</c:v>
                </c:pt>
                <c:pt idx="162">
                  <c:v>0.58583955338244531</c:v>
                </c:pt>
                <c:pt idx="163">
                  <c:v>0.64376778214115793</c:v>
                </c:pt>
                <c:pt idx="164">
                  <c:v>0.63671607891901272</c:v>
                </c:pt>
                <c:pt idx="165">
                  <c:v>0.62493075799096542</c:v>
                </c:pt>
                <c:pt idx="166">
                  <c:v>0.6660535034007149</c:v>
                </c:pt>
                <c:pt idx="167">
                  <c:v>0.70501984350479208</c:v>
                </c:pt>
                <c:pt idx="168">
                  <c:v>0.69982320078485005</c:v>
                </c:pt>
                <c:pt idx="169">
                  <c:v>0.68436535818047994</c:v>
                </c:pt>
                <c:pt idx="170">
                  <c:v>0.61389091101594151</c:v>
                </c:pt>
                <c:pt idx="171">
                  <c:v>0.52140276231389893</c:v>
                </c:pt>
                <c:pt idx="172">
                  <c:v>0.44110223810435373</c:v>
                </c:pt>
                <c:pt idx="173">
                  <c:v>0.33596759575189183</c:v>
                </c:pt>
                <c:pt idx="174">
                  <c:v>0.24707941598025221</c:v>
                </c:pt>
                <c:pt idx="175">
                  <c:v>0.19237700200619934</c:v>
                </c:pt>
                <c:pt idx="176">
                  <c:v>0.13222116777674781</c:v>
                </c:pt>
                <c:pt idx="177">
                  <c:v>5.2752288437936119E-2</c:v>
                </c:pt>
                <c:pt idx="178">
                  <c:v>2.0043948983334094E-2</c:v>
                </c:pt>
                <c:pt idx="179">
                  <c:v>6.7031760557876546E-2</c:v>
                </c:pt>
                <c:pt idx="180">
                  <c:v>0.22926676720480099</c:v>
                </c:pt>
                <c:pt idx="181">
                  <c:v>0.46828718169254913</c:v>
                </c:pt>
                <c:pt idx="182">
                  <c:v>0.60991820861828971</c:v>
                </c:pt>
                <c:pt idx="183">
                  <c:v>0.71965279057364473</c:v>
                </c:pt>
                <c:pt idx="184">
                  <c:v>0.79041441984493743</c:v>
                </c:pt>
                <c:pt idx="185">
                  <c:v>0.77869645936402243</c:v>
                </c:pt>
                <c:pt idx="186">
                  <c:v>0.7740280256394152</c:v>
                </c:pt>
                <c:pt idx="187">
                  <c:v>0.76021805343928017</c:v>
                </c:pt>
                <c:pt idx="188">
                  <c:v>0.72642558615821173</c:v>
                </c:pt>
                <c:pt idx="189">
                  <c:v>0.67378627901048427</c:v>
                </c:pt>
                <c:pt idx="190">
                  <c:v>0.61101637890339411</c:v>
                </c:pt>
                <c:pt idx="191">
                  <c:v>0.58706201852575612</c:v>
                </c:pt>
                <c:pt idx="192">
                  <c:v>0.60676093574641143</c:v>
                </c:pt>
                <c:pt idx="193">
                  <c:v>0.57264029466894506</c:v>
                </c:pt>
                <c:pt idx="194">
                  <c:v>0.45052098070986407</c:v>
                </c:pt>
                <c:pt idx="195">
                  <c:v>0.27941390323768861</c:v>
                </c:pt>
                <c:pt idx="196">
                  <c:v>0.17978361552437655</c:v>
                </c:pt>
                <c:pt idx="197">
                  <c:v>0.1602546094217962</c:v>
                </c:pt>
                <c:pt idx="198">
                  <c:v>9.7632310245699391E-2</c:v>
                </c:pt>
                <c:pt idx="199">
                  <c:v>7.8746871028890789E-2</c:v>
                </c:pt>
                <c:pt idx="200">
                  <c:v>0.11414577715542215</c:v>
                </c:pt>
                <c:pt idx="201">
                  <c:v>0.16237177059351804</c:v>
                </c:pt>
                <c:pt idx="202">
                  <c:v>0.20967860617521819</c:v>
                </c:pt>
                <c:pt idx="203">
                  <c:v>0.26553112366784953</c:v>
                </c:pt>
                <c:pt idx="204">
                  <c:v>0.31399194467145225</c:v>
                </c:pt>
                <c:pt idx="205">
                  <c:v>0.36369065725574184</c:v>
                </c:pt>
                <c:pt idx="206">
                  <c:v>0.4126787381306099</c:v>
                </c:pt>
                <c:pt idx="207">
                  <c:v>0.48288073281386423</c:v>
                </c:pt>
                <c:pt idx="208">
                  <c:v>0.47939519742077119</c:v>
                </c:pt>
                <c:pt idx="209">
                  <c:v>0.46259296217835694</c:v>
                </c:pt>
                <c:pt idx="210">
                  <c:v>0.40816995863802352</c:v>
                </c:pt>
                <c:pt idx="211">
                  <c:v>0.33232552474541799</c:v>
                </c:pt>
                <c:pt idx="212">
                  <c:v>0.26191357804628373</c:v>
                </c:pt>
                <c:pt idx="213">
                  <c:v>0.41777293483724098</c:v>
                </c:pt>
                <c:pt idx="214">
                  <c:v>0.5018555302392862</c:v>
                </c:pt>
                <c:pt idx="215">
                  <c:v>0.54486259606125764</c:v>
                </c:pt>
                <c:pt idx="216">
                  <c:v>0.62427870709365008</c:v>
                </c:pt>
                <c:pt idx="217">
                  <c:v>0.70323665785546741</c:v>
                </c:pt>
                <c:pt idx="218">
                  <c:v>0.74842308232071719</c:v>
                </c:pt>
                <c:pt idx="219">
                  <c:v>0.83657221194003817</c:v>
                </c:pt>
                <c:pt idx="220">
                  <c:v>0.8910542697020889</c:v>
                </c:pt>
                <c:pt idx="221">
                  <c:v>0.90453517893039637</c:v>
                </c:pt>
                <c:pt idx="222">
                  <c:v>0.91488485901092131</c:v>
                </c:pt>
                <c:pt idx="223">
                  <c:v>0.91813647493637407</c:v>
                </c:pt>
                <c:pt idx="224">
                  <c:v>0.90264563001970266</c:v>
                </c:pt>
                <c:pt idx="225">
                  <c:v>0.86414623563466486</c:v>
                </c:pt>
                <c:pt idx="226">
                  <c:v>0.8338457795637283</c:v>
                </c:pt>
                <c:pt idx="227">
                  <c:v>0.81300304964521297</c:v>
                </c:pt>
                <c:pt idx="228">
                  <c:v>0.74158692814839544</c:v>
                </c:pt>
                <c:pt idx="229">
                  <c:v>0.58824447368723698</c:v>
                </c:pt>
                <c:pt idx="230">
                  <c:v>0.33417573882547758</c:v>
                </c:pt>
                <c:pt idx="231">
                  <c:v>9.8274839293237451E-2</c:v>
                </c:pt>
                <c:pt idx="232">
                  <c:v>2.3603790458728391E-3</c:v>
                </c:pt>
                <c:pt idx="233">
                  <c:v>0.18874510502819022</c:v>
                </c:pt>
                <c:pt idx="234">
                  <c:v>0.16198418523409064</c:v>
                </c:pt>
                <c:pt idx="235">
                  <c:v>3.1889023448597148E-2</c:v>
                </c:pt>
                <c:pt idx="236">
                  <c:v>8.6928986231932879E-3</c:v>
                </c:pt>
                <c:pt idx="237">
                  <c:v>0.10654003985180382</c:v>
                </c:pt>
                <c:pt idx="238">
                  <c:v>0.2263140952670897</c:v>
                </c:pt>
                <c:pt idx="239">
                  <c:v>0.31419794120855821</c:v>
                </c:pt>
                <c:pt idx="240">
                  <c:v>0.42561896109693553</c:v>
                </c:pt>
                <c:pt idx="241">
                  <c:v>0.54040324238433712</c:v>
                </c:pt>
                <c:pt idx="242">
                  <c:v>0.63662998815432481</c:v>
                </c:pt>
                <c:pt idx="243">
                  <c:v>0.69372208273115854</c:v>
                </c:pt>
                <c:pt idx="244">
                  <c:v>0.74765279093196024</c:v>
                </c:pt>
                <c:pt idx="245">
                  <c:v>0.7520870682502433</c:v>
                </c:pt>
                <c:pt idx="246">
                  <c:v>0.73941298032207547</c:v>
                </c:pt>
                <c:pt idx="247">
                  <c:v>0.74657506147043939</c:v>
                </c:pt>
                <c:pt idx="248">
                  <c:v>0.82963330163471949</c:v>
                </c:pt>
                <c:pt idx="249">
                  <c:v>0.8780487124448354</c:v>
                </c:pt>
                <c:pt idx="250">
                  <c:v>0.89297554364727971</c:v>
                </c:pt>
                <c:pt idx="251">
                  <c:v>0.85606146887594581</c:v>
                </c:pt>
                <c:pt idx="252">
                  <c:v>0.82347083655414299</c:v>
                </c:pt>
                <c:pt idx="253">
                  <c:v>0.7392856387821729</c:v>
                </c:pt>
                <c:pt idx="254">
                  <c:v>0.68323924720413887</c:v>
                </c:pt>
                <c:pt idx="255">
                  <c:v>0.58455297813684559</c:v>
                </c:pt>
                <c:pt idx="256">
                  <c:v>0.45746810560418499</c:v>
                </c:pt>
                <c:pt idx="257">
                  <c:v>0.4423640003926822</c:v>
                </c:pt>
                <c:pt idx="258">
                  <c:v>0.36401539239702912</c:v>
                </c:pt>
                <c:pt idx="259">
                  <c:v>0.23572133016698724</c:v>
                </c:pt>
                <c:pt idx="260">
                  <c:v>0.11884033692936405</c:v>
                </c:pt>
                <c:pt idx="261">
                  <c:v>2.5381308086409111E-2</c:v>
                </c:pt>
                <c:pt idx="262">
                  <c:v>1.1020305384462359E-3</c:v>
                </c:pt>
                <c:pt idx="263">
                  <c:v>5.8193487167310036E-2</c:v>
                </c:pt>
                <c:pt idx="264">
                  <c:v>0.16142035215974102</c:v>
                </c:pt>
                <c:pt idx="265">
                  <c:v>0.2504366862545877</c:v>
                </c:pt>
                <c:pt idx="266">
                  <c:v>0.23867271097067122</c:v>
                </c:pt>
                <c:pt idx="267">
                  <c:v>0.24594267519517643</c:v>
                </c:pt>
                <c:pt idx="268">
                  <c:v>0.31944351912339097</c:v>
                </c:pt>
                <c:pt idx="269">
                  <c:v>0.35318798738464591</c:v>
                </c:pt>
                <c:pt idx="270">
                  <c:v>0.32942477778355256</c:v>
                </c:pt>
                <c:pt idx="271">
                  <c:v>0.22435128343300162</c:v>
                </c:pt>
                <c:pt idx="272">
                  <c:v>0.11161653968337305</c:v>
                </c:pt>
                <c:pt idx="273">
                  <c:v>1.8553698054439821E-2</c:v>
                </c:pt>
                <c:pt idx="274">
                  <c:v>1.3932411796316709E-4</c:v>
                </c:pt>
                <c:pt idx="275">
                  <c:v>1.145880885137961E-2</c:v>
                </c:pt>
                <c:pt idx="276">
                  <c:v>0.13950572109013532</c:v>
                </c:pt>
                <c:pt idx="277">
                  <c:v>0.33726928946971957</c:v>
                </c:pt>
                <c:pt idx="278">
                  <c:v>0.61095974762289906</c:v>
                </c:pt>
                <c:pt idx="279">
                  <c:v>0.60451441887439306</c:v>
                </c:pt>
                <c:pt idx="280">
                  <c:v>0.64027083889585235</c:v>
                </c:pt>
                <c:pt idx="281">
                  <c:v>0.66476393756470153</c:v>
                </c:pt>
                <c:pt idx="282">
                  <c:v>0.66960382233596061</c:v>
                </c:pt>
                <c:pt idx="283">
                  <c:v>0.59286442810795281</c:v>
                </c:pt>
                <c:pt idx="284">
                  <c:v>0.62219627688996015</c:v>
                </c:pt>
                <c:pt idx="285">
                  <c:v>0.60730143878005538</c:v>
                </c:pt>
                <c:pt idx="286">
                  <c:v>0.60094671542365385</c:v>
                </c:pt>
                <c:pt idx="287">
                  <c:v>0.65250396793934951</c:v>
                </c:pt>
                <c:pt idx="288">
                  <c:v>0.63449598299973942</c:v>
                </c:pt>
                <c:pt idx="289">
                  <c:v>0.5967438088333501</c:v>
                </c:pt>
                <c:pt idx="290">
                  <c:v>0.5541556327296483</c:v>
                </c:pt>
                <c:pt idx="291">
                  <c:v>0.5680446456047924</c:v>
                </c:pt>
                <c:pt idx="292">
                  <c:v>0.62023448846022666</c:v>
                </c:pt>
                <c:pt idx="293">
                  <c:v>0.69817979315535506</c:v>
                </c:pt>
                <c:pt idx="294">
                  <c:v>#N/A</c:v>
                </c:pt>
                <c:pt idx="295">
                  <c:v>#N/A</c:v>
                </c:pt>
                <c:pt idx="296">
                  <c:v>#N/A</c:v>
                </c:pt>
                <c:pt idx="297">
                  <c:v>#N/A</c:v>
                </c:pt>
                <c:pt idx="298">
                  <c:v>#N/A</c:v>
                </c:pt>
                <c:pt idx="299">
                  <c:v>#N/A</c:v>
                </c:pt>
                <c:pt idx="300">
                  <c:v>#N/A</c:v>
                </c:pt>
                <c:pt idx="301">
                  <c:v>#N/A</c:v>
                </c:pt>
                <c:pt idx="302">
                  <c:v>#N/A</c:v>
                </c:pt>
                <c:pt idx="303">
                  <c:v>#N/A</c:v>
                </c:pt>
                <c:pt idx="304">
                  <c:v>#N/A</c:v>
                </c:pt>
                <c:pt idx="305">
                  <c:v>#N/A</c:v>
                </c:pt>
                <c:pt idx="306">
                  <c:v>#N/A</c:v>
                </c:pt>
                <c:pt idx="307">
                  <c:v>#N/A</c:v>
                </c:pt>
                <c:pt idx="308">
                  <c:v>#N/A</c:v>
                </c:pt>
                <c:pt idx="309">
                  <c:v>#N/A</c:v>
                </c:pt>
                <c:pt idx="310">
                  <c:v>#N/A</c:v>
                </c:pt>
                <c:pt idx="311">
                  <c:v>#N/A</c:v>
                </c:pt>
                <c:pt idx="312">
                  <c:v>#N/A</c:v>
                </c:pt>
                <c:pt idx="313">
                  <c:v>#N/A</c:v>
                </c:pt>
                <c:pt idx="314">
                  <c:v>#N/A</c:v>
                </c:pt>
                <c:pt idx="315">
                  <c:v>#N/A</c:v>
                </c:pt>
                <c:pt idx="316">
                  <c:v>#N/A</c:v>
                </c:pt>
                <c:pt idx="317">
                  <c:v>#N/A</c:v>
                </c:pt>
                <c:pt idx="318">
                  <c:v>#N/A</c:v>
                </c:pt>
                <c:pt idx="319">
                  <c:v>#N/A</c:v>
                </c:pt>
                <c:pt idx="320">
                  <c:v>#N/A</c:v>
                </c:pt>
                <c:pt idx="321">
                  <c:v>#N/A</c:v>
                </c:pt>
                <c:pt idx="322">
                  <c:v>#N/A</c:v>
                </c:pt>
                <c:pt idx="323">
                  <c:v>#N/A</c:v>
                </c:pt>
                <c:pt idx="324">
                  <c:v>#N/A</c:v>
                </c:pt>
                <c:pt idx="325">
                  <c:v>#N/A</c:v>
                </c:pt>
                <c:pt idx="326">
                  <c:v>#N/A</c:v>
                </c:pt>
                <c:pt idx="327">
                  <c:v>#N/A</c:v>
                </c:pt>
                <c:pt idx="328">
                  <c:v>#N/A</c:v>
                </c:pt>
                <c:pt idx="329">
                  <c:v>#N/A</c:v>
                </c:pt>
                <c:pt idx="330">
                  <c:v>#N/A</c:v>
                </c:pt>
                <c:pt idx="331">
                  <c:v>#N/A</c:v>
                </c:pt>
                <c:pt idx="332">
                  <c:v>#N/A</c:v>
                </c:pt>
                <c:pt idx="333">
                  <c:v>#N/A</c:v>
                </c:pt>
                <c:pt idx="334">
                  <c:v>#N/A</c:v>
                </c:pt>
                <c:pt idx="335">
                  <c:v>#N/A</c:v>
                </c:pt>
                <c:pt idx="336">
                  <c:v>#N/A</c:v>
                </c:pt>
                <c:pt idx="337">
                  <c:v>#N/A</c:v>
                </c:pt>
                <c:pt idx="338">
                  <c:v>#N/A</c:v>
                </c:pt>
                <c:pt idx="339">
                  <c:v>#N/A</c:v>
                </c:pt>
                <c:pt idx="340">
                  <c:v>#N/A</c:v>
                </c:pt>
                <c:pt idx="341">
                  <c:v>#N/A</c:v>
                </c:pt>
                <c:pt idx="342">
                  <c:v>#N/A</c:v>
                </c:pt>
                <c:pt idx="343">
                  <c:v>#N/A</c:v>
                </c:pt>
                <c:pt idx="344">
                  <c:v>#N/A</c:v>
                </c:pt>
                <c:pt idx="345">
                  <c:v>#N/A</c:v>
                </c:pt>
                <c:pt idx="346">
                  <c:v>#N/A</c:v>
                </c:pt>
                <c:pt idx="347">
                  <c:v>#N/A</c:v>
                </c:pt>
                <c:pt idx="348">
                  <c:v>#N/A</c:v>
                </c:pt>
                <c:pt idx="349">
                  <c:v>#N/A</c:v>
                </c:pt>
                <c:pt idx="350">
                  <c:v>#N/A</c:v>
                </c:pt>
                <c:pt idx="351">
                  <c:v>#N/A</c:v>
                </c:pt>
                <c:pt idx="352">
                  <c:v>#N/A</c:v>
                </c:pt>
                <c:pt idx="353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70E-4A2E-B81D-5CE02CA5848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58880608"/>
        <c:axId val="1758880128"/>
      </c:lineChart>
      <c:dateAx>
        <c:axId val="1758880608"/>
        <c:scaling>
          <c:orientation val="minMax"/>
          <c:min val="35796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yyyy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58880128"/>
        <c:crosses val="autoZero"/>
        <c:auto val="1"/>
        <c:lblOffset val="100"/>
        <c:baseTimeUnit val="months"/>
        <c:majorUnit val="2"/>
        <c:majorTimeUnit val="years"/>
      </c:dateAx>
      <c:valAx>
        <c:axId val="17588801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58880608"/>
        <c:crosses val="autoZero"/>
        <c:crossBetween val="midCat"/>
        <c:majorUnit val="0.2"/>
        <c:minorUnit val="0.1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R-Squared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'R-Sq'!$H$2</c:f>
              <c:strCache>
                <c:ptCount val="1"/>
                <c:pt idx="0">
                  <c:v>Debit : M2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'R-Sq'!$A$3:$A$1355</c:f>
              <c:numCache>
                <c:formatCode>m/d/yyyy</c:formatCode>
                <c:ptCount val="1353"/>
                <c:pt idx="0">
                  <c:v>46173</c:v>
                </c:pt>
                <c:pt idx="1">
                  <c:v>46142</c:v>
                </c:pt>
                <c:pt idx="2">
                  <c:v>46112</c:v>
                </c:pt>
                <c:pt idx="3">
                  <c:v>46081</c:v>
                </c:pt>
                <c:pt idx="4">
                  <c:v>46053</c:v>
                </c:pt>
                <c:pt idx="5">
                  <c:v>46022</c:v>
                </c:pt>
                <c:pt idx="6">
                  <c:v>45991</c:v>
                </c:pt>
                <c:pt idx="7">
                  <c:v>45961</c:v>
                </c:pt>
                <c:pt idx="8">
                  <c:v>45930</c:v>
                </c:pt>
                <c:pt idx="9">
                  <c:v>45900</c:v>
                </c:pt>
                <c:pt idx="10">
                  <c:v>45869</c:v>
                </c:pt>
                <c:pt idx="11">
                  <c:v>45838</c:v>
                </c:pt>
                <c:pt idx="12">
                  <c:v>45808</c:v>
                </c:pt>
                <c:pt idx="13">
                  <c:v>45777</c:v>
                </c:pt>
                <c:pt idx="14">
                  <c:v>45747</c:v>
                </c:pt>
                <c:pt idx="15">
                  <c:v>45716</c:v>
                </c:pt>
                <c:pt idx="16">
                  <c:v>45688</c:v>
                </c:pt>
                <c:pt idx="17">
                  <c:v>45657</c:v>
                </c:pt>
                <c:pt idx="18">
                  <c:v>45626</c:v>
                </c:pt>
                <c:pt idx="19">
                  <c:v>45596</c:v>
                </c:pt>
                <c:pt idx="20">
                  <c:v>45565</c:v>
                </c:pt>
                <c:pt idx="21">
                  <c:v>45535</c:v>
                </c:pt>
                <c:pt idx="22">
                  <c:v>45504</c:v>
                </c:pt>
                <c:pt idx="23">
                  <c:v>45473</c:v>
                </c:pt>
                <c:pt idx="24">
                  <c:v>45443</c:v>
                </c:pt>
                <c:pt idx="25">
                  <c:v>45412</c:v>
                </c:pt>
                <c:pt idx="26">
                  <c:v>45382</c:v>
                </c:pt>
                <c:pt idx="27">
                  <c:v>45351</c:v>
                </c:pt>
                <c:pt idx="28">
                  <c:v>45322</c:v>
                </c:pt>
                <c:pt idx="29">
                  <c:v>45291</c:v>
                </c:pt>
                <c:pt idx="30">
                  <c:v>45260</c:v>
                </c:pt>
                <c:pt idx="31">
                  <c:v>45230</c:v>
                </c:pt>
                <c:pt idx="32">
                  <c:v>45199</c:v>
                </c:pt>
                <c:pt idx="33">
                  <c:v>45169</c:v>
                </c:pt>
                <c:pt idx="34">
                  <c:v>45138</c:v>
                </c:pt>
                <c:pt idx="35">
                  <c:v>45107</c:v>
                </c:pt>
                <c:pt idx="36">
                  <c:v>45077</c:v>
                </c:pt>
                <c:pt idx="37">
                  <c:v>45046</c:v>
                </c:pt>
                <c:pt idx="38">
                  <c:v>45016</c:v>
                </c:pt>
                <c:pt idx="39">
                  <c:v>44985</c:v>
                </c:pt>
                <c:pt idx="40">
                  <c:v>44957</c:v>
                </c:pt>
                <c:pt idx="41">
                  <c:v>44926</c:v>
                </c:pt>
                <c:pt idx="42">
                  <c:v>44895</c:v>
                </c:pt>
                <c:pt idx="43">
                  <c:v>44865</c:v>
                </c:pt>
                <c:pt idx="44">
                  <c:v>44834</c:v>
                </c:pt>
                <c:pt idx="45">
                  <c:v>44804</c:v>
                </c:pt>
                <c:pt idx="46">
                  <c:v>44773</c:v>
                </c:pt>
                <c:pt idx="47">
                  <c:v>44742</c:v>
                </c:pt>
                <c:pt idx="48">
                  <c:v>44712</c:v>
                </c:pt>
                <c:pt idx="49">
                  <c:v>44681</c:v>
                </c:pt>
                <c:pt idx="50">
                  <c:v>44651</c:v>
                </c:pt>
                <c:pt idx="51">
                  <c:v>44620</c:v>
                </c:pt>
                <c:pt idx="52">
                  <c:v>44592</c:v>
                </c:pt>
                <c:pt idx="53">
                  <c:v>44561</c:v>
                </c:pt>
                <c:pt idx="54">
                  <c:v>44530</c:v>
                </c:pt>
                <c:pt idx="55">
                  <c:v>44500</c:v>
                </c:pt>
                <c:pt idx="56">
                  <c:v>44469</c:v>
                </c:pt>
                <c:pt idx="57">
                  <c:v>44439</c:v>
                </c:pt>
                <c:pt idx="58">
                  <c:v>44408</c:v>
                </c:pt>
                <c:pt idx="59">
                  <c:v>44377</c:v>
                </c:pt>
                <c:pt idx="60">
                  <c:v>44347</c:v>
                </c:pt>
                <c:pt idx="61">
                  <c:v>44316</c:v>
                </c:pt>
                <c:pt idx="62">
                  <c:v>44286</c:v>
                </c:pt>
                <c:pt idx="63">
                  <c:v>44255</c:v>
                </c:pt>
                <c:pt idx="64">
                  <c:v>44227</c:v>
                </c:pt>
                <c:pt idx="65">
                  <c:v>44196</c:v>
                </c:pt>
                <c:pt idx="66">
                  <c:v>44165</c:v>
                </c:pt>
                <c:pt idx="67">
                  <c:v>44135</c:v>
                </c:pt>
                <c:pt idx="68">
                  <c:v>44104</c:v>
                </c:pt>
                <c:pt idx="69">
                  <c:v>44074</c:v>
                </c:pt>
                <c:pt idx="70">
                  <c:v>44043</c:v>
                </c:pt>
                <c:pt idx="71">
                  <c:v>44012</c:v>
                </c:pt>
                <c:pt idx="72">
                  <c:v>43982</c:v>
                </c:pt>
                <c:pt idx="73">
                  <c:v>43951</c:v>
                </c:pt>
                <c:pt idx="74">
                  <c:v>43921</c:v>
                </c:pt>
                <c:pt idx="75">
                  <c:v>43890</c:v>
                </c:pt>
                <c:pt idx="76">
                  <c:v>43861</c:v>
                </c:pt>
                <c:pt idx="77">
                  <c:v>43830</c:v>
                </c:pt>
                <c:pt idx="78">
                  <c:v>43799</c:v>
                </c:pt>
                <c:pt idx="79">
                  <c:v>43769</c:v>
                </c:pt>
                <c:pt idx="80">
                  <c:v>43738</c:v>
                </c:pt>
                <c:pt idx="81">
                  <c:v>43708</c:v>
                </c:pt>
                <c:pt idx="82">
                  <c:v>43677</c:v>
                </c:pt>
                <c:pt idx="83">
                  <c:v>43646</c:v>
                </c:pt>
                <c:pt idx="84">
                  <c:v>43616</c:v>
                </c:pt>
                <c:pt idx="85">
                  <c:v>43585</c:v>
                </c:pt>
                <c:pt idx="86">
                  <c:v>43555</c:v>
                </c:pt>
                <c:pt idx="87">
                  <c:v>43524</c:v>
                </c:pt>
                <c:pt idx="88">
                  <c:v>43496</c:v>
                </c:pt>
                <c:pt idx="89">
                  <c:v>43465</c:v>
                </c:pt>
                <c:pt idx="90">
                  <c:v>43434</c:v>
                </c:pt>
                <c:pt idx="91">
                  <c:v>43404</c:v>
                </c:pt>
                <c:pt idx="92">
                  <c:v>43373</c:v>
                </c:pt>
                <c:pt idx="93">
                  <c:v>43343</c:v>
                </c:pt>
                <c:pt idx="94">
                  <c:v>43312</c:v>
                </c:pt>
                <c:pt idx="95">
                  <c:v>43281</c:v>
                </c:pt>
                <c:pt idx="96">
                  <c:v>43251</c:v>
                </c:pt>
                <c:pt idx="97">
                  <c:v>43220</c:v>
                </c:pt>
                <c:pt idx="98">
                  <c:v>43190</c:v>
                </c:pt>
                <c:pt idx="99">
                  <c:v>43159</c:v>
                </c:pt>
                <c:pt idx="100">
                  <c:v>43131</c:v>
                </c:pt>
                <c:pt idx="101">
                  <c:v>43100</c:v>
                </c:pt>
                <c:pt idx="102">
                  <c:v>43069</c:v>
                </c:pt>
                <c:pt idx="103">
                  <c:v>43039</c:v>
                </c:pt>
                <c:pt idx="104">
                  <c:v>43008</c:v>
                </c:pt>
                <c:pt idx="105">
                  <c:v>42978</c:v>
                </c:pt>
                <c:pt idx="106">
                  <c:v>42947</c:v>
                </c:pt>
                <c:pt idx="107">
                  <c:v>42916</c:v>
                </c:pt>
                <c:pt idx="108">
                  <c:v>42886</c:v>
                </c:pt>
                <c:pt idx="109">
                  <c:v>42855</c:v>
                </c:pt>
                <c:pt idx="110">
                  <c:v>42825</c:v>
                </c:pt>
                <c:pt idx="111">
                  <c:v>42794</c:v>
                </c:pt>
                <c:pt idx="112">
                  <c:v>42766</c:v>
                </c:pt>
                <c:pt idx="113">
                  <c:v>42735</c:v>
                </c:pt>
                <c:pt idx="114">
                  <c:v>42704</c:v>
                </c:pt>
                <c:pt idx="115">
                  <c:v>42674</c:v>
                </c:pt>
                <c:pt idx="116">
                  <c:v>42643</c:v>
                </c:pt>
                <c:pt idx="117">
                  <c:v>42613</c:v>
                </c:pt>
                <c:pt idx="118">
                  <c:v>42582</c:v>
                </c:pt>
                <c:pt idx="119">
                  <c:v>42551</c:v>
                </c:pt>
                <c:pt idx="120">
                  <c:v>42521</c:v>
                </c:pt>
                <c:pt idx="121">
                  <c:v>42490</c:v>
                </c:pt>
                <c:pt idx="122">
                  <c:v>42460</c:v>
                </c:pt>
                <c:pt idx="123">
                  <c:v>42429</c:v>
                </c:pt>
                <c:pt idx="124">
                  <c:v>42400</c:v>
                </c:pt>
                <c:pt idx="125">
                  <c:v>42369</c:v>
                </c:pt>
                <c:pt idx="126">
                  <c:v>42338</c:v>
                </c:pt>
                <c:pt idx="127">
                  <c:v>42308</c:v>
                </c:pt>
                <c:pt idx="128">
                  <c:v>42277</c:v>
                </c:pt>
                <c:pt idx="129">
                  <c:v>42247</c:v>
                </c:pt>
                <c:pt idx="130">
                  <c:v>42216</c:v>
                </c:pt>
                <c:pt idx="131">
                  <c:v>42185</c:v>
                </c:pt>
                <c:pt idx="132">
                  <c:v>42155</c:v>
                </c:pt>
                <c:pt idx="133">
                  <c:v>42124</c:v>
                </c:pt>
                <c:pt idx="134">
                  <c:v>42094</c:v>
                </c:pt>
                <c:pt idx="135">
                  <c:v>42063</c:v>
                </c:pt>
                <c:pt idx="136">
                  <c:v>42035</c:v>
                </c:pt>
                <c:pt idx="137">
                  <c:v>42004</c:v>
                </c:pt>
                <c:pt idx="138">
                  <c:v>41973</c:v>
                </c:pt>
                <c:pt idx="139">
                  <c:v>41943</c:v>
                </c:pt>
                <c:pt idx="140">
                  <c:v>41912</c:v>
                </c:pt>
                <c:pt idx="141">
                  <c:v>41882</c:v>
                </c:pt>
                <c:pt idx="142">
                  <c:v>41851</c:v>
                </c:pt>
                <c:pt idx="143">
                  <c:v>41820</c:v>
                </c:pt>
                <c:pt idx="144">
                  <c:v>41790</c:v>
                </c:pt>
                <c:pt idx="145">
                  <c:v>41759</c:v>
                </c:pt>
                <c:pt idx="146">
                  <c:v>41729</c:v>
                </c:pt>
                <c:pt idx="147">
                  <c:v>41698</c:v>
                </c:pt>
                <c:pt idx="148">
                  <c:v>41670</c:v>
                </c:pt>
                <c:pt idx="149">
                  <c:v>41639</c:v>
                </c:pt>
                <c:pt idx="150">
                  <c:v>41608</c:v>
                </c:pt>
                <c:pt idx="151">
                  <c:v>41578</c:v>
                </c:pt>
                <c:pt idx="152">
                  <c:v>41547</c:v>
                </c:pt>
                <c:pt idx="153">
                  <c:v>41517</c:v>
                </c:pt>
                <c:pt idx="154">
                  <c:v>41486</c:v>
                </c:pt>
                <c:pt idx="155">
                  <c:v>41455</c:v>
                </c:pt>
                <c:pt idx="156">
                  <c:v>41425</c:v>
                </c:pt>
                <c:pt idx="157">
                  <c:v>41394</c:v>
                </c:pt>
                <c:pt idx="158">
                  <c:v>41364</c:v>
                </c:pt>
                <c:pt idx="159">
                  <c:v>41333</c:v>
                </c:pt>
                <c:pt idx="160">
                  <c:v>41305</c:v>
                </c:pt>
                <c:pt idx="161">
                  <c:v>41274</c:v>
                </c:pt>
                <c:pt idx="162">
                  <c:v>41243</c:v>
                </c:pt>
                <c:pt idx="163">
                  <c:v>41213</c:v>
                </c:pt>
                <c:pt idx="164">
                  <c:v>41182</c:v>
                </c:pt>
                <c:pt idx="165">
                  <c:v>41152</c:v>
                </c:pt>
                <c:pt idx="166">
                  <c:v>41121</c:v>
                </c:pt>
                <c:pt idx="167">
                  <c:v>41090</c:v>
                </c:pt>
                <c:pt idx="168">
                  <c:v>41060</c:v>
                </c:pt>
                <c:pt idx="169">
                  <c:v>41029</c:v>
                </c:pt>
                <c:pt idx="170">
                  <c:v>40999</c:v>
                </c:pt>
                <c:pt idx="171">
                  <c:v>40968</c:v>
                </c:pt>
                <c:pt idx="172">
                  <c:v>40939</c:v>
                </c:pt>
                <c:pt idx="173">
                  <c:v>40908</c:v>
                </c:pt>
                <c:pt idx="174">
                  <c:v>40877</c:v>
                </c:pt>
                <c:pt idx="175">
                  <c:v>40847</c:v>
                </c:pt>
                <c:pt idx="176">
                  <c:v>40816</c:v>
                </c:pt>
                <c:pt idx="177">
                  <c:v>40786</c:v>
                </c:pt>
                <c:pt idx="178">
                  <c:v>40755</c:v>
                </c:pt>
                <c:pt idx="179">
                  <c:v>40724</c:v>
                </c:pt>
                <c:pt idx="180">
                  <c:v>40694</c:v>
                </c:pt>
                <c:pt idx="181">
                  <c:v>40663</c:v>
                </c:pt>
                <c:pt idx="182">
                  <c:v>40633</c:v>
                </c:pt>
                <c:pt idx="183">
                  <c:v>40602</c:v>
                </c:pt>
                <c:pt idx="184">
                  <c:v>40574</c:v>
                </c:pt>
                <c:pt idx="185">
                  <c:v>40543</c:v>
                </c:pt>
                <c:pt idx="186">
                  <c:v>40512</c:v>
                </c:pt>
                <c:pt idx="187">
                  <c:v>40482</c:v>
                </c:pt>
                <c:pt idx="188">
                  <c:v>40451</c:v>
                </c:pt>
                <c:pt idx="189">
                  <c:v>40421</c:v>
                </c:pt>
                <c:pt idx="190">
                  <c:v>40390</c:v>
                </c:pt>
                <c:pt idx="191">
                  <c:v>40359</c:v>
                </c:pt>
                <c:pt idx="192">
                  <c:v>40329</c:v>
                </c:pt>
                <c:pt idx="193">
                  <c:v>40298</c:v>
                </c:pt>
                <c:pt idx="194">
                  <c:v>40268</c:v>
                </c:pt>
                <c:pt idx="195">
                  <c:v>40237</c:v>
                </c:pt>
                <c:pt idx="196">
                  <c:v>40209</c:v>
                </c:pt>
                <c:pt idx="197">
                  <c:v>40178</c:v>
                </c:pt>
                <c:pt idx="198">
                  <c:v>40147</c:v>
                </c:pt>
                <c:pt idx="199">
                  <c:v>40117</c:v>
                </c:pt>
                <c:pt idx="200">
                  <c:v>40086</c:v>
                </c:pt>
                <c:pt idx="201">
                  <c:v>40056</c:v>
                </c:pt>
                <c:pt idx="202">
                  <c:v>40025</c:v>
                </c:pt>
                <c:pt idx="203">
                  <c:v>39994</c:v>
                </c:pt>
                <c:pt idx="204">
                  <c:v>39964</c:v>
                </c:pt>
                <c:pt idx="205">
                  <c:v>39933</c:v>
                </c:pt>
                <c:pt idx="206">
                  <c:v>39903</c:v>
                </c:pt>
                <c:pt idx="207">
                  <c:v>39872</c:v>
                </c:pt>
                <c:pt idx="208">
                  <c:v>39844</c:v>
                </c:pt>
                <c:pt idx="209">
                  <c:v>39813</c:v>
                </c:pt>
                <c:pt idx="210">
                  <c:v>39782</c:v>
                </c:pt>
                <c:pt idx="211">
                  <c:v>39752</c:v>
                </c:pt>
                <c:pt idx="212">
                  <c:v>39721</c:v>
                </c:pt>
                <c:pt idx="213">
                  <c:v>39691</c:v>
                </c:pt>
                <c:pt idx="214">
                  <c:v>39660</c:v>
                </c:pt>
                <c:pt idx="215">
                  <c:v>39629</c:v>
                </c:pt>
                <c:pt idx="216">
                  <c:v>39599</c:v>
                </c:pt>
                <c:pt idx="217">
                  <c:v>39568</c:v>
                </c:pt>
                <c:pt idx="218">
                  <c:v>39538</c:v>
                </c:pt>
                <c:pt idx="219">
                  <c:v>39507</c:v>
                </c:pt>
                <c:pt idx="220">
                  <c:v>39478</c:v>
                </c:pt>
                <c:pt idx="221">
                  <c:v>39447</c:v>
                </c:pt>
                <c:pt idx="222">
                  <c:v>39416</c:v>
                </c:pt>
                <c:pt idx="223">
                  <c:v>39386</c:v>
                </c:pt>
                <c:pt idx="224">
                  <c:v>39355</c:v>
                </c:pt>
                <c:pt idx="225">
                  <c:v>39325</c:v>
                </c:pt>
                <c:pt idx="226">
                  <c:v>39294</c:v>
                </c:pt>
                <c:pt idx="227">
                  <c:v>39263</c:v>
                </c:pt>
                <c:pt idx="228">
                  <c:v>39233</c:v>
                </c:pt>
                <c:pt idx="229">
                  <c:v>39202</c:v>
                </c:pt>
                <c:pt idx="230">
                  <c:v>39172</c:v>
                </c:pt>
                <c:pt idx="231">
                  <c:v>39141</c:v>
                </c:pt>
                <c:pt idx="232">
                  <c:v>39113</c:v>
                </c:pt>
                <c:pt idx="233">
                  <c:v>39082</c:v>
                </c:pt>
                <c:pt idx="234">
                  <c:v>39051</c:v>
                </c:pt>
                <c:pt idx="235">
                  <c:v>39021</c:v>
                </c:pt>
                <c:pt idx="236">
                  <c:v>38990</c:v>
                </c:pt>
                <c:pt idx="237">
                  <c:v>38960</c:v>
                </c:pt>
                <c:pt idx="238">
                  <c:v>38929</c:v>
                </c:pt>
                <c:pt idx="239">
                  <c:v>38898</c:v>
                </c:pt>
                <c:pt idx="240">
                  <c:v>38868</c:v>
                </c:pt>
                <c:pt idx="241">
                  <c:v>38837</c:v>
                </c:pt>
                <c:pt idx="242">
                  <c:v>38807</c:v>
                </c:pt>
                <c:pt idx="243">
                  <c:v>38776</c:v>
                </c:pt>
                <c:pt idx="244">
                  <c:v>38748</c:v>
                </c:pt>
                <c:pt idx="245">
                  <c:v>38717</c:v>
                </c:pt>
                <c:pt idx="246">
                  <c:v>38686</c:v>
                </c:pt>
                <c:pt idx="247">
                  <c:v>38656</c:v>
                </c:pt>
                <c:pt idx="248">
                  <c:v>38625</c:v>
                </c:pt>
                <c:pt idx="249">
                  <c:v>38595</c:v>
                </c:pt>
                <c:pt idx="250">
                  <c:v>38564</c:v>
                </c:pt>
                <c:pt idx="251">
                  <c:v>38533</c:v>
                </c:pt>
                <c:pt idx="252">
                  <c:v>38503</c:v>
                </c:pt>
                <c:pt idx="253">
                  <c:v>38472</c:v>
                </c:pt>
                <c:pt idx="254">
                  <c:v>38442</c:v>
                </c:pt>
                <c:pt idx="255">
                  <c:v>38411</c:v>
                </c:pt>
                <c:pt idx="256">
                  <c:v>38383</c:v>
                </c:pt>
                <c:pt idx="257">
                  <c:v>38352</c:v>
                </c:pt>
                <c:pt idx="258">
                  <c:v>38321</c:v>
                </c:pt>
                <c:pt idx="259">
                  <c:v>38291</c:v>
                </c:pt>
                <c:pt idx="260">
                  <c:v>38260</c:v>
                </c:pt>
                <c:pt idx="261">
                  <c:v>38230</c:v>
                </c:pt>
                <c:pt idx="262">
                  <c:v>38199</c:v>
                </c:pt>
                <c:pt idx="263">
                  <c:v>38168</c:v>
                </c:pt>
                <c:pt idx="264">
                  <c:v>38138</c:v>
                </c:pt>
                <c:pt idx="265">
                  <c:v>38107</c:v>
                </c:pt>
                <c:pt idx="266">
                  <c:v>38077</c:v>
                </c:pt>
                <c:pt idx="267">
                  <c:v>38046</c:v>
                </c:pt>
                <c:pt idx="268">
                  <c:v>38017</c:v>
                </c:pt>
                <c:pt idx="269">
                  <c:v>37986</c:v>
                </c:pt>
                <c:pt idx="270">
                  <c:v>37955</c:v>
                </c:pt>
                <c:pt idx="271">
                  <c:v>37925</c:v>
                </c:pt>
                <c:pt idx="272">
                  <c:v>37894</c:v>
                </c:pt>
                <c:pt idx="273">
                  <c:v>37864</c:v>
                </c:pt>
                <c:pt idx="274">
                  <c:v>37833</c:v>
                </c:pt>
                <c:pt idx="275">
                  <c:v>37802</c:v>
                </c:pt>
                <c:pt idx="276">
                  <c:v>37772</c:v>
                </c:pt>
                <c:pt idx="277">
                  <c:v>37741</c:v>
                </c:pt>
                <c:pt idx="278">
                  <c:v>37711</c:v>
                </c:pt>
                <c:pt idx="279">
                  <c:v>37680</c:v>
                </c:pt>
                <c:pt idx="280">
                  <c:v>37652</c:v>
                </c:pt>
                <c:pt idx="281">
                  <c:v>37621</c:v>
                </c:pt>
                <c:pt idx="282">
                  <c:v>37590</c:v>
                </c:pt>
                <c:pt idx="283">
                  <c:v>37560</c:v>
                </c:pt>
                <c:pt idx="284">
                  <c:v>37529</c:v>
                </c:pt>
                <c:pt idx="285">
                  <c:v>37499</c:v>
                </c:pt>
                <c:pt idx="286">
                  <c:v>37468</c:v>
                </c:pt>
                <c:pt idx="287">
                  <c:v>37437</c:v>
                </c:pt>
                <c:pt idx="288">
                  <c:v>37407</c:v>
                </c:pt>
                <c:pt idx="289">
                  <c:v>37376</c:v>
                </c:pt>
                <c:pt idx="290">
                  <c:v>37346</c:v>
                </c:pt>
                <c:pt idx="291">
                  <c:v>37315</c:v>
                </c:pt>
                <c:pt idx="292">
                  <c:v>37287</c:v>
                </c:pt>
                <c:pt idx="293">
                  <c:v>37256</c:v>
                </c:pt>
                <c:pt idx="294">
                  <c:v>37225</c:v>
                </c:pt>
                <c:pt idx="295">
                  <c:v>37195</c:v>
                </c:pt>
                <c:pt idx="296">
                  <c:v>37164</c:v>
                </c:pt>
                <c:pt idx="297">
                  <c:v>37134</c:v>
                </c:pt>
                <c:pt idx="298">
                  <c:v>37103</c:v>
                </c:pt>
                <c:pt idx="299">
                  <c:v>37072</c:v>
                </c:pt>
                <c:pt idx="300">
                  <c:v>37042</c:v>
                </c:pt>
                <c:pt idx="301">
                  <c:v>37011</c:v>
                </c:pt>
                <c:pt idx="302">
                  <c:v>36981</c:v>
                </c:pt>
                <c:pt idx="303">
                  <c:v>36950</c:v>
                </c:pt>
                <c:pt idx="304">
                  <c:v>36922</c:v>
                </c:pt>
                <c:pt idx="305">
                  <c:v>36891</c:v>
                </c:pt>
                <c:pt idx="306">
                  <c:v>36860</c:v>
                </c:pt>
                <c:pt idx="307">
                  <c:v>36830</c:v>
                </c:pt>
                <c:pt idx="308">
                  <c:v>36799</c:v>
                </c:pt>
                <c:pt idx="309">
                  <c:v>36769</c:v>
                </c:pt>
                <c:pt idx="310">
                  <c:v>36738</c:v>
                </c:pt>
                <c:pt idx="311">
                  <c:v>36707</c:v>
                </c:pt>
                <c:pt idx="312">
                  <c:v>36677</c:v>
                </c:pt>
                <c:pt idx="313">
                  <c:v>36646</c:v>
                </c:pt>
                <c:pt idx="314">
                  <c:v>36616</c:v>
                </c:pt>
                <c:pt idx="315">
                  <c:v>36585</c:v>
                </c:pt>
                <c:pt idx="316">
                  <c:v>36556</c:v>
                </c:pt>
                <c:pt idx="317">
                  <c:v>36525</c:v>
                </c:pt>
                <c:pt idx="318">
                  <c:v>36494</c:v>
                </c:pt>
                <c:pt idx="319">
                  <c:v>36464</c:v>
                </c:pt>
                <c:pt idx="320">
                  <c:v>36433</c:v>
                </c:pt>
                <c:pt idx="321">
                  <c:v>36403</c:v>
                </c:pt>
                <c:pt idx="322">
                  <c:v>36372</c:v>
                </c:pt>
                <c:pt idx="323">
                  <c:v>36341</c:v>
                </c:pt>
                <c:pt idx="324">
                  <c:v>36311</c:v>
                </c:pt>
                <c:pt idx="325">
                  <c:v>36280</c:v>
                </c:pt>
                <c:pt idx="326">
                  <c:v>36250</c:v>
                </c:pt>
                <c:pt idx="327">
                  <c:v>36219</c:v>
                </c:pt>
                <c:pt idx="328">
                  <c:v>36191</c:v>
                </c:pt>
                <c:pt idx="329">
                  <c:v>36160</c:v>
                </c:pt>
                <c:pt idx="330">
                  <c:v>36129</c:v>
                </c:pt>
                <c:pt idx="331">
                  <c:v>36099</c:v>
                </c:pt>
                <c:pt idx="332">
                  <c:v>36068</c:v>
                </c:pt>
                <c:pt idx="333">
                  <c:v>36038</c:v>
                </c:pt>
                <c:pt idx="334">
                  <c:v>36007</c:v>
                </c:pt>
                <c:pt idx="335">
                  <c:v>35976</c:v>
                </c:pt>
                <c:pt idx="336">
                  <c:v>35946</c:v>
                </c:pt>
                <c:pt idx="337">
                  <c:v>35915</c:v>
                </c:pt>
                <c:pt idx="338">
                  <c:v>35885</c:v>
                </c:pt>
                <c:pt idx="339">
                  <c:v>35854</c:v>
                </c:pt>
                <c:pt idx="340">
                  <c:v>35826</c:v>
                </c:pt>
                <c:pt idx="341">
                  <c:v>35795</c:v>
                </c:pt>
                <c:pt idx="342">
                  <c:v>35764</c:v>
                </c:pt>
                <c:pt idx="343">
                  <c:v>35734</c:v>
                </c:pt>
                <c:pt idx="344">
                  <c:v>35703</c:v>
                </c:pt>
                <c:pt idx="345">
                  <c:v>35673</c:v>
                </c:pt>
                <c:pt idx="346">
                  <c:v>35642</c:v>
                </c:pt>
                <c:pt idx="347">
                  <c:v>35611</c:v>
                </c:pt>
                <c:pt idx="348">
                  <c:v>35581</c:v>
                </c:pt>
                <c:pt idx="349">
                  <c:v>35550</c:v>
                </c:pt>
                <c:pt idx="350">
                  <c:v>35520</c:v>
                </c:pt>
                <c:pt idx="351">
                  <c:v>35489</c:v>
                </c:pt>
                <c:pt idx="352">
                  <c:v>35461</c:v>
                </c:pt>
              </c:numCache>
            </c:numRef>
          </c:cat>
          <c:val>
            <c:numRef>
              <c:f>'R-Sq'!$H$3:$H$1355</c:f>
              <c:numCache>
                <c:formatCode>0%</c:formatCode>
                <c:ptCount val="1353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0.67247737758075676</c:v>
                </c:pt>
                <c:pt idx="22">
                  <c:v>0.66056665790849156</c:v>
                </c:pt>
                <c:pt idx="23">
                  <c:v>0.63260481408895941</c:v>
                </c:pt>
                <c:pt idx="24">
                  <c:v>0.6095050530443642</c:v>
                </c:pt>
                <c:pt idx="25">
                  <c:v>0.59899933812570239</c:v>
                </c:pt>
                <c:pt idx="26">
                  <c:v>0.59679392330825576</c:v>
                </c:pt>
                <c:pt idx="27">
                  <c:v>0.58781137214253976</c:v>
                </c:pt>
                <c:pt idx="28">
                  <c:v>0.57619670710807003</c:v>
                </c:pt>
                <c:pt idx="29">
                  <c:v>0.57375392688258298</c:v>
                </c:pt>
                <c:pt idx="30">
                  <c:v>0.56420760498452749</c:v>
                </c:pt>
                <c:pt idx="31">
                  <c:v>0.54816088939249241</c:v>
                </c:pt>
                <c:pt idx="32">
                  <c:v>0.52996765181310546</c:v>
                </c:pt>
                <c:pt idx="33">
                  <c:v>0.52841398251168215</c:v>
                </c:pt>
                <c:pt idx="34">
                  <c:v>0.53365085317404704</c:v>
                </c:pt>
                <c:pt idx="35">
                  <c:v>0.54563019372470389</c:v>
                </c:pt>
                <c:pt idx="36">
                  <c:v>0.56582880994771534</c:v>
                </c:pt>
                <c:pt idx="37">
                  <c:v>0.5527217240969875</c:v>
                </c:pt>
                <c:pt idx="38">
                  <c:v>0.52350077025358255</c:v>
                </c:pt>
                <c:pt idx="39">
                  <c:v>0.49773152634690798</c:v>
                </c:pt>
                <c:pt idx="40">
                  <c:v>0.47238099069992284</c:v>
                </c:pt>
                <c:pt idx="41">
                  <c:v>0.46654231150697278</c:v>
                </c:pt>
                <c:pt idx="42">
                  <c:v>0.44778683375504291</c:v>
                </c:pt>
                <c:pt idx="43">
                  <c:v>0.44394368774931176</c:v>
                </c:pt>
                <c:pt idx="44">
                  <c:v>0.43077207130406459</c:v>
                </c:pt>
                <c:pt idx="45">
                  <c:v>0.40530110759717364</c:v>
                </c:pt>
                <c:pt idx="46">
                  <c:v>0.40408901883305792</c:v>
                </c:pt>
                <c:pt idx="47">
                  <c:v>0.4146540387610837</c:v>
                </c:pt>
                <c:pt idx="48">
                  <c:v>0.40384489701273801</c:v>
                </c:pt>
                <c:pt idx="49">
                  <c:v>0.40804728448229594</c:v>
                </c:pt>
                <c:pt idx="50">
                  <c:v>0.42008464895192138</c:v>
                </c:pt>
                <c:pt idx="51">
                  <c:v>0.44652593788437261</c:v>
                </c:pt>
                <c:pt idx="52">
                  <c:v>0.46007977901584496</c:v>
                </c:pt>
                <c:pt idx="53">
                  <c:v>0.49586902875498551</c:v>
                </c:pt>
                <c:pt idx="54">
                  <c:v>0.5075327384641225</c:v>
                </c:pt>
                <c:pt idx="55">
                  <c:v>0.5032926829107236</c:v>
                </c:pt>
                <c:pt idx="56">
                  <c:v>0.49653729551454473</c:v>
                </c:pt>
                <c:pt idx="57">
                  <c:v>0.49253491007931854</c:v>
                </c:pt>
                <c:pt idx="58">
                  <c:v>0.49037986963447078</c:v>
                </c:pt>
                <c:pt idx="59">
                  <c:v>0.50659443959549955</c:v>
                </c:pt>
                <c:pt idx="60">
                  <c:v>0.50702908754595311</c:v>
                </c:pt>
                <c:pt idx="61">
                  <c:v>0.51618208244295771</c:v>
                </c:pt>
                <c:pt idx="62">
                  <c:v>0.5275995966192254</c:v>
                </c:pt>
                <c:pt idx="63">
                  <c:v>0.54656361304973189</c:v>
                </c:pt>
                <c:pt idx="64">
                  <c:v>0.5527548651035864</c:v>
                </c:pt>
                <c:pt idx="65">
                  <c:v>0.56326122353353758</c:v>
                </c:pt>
                <c:pt idx="66">
                  <c:v>0.59913613919200925</c:v>
                </c:pt>
                <c:pt idx="67">
                  <c:v>0.63141403028742316</c:v>
                </c:pt>
                <c:pt idx="68">
                  <c:v>0.64780428420250324</c:v>
                </c:pt>
                <c:pt idx="69">
                  <c:v>0.70552902270769668</c:v>
                </c:pt>
                <c:pt idx="70">
                  <c:v>0.75034767462287111</c:v>
                </c:pt>
                <c:pt idx="71">
                  <c:v>0.79219967524829482</c:v>
                </c:pt>
                <c:pt idx="72">
                  <c:v>0.79232564540454209</c:v>
                </c:pt>
                <c:pt idx="73">
                  <c:v>0.8108115579865669</c:v>
                </c:pt>
                <c:pt idx="74">
                  <c:v>0.80655712635000998</c:v>
                </c:pt>
                <c:pt idx="75">
                  <c:v>0.76316131061721126</c:v>
                </c:pt>
                <c:pt idx="76">
                  <c:v>0.7275214540717696</c:v>
                </c:pt>
                <c:pt idx="77">
                  <c:v>0.6848560467725755</c:v>
                </c:pt>
                <c:pt idx="78">
                  <c:v>0.66030427070883912</c:v>
                </c:pt>
                <c:pt idx="79">
                  <c:v>0.62929403856180388</c:v>
                </c:pt>
                <c:pt idx="80">
                  <c:v>0.59846356339248119</c:v>
                </c:pt>
                <c:pt idx="81">
                  <c:v>0.57464597719080968</c:v>
                </c:pt>
                <c:pt idx="82">
                  <c:v>0.55228435816418764</c:v>
                </c:pt>
                <c:pt idx="83">
                  <c:v>0.55937742413312297</c:v>
                </c:pt>
                <c:pt idx="84">
                  <c:v>0.55942554314960313</c:v>
                </c:pt>
                <c:pt idx="85">
                  <c:v>0.51318894012158667</c:v>
                </c:pt>
                <c:pt idx="86">
                  <c:v>0.48243863825001532</c:v>
                </c:pt>
                <c:pt idx="87">
                  <c:v>0.46756591079581089</c:v>
                </c:pt>
                <c:pt idx="88">
                  <c:v>0.46063683655806148</c:v>
                </c:pt>
                <c:pt idx="89">
                  <c:v>0.45970712587427243</c:v>
                </c:pt>
                <c:pt idx="90">
                  <c:v>0.42514273010507042</c:v>
                </c:pt>
                <c:pt idx="91">
                  <c:v>0.40960514144918436</c:v>
                </c:pt>
                <c:pt idx="92">
                  <c:v>0.41279937128206856</c:v>
                </c:pt>
                <c:pt idx="93">
                  <c:v>0.41098729698311909</c:v>
                </c:pt>
                <c:pt idx="94">
                  <c:v>0.41742957063152314</c:v>
                </c:pt>
                <c:pt idx="95">
                  <c:v>0.4085564890793344</c:v>
                </c:pt>
                <c:pt idx="96">
                  <c:v>0.40655871544678435</c:v>
                </c:pt>
                <c:pt idx="97">
                  <c:v>0.42108922932135973</c:v>
                </c:pt>
                <c:pt idx="98">
                  <c:v>0.46590031651543173</c:v>
                </c:pt>
                <c:pt idx="99">
                  <c:v>0.52324680326658168</c:v>
                </c:pt>
                <c:pt idx="100">
                  <c:v>0.56935890437924908</c:v>
                </c:pt>
                <c:pt idx="101">
                  <c:v>0.59377201274558389</c:v>
                </c:pt>
                <c:pt idx="102">
                  <c:v>0.61993156370300684</c:v>
                </c:pt>
                <c:pt idx="103">
                  <c:v>0.64697737146838585</c:v>
                </c:pt>
                <c:pt idx="104">
                  <c:v>0.65937421754393644</c:v>
                </c:pt>
                <c:pt idx="105">
                  <c:v>0.67141411626840886</c:v>
                </c:pt>
                <c:pt idx="106">
                  <c:v>0.66789327919578079</c:v>
                </c:pt>
                <c:pt idx="107">
                  <c:v>0.6739541768019488</c:v>
                </c:pt>
                <c:pt idx="108">
                  <c:v>0.68255714139938384</c:v>
                </c:pt>
                <c:pt idx="109">
                  <c:v>0.69787649989903699</c:v>
                </c:pt>
                <c:pt idx="110">
                  <c:v>0.68343398427054225</c:v>
                </c:pt>
                <c:pt idx="111">
                  <c:v>0.67914783411204982</c:v>
                </c:pt>
                <c:pt idx="112">
                  <c:v>0.67714951594287776</c:v>
                </c:pt>
                <c:pt idx="113">
                  <c:v>0.67500730097931338</c:v>
                </c:pt>
                <c:pt idx="114">
                  <c:v>0.67669185833976175</c:v>
                </c:pt>
                <c:pt idx="115">
                  <c:v>0.68589874666573758</c:v>
                </c:pt>
                <c:pt idx="116">
                  <c:v>0.70384160736432955</c:v>
                </c:pt>
                <c:pt idx="117">
                  <c:v>0.72368801514434022</c:v>
                </c:pt>
                <c:pt idx="118">
                  <c:v>0.72674213374648944</c:v>
                </c:pt>
                <c:pt idx="119">
                  <c:v>0.72595013257854113</c:v>
                </c:pt>
                <c:pt idx="120">
                  <c:v>0.7222380275966569</c:v>
                </c:pt>
                <c:pt idx="121">
                  <c:v>0.71987902285110306</c:v>
                </c:pt>
                <c:pt idx="122">
                  <c:v>0.72941054163762808</c:v>
                </c:pt>
                <c:pt idx="123">
                  <c:v>0.72029417006294061</c:v>
                </c:pt>
                <c:pt idx="124">
                  <c:v>0.71813514373773135</c:v>
                </c:pt>
                <c:pt idx="125">
                  <c:v>0.70745652894065858</c:v>
                </c:pt>
                <c:pt idx="126">
                  <c:v>0.69237445315722179</c:v>
                </c:pt>
                <c:pt idx="127">
                  <c:v>0.68634356803047025</c:v>
                </c:pt>
                <c:pt idx="128">
                  <c:v>0.67461865035760471</c:v>
                </c:pt>
                <c:pt idx="129">
                  <c:v>0.67040877904903728</c:v>
                </c:pt>
                <c:pt idx="130">
                  <c:v>0.67166543422369895</c:v>
                </c:pt>
                <c:pt idx="131">
                  <c:v>0.66665199068323966</c:v>
                </c:pt>
                <c:pt idx="132">
                  <c:v>0.68689729133145405</c:v>
                </c:pt>
                <c:pt idx="133">
                  <c:v>0.68198376755880441</c:v>
                </c:pt>
                <c:pt idx="134">
                  <c:v>0.6534311706890783</c:v>
                </c:pt>
                <c:pt idx="135">
                  <c:v>0.59130280652463962</c:v>
                </c:pt>
                <c:pt idx="136">
                  <c:v>0.5365209628679406</c:v>
                </c:pt>
                <c:pt idx="137">
                  <c:v>0.50383643604082351</c:v>
                </c:pt>
                <c:pt idx="138">
                  <c:v>0.41033553115028926</c:v>
                </c:pt>
                <c:pt idx="139">
                  <c:v>0.34972123413420736</c:v>
                </c:pt>
                <c:pt idx="140">
                  <c:v>0.33486654348464673</c:v>
                </c:pt>
                <c:pt idx="141">
                  <c:v>0.3135246100192407</c:v>
                </c:pt>
                <c:pt idx="142">
                  <c:v>0.29800604012668774</c:v>
                </c:pt>
                <c:pt idx="143">
                  <c:v>0.29631795108757492</c:v>
                </c:pt>
                <c:pt idx="144">
                  <c:v>0.30100266077679205</c:v>
                </c:pt>
                <c:pt idx="145">
                  <c:v>0.30375690180780923</c:v>
                </c:pt>
                <c:pt idx="146">
                  <c:v>0.31328622565833592</c:v>
                </c:pt>
                <c:pt idx="147">
                  <c:v>0.33967443895921062</c:v>
                </c:pt>
                <c:pt idx="148">
                  <c:v>0.37104448280007529</c:v>
                </c:pt>
                <c:pt idx="149">
                  <c:v>0.38515217204288615</c:v>
                </c:pt>
                <c:pt idx="150">
                  <c:v>0.33216496228534176</c:v>
                </c:pt>
                <c:pt idx="151">
                  <c:v>0.28310843315710965</c:v>
                </c:pt>
                <c:pt idx="152">
                  <c:v>0.28211740403653413</c:v>
                </c:pt>
                <c:pt idx="153">
                  <c:v>0.34851383194300622</c:v>
                </c:pt>
                <c:pt idx="154">
                  <c:v>0.40331374432480227</c:v>
                </c:pt>
                <c:pt idx="155">
                  <c:v>0.44916371227092095</c:v>
                </c:pt>
                <c:pt idx="156">
                  <c:v>0.50148070593624339</c:v>
                </c:pt>
                <c:pt idx="157">
                  <c:v>0.55360900023939297</c:v>
                </c:pt>
                <c:pt idx="158">
                  <c:v>0.58723931067565671</c:v>
                </c:pt>
                <c:pt idx="159">
                  <c:v>0.63344286434279673</c:v>
                </c:pt>
                <c:pt idx="160">
                  <c:v>0.68188551230773797</c:v>
                </c:pt>
                <c:pt idx="161">
                  <c:v>0.72674371413520389</c:v>
                </c:pt>
                <c:pt idx="162">
                  <c:v>0.75458869368237214</c:v>
                </c:pt>
                <c:pt idx="163">
                  <c:v>0.78806890862446333</c:v>
                </c:pt>
                <c:pt idx="164">
                  <c:v>0.81210679524550944</c:v>
                </c:pt>
                <c:pt idx="165">
                  <c:v>0.82718858405323581</c:v>
                </c:pt>
                <c:pt idx="166">
                  <c:v>0.83898430640009303</c:v>
                </c:pt>
                <c:pt idx="167">
                  <c:v>0.84885936185589772</c:v>
                </c:pt>
                <c:pt idx="168">
                  <c:v>0.86407491203937703</c:v>
                </c:pt>
                <c:pt idx="169">
                  <c:v>0.87543426201222352</c:v>
                </c:pt>
                <c:pt idx="170">
                  <c:v>0.87242865848487394</c:v>
                </c:pt>
                <c:pt idx="171">
                  <c:v>0.86844001555227246</c:v>
                </c:pt>
                <c:pt idx="172">
                  <c:v>0.86776266064050933</c:v>
                </c:pt>
                <c:pt idx="173">
                  <c:v>0.8651356192321773</c:v>
                </c:pt>
                <c:pt idx="174">
                  <c:v>0.8648670271051716</c:v>
                </c:pt>
                <c:pt idx="175">
                  <c:v>0.86458367795265201</c:v>
                </c:pt>
                <c:pt idx="176">
                  <c:v>0.86576986443332138</c:v>
                </c:pt>
                <c:pt idx="177">
                  <c:v>0.86783589400280503</c:v>
                </c:pt>
                <c:pt idx="178">
                  <c:v>0.86982132790915756</c:v>
                </c:pt>
                <c:pt idx="179">
                  <c:v>0.87572659014939658</c:v>
                </c:pt>
                <c:pt idx="180">
                  <c:v>0.88051015224022799</c:v>
                </c:pt>
                <c:pt idx="181">
                  <c:v>0.88487105705259017</c:v>
                </c:pt>
                <c:pt idx="182">
                  <c:v>0.88804571688114065</c:v>
                </c:pt>
                <c:pt idx="183">
                  <c:v>0.88728696799217244</c:v>
                </c:pt>
                <c:pt idx="184">
                  <c:v>0.88653364869399209</c:v>
                </c:pt>
                <c:pt idx="185">
                  <c:v>0.87944360209480921</c:v>
                </c:pt>
                <c:pt idx="186">
                  <c:v>0.87549356459029104</c:v>
                </c:pt>
                <c:pt idx="187">
                  <c:v>0.87423924146496013</c:v>
                </c:pt>
                <c:pt idx="188">
                  <c:v>0.87141183342379192</c:v>
                </c:pt>
                <c:pt idx="189">
                  <c:v>0.86553602267853025</c:v>
                </c:pt>
                <c:pt idx="190">
                  <c:v>0.86118516596547701</c:v>
                </c:pt>
                <c:pt idx="191">
                  <c:v>0.85823997301878674</c:v>
                </c:pt>
                <c:pt idx="192">
                  <c:v>0.85753230185203821</c:v>
                </c:pt>
                <c:pt idx="193">
                  <c:v>0.85655312657907023</c:v>
                </c:pt>
                <c:pt idx="194">
                  <c:v>0.85689267178333095</c:v>
                </c:pt>
                <c:pt idx="195">
                  <c:v>0.8599238874045475</c:v>
                </c:pt>
                <c:pt idx="196">
                  <c:v>0.86320407743500427</c:v>
                </c:pt>
                <c:pt idx="197">
                  <c:v>0.86428660185718365</c:v>
                </c:pt>
                <c:pt idx="198">
                  <c:v>0.87707428827531908</c:v>
                </c:pt>
                <c:pt idx="199">
                  <c:v>0.88368454018158626</c:v>
                </c:pt>
                <c:pt idx="200">
                  <c:v>0.87917539981456494</c:v>
                </c:pt>
                <c:pt idx="201">
                  <c:v>0.87459887288306326</c:v>
                </c:pt>
                <c:pt idx="202">
                  <c:v>0.86828772877829352</c:v>
                </c:pt>
                <c:pt idx="203">
                  <c:v>0.86319129863665411</c:v>
                </c:pt>
                <c:pt idx="204">
                  <c:v>0.85491127720289084</c:v>
                </c:pt>
                <c:pt idx="205">
                  <c:v>0.84665300508079733</c:v>
                </c:pt>
                <c:pt idx="206">
                  <c:v>0.83856183040298016</c:v>
                </c:pt>
                <c:pt idx="207">
                  <c:v>0.82537437504953803</c:v>
                </c:pt>
                <c:pt idx="208">
                  <c:v>0.81156136715777405</c:v>
                </c:pt>
                <c:pt idx="209">
                  <c:v>0.79427997202395451</c:v>
                </c:pt>
                <c:pt idx="210">
                  <c:v>0.78663456977767499</c:v>
                </c:pt>
                <c:pt idx="211">
                  <c:v>0.78800796845010279</c:v>
                </c:pt>
                <c:pt idx="212">
                  <c:v>0.78715228843533858</c:v>
                </c:pt>
                <c:pt idx="213">
                  <c:v>0.78823254075995552</c:v>
                </c:pt>
                <c:pt idx="214">
                  <c:v>0.78644342665788347</c:v>
                </c:pt>
                <c:pt idx="215">
                  <c:v>0.78947556688472198</c:v>
                </c:pt>
                <c:pt idx="216">
                  <c:v>0.79395092768953313</c:v>
                </c:pt>
                <c:pt idx="217">
                  <c:v>0.79384455322632985</c:v>
                </c:pt>
                <c:pt idx="218">
                  <c:v>0.79666573371936389</c:v>
                </c:pt>
                <c:pt idx="219">
                  <c:v>0.80366359288154543</c:v>
                </c:pt>
                <c:pt idx="220">
                  <c:v>0.81401393133258326</c:v>
                </c:pt>
                <c:pt idx="221">
                  <c:v>0.81375203123007467</c:v>
                </c:pt>
                <c:pt idx="222">
                  <c:v>0.80740663897660225</c:v>
                </c:pt>
                <c:pt idx="223">
                  <c:v>0.790509161960951</c:v>
                </c:pt>
                <c:pt idx="224">
                  <c:v>0.77664819705345611</c:v>
                </c:pt>
                <c:pt idx="225">
                  <c:v>0.77146055236457667</c:v>
                </c:pt>
                <c:pt idx="226">
                  <c:v>0.75369918436522676</c:v>
                </c:pt>
                <c:pt idx="227">
                  <c:v>0.72930924163935507</c:v>
                </c:pt>
                <c:pt idx="228">
                  <c:v>0.68139025402522357</c:v>
                </c:pt>
                <c:pt idx="229">
                  <c:v>0.61092919904379028</c:v>
                </c:pt>
                <c:pt idx="230">
                  <c:v>0.55342525280447219</c:v>
                </c:pt>
                <c:pt idx="231">
                  <c:v>0.4877124134658804</c:v>
                </c:pt>
                <c:pt idx="232">
                  <c:v>0.39076378700593328</c:v>
                </c:pt>
                <c:pt idx="233">
                  <c:v>0.29284384153683546</c:v>
                </c:pt>
                <c:pt idx="234">
                  <c:v>0.19499516799246802</c:v>
                </c:pt>
                <c:pt idx="235">
                  <c:v>0.13055060164724686</c:v>
                </c:pt>
                <c:pt idx="236">
                  <c:v>8.8064877051750895E-2</c:v>
                </c:pt>
                <c:pt idx="237">
                  <c:v>6.1048970377505292E-2</c:v>
                </c:pt>
                <c:pt idx="238">
                  <c:v>5.7210108253751682E-2</c:v>
                </c:pt>
                <c:pt idx="239">
                  <c:v>5.9449474766705049E-2</c:v>
                </c:pt>
                <c:pt idx="240">
                  <c:v>6.7255940318725657E-2</c:v>
                </c:pt>
                <c:pt idx="241">
                  <c:v>8.2753679961504761E-2</c:v>
                </c:pt>
                <c:pt idx="242">
                  <c:v>8.9473020500622003E-2</c:v>
                </c:pt>
                <c:pt idx="243">
                  <c:v>0.10842643008651953</c:v>
                </c:pt>
                <c:pt idx="244">
                  <c:v>0.15506320333030837</c:v>
                </c:pt>
                <c:pt idx="245">
                  <c:v>0.23868436264304888</c:v>
                </c:pt>
                <c:pt idx="246">
                  <c:v>0.32089147894971159</c:v>
                </c:pt>
                <c:pt idx="247">
                  <c:v>0.38241305777311457</c:v>
                </c:pt>
                <c:pt idx="248">
                  <c:v>0.44786673355650658</c:v>
                </c:pt>
                <c:pt idx="249">
                  <c:v>0.48764174060227033</c:v>
                </c:pt>
                <c:pt idx="250">
                  <c:v>0.51980071305015607</c:v>
                </c:pt>
                <c:pt idx="251">
                  <c:v>0.53510491623648482</c:v>
                </c:pt>
                <c:pt idx="252">
                  <c:v>0.53805733566739311</c:v>
                </c:pt>
                <c:pt idx="253">
                  <c:v>0.54608021628715164</c:v>
                </c:pt>
                <c:pt idx="254">
                  <c:v>0.55493778524732518</c:v>
                </c:pt>
                <c:pt idx="255">
                  <c:v>0.55079970777025478</c:v>
                </c:pt>
                <c:pt idx="256">
                  <c:v>0.53971422774257649</c:v>
                </c:pt>
                <c:pt idx="257">
                  <c:v>0.55118446475649285</c:v>
                </c:pt>
                <c:pt idx="258">
                  <c:v>0.56421036231971444</c:v>
                </c:pt>
                <c:pt idx="259">
                  <c:v>0.56901380576185212</c:v>
                </c:pt>
                <c:pt idx="260">
                  <c:v>0.56960207496291981</c:v>
                </c:pt>
                <c:pt idx="261">
                  <c:v>0.56719771790439566</c:v>
                </c:pt>
                <c:pt idx="262">
                  <c:v>0.56446296152236486</c:v>
                </c:pt>
                <c:pt idx="263">
                  <c:v>0.56222840747183922</c:v>
                </c:pt>
                <c:pt idx="264">
                  <c:v>0.56262824403060407</c:v>
                </c:pt>
                <c:pt idx="265">
                  <c:v>0.55939815408225047</c:v>
                </c:pt>
                <c:pt idx="266">
                  <c:v>0.55446789136990882</c:v>
                </c:pt>
                <c:pt idx="267">
                  <c:v>0.55150581736290394</c:v>
                </c:pt>
                <c:pt idx="268">
                  <c:v>0.54787890982879339</c:v>
                </c:pt>
                <c:pt idx="269">
                  <c:v>0.54208258613075766</c:v>
                </c:pt>
                <c:pt idx="270">
                  <c:v>0.53744536743161597</c:v>
                </c:pt>
                <c:pt idx="271">
                  <c:v>0.52277160634693831</c:v>
                </c:pt>
                <c:pt idx="272">
                  <c:v>0.51351321764241276</c:v>
                </c:pt>
                <c:pt idx="273">
                  <c:v>0.48791923776117169</c:v>
                </c:pt>
                <c:pt idx="274">
                  <c:v>0.44784256742357242</c:v>
                </c:pt>
                <c:pt idx="275">
                  <c:v>0.42815646495420928</c:v>
                </c:pt>
                <c:pt idx="276">
                  <c:v>0.4099635083890763</c:v>
                </c:pt>
                <c:pt idx="277">
                  <c:v>0.39566275925549471</c:v>
                </c:pt>
                <c:pt idx="278">
                  <c:v>0.3806973939361542</c:v>
                </c:pt>
                <c:pt idx="279">
                  <c:v>0.35773586702134308</c:v>
                </c:pt>
                <c:pt idx="280">
                  <c:v>0.33688551754520846</c:v>
                </c:pt>
                <c:pt idx="281">
                  <c:v>0.32161984670058791</c:v>
                </c:pt>
                <c:pt idx="282">
                  <c:v>0.31169087448669658</c:v>
                </c:pt>
                <c:pt idx="283">
                  <c:v>0.30613059096419437</c:v>
                </c:pt>
                <c:pt idx="284">
                  <c:v>0.29330243699298292</c:v>
                </c:pt>
                <c:pt idx="285">
                  <c:v>0.27424247639933153</c:v>
                </c:pt>
                <c:pt idx="286">
                  <c:v>0.27211412561751408</c:v>
                </c:pt>
                <c:pt idx="287">
                  <c:v>0.2730529333691824</c:v>
                </c:pt>
                <c:pt idx="288">
                  <c:v>0.28072788534338</c:v>
                </c:pt>
                <c:pt idx="289">
                  <c:v>0.29662087024131062</c:v>
                </c:pt>
                <c:pt idx="290">
                  <c:v>0.32186284947440896</c:v>
                </c:pt>
                <c:pt idx="291">
                  <c:v>0.35126382786500882</c:v>
                </c:pt>
                <c:pt idx="292">
                  <c:v>0.38093673868746925</c:v>
                </c:pt>
                <c:pt idx="293">
                  <c:v>0.40861867698801807</c:v>
                </c:pt>
                <c:pt idx="294">
                  <c:v>#N/A</c:v>
                </c:pt>
                <c:pt idx="295">
                  <c:v>#N/A</c:v>
                </c:pt>
                <c:pt idx="296">
                  <c:v>#N/A</c:v>
                </c:pt>
                <c:pt idx="297">
                  <c:v>#N/A</c:v>
                </c:pt>
                <c:pt idx="298">
                  <c:v>#N/A</c:v>
                </c:pt>
                <c:pt idx="299">
                  <c:v>#N/A</c:v>
                </c:pt>
                <c:pt idx="300">
                  <c:v>#N/A</c:v>
                </c:pt>
                <c:pt idx="301">
                  <c:v>#N/A</c:v>
                </c:pt>
                <c:pt idx="302">
                  <c:v>#N/A</c:v>
                </c:pt>
                <c:pt idx="303">
                  <c:v>#N/A</c:v>
                </c:pt>
                <c:pt idx="304">
                  <c:v>#N/A</c:v>
                </c:pt>
                <c:pt idx="305">
                  <c:v>#N/A</c:v>
                </c:pt>
                <c:pt idx="306">
                  <c:v>#N/A</c:v>
                </c:pt>
                <c:pt idx="307">
                  <c:v>#N/A</c:v>
                </c:pt>
                <c:pt idx="308">
                  <c:v>#N/A</c:v>
                </c:pt>
                <c:pt idx="309">
                  <c:v>#N/A</c:v>
                </c:pt>
                <c:pt idx="310">
                  <c:v>#N/A</c:v>
                </c:pt>
                <c:pt idx="311">
                  <c:v>#N/A</c:v>
                </c:pt>
                <c:pt idx="312">
                  <c:v>#N/A</c:v>
                </c:pt>
                <c:pt idx="313">
                  <c:v>#N/A</c:v>
                </c:pt>
                <c:pt idx="314">
                  <c:v>#N/A</c:v>
                </c:pt>
                <c:pt idx="315">
                  <c:v>#N/A</c:v>
                </c:pt>
                <c:pt idx="316">
                  <c:v>#N/A</c:v>
                </c:pt>
                <c:pt idx="317">
                  <c:v>#N/A</c:v>
                </c:pt>
                <c:pt idx="318">
                  <c:v>#N/A</c:v>
                </c:pt>
                <c:pt idx="319">
                  <c:v>#N/A</c:v>
                </c:pt>
                <c:pt idx="320">
                  <c:v>#N/A</c:v>
                </c:pt>
                <c:pt idx="321">
                  <c:v>#N/A</c:v>
                </c:pt>
                <c:pt idx="322">
                  <c:v>#N/A</c:v>
                </c:pt>
                <c:pt idx="323">
                  <c:v>#N/A</c:v>
                </c:pt>
                <c:pt idx="324">
                  <c:v>#N/A</c:v>
                </c:pt>
                <c:pt idx="325">
                  <c:v>#N/A</c:v>
                </c:pt>
                <c:pt idx="326">
                  <c:v>#N/A</c:v>
                </c:pt>
                <c:pt idx="327">
                  <c:v>#N/A</c:v>
                </c:pt>
                <c:pt idx="328">
                  <c:v>#N/A</c:v>
                </c:pt>
                <c:pt idx="329">
                  <c:v>#N/A</c:v>
                </c:pt>
                <c:pt idx="330">
                  <c:v>#N/A</c:v>
                </c:pt>
                <c:pt idx="331">
                  <c:v>#N/A</c:v>
                </c:pt>
                <c:pt idx="332">
                  <c:v>#N/A</c:v>
                </c:pt>
                <c:pt idx="333">
                  <c:v>#N/A</c:v>
                </c:pt>
                <c:pt idx="334">
                  <c:v>#N/A</c:v>
                </c:pt>
                <c:pt idx="335">
                  <c:v>#N/A</c:v>
                </c:pt>
                <c:pt idx="336">
                  <c:v>#N/A</c:v>
                </c:pt>
                <c:pt idx="337">
                  <c:v>#N/A</c:v>
                </c:pt>
                <c:pt idx="338">
                  <c:v>#N/A</c:v>
                </c:pt>
                <c:pt idx="339">
                  <c:v>#N/A</c:v>
                </c:pt>
                <c:pt idx="340">
                  <c:v>#N/A</c:v>
                </c:pt>
                <c:pt idx="341">
                  <c:v>#N/A</c:v>
                </c:pt>
                <c:pt idx="342">
                  <c:v>#N/A</c:v>
                </c:pt>
                <c:pt idx="343">
                  <c:v>#N/A</c:v>
                </c:pt>
                <c:pt idx="344">
                  <c:v>#N/A</c:v>
                </c:pt>
                <c:pt idx="345">
                  <c:v>#N/A</c:v>
                </c:pt>
                <c:pt idx="346">
                  <c:v>#N/A</c:v>
                </c:pt>
                <c:pt idx="347">
                  <c:v>#N/A</c:v>
                </c:pt>
                <c:pt idx="348">
                  <c:v>#N/A</c:v>
                </c:pt>
                <c:pt idx="349">
                  <c:v>#N/A</c:v>
                </c:pt>
                <c:pt idx="350">
                  <c:v>#N/A</c:v>
                </c:pt>
                <c:pt idx="351">
                  <c:v>#N/A</c:v>
                </c:pt>
                <c:pt idx="352">
                  <c:v>#N/A</c:v>
                </c:pt>
                <c:pt idx="353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BAA-496F-90E9-3D542A505E64}"/>
            </c:ext>
          </c:extLst>
        </c:ser>
        <c:ser>
          <c:idx val="1"/>
          <c:order val="1"/>
          <c:tx>
            <c:strRef>
              <c:f>'R-Sq'!$T$2</c:f>
              <c:strCache>
                <c:ptCount val="1"/>
                <c:pt idx="0">
                  <c:v>Debit : M2</c:v>
                </c:pt>
              </c:strCache>
            </c:strRef>
          </c:tx>
          <c:spPr>
            <a:ln w="19050" cap="rnd">
              <a:solidFill>
                <a:schemeClr val="accent2"/>
              </a:solidFill>
              <a:prstDash val="sysDash"/>
              <a:round/>
            </a:ln>
            <a:effectLst/>
          </c:spPr>
          <c:marker>
            <c:symbol val="none"/>
          </c:marker>
          <c:cat>
            <c:numRef>
              <c:f>'R-Sq'!$A$3:$A$1355</c:f>
              <c:numCache>
                <c:formatCode>m/d/yyyy</c:formatCode>
                <c:ptCount val="1353"/>
                <c:pt idx="0">
                  <c:v>46173</c:v>
                </c:pt>
                <c:pt idx="1">
                  <c:v>46142</c:v>
                </c:pt>
                <c:pt idx="2">
                  <c:v>46112</c:v>
                </c:pt>
                <c:pt idx="3">
                  <c:v>46081</c:v>
                </c:pt>
                <c:pt idx="4">
                  <c:v>46053</c:v>
                </c:pt>
                <c:pt idx="5">
                  <c:v>46022</c:v>
                </c:pt>
                <c:pt idx="6">
                  <c:v>45991</c:v>
                </c:pt>
                <c:pt idx="7">
                  <c:v>45961</c:v>
                </c:pt>
                <c:pt idx="8">
                  <c:v>45930</c:v>
                </c:pt>
                <c:pt idx="9">
                  <c:v>45900</c:v>
                </c:pt>
                <c:pt idx="10">
                  <c:v>45869</c:v>
                </c:pt>
                <c:pt idx="11">
                  <c:v>45838</c:v>
                </c:pt>
                <c:pt idx="12">
                  <c:v>45808</c:v>
                </c:pt>
                <c:pt idx="13">
                  <c:v>45777</c:v>
                </c:pt>
                <c:pt idx="14">
                  <c:v>45747</c:v>
                </c:pt>
                <c:pt idx="15">
                  <c:v>45716</c:v>
                </c:pt>
                <c:pt idx="16">
                  <c:v>45688</c:v>
                </c:pt>
                <c:pt idx="17">
                  <c:v>45657</c:v>
                </c:pt>
                <c:pt idx="18">
                  <c:v>45626</c:v>
                </c:pt>
                <c:pt idx="19">
                  <c:v>45596</c:v>
                </c:pt>
                <c:pt idx="20">
                  <c:v>45565</c:v>
                </c:pt>
                <c:pt idx="21">
                  <c:v>45535</c:v>
                </c:pt>
                <c:pt idx="22">
                  <c:v>45504</c:v>
                </c:pt>
                <c:pt idx="23">
                  <c:v>45473</c:v>
                </c:pt>
                <c:pt idx="24">
                  <c:v>45443</c:v>
                </c:pt>
                <c:pt idx="25">
                  <c:v>45412</c:v>
                </c:pt>
                <c:pt idx="26">
                  <c:v>45382</c:v>
                </c:pt>
                <c:pt idx="27">
                  <c:v>45351</c:v>
                </c:pt>
                <c:pt idx="28">
                  <c:v>45322</c:v>
                </c:pt>
                <c:pt idx="29">
                  <c:v>45291</c:v>
                </c:pt>
                <c:pt idx="30">
                  <c:v>45260</c:v>
                </c:pt>
                <c:pt idx="31">
                  <c:v>45230</c:v>
                </c:pt>
                <c:pt idx="32">
                  <c:v>45199</c:v>
                </c:pt>
                <c:pt idx="33">
                  <c:v>45169</c:v>
                </c:pt>
                <c:pt idx="34">
                  <c:v>45138</c:v>
                </c:pt>
                <c:pt idx="35">
                  <c:v>45107</c:v>
                </c:pt>
                <c:pt idx="36">
                  <c:v>45077</c:v>
                </c:pt>
                <c:pt idx="37">
                  <c:v>45046</c:v>
                </c:pt>
                <c:pt idx="38">
                  <c:v>45016</c:v>
                </c:pt>
                <c:pt idx="39">
                  <c:v>44985</c:v>
                </c:pt>
                <c:pt idx="40">
                  <c:v>44957</c:v>
                </c:pt>
                <c:pt idx="41">
                  <c:v>44926</c:v>
                </c:pt>
                <c:pt idx="42">
                  <c:v>44895</c:v>
                </c:pt>
                <c:pt idx="43">
                  <c:v>44865</c:v>
                </c:pt>
                <c:pt idx="44">
                  <c:v>44834</c:v>
                </c:pt>
                <c:pt idx="45">
                  <c:v>44804</c:v>
                </c:pt>
                <c:pt idx="46">
                  <c:v>44773</c:v>
                </c:pt>
                <c:pt idx="47">
                  <c:v>44742</c:v>
                </c:pt>
                <c:pt idx="48">
                  <c:v>44712</c:v>
                </c:pt>
                <c:pt idx="49">
                  <c:v>44681</c:v>
                </c:pt>
                <c:pt idx="50">
                  <c:v>44651</c:v>
                </c:pt>
                <c:pt idx="51">
                  <c:v>44620</c:v>
                </c:pt>
                <c:pt idx="52">
                  <c:v>44592</c:v>
                </c:pt>
                <c:pt idx="53">
                  <c:v>44561</c:v>
                </c:pt>
                <c:pt idx="54">
                  <c:v>44530</c:v>
                </c:pt>
                <c:pt idx="55">
                  <c:v>44500</c:v>
                </c:pt>
                <c:pt idx="56">
                  <c:v>44469</c:v>
                </c:pt>
                <c:pt idx="57">
                  <c:v>44439</c:v>
                </c:pt>
                <c:pt idx="58">
                  <c:v>44408</c:v>
                </c:pt>
                <c:pt idx="59">
                  <c:v>44377</c:v>
                </c:pt>
                <c:pt idx="60">
                  <c:v>44347</c:v>
                </c:pt>
                <c:pt idx="61">
                  <c:v>44316</c:v>
                </c:pt>
                <c:pt idx="62">
                  <c:v>44286</c:v>
                </c:pt>
                <c:pt idx="63">
                  <c:v>44255</c:v>
                </c:pt>
                <c:pt idx="64">
                  <c:v>44227</c:v>
                </c:pt>
                <c:pt idx="65">
                  <c:v>44196</c:v>
                </c:pt>
                <c:pt idx="66">
                  <c:v>44165</c:v>
                </c:pt>
                <c:pt idx="67">
                  <c:v>44135</c:v>
                </c:pt>
                <c:pt idx="68">
                  <c:v>44104</c:v>
                </c:pt>
                <c:pt idx="69">
                  <c:v>44074</c:v>
                </c:pt>
                <c:pt idx="70">
                  <c:v>44043</c:v>
                </c:pt>
                <c:pt idx="71">
                  <c:v>44012</c:v>
                </c:pt>
                <c:pt idx="72">
                  <c:v>43982</c:v>
                </c:pt>
                <c:pt idx="73">
                  <c:v>43951</c:v>
                </c:pt>
                <c:pt idx="74">
                  <c:v>43921</c:v>
                </c:pt>
                <c:pt idx="75">
                  <c:v>43890</c:v>
                </c:pt>
                <c:pt idx="76">
                  <c:v>43861</c:v>
                </c:pt>
                <c:pt idx="77">
                  <c:v>43830</c:v>
                </c:pt>
                <c:pt idx="78">
                  <c:v>43799</c:v>
                </c:pt>
                <c:pt idx="79">
                  <c:v>43769</c:v>
                </c:pt>
                <c:pt idx="80">
                  <c:v>43738</c:v>
                </c:pt>
                <c:pt idx="81">
                  <c:v>43708</c:v>
                </c:pt>
                <c:pt idx="82">
                  <c:v>43677</c:v>
                </c:pt>
                <c:pt idx="83">
                  <c:v>43646</c:v>
                </c:pt>
                <c:pt idx="84">
                  <c:v>43616</c:v>
                </c:pt>
                <c:pt idx="85">
                  <c:v>43585</c:v>
                </c:pt>
                <c:pt idx="86">
                  <c:v>43555</c:v>
                </c:pt>
                <c:pt idx="87">
                  <c:v>43524</c:v>
                </c:pt>
                <c:pt idx="88">
                  <c:v>43496</c:v>
                </c:pt>
                <c:pt idx="89">
                  <c:v>43465</c:v>
                </c:pt>
                <c:pt idx="90">
                  <c:v>43434</c:v>
                </c:pt>
                <c:pt idx="91">
                  <c:v>43404</c:v>
                </c:pt>
                <c:pt idx="92">
                  <c:v>43373</c:v>
                </c:pt>
                <c:pt idx="93">
                  <c:v>43343</c:v>
                </c:pt>
                <c:pt idx="94">
                  <c:v>43312</c:v>
                </c:pt>
                <c:pt idx="95">
                  <c:v>43281</c:v>
                </c:pt>
                <c:pt idx="96">
                  <c:v>43251</c:v>
                </c:pt>
                <c:pt idx="97">
                  <c:v>43220</c:v>
                </c:pt>
                <c:pt idx="98">
                  <c:v>43190</c:v>
                </c:pt>
                <c:pt idx="99">
                  <c:v>43159</c:v>
                </c:pt>
                <c:pt idx="100">
                  <c:v>43131</c:v>
                </c:pt>
                <c:pt idx="101">
                  <c:v>43100</c:v>
                </c:pt>
                <c:pt idx="102">
                  <c:v>43069</c:v>
                </c:pt>
                <c:pt idx="103">
                  <c:v>43039</c:v>
                </c:pt>
                <c:pt idx="104">
                  <c:v>43008</c:v>
                </c:pt>
                <c:pt idx="105">
                  <c:v>42978</c:v>
                </c:pt>
                <c:pt idx="106">
                  <c:v>42947</c:v>
                </c:pt>
                <c:pt idx="107">
                  <c:v>42916</c:v>
                </c:pt>
                <c:pt idx="108">
                  <c:v>42886</c:v>
                </c:pt>
                <c:pt idx="109">
                  <c:v>42855</c:v>
                </c:pt>
                <c:pt idx="110">
                  <c:v>42825</c:v>
                </c:pt>
                <c:pt idx="111">
                  <c:v>42794</c:v>
                </c:pt>
                <c:pt idx="112">
                  <c:v>42766</c:v>
                </c:pt>
                <c:pt idx="113">
                  <c:v>42735</c:v>
                </c:pt>
                <c:pt idx="114">
                  <c:v>42704</c:v>
                </c:pt>
                <c:pt idx="115">
                  <c:v>42674</c:v>
                </c:pt>
                <c:pt idx="116">
                  <c:v>42643</c:v>
                </c:pt>
                <c:pt idx="117">
                  <c:v>42613</c:v>
                </c:pt>
                <c:pt idx="118">
                  <c:v>42582</c:v>
                </c:pt>
                <c:pt idx="119">
                  <c:v>42551</c:v>
                </c:pt>
                <c:pt idx="120">
                  <c:v>42521</c:v>
                </c:pt>
                <c:pt idx="121">
                  <c:v>42490</c:v>
                </c:pt>
                <c:pt idx="122">
                  <c:v>42460</c:v>
                </c:pt>
                <c:pt idx="123">
                  <c:v>42429</c:v>
                </c:pt>
                <c:pt idx="124">
                  <c:v>42400</c:v>
                </c:pt>
                <c:pt idx="125">
                  <c:v>42369</c:v>
                </c:pt>
                <c:pt idx="126">
                  <c:v>42338</c:v>
                </c:pt>
                <c:pt idx="127">
                  <c:v>42308</c:v>
                </c:pt>
                <c:pt idx="128">
                  <c:v>42277</c:v>
                </c:pt>
                <c:pt idx="129">
                  <c:v>42247</c:v>
                </c:pt>
                <c:pt idx="130">
                  <c:v>42216</c:v>
                </c:pt>
                <c:pt idx="131">
                  <c:v>42185</c:v>
                </c:pt>
                <c:pt idx="132">
                  <c:v>42155</c:v>
                </c:pt>
                <c:pt idx="133">
                  <c:v>42124</c:v>
                </c:pt>
                <c:pt idx="134">
                  <c:v>42094</c:v>
                </c:pt>
                <c:pt idx="135">
                  <c:v>42063</c:v>
                </c:pt>
                <c:pt idx="136">
                  <c:v>42035</c:v>
                </c:pt>
                <c:pt idx="137">
                  <c:v>42004</c:v>
                </c:pt>
                <c:pt idx="138">
                  <c:v>41973</c:v>
                </c:pt>
                <c:pt idx="139">
                  <c:v>41943</c:v>
                </c:pt>
                <c:pt idx="140">
                  <c:v>41912</c:v>
                </c:pt>
                <c:pt idx="141">
                  <c:v>41882</c:v>
                </c:pt>
                <c:pt idx="142">
                  <c:v>41851</c:v>
                </c:pt>
                <c:pt idx="143">
                  <c:v>41820</c:v>
                </c:pt>
                <c:pt idx="144">
                  <c:v>41790</c:v>
                </c:pt>
                <c:pt idx="145">
                  <c:v>41759</c:v>
                </c:pt>
                <c:pt idx="146">
                  <c:v>41729</c:v>
                </c:pt>
                <c:pt idx="147">
                  <c:v>41698</c:v>
                </c:pt>
                <c:pt idx="148">
                  <c:v>41670</c:v>
                </c:pt>
                <c:pt idx="149">
                  <c:v>41639</c:v>
                </c:pt>
                <c:pt idx="150">
                  <c:v>41608</c:v>
                </c:pt>
                <c:pt idx="151">
                  <c:v>41578</c:v>
                </c:pt>
                <c:pt idx="152">
                  <c:v>41547</c:v>
                </c:pt>
                <c:pt idx="153">
                  <c:v>41517</c:v>
                </c:pt>
                <c:pt idx="154">
                  <c:v>41486</c:v>
                </c:pt>
                <c:pt idx="155">
                  <c:v>41455</c:v>
                </c:pt>
                <c:pt idx="156">
                  <c:v>41425</c:v>
                </c:pt>
                <c:pt idx="157">
                  <c:v>41394</c:v>
                </c:pt>
                <c:pt idx="158">
                  <c:v>41364</c:v>
                </c:pt>
                <c:pt idx="159">
                  <c:v>41333</c:v>
                </c:pt>
                <c:pt idx="160">
                  <c:v>41305</c:v>
                </c:pt>
                <c:pt idx="161">
                  <c:v>41274</c:v>
                </c:pt>
                <c:pt idx="162">
                  <c:v>41243</c:v>
                </c:pt>
                <c:pt idx="163">
                  <c:v>41213</c:v>
                </c:pt>
                <c:pt idx="164">
                  <c:v>41182</c:v>
                </c:pt>
                <c:pt idx="165">
                  <c:v>41152</c:v>
                </c:pt>
                <c:pt idx="166">
                  <c:v>41121</c:v>
                </c:pt>
                <c:pt idx="167">
                  <c:v>41090</c:v>
                </c:pt>
                <c:pt idx="168">
                  <c:v>41060</c:v>
                </c:pt>
                <c:pt idx="169">
                  <c:v>41029</c:v>
                </c:pt>
                <c:pt idx="170">
                  <c:v>40999</c:v>
                </c:pt>
                <c:pt idx="171">
                  <c:v>40968</c:v>
                </c:pt>
                <c:pt idx="172">
                  <c:v>40939</c:v>
                </c:pt>
                <c:pt idx="173">
                  <c:v>40908</c:v>
                </c:pt>
                <c:pt idx="174">
                  <c:v>40877</c:v>
                </c:pt>
                <c:pt idx="175">
                  <c:v>40847</c:v>
                </c:pt>
                <c:pt idx="176">
                  <c:v>40816</c:v>
                </c:pt>
                <c:pt idx="177">
                  <c:v>40786</c:v>
                </c:pt>
                <c:pt idx="178">
                  <c:v>40755</c:v>
                </c:pt>
                <c:pt idx="179">
                  <c:v>40724</c:v>
                </c:pt>
                <c:pt idx="180">
                  <c:v>40694</c:v>
                </c:pt>
                <c:pt idx="181">
                  <c:v>40663</c:v>
                </c:pt>
                <c:pt idx="182">
                  <c:v>40633</c:v>
                </c:pt>
                <c:pt idx="183">
                  <c:v>40602</c:v>
                </c:pt>
                <c:pt idx="184">
                  <c:v>40574</c:v>
                </c:pt>
                <c:pt idx="185">
                  <c:v>40543</c:v>
                </c:pt>
                <c:pt idx="186">
                  <c:v>40512</c:v>
                </c:pt>
                <c:pt idx="187">
                  <c:v>40482</c:v>
                </c:pt>
                <c:pt idx="188">
                  <c:v>40451</c:v>
                </c:pt>
                <c:pt idx="189">
                  <c:v>40421</c:v>
                </c:pt>
                <c:pt idx="190">
                  <c:v>40390</c:v>
                </c:pt>
                <c:pt idx="191">
                  <c:v>40359</c:v>
                </c:pt>
                <c:pt idx="192">
                  <c:v>40329</c:v>
                </c:pt>
                <c:pt idx="193">
                  <c:v>40298</c:v>
                </c:pt>
                <c:pt idx="194">
                  <c:v>40268</c:v>
                </c:pt>
                <c:pt idx="195">
                  <c:v>40237</c:v>
                </c:pt>
                <c:pt idx="196">
                  <c:v>40209</c:v>
                </c:pt>
                <c:pt idx="197">
                  <c:v>40178</c:v>
                </c:pt>
                <c:pt idx="198">
                  <c:v>40147</c:v>
                </c:pt>
                <c:pt idx="199">
                  <c:v>40117</c:v>
                </c:pt>
                <c:pt idx="200">
                  <c:v>40086</c:v>
                </c:pt>
                <c:pt idx="201">
                  <c:v>40056</c:v>
                </c:pt>
                <c:pt idx="202">
                  <c:v>40025</c:v>
                </c:pt>
                <c:pt idx="203">
                  <c:v>39994</c:v>
                </c:pt>
                <c:pt idx="204">
                  <c:v>39964</c:v>
                </c:pt>
                <c:pt idx="205">
                  <c:v>39933</c:v>
                </c:pt>
                <c:pt idx="206">
                  <c:v>39903</c:v>
                </c:pt>
                <c:pt idx="207">
                  <c:v>39872</c:v>
                </c:pt>
                <c:pt idx="208">
                  <c:v>39844</c:v>
                </c:pt>
                <c:pt idx="209">
                  <c:v>39813</c:v>
                </c:pt>
                <c:pt idx="210">
                  <c:v>39782</c:v>
                </c:pt>
                <c:pt idx="211">
                  <c:v>39752</c:v>
                </c:pt>
                <c:pt idx="212">
                  <c:v>39721</c:v>
                </c:pt>
                <c:pt idx="213">
                  <c:v>39691</c:v>
                </c:pt>
                <c:pt idx="214">
                  <c:v>39660</c:v>
                </c:pt>
                <c:pt idx="215">
                  <c:v>39629</c:v>
                </c:pt>
                <c:pt idx="216">
                  <c:v>39599</c:v>
                </c:pt>
                <c:pt idx="217">
                  <c:v>39568</c:v>
                </c:pt>
                <c:pt idx="218">
                  <c:v>39538</c:v>
                </c:pt>
                <c:pt idx="219">
                  <c:v>39507</c:v>
                </c:pt>
                <c:pt idx="220">
                  <c:v>39478</c:v>
                </c:pt>
                <c:pt idx="221">
                  <c:v>39447</c:v>
                </c:pt>
                <c:pt idx="222">
                  <c:v>39416</c:v>
                </c:pt>
                <c:pt idx="223">
                  <c:v>39386</c:v>
                </c:pt>
                <c:pt idx="224">
                  <c:v>39355</c:v>
                </c:pt>
                <c:pt idx="225">
                  <c:v>39325</c:v>
                </c:pt>
                <c:pt idx="226">
                  <c:v>39294</c:v>
                </c:pt>
                <c:pt idx="227">
                  <c:v>39263</c:v>
                </c:pt>
                <c:pt idx="228">
                  <c:v>39233</c:v>
                </c:pt>
                <c:pt idx="229">
                  <c:v>39202</c:v>
                </c:pt>
                <c:pt idx="230">
                  <c:v>39172</c:v>
                </c:pt>
                <c:pt idx="231">
                  <c:v>39141</c:v>
                </c:pt>
                <c:pt idx="232">
                  <c:v>39113</c:v>
                </c:pt>
                <c:pt idx="233">
                  <c:v>39082</c:v>
                </c:pt>
                <c:pt idx="234">
                  <c:v>39051</c:v>
                </c:pt>
                <c:pt idx="235">
                  <c:v>39021</c:v>
                </c:pt>
                <c:pt idx="236">
                  <c:v>38990</c:v>
                </c:pt>
                <c:pt idx="237">
                  <c:v>38960</c:v>
                </c:pt>
                <c:pt idx="238">
                  <c:v>38929</c:v>
                </c:pt>
                <c:pt idx="239">
                  <c:v>38898</c:v>
                </c:pt>
                <c:pt idx="240">
                  <c:v>38868</c:v>
                </c:pt>
                <c:pt idx="241">
                  <c:v>38837</c:v>
                </c:pt>
                <c:pt idx="242">
                  <c:v>38807</c:v>
                </c:pt>
                <c:pt idx="243">
                  <c:v>38776</c:v>
                </c:pt>
                <c:pt idx="244">
                  <c:v>38748</c:v>
                </c:pt>
                <c:pt idx="245">
                  <c:v>38717</c:v>
                </c:pt>
                <c:pt idx="246">
                  <c:v>38686</c:v>
                </c:pt>
                <c:pt idx="247">
                  <c:v>38656</c:v>
                </c:pt>
                <c:pt idx="248">
                  <c:v>38625</c:v>
                </c:pt>
                <c:pt idx="249">
                  <c:v>38595</c:v>
                </c:pt>
                <c:pt idx="250">
                  <c:v>38564</c:v>
                </c:pt>
                <c:pt idx="251">
                  <c:v>38533</c:v>
                </c:pt>
                <c:pt idx="252">
                  <c:v>38503</c:v>
                </c:pt>
                <c:pt idx="253">
                  <c:v>38472</c:v>
                </c:pt>
                <c:pt idx="254">
                  <c:v>38442</c:v>
                </c:pt>
                <c:pt idx="255">
                  <c:v>38411</c:v>
                </c:pt>
                <c:pt idx="256">
                  <c:v>38383</c:v>
                </c:pt>
                <c:pt idx="257">
                  <c:v>38352</c:v>
                </c:pt>
                <c:pt idx="258">
                  <c:v>38321</c:v>
                </c:pt>
                <c:pt idx="259">
                  <c:v>38291</c:v>
                </c:pt>
                <c:pt idx="260">
                  <c:v>38260</c:v>
                </c:pt>
                <c:pt idx="261">
                  <c:v>38230</c:v>
                </c:pt>
                <c:pt idx="262">
                  <c:v>38199</c:v>
                </c:pt>
                <c:pt idx="263">
                  <c:v>38168</c:v>
                </c:pt>
                <c:pt idx="264">
                  <c:v>38138</c:v>
                </c:pt>
                <c:pt idx="265">
                  <c:v>38107</c:v>
                </c:pt>
                <c:pt idx="266">
                  <c:v>38077</c:v>
                </c:pt>
                <c:pt idx="267">
                  <c:v>38046</c:v>
                </c:pt>
                <c:pt idx="268">
                  <c:v>38017</c:v>
                </c:pt>
                <c:pt idx="269">
                  <c:v>37986</c:v>
                </c:pt>
                <c:pt idx="270">
                  <c:v>37955</c:v>
                </c:pt>
                <c:pt idx="271">
                  <c:v>37925</c:v>
                </c:pt>
                <c:pt idx="272">
                  <c:v>37894</c:v>
                </c:pt>
                <c:pt idx="273">
                  <c:v>37864</c:v>
                </c:pt>
                <c:pt idx="274">
                  <c:v>37833</c:v>
                </c:pt>
                <c:pt idx="275">
                  <c:v>37802</c:v>
                </c:pt>
                <c:pt idx="276">
                  <c:v>37772</c:v>
                </c:pt>
                <c:pt idx="277">
                  <c:v>37741</c:v>
                </c:pt>
                <c:pt idx="278">
                  <c:v>37711</c:v>
                </c:pt>
                <c:pt idx="279">
                  <c:v>37680</c:v>
                </c:pt>
                <c:pt idx="280">
                  <c:v>37652</c:v>
                </c:pt>
                <c:pt idx="281">
                  <c:v>37621</c:v>
                </c:pt>
                <c:pt idx="282">
                  <c:v>37590</c:v>
                </c:pt>
                <c:pt idx="283">
                  <c:v>37560</c:v>
                </c:pt>
                <c:pt idx="284">
                  <c:v>37529</c:v>
                </c:pt>
                <c:pt idx="285">
                  <c:v>37499</c:v>
                </c:pt>
                <c:pt idx="286">
                  <c:v>37468</c:v>
                </c:pt>
                <c:pt idx="287">
                  <c:v>37437</c:v>
                </c:pt>
                <c:pt idx="288">
                  <c:v>37407</c:v>
                </c:pt>
                <c:pt idx="289">
                  <c:v>37376</c:v>
                </c:pt>
                <c:pt idx="290">
                  <c:v>37346</c:v>
                </c:pt>
                <c:pt idx="291">
                  <c:v>37315</c:v>
                </c:pt>
                <c:pt idx="292">
                  <c:v>37287</c:v>
                </c:pt>
                <c:pt idx="293">
                  <c:v>37256</c:v>
                </c:pt>
                <c:pt idx="294">
                  <c:v>37225</c:v>
                </c:pt>
                <c:pt idx="295">
                  <c:v>37195</c:v>
                </c:pt>
                <c:pt idx="296">
                  <c:v>37164</c:v>
                </c:pt>
                <c:pt idx="297">
                  <c:v>37134</c:v>
                </c:pt>
                <c:pt idx="298">
                  <c:v>37103</c:v>
                </c:pt>
                <c:pt idx="299">
                  <c:v>37072</c:v>
                </c:pt>
                <c:pt idx="300">
                  <c:v>37042</c:v>
                </c:pt>
                <c:pt idx="301">
                  <c:v>37011</c:v>
                </c:pt>
                <c:pt idx="302">
                  <c:v>36981</c:v>
                </c:pt>
                <c:pt idx="303">
                  <c:v>36950</c:v>
                </c:pt>
                <c:pt idx="304">
                  <c:v>36922</c:v>
                </c:pt>
                <c:pt idx="305">
                  <c:v>36891</c:v>
                </c:pt>
                <c:pt idx="306">
                  <c:v>36860</c:v>
                </c:pt>
                <c:pt idx="307">
                  <c:v>36830</c:v>
                </c:pt>
                <c:pt idx="308">
                  <c:v>36799</c:v>
                </c:pt>
                <c:pt idx="309">
                  <c:v>36769</c:v>
                </c:pt>
                <c:pt idx="310">
                  <c:v>36738</c:v>
                </c:pt>
                <c:pt idx="311">
                  <c:v>36707</c:v>
                </c:pt>
                <c:pt idx="312">
                  <c:v>36677</c:v>
                </c:pt>
                <c:pt idx="313">
                  <c:v>36646</c:v>
                </c:pt>
                <c:pt idx="314">
                  <c:v>36616</c:v>
                </c:pt>
                <c:pt idx="315">
                  <c:v>36585</c:v>
                </c:pt>
                <c:pt idx="316">
                  <c:v>36556</c:v>
                </c:pt>
                <c:pt idx="317">
                  <c:v>36525</c:v>
                </c:pt>
                <c:pt idx="318">
                  <c:v>36494</c:v>
                </c:pt>
                <c:pt idx="319">
                  <c:v>36464</c:v>
                </c:pt>
                <c:pt idx="320">
                  <c:v>36433</c:v>
                </c:pt>
                <c:pt idx="321">
                  <c:v>36403</c:v>
                </c:pt>
                <c:pt idx="322">
                  <c:v>36372</c:v>
                </c:pt>
                <c:pt idx="323">
                  <c:v>36341</c:v>
                </c:pt>
                <c:pt idx="324">
                  <c:v>36311</c:v>
                </c:pt>
                <c:pt idx="325">
                  <c:v>36280</c:v>
                </c:pt>
                <c:pt idx="326">
                  <c:v>36250</c:v>
                </c:pt>
                <c:pt idx="327">
                  <c:v>36219</c:v>
                </c:pt>
                <c:pt idx="328">
                  <c:v>36191</c:v>
                </c:pt>
                <c:pt idx="329">
                  <c:v>36160</c:v>
                </c:pt>
                <c:pt idx="330">
                  <c:v>36129</c:v>
                </c:pt>
                <c:pt idx="331">
                  <c:v>36099</c:v>
                </c:pt>
                <c:pt idx="332">
                  <c:v>36068</c:v>
                </c:pt>
                <c:pt idx="333">
                  <c:v>36038</c:v>
                </c:pt>
                <c:pt idx="334">
                  <c:v>36007</c:v>
                </c:pt>
                <c:pt idx="335">
                  <c:v>35976</c:v>
                </c:pt>
                <c:pt idx="336">
                  <c:v>35946</c:v>
                </c:pt>
                <c:pt idx="337">
                  <c:v>35915</c:v>
                </c:pt>
                <c:pt idx="338">
                  <c:v>35885</c:v>
                </c:pt>
                <c:pt idx="339">
                  <c:v>35854</c:v>
                </c:pt>
                <c:pt idx="340">
                  <c:v>35826</c:v>
                </c:pt>
                <c:pt idx="341">
                  <c:v>35795</c:v>
                </c:pt>
                <c:pt idx="342">
                  <c:v>35764</c:v>
                </c:pt>
                <c:pt idx="343">
                  <c:v>35734</c:v>
                </c:pt>
                <c:pt idx="344">
                  <c:v>35703</c:v>
                </c:pt>
                <c:pt idx="345">
                  <c:v>35673</c:v>
                </c:pt>
                <c:pt idx="346">
                  <c:v>35642</c:v>
                </c:pt>
                <c:pt idx="347">
                  <c:v>35611</c:v>
                </c:pt>
                <c:pt idx="348">
                  <c:v>35581</c:v>
                </c:pt>
                <c:pt idx="349">
                  <c:v>35550</c:v>
                </c:pt>
                <c:pt idx="350">
                  <c:v>35520</c:v>
                </c:pt>
                <c:pt idx="351">
                  <c:v>35489</c:v>
                </c:pt>
                <c:pt idx="352">
                  <c:v>35461</c:v>
                </c:pt>
              </c:numCache>
            </c:numRef>
          </c:cat>
          <c:val>
            <c:numRef>
              <c:f>'R-Sq'!$T$3:$T$1355</c:f>
              <c:numCache>
                <c:formatCode>0%</c:formatCode>
                <c:ptCount val="1353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  <c:pt idx="31">
                  <c:v>#N/A</c:v>
                </c:pt>
                <c:pt idx="32">
                  <c:v>#N/A</c:v>
                </c:pt>
                <c:pt idx="33">
                  <c:v>#N/A</c:v>
                </c:pt>
                <c:pt idx="34">
                  <c:v>#N/A</c:v>
                </c:pt>
                <c:pt idx="35">
                  <c:v>#N/A</c:v>
                </c:pt>
                <c:pt idx="36">
                  <c:v>#N/A</c:v>
                </c:pt>
                <c:pt idx="37">
                  <c:v>#N/A</c:v>
                </c:pt>
                <c:pt idx="38">
                  <c:v>#N/A</c:v>
                </c:pt>
                <c:pt idx="39">
                  <c:v>#N/A</c:v>
                </c:pt>
                <c:pt idx="40">
                  <c:v>#N/A</c:v>
                </c:pt>
                <c:pt idx="41">
                  <c:v>#N/A</c:v>
                </c:pt>
                <c:pt idx="42">
                  <c:v>0.53868448433019489</c:v>
                </c:pt>
                <c:pt idx="43">
                  <c:v>0.53150217654555465</c:v>
                </c:pt>
                <c:pt idx="44">
                  <c:v>0.53201878226025301</c:v>
                </c:pt>
                <c:pt idx="45">
                  <c:v>0.440202420277988</c:v>
                </c:pt>
                <c:pt idx="46">
                  <c:v>0.39073576726817322</c:v>
                </c:pt>
                <c:pt idx="47">
                  <c:v>0.38175566282426393</c:v>
                </c:pt>
                <c:pt idx="48">
                  <c:v>0.37305318916015456</c:v>
                </c:pt>
                <c:pt idx="49">
                  <c:v>0.48352854419387187</c:v>
                </c:pt>
                <c:pt idx="50">
                  <c:v>0.62249389778824926</c:v>
                </c:pt>
                <c:pt idx="51">
                  <c:v>0.75974398719730463</c:v>
                </c:pt>
                <c:pt idx="52">
                  <c:v>0.81512450418955218</c:v>
                </c:pt>
                <c:pt idx="53">
                  <c:v>0.85961472674032691</c:v>
                </c:pt>
                <c:pt idx="54">
                  <c:v>0.91194685202051406</c:v>
                </c:pt>
                <c:pt idx="55">
                  <c:v>0.88614133409482188</c:v>
                </c:pt>
                <c:pt idx="56">
                  <c:v>0.86108114924618673</c:v>
                </c:pt>
                <c:pt idx="57">
                  <c:v>0.85577415663970735</c:v>
                </c:pt>
                <c:pt idx="58">
                  <c:v>0.86715378413834976</c:v>
                </c:pt>
                <c:pt idx="59">
                  <c:v>0.86845078580903057</c:v>
                </c:pt>
                <c:pt idx="60">
                  <c:v>0.86941857075897966</c:v>
                </c:pt>
                <c:pt idx="61">
                  <c:v>0.86949368875441047</c:v>
                </c:pt>
                <c:pt idx="62">
                  <c:v>0.86448461913308572</c:v>
                </c:pt>
                <c:pt idx="63">
                  <c:v>0.84537422296506359</c:v>
                </c:pt>
                <c:pt idx="64">
                  <c:v>0.81727799103789234</c:v>
                </c:pt>
                <c:pt idx="65">
                  <c:v>0.78391416656464086</c:v>
                </c:pt>
                <c:pt idx="66">
                  <c:v>0.75687680800808077</c:v>
                </c:pt>
                <c:pt idx="67">
                  <c:v>0.70697066154647792</c:v>
                </c:pt>
                <c:pt idx="68">
                  <c:v>0.70369991105462282</c:v>
                </c:pt>
                <c:pt idx="69">
                  <c:v>0.59741479185883029</c:v>
                </c:pt>
                <c:pt idx="70">
                  <c:v>0.58442348304278136</c:v>
                </c:pt>
                <c:pt idx="71">
                  <c:v>0.62694022288572249</c:v>
                </c:pt>
                <c:pt idx="72">
                  <c:v>0.71560827669198823</c:v>
                </c:pt>
                <c:pt idx="73">
                  <c:v>0.78211587746985678</c:v>
                </c:pt>
                <c:pt idx="74">
                  <c:v>0.8612918477192445</c:v>
                </c:pt>
                <c:pt idx="75">
                  <c:v>0.82599896049506683</c:v>
                </c:pt>
                <c:pt idx="76">
                  <c:v>0.7966655933241249</c:v>
                </c:pt>
                <c:pt idx="77">
                  <c:v>0.79118616172069534</c:v>
                </c:pt>
                <c:pt idx="78">
                  <c:v>0.78740139825767297</c:v>
                </c:pt>
                <c:pt idx="79">
                  <c:v>0.75362179069407387</c:v>
                </c:pt>
                <c:pt idx="80">
                  <c:v>0.72414898519795801</c:v>
                </c:pt>
                <c:pt idx="81">
                  <c:v>0.68022447368406647</c:v>
                </c:pt>
                <c:pt idx="82">
                  <c:v>0.61169804457184607</c:v>
                </c:pt>
                <c:pt idx="83">
                  <c:v>0.49283389285847834</c:v>
                </c:pt>
                <c:pt idx="84">
                  <c:v>0.40527600149883791</c:v>
                </c:pt>
                <c:pt idx="85">
                  <c:v>0.33391564278396946</c:v>
                </c:pt>
                <c:pt idx="86">
                  <c:v>0.27962834529926561</c:v>
                </c:pt>
                <c:pt idx="87">
                  <c:v>0.21447501462408661</c:v>
                </c:pt>
                <c:pt idx="88">
                  <c:v>0.21742283984478922</c:v>
                </c:pt>
                <c:pt idx="89">
                  <c:v>0.26641447316986999</c:v>
                </c:pt>
                <c:pt idx="90">
                  <c:v>0.36138576340864287</c:v>
                </c:pt>
                <c:pt idx="91">
                  <c:v>0.49036278791341753</c:v>
                </c:pt>
                <c:pt idx="92">
                  <c:v>0.66071586980533958</c:v>
                </c:pt>
                <c:pt idx="93">
                  <c:v>0.74593356851042603</c:v>
                </c:pt>
                <c:pt idx="94">
                  <c:v>0.8603762724692966</c:v>
                </c:pt>
                <c:pt idx="95">
                  <c:v>0.91202980437600478</c:v>
                </c:pt>
                <c:pt idx="96">
                  <c:v>0.88375918935447961</c:v>
                </c:pt>
                <c:pt idx="97">
                  <c:v>0.85348990167235161</c:v>
                </c:pt>
                <c:pt idx="98">
                  <c:v>0.79566892070705852</c:v>
                </c:pt>
                <c:pt idx="99">
                  <c:v>0.76998289622767302</c:v>
                </c:pt>
                <c:pt idx="100">
                  <c:v>0.74512336198856632</c:v>
                </c:pt>
                <c:pt idx="101">
                  <c:v>0.73241774127495074</c:v>
                </c:pt>
                <c:pt idx="102">
                  <c:v>0.70742733008509162</c:v>
                </c:pt>
                <c:pt idx="103">
                  <c:v>0.67604962534646718</c:v>
                </c:pt>
                <c:pt idx="104">
                  <c:v>0.67790580441337622</c:v>
                </c:pt>
                <c:pt idx="105">
                  <c:v>0.6629766701655051</c:v>
                </c:pt>
                <c:pt idx="106">
                  <c:v>0.60538611277023657</c:v>
                </c:pt>
                <c:pt idx="107">
                  <c:v>0.5861855200476801</c:v>
                </c:pt>
                <c:pt idx="108">
                  <c:v>0.5274321214875265</c:v>
                </c:pt>
                <c:pt idx="109">
                  <c:v>0.46935908982705765</c:v>
                </c:pt>
                <c:pt idx="110">
                  <c:v>0.4755670548024683</c:v>
                </c:pt>
                <c:pt idx="111">
                  <c:v>0.20134739712732277</c:v>
                </c:pt>
                <c:pt idx="112">
                  <c:v>0.1214997903808591</c:v>
                </c:pt>
                <c:pt idx="113">
                  <c:v>0.12317421193060975</c:v>
                </c:pt>
                <c:pt idx="114">
                  <c:v>0.26701520823655067</c:v>
                </c:pt>
                <c:pt idx="115">
                  <c:v>0.33769077946192794</c:v>
                </c:pt>
                <c:pt idx="116">
                  <c:v>0.40038592842449128</c:v>
                </c:pt>
                <c:pt idx="117">
                  <c:v>0.44549822352083224</c:v>
                </c:pt>
                <c:pt idx="118">
                  <c:v>0.42451306130050193</c:v>
                </c:pt>
                <c:pt idx="119">
                  <c:v>0.49950259006470277</c:v>
                </c:pt>
                <c:pt idx="120">
                  <c:v>0.60340401884215689</c:v>
                </c:pt>
                <c:pt idx="121">
                  <c:v>0.66898482168959184</c:v>
                </c:pt>
                <c:pt idx="122">
                  <c:v>0.67005592880967879</c:v>
                </c:pt>
                <c:pt idx="123">
                  <c:v>0.67048853954229293</c:v>
                </c:pt>
                <c:pt idx="124">
                  <c:v>0.6799967424556187</c:v>
                </c:pt>
                <c:pt idx="125">
                  <c:v>0.68688631429449398</c:v>
                </c:pt>
                <c:pt idx="126">
                  <c:v>0.6873336615118254</c:v>
                </c:pt>
                <c:pt idx="127">
                  <c:v>0.66053491901604078</c:v>
                </c:pt>
                <c:pt idx="128">
                  <c:v>0.68611318680067046</c:v>
                </c:pt>
                <c:pt idx="129">
                  <c:v>0.66919949794491684</c:v>
                </c:pt>
                <c:pt idx="130">
                  <c:v>0.62340962090517571</c:v>
                </c:pt>
                <c:pt idx="131">
                  <c:v>0.624481292065029</c:v>
                </c:pt>
                <c:pt idx="132">
                  <c:v>0.66094138063520147</c:v>
                </c:pt>
                <c:pt idx="133">
                  <c:v>0.70155213065549316</c:v>
                </c:pt>
                <c:pt idx="134">
                  <c:v>0.75712275366514337</c:v>
                </c:pt>
                <c:pt idx="135">
                  <c:v>0.73348143643734398</c:v>
                </c:pt>
                <c:pt idx="136">
                  <c:v>0.69263409111781615</c:v>
                </c:pt>
                <c:pt idx="137">
                  <c:v>0.61609437509709442</c:v>
                </c:pt>
                <c:pt idx="138">
                  <c:v>0.58871315766982302</c:v>
                </c:pt>
                <c:pt idx="139">
                  <c:v>0.57344542075936833</c:v>
                </c:pt>
                <c:pt idx="140">
                  <c:v>0.57231103072315392</c:v>
                </c:pt>
                <c:pt idx="141">
                  <c:v>0.58492778100086706</c:v>
                </c:pt>
                <c:pt idx="142">
                  <c:v>0.56907905161537919</c:v>
                </c:pt>
                <c:pt idx="143">
                  <c:v>0.52387439554688919</c:v>
                </c:pt>
                <c:pt idx="144">
                  <c:v>0.4792243980706351</c:v>
                </c:pt>
                <c:pt idx="145">
                  <c:v>0.2508616709309307</c:v>
                </c:pt>
                <c:pt idx="146">
                  <c:v>6.157933690132629E-2</c:v>
                </c:pt>
                <c:pt idx="147">
                  <c:v>1.2423788209972069E-2</c:v>
                </c:pt>
                <c:pt idx="148">
                  <c:v>6.8912316073715604E-4</c:v>
                </c:pt>
                <c:pt idx="149">
                  <c:v>3.1148802717955669E-3</c:v>
                </c:pt>
                <c:pt idx="150">
                  <c:v>0.1776261364659304</c:v>
                </c:pt>
                <c:pt idx="151">
                  <c:v>0.3462114509539751</c:v>
                </c:pt>
                <c:pt idx="152">
                  <c:v>4.1989663722218185E-2</c:v>
                </c:pt>
                <c:pt idx="153">
                  <c:v>4.0084392118289992E-2</c:v>
                </c:pt>
                <c:pt idx="154">
                  <c:v>0.28837582561154479</c:v>
                </c:pt>
                <c:pt idx="155">
                  <c:v>0.45056448684318906</c:v>
                </c:pt>
                <c:pt idx="156">
                  <c:v>0.54741523541303938</c:v>
                </c:pt>
                <c:pt idx="157">
                  <c:v>0.61859272085404093</c:v>
                </c:pt>
                <c:pt idx="158">
                  <c:v>0.67353489850807924</c:v>
                </c:pt>
                <c:pt idx="159">
                  <c:v>0.7206948505064239</c:v>
                </c:pt>
                <c:pt idx="160">
                  <c:v>0.75770541316046769</c:v>
                </c:pt>
                <c:pt idx="161">
                  <c:v>0.78144361626909242</c:v>
                </c:pt>
                <c:pt idx="162">
                  <c:v>0.79169875148471325</c:v>
                </c:pt>
                <c:pt idx="163">
                  <c:v>0.8097053301323347</c:v>
                </c:pt>
                <c:pt idx="164">
                  <c:v>0.80056167111051535</c:v>
                </c:pt>
                <c:pt idx="165">
                  <c:v>0.78326625747156553</c:v>
                </c:pt>
                <c:pt idx="166">
                  <c:v>0.79416795270145768</c:v>
                </c:pt>
                <c:pt idx="167">
                  <c:v>0.80822373881115961</c:v>
                </c:pt>
                <c:pt idx="168">
                  <c:v>0.7954510065609639</c:v>
                </c:pt>
                <c:pt idx="169">
                  <c:v>0.78701282219522217</c:v>
                </c:pt>
                <c:pt idx="170">
                  <c:v>0.73726530604305174</c:v>
                </c:pt>
                <c:pt idx="171">
                  <c:v>0.66739305290404216</c:v>
                </c:pt>
                <c:pt idx="172">
                  <c:v>0.60818364733407948</c:v>
                </c:pt>
                <c:pt idx="173">
                  <c:v>0.51491380244764673</c:v>
                </c:pt>
                <c:pt idx="174">
                  <c:v>0.40341728807178695</c:v>
                </c:pt>
                <c:pt idx="175">
                  <c:v>0.32020040930827653</c:v>
                </c:pt>
                <c:pt idx="176">
                  <c:v>0.23627668488559006</c:v>
                </c:pt>
                <c:pt idx="177">
                  <c:v>0.22249932676219608</c:v>
                </c:pt>
                <c:pt idx="178">
                  <c:v>0.16117602476948809</c:v>
                </c:pt>
                <c:pt idx="179">
                  <c:v>0.13817636196684147</c:v>
                </c:pt>
                <c:pt idx="180">
                  <c:v>0.27406101279000139</c:v>
                </c:pt>
                <c:pt idx="181">
                  <c:v>0.57035611606262637</c:v>
                </c:pt>
                <c:pt idx="182">
                  <c:v>0.76352214740075453</c:v>
                </c:pt>
                <c:pt idx="183">
                  <c:v>0.82428786287716183</c:v>
                </c:pt>
                <c:pt idx="184">
                  <c:v>0.89042475030993862</c:v>
                </c:pt>
                <c:pt idx="185">
                  <c:v>0.87970327313205299</c:v>
                </c:pt>
                <c:pt idx="186">
                  <c:v>0.8639806499631455</c:v>
                </c:pt>
                <c:pt idx="187">
                  <c:v>0.85381443336195528</c:v>
                </c:pt>
                <c:pt idx="188">
                  <c:v>0.82581808219878883</c:v>
                </c:pt>
                <c:pt idx="189">
                  <c:v>0.78386552577428092</c:v>
                </c:pt>
                <c:pt idx="190">
                  <c:v>0.74135314694622956</c:v>
                </c:pt>
                <c:pt idx="191">
                  <c:v>0.72177872646594987</c:v>
                </c:pt>
                <c:pt idx="192">
                  <c:v>0.74335207980293672</c:v>
                </c:pt>
                <c:pt idx="193">
                  <c:v>0.72416008823706313</c:v>
                </c:pt>
                <c:pt idx="194">
                  <c:v>0.6640365743710368</c:v>
                </c:pt>
                <c:pt idx="195">
                  <c:v>0.5076024872469912</c:v>
                </c:pt>
                <c:pt idx="196">
                  <c:v>0.39179231039572771</c:v>
                </c:pt>
                <c:pt idx="197">
                  <c:v>0.36291270086027377</c:v>
                </c:pt>
                <c:pt idx="198">
                  <c:v>0.17414756361561484</c:v>
                </c:pt>
                <c:pt idx="199">
                  <c:v>0.11339729272830483</c:v>
                </c:pt>
                <c:pt idx="200">
                  <c:v>0.17313714713427189</c:v>
                </c:pt>
                <c:pt idx="201">
                  <c:v>0.23132208853216249</c:v>
                </c:pt>
                <c:pt idx="202">
                  <c:v>0.2990793281329297</c:v>
                </c:pt>
                <c:pt idx="203">
                  <c:v>0.36928717877062772</c:v>
                </c:pt>
                <c:pt idx="204">
                  <c:v>0.44510320572185486</c:v>
                </c:pt>
                <c:pt idx="205">
                  <c:v>0.49848192689191417</c:v>
                </c:pt>
                <c:pt idx="206">
                  <c:v>0.55813765669261473</c:v>
                </c:pt>
                <c:pt idx="207">
                  <c:v>0.63532458791376445</c:v>
                </c:pt>
                <c:pt idx="208">
                  <c:v>0.71947002201743515</c:v>
                </c:pt>
                <c:pt idx="209">
                  <c:v>0.74251820934659318</c:v>
                </c:pt>
                <c:pt idx="210">
                  <c:v>0.69355172481787919</c:v>
                </c:pt>
                <c:pt idx="211">
                  <c:v>0.67332406985335402</c:v>
                </c:pt>
                <c:pt idx="212">
                  <c:v>0.67506541102324613</c:v>
                </c:pt>
                <c:pt idx="213">
                  <c:v>0.73162202154465583</c:v>
                </c:pt>
                <c:pt idx="214">
                  <c:v>0.78452777933864559</c:v>
                </c:pt>
                <c:pt idx="215">
                  <c:v>0.7774700518453016</c:v>
                </c:pt>
                <c:pt idx="216">
                  <c:v>0.79523121197225988</c:v>
                </c:pt>
                <c:pt idx="217">
                  <c:v>0.83170012787705616</c:v>
                </c:pt>
                <c:pt idx="218">
                  <c:v>0.84793200262579016</c:v>
                </c:pt>
                <c:pt idx="219">
                  <c:v>0.89212060655156888</c:v>
                </c:pt>
                <c:pt idx="220">
                  <c:v>0.90956739708152878</c:v>
                </c:pt>
                <c:pt idx="221">
                  <c:v>0.91754080849696673</c:v>
                </c:pt>
                <c:pt idx="222">
                  <c:v>0.9232827236596669</c:v>
                </c:pt>
                <c:pt idx="223">
                  <c:v>0.92802687595130884</c:v>
                </c:pt>
                <c:pt idx="224">
                  <c:v>0.93103258996366989</c:v>
                </c:pt>
                <c:pt idx="225">
                  <c:v>0.9253120836996962</c:v>
                </c:pt>
                <c:pt idx="226">
                  <c:v>0.92081690626278412</c:v>
                </c:pt>
                <c:pt idx="227">
                  <c:v>0.90725147540470441</c:v>
                </c:pt>
                <c:pt idx="228">
                  <c:v>0.9045653532161928</c:v>
                </c:pt>
                <c:pt idx="229">
                  <c:v>0.8970800042333319</c:v>
                </c:pt>
                <c:pt idx="230">
                  <c:v>0.82796813414568704</c:v>
                </c:pt>
                <c:pt idx="231">
                  <c:v>0.72268667950658882</c:v>
                </c:pt>
                <c:pt idx="232">
                  <c:v>0.58968670019616742</c:v>
                </c:pt>
                <c:pt idx="233">
                  <c:v>0.39663326761463935</c:v>
                </c:pt>
                <c:pt idx="234">
                  <c:v>0.39987404881704319</c:v>
                </c:pt>
                <c:pt idx="235">
                  <c:v>0.41419376297768901</c:v>
                </c:pt>
                <c:pt idx="236">
                  <c:v>0.47767011359336925</c:v>
                </c:pt>
                <c:pt idx="237">
                  <c:v>0.56336258187015997</c:v>
                </c:pt>
                <c:pt idx="238">
                  <c:v>0.63682019160974235</c:v>
                </c:pt>
                <c:pt idx="239">
                  <c:v>0.68146194498902313</c:v>
                </c:pt>
                <c:pt idx="240">
                  <c:v>0.72027263022029753</c:v>
                </c:pt>
                <c:pt idx="241">
                  <c:v>0.77981575280763882</c:v>
                </c:pt>
                <c:pt idx="242">
                  <c:v>0.79487277645295118</c:v>
                </c:pt>
                <c:pt idx="243">
                  <c:v>0.79167713532527173</c:v>
                </c:pt>
                <c:pt idx="244">
                  <c:v>0.8019414240692323</c:v>
                </c:pt>
                <c:pt idx="245">
                  <c:v>0.78371911999296529</c:v>
                </c:pt>
                <c:pt idx="246">
                  <c:v>0.77969218238338278</c:v>
                </c:pt>
                <c:pt idx="247">
                  <c:v>0.7747838197454987</c:v>
                </c:pt>
                <c:pt idx="248">
                  <c:v>0.8195933349518868</c:v>
                </c:pt>
                <c:pt idx="249">
                  <c:v>0.85814725969729566</c:v>
                </c:pt>
                <c:pt idx="250">
                  <c:v>0.87903469822027636</c:v>
                </c:pt>
                <c:pt idx="251">
                  <c:v>0.852545506585353</c:v>
                </c:pt>
                <c:pt idx="252">
                  <c:v>0.81680235536125434</c:v>
                </c:pt>
                <c:pt idx="253">
                  <c:v>0.72795378964214741</c:v>
                </c:pt>
                <c:pt idx="254">
                  <c:v>0.62319607151176148</c:v>
                </c:pt>
                <c:pt idx="255">
                  <c:v>0.49991670515757392</c:v>
                </c:pt>
                <c:pt idx="256">
                  <c:v>0.35874134121545204</c:v>
                </c:pt>
                <c:pt idx="257">
                  <c:v>0.28114032317848392</c:v>
                </c:pt>
                <c:pt idx="258">
                  <c:v>0.14914230056166478</c:v>
                </c:pt>
                <c:pt idx="259">
                  <c:v>8.2966394149395661E-2</c:v>
                </c:pt>
                <c:pt idx="260">
                  <c:v>2.248872660773242E-2</c:v>
                </c:pt>
                <c:pt idx="261">
                  <c:v>1.2410558714109953E-3</c:v>
                </c:pt>
                <c:pt idx="262">
                  <c:v>1.6837478019548338E-2</c:v>
                </c:pt>
                <c:pt idx="263">
                  <c:v>0.12114158655023671</c:v>
                </c:pt>
                <c:pt idx="264">
                  <c:v>0.25643279686032144</c:v>
                </c:pt>
                <c:pt idx="265">
                  <c:v>0.34253916439286758</c:v>
                </c:pt>
                <c:pt idx="266">
                  <c:v>0.33345044263846557</c:v>
                </c:pt>
                <c:pt idx="267">
                  <c:v>0.33253145719255423</c:v>
                </c:pt>
                <c:pt idx="268">
                  <c:v>0.37076554580834215</c:v>
                </c:pt>
                <c:pt idx="269">
                  <c:v>0.35590595904547406</c:v>
                </c:pt>
                <c:pt idx="270">
                  <c:v>0.32980293491810453</c:v>
                </c:pt>
                <c:pt idx="271">
                  <c:v>0.23378502004057175</c:v>
                </c:pt>
                <c:pt idx="272">
                  <c:v>0.11563668741103837</c:v>
                </c:pt>
                <c:pt idx="273">
                  <c:v>2.3367396408663092E-2</c:v>
                </c:pt>
                <c:pt idx="274">
                  <c:v>4.3025575408415232E-4</c:v>
                </c:pt>
                <c:pt idx="275">
                  <c:v>2.1689742929773062E-2</c:v>
                </c:pt>
                <c:pt idx="276">
                  <c:v>0.1907321667043648</c:v>
                </c:pt>
                <c:pt idx="277">
                  <c:v>0.45419009245535075</c:v>
                </c:pt>
                <c:pt idx="278">
                  <c:v>0.75874150074017621</c:v>
                </c:pt>
                <c:pt idx="279">
                  <c:v>0.74879152888266143</c:v>
                </c:pt>
                <c:pt idx="280">
                  <c:v>0.80747882961267525</c:v>
                </c:pt>
                <c:pt idx="281">
                  <c:v>0.82295855351614389</c:v>
                </c:pt>
                <c:pt idx="282">
                  <c:v>0.79595222410444599</c:v>
                </c:pt>
                <c:pt idx="283">
                  <c:v>0.68942740292222227</c:v>
                </c:pt>
                <c:pt idx="284">
                  <c:v>0.68469152622223006</c:v>
                </c:pt>
                <c:pt idx="285">
                  <c:v>0.69255489585352392</c:v>
                </c:pt>
                <c:pt idx="286">
                  <c:v>0.66563156964813597</c:v>
                </c:pt>
                <c:pt idx="287">
                  <c:v>0.67817974487393906</c:v>
                </c:pt>
                <c:pt idx="288">
                  <c:v>0.65394789627229422</c:v>
                </c:pt>
                <c:pt idx="289">
                  <c:v>0.62697267780312427</c:v>
                </c:pt>
                <c:pt idx="290">
                  <c:v>0.59065906242845323</c:v>
                </c:pt>
                <c:pt idx="291">
                  <c:v>0.57491012382010465</c:v>
                </c:pt>
                <c:pt idx="292">
                  <c:v>0.59307172209028947</c:v>
                </c:pt>
                <c:pt idx="293">
                  <c:v>0.66481662853567536</c:v>
                </c:pt>
                <c:pt idx="294">
                  <c:v>#N/A</c:v>
                </c:pt>
                <c:pt idx="295">
                  <c:v>#N/A</c:v>
                </c:pt>
                <c:pt idx="296">
                  <c:v>#N/A</c:v>
                </c:pt>
                <c:pt idx="297">
                  <c:v>#N/A</c:v>
                </c:pt>
                <c:pt idx="298">
                  <c:v>#N/A</c:v>
                </c:pt>
                <c:pt idx="299">
                  <c:v>#N/A</c:v>
                </c:pt>
                <c:pt idx="300">
                  <c:v>#N/A</c:v>
                </c:pt>
                <c:pt idx="301">
                  <c:v>#N/A</c:v>
                </c:pt>
                <c:pt idx="302">
                  <c:v>#N/A</c:v>
                </c:pt>
                <c:pt idx="303">
                  <c:v>#N/A</c:v>
                </c:pt>
                <c:pt idx="304">
                  <c:v>#N/A</c:v>
                </c:pt>
                <c:pt idx="305">
                  <c:v>#N/A</c:v>
                </c:pt>
                <c:pt idx="306">
                  <c:v>#N/A</c:v>
                </c:pt>
                <c:pt idx="307">
                  <c:v>#N/A</c:v>
                </c:pt>
                <c:pt idx="308">
                  <c:v>#N/A</c:v>
                </c:pt>
                <c:pt idx="309">
                  <c:v>#N/A</c:v>
                </c:pt>
                <c:pt idx="310">
                  <c:v>#N/A</c:v>
                </c:pt>
                <c:pt idx="311">
                  <c:v>#N/A</c:v>
                </c:pt>
                <c:pt idx="312">
                  <c:v>#N/A</c:v>
                </c:pt>
                <c:pt idx="313">
                  <c:v>#N/A</c:v>
                </c:pt>
                <c:pt idx="314">
                  <c:v>#N/A</c:v>
                </c:pt>
                <c:pt idx="315">
                  <c:v>#N/A</c:v>
                </c:pt>
                <c:pt idx="316">
                  <c:v>#N/A</c:v>
                </c:pt>
                <c:pt idx="317">
                  <c:v>#N/A</c:v>
                </c:pt>
                <c:pt idx="318">
                  <c:v>#N/A</c:v>
                </c:pt>
                <c:pt idx="319">
                  <c:v>#N/A</c:v>
                </c:pt>
                <c:pt idx="320">
                  <c:v>#N/A</c:v>
                </c:pt>
                <c:pt idx="321">
                  <c:v>#N/A</c:v>
                </c:pt>
                <c:pt idx="322">
                  <c:v>#N/A</c:v>
                </c:pt>
                <c:pt idx="323">
                  <c:v>#N/A</c:v>
                </c:pt>
                <c:pt idx="324">
                  <c:v>#N/A</c:v>
                </c:pt>
                <c:pt idx="325">
                  <c:v>#N/A</c:v>
                </c:pt>
                <c:pt idx="326">
                  <c:v>#N/A</c:v>
                </c:pt>
                <c:pt idx="327">
                  <c:v>#N/A</c:v>
                </c:pt>
                <c:pt idx="328">
                  <c:v>#N/A</c:v>
                </c:pt>
                <c:pt idx="329">
                  <c:v>#N/A</c:v>
                </c:pt>
                <c:pt idx="330">
                  <c:v>#N/A</c:v>
                </c:pt>
                <c:pt idx="331">
                  <c:v>#N/A</c:v>
                </c:pt>
                <c:pt idx="332">
                  <c:v>#N/A</c:v>
                </c:pt>
                <c:pt idx="333">
                  <c:v>#N/A</c:v>
                </c:pt>
                <c:pt idx="334">
                  <c:v>#N/A</c:v>
                </c:pt>
                <c:pt idx="335">
                  <c:v>#N/A</c:v>
                </c:pt>
                <c:pt idx="336">
                  <c:v>#N/A</c:v>
                </c:pt>
                <c:pt idx="337">
                  <c:v>#N/A</c:v>
                </c:pt>
                <c:pt idx="338">
                  <c:v>#N/A</c:v>
                </c:pt>
                <c:pt idx="339">
                  <c:v>#N/A</c:v>
                </c:pt>
                <c:pt idx="340">
                  <c:v>#N/A</c:v>
                </c:pt>
                <c:pt idx="341">
                  <c:v>#N/A</c:v>
                </c:pt>
                <c:pt idx="342">
                  <c:v>#N/A</c:v>
                </c:pt>
                <c:pt idx="343">
                  <c:v>#N/A</c:v>
                </c:pt>
                <c:pt idx="344">
                  <c:v>#N/A</c:v>
                </c:pt>
                <c:pt idx="345">
                  <c:v>#N/A</c:v>
                </c:pt>
                <c:pt idx="346">
                  <c:v>#N/A</c:v>
                </c:pt>
                <c:pt idx="347">
                  <c:v>#N/A</c:v>
                </c:pt>
                <c:pt idx="348">
                  <c:v>#N/A</c:v>
                </c:pt>
                <c:pt idx="349">
                  <c:v>#N/A</c:v>
                </c:pt>
                <c:pt idx="350">
                  <c:v>#N/A</c:v>
                </c:pt>
                <c:pt idx="351">
                  <c:v>#N/A</c:v>
                </c:pt>
                <c:pt idx="352">
                  <c:v>#N/A</c:v>
                </c:pt>
                <c:pt idx="353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BAA-496F-90E9-3D542A505E6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58880608"/>
        <c:axId val="1758880128"/>
      </c:lineChart>
      <c:dateAx>
        <c:axId val="1758880608"/>
        <c:scaling>
          <c:orientation val="minMax"/>
          <c:min val="35796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yyyy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58880128"/>
        <c:crosses val="autoZero"/>
        <c:auto val="1"/>
        <c:lblOffset val="100"/>
        <c:baseTimeUnit val="months"/>
        <c:majorUnit val="2"/>
        <c:majorTimeUnit val="years"/>
      </c:dateAx>
      <c:valAx>
        <c:axId val="17588801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58880608"/>
        <c:crosses val="autoZero"/>
        <c:crossBetween val="midCat"/>
        <c:majorUnit val="0.2"/>
        <c:minorUnit val="0.1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R-Squared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'R-Sq'!$I$2</c:f>
              <c:strCache>
                <c:ptCount val="1"/>
                <c:pt idx="0">
                  <c:v>Credit : M2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'R-Sq'!$A$3:$A$1355</c:f>
              <c:numCache>
                <c:formatCode>m/d/yyyy</c:formatCode>
                <c:ptCount val="1353"/>
                <c:pt idx="0">
                  <c:v>46173</c:v>
                </c:pt>
                <c:pt idx="1">
                  <c:v>46142</c:v>
                </c:pt>
                <c:pt idx="2">
                  <c:v>46112</c:v>
                </c:pt>
                <c:pt idx="3">
                  <c:v>46081</c:v>
                </c:pt>
                <c:pt idx="4">
                  <c:v>46053</c:v>
                </c:pt>
                <c:pt idx="5">
                  <c:v>46022</c:v>
                </c:pt>
                <c:pt idx="6">
                  <c:v>45991</c:v>
                </c:pt>
                <c:pt idx="7">
                  <c:v>45961</c:v>
                </c:pt>
                <c:pt idx="8">
                  <c:v>45930</c:v>
                </c:pt>
                <c:pt idx="9">
                  <c:v>45900</c:v>
                </c:pt>
                <c:pt idx="10">
                  <c:v>45869</c:v>
                </c:pt>
                <c:pt idx="11">
                  <c:v>45838</c:v>
                </c:pt>
                <c:pt idx="12">
                  <c:v>45808</c:v>
                </c:pt>
                <c:pt idx="13">
                  <c:v>45777</c:v>
                </c:pt>
                <c:pt idx="14">
                  <c:v>45747</c:v>
                </c:pt>
                <c:pt idx="15">
                  <c:v>45716</c:v>
                </c:pt>
                <c:pt idx="16">
                  <c:v>45688</c:v>
                </c:pt>
                <c:pt idx="17">
                  <c:v>45657</c:v>
                </c:pt>
                <c:pt idx="18">
                  <c:v>45626</c:v>
                </c:pt>
                <c:pt idx="19">
                  <c:v>45596</c:v>
                </c:pt>
                <c:pt idx="20">
                  <c:v>45565</c:v>
                </c:pt>
                <c:pt idx="21">
                  <c:v>45535</c:v>
                </c:pt>
                <c:pt idx="22">
                  <c:v>45504</c:v>
                </c:pt>
                <c:pt idx="23">
                  <c:v>45473</c:v>
                </c:pt>
                <c:pt idx="24">
                  <c:v>45443</c:v>
                </c:pt>
                <c:pt idx="25">
                  <c:v>45412</c:v>
                </c:pt>
                <c:pt idx="26">
                  <c:v>45382</c:v>
                </c:pt>
                <c:pt idx="27">
                  <c:v>45351</c:v>
                </c:pt>
                <c:pt idx="28">
                  <c:v>45322</c:v>
                </c:pt>
                <c:pt idx="29">
                  <c:v>45291</c:v>
                </c:pt>
                <c:pt idx="30">
                  <c:v>45260</c:v>
                </c:pt>
                <c:pt idx="31">
                  <c:v>45230</c:v>
                </c:pt>
                <c:pt idx="32">
                  <c:v>45199</c:v>
                </c:pt>
                <c:pt idx="33">
                  <c:v>45169</c:v>
                </c:pt>
                <c:pt idx="34">
                  <c:v>45138</c:v>
                </c:pt>
                <c:pt idx="35">
                  <c:v>45107</c:v>
                </c:pt>
                <c:pt idx="36">
                  <c:v>45077</c:v>
                </c:pt>
                <c:pt idx="37">
                  <c:v>45046</c:v>
                </c:pt>
                <c:pt idx="38">
                  <c:v>45016</c:v>
                </c:pt>
                <c:pt idx="39">
                  <c:v>44985</c:v>
                </c:pt>
                <c:pt idx="40">
                  <c:v>44957</c:v>
                </c:pt>
                <c:pt idx="41">
                  <c:v>44926</c:v>
                </c:pt>
                <c:pt idx="42">
                  <c:v>44895</c:v>
                </c:pt>
                <c:pt idx="43">
                  <c:v>44865</c:v>
                </c:pt>
                <c:pt idx="44">
                  <c:v>44834</c:v>
                </c:pt>
                <c:pt idx="45">
                  <c:v>44804</c:v>
                </c:pt>
                <c:pt idx="46">
                  <c:v>44773</c:v>
                </c:pt>
                <c:pt idx="47">
                  <c:v>44742</c:v>
                </c:pt>
                <c:pt idx="48">
                  <c:v>44712</c:v>
                </c:pt>
                <c:pt idx="49">
                  <c:v>44681</c:v>
                </c:pt>
                <c:pt idx="50">
                  <c:v>44651</c:v>
                </c:pt>
                <c:pt idx="51">
                  <c:v>44620</c:v>
                </c:pt>
                <c:pt idx="52">
                  <c:v>44592</c:v>
                </c:pt>
                <c:pt idx="53">
                  <c:v>44561</c:v>
                </c:pt>
                <c:pt idx="54">
                  <c:v>44530</c:v>
                </c:pt>
                <c:pt idx="55">
                  <c:v>44500</c:v>
                </c:pt>
                <c:pt idx="56">
                  <c:v>44469</c:v>
                </c:pt>
                <c:pt idx="57">
                  <c:v>44439</c:v>
                </c:pt>
                <c:pt idx="58">
                  <c:v>44408</c:v>
                </c:pt>
                <c:pt idx="59">
                  <c:v>44377</c:v>
                </c:pt>
                <c:pt idx="60">
                  <c:v>44347</c:v>
                </c:pt>
                <c:pt idx="61">
                  <c:v>44316</c:v>
                </c:pt>
                <c:pt idx="62">
                  <c:v>44286</c:v>
                </c:pt>
                <c:pt idx="63">
                  <c:v>44255</c:v>
                </c:pt>
                <c:pt idx="64">
                  <c:v>44227</c:v>
                </c:pt>
                <c:pt idx="65">
                  <c:v>44196</c:v>
                </c:pt>
                <c:pt idx="66">
                  <c:v>44165</c:v>
                </c:pt>
                <c:pt idx="67">
                  <c:v>44135</c:v>
                </c:pt>
                <c:pt idx="68">
                  <c:v>44104</c:v>
                </c:pt>
                <c:pt idx="69">
                  <c:v>44074</c:v>
                </c:pt>
                <c:pt idx="70">
                  <c:v>44043</c:v>
                </c:pt>
                <c:pt idx="71">
                  <c:v>44012</c:v>
                </c:pt>
                <c:pt idx="72">
                  <c:v>43982</c:v>
                </c:pt>
                <c:pt idx="73">
                  <c:v>43951</c:v>
                </c:pt>
                <c:pt idx="74">
                  <c:v>43921</c:v>
                </c:pt>
                <c:pt idx="75">
                  <c:v>43890</c:v>
                </c:pt>
                <c:pt idx="76">
                  <c:v>43861</c:v>
                </c:pt>
                <c:pt idx="77">
                  <c:v>43830</c:v>
                </c:pt>
                <c:pt idx="78">
                  <c:v>43799</c:v>
                </c:pt>
                <c:pt idx="79">
                  <c:v>43769</c:v>
                </c:pt>
                <c:pt idx="80">
                  <c:v>43738</c:v>
                </c:pt>
                <c:pt idx="81">
                  <c:v>43708</c:v>
                </c:pt>
                <c:pt idx="82">
                  <c:v>43677</c:v>
                </c:pt>
                <c:pt idx="83">
                  <c:v>43646</c:v>
                </c:pt>
                <c:pt idx="84">
                  <c:v>43616</c:v>
                </c:pt>
                <c:pt idx="85">
                  <c:v>43585</c:v>
                </c:pt>
                <c:pt idx="86">
                  <c:v>43555</c:v>
                </c:pt>
                <c:pt idx="87">
                  <c:v>43524</c:v>
                </c:pt>
                <c:pt idx="88">
                  <c:v>43496</c:v>
                </c:pt>
                <c:pt idx="89">
                  <c:v>43465</c:v>
                </c:pt>
                <c:pt idx="90">
                  <c:v>43434</c:v>
                </c:pt>
                <c:pt idx="91">
                  <c:v>43404</c:v>
                </c:pt>
                <c:pt idx="92">
                  <c:v>43373</c:v>
                </c:pt>
                <c:pt idx="93">
                  <c:v>43343</c:v>
                </c:pt>
                <c:pt idx="94">
                  <c:v>43312</c:v>
                </c:pt>
                <c:pt idx="95">
                  <c:v>43281</c:v>
                </c:pt>
                <c:pt idx="96">
                  <c:v>43251</c:v>
                </c:pt>
                <c:pt idx="97">
                  <c:v>43220</c:v>
                </c:pt>
                <c:pt idx="98">
                  <c:v>43190</c:v>
                </c:pt>
                <c:pt idx="99">
                  <c:v>43159</c:v>
                </c:pt>
                <c:pt idx="100">
                  <c:v>43131</c:v>
                </c:pt>
                <c:pt idx="101">
                  <c:v>43100</c:v>
                </c:pt>
                <c:pt idx="102">
                  <c:v>43069</c:v>
                </c:pt>
                <c:pt idx="103">
                  <c:v>43039</c:v>
                </c:pt>
                <c:pt idx="104">
                  <c:v>43008</c:v>
                </c:pt>
                <c:pt idx="105">
                  <c:v>42978</c:v>
                </c:pt>
                <c:pt idx="106">
                  <c:v>42947</c:v>
                </c:pt>
                <c:pt idx="107">
                  <c:v>42916</c:v>
                </c:pt>
                <c:pt idx="108">
                  <c:v>42886</c:v>
                </c:pt>
                <c:pt idx="109">
                  <c:v>42855</c:v>
                </c:pt>
                <c:pt idx="110">
                  <c:v>42825</c:v>
                </c:pt>
                <c:pt idx="111">
                  <c:v>42794</c:v>
                </c:pt>
                <c:pt idx="112">
                  <c:v>42766</c:v>
                </c:pt>
                <c:pt idx="113">
                  <c:v>42735</c:v>
                </c:pt>
                <c:pt idx="114">
                  <c:v>42704</c:v>
                </c:pt>
                <c:pt idx="115">
                  <c:v>42674</c:v>
                </c:pt>
                <c:pt idx="116">
                  <c:v>42643</c:v>
                </c:pt>
                <c:pt idx="117">
                  <c:v>42613</c:v>
                </c:pt>
                <c:pt idx="118">
                  <c:v>42582</c:v>
                </c:pt>
                <c:pt idx="119">
                  <c:v>42551</c:v>
                </c:pt>
                <c:pt idx="120">
                  <c:v>42521</c:v>
                </c:pt>
                <c:pt idx="121">
                  <c:v>42490</c:v>
                </c:pt>
                <c:pt idx="122">
                  <c:v>42460</c:v>
                </c:pt>
                <c:pt idx="123">
                  <c:v>42429</c:v>
                </c:pt>
                <c:pt idx="124">
                  <c:v>42400</c:v>
                </c:pt>
                <c:pt idx="125">
                  <c:v>42369</c:v>
                </c:pt>
                <c:pt idx="126">
                  <c:v>42338</c:v>
                </c:pt>
                <c:pt idx="127">
                  <c:v>42308</c:v>
                </c:pt>
                <c:pt idx="128">
                  <c:v>42277</c:v>
                </c:pt>
                <c:pt idx="129">
                  <c:v>42247</c:v>
                </c:pt>
                <c:pt idx="130">
                  <c:v>42216</c:v>
                </c:pt>
                <c:pt idx="131">
                  <c:v>42185</c:v>
                </c:pt>
                <c:pt idx="132">
                  <c:v>42155</c:v>
                </c:pt>
                <c:pt idx="133">
                  <c:v>42124</c:v>
                </c:pt>
                <c:pt idx="134">
                  <c:v>42094</c:v>
                </c:pt>
                <c:pt idx="135">
                  <c:v>42063</c:v>
                </c:pt>
                <c:pt idx="136">
                  <c:v>42035</c:v>
                </c:pt>
                <c:pt idx="137">
                  <c:v>42004</c:v>
                </c:pt>
                <c:pt idx="138">
                  <c:v>41973</c:v>
                </c:pt>
                <c:pt idx="139">
                  <c:v>41943</c:v>
                </c:pt>
                <c:pt idx="140">
                  <c:v>41912</c:v>
                </c:pt>
                <c:pt idx="141">
                  <c:v>41882</c:v>
                </c:pt>
                <c:pt idx="142">
                  <c:v>41851</c:v>
                </c:pt>
                <c:pt idx="143">
                  <c:v>41820</c:v>
                </c:pt>
                <c:pt idx="144">
                  <c:v>41790</c:v>
                </c:pt>
                <c:pt idx="145">
                  <c:v>41759</c:v>
                </c:pt>
                <c:pt idx="146">
                  <c:v>41729</c:v>
                </c:pt>
                <c:pt idx="147">
                  <c:v>41698</c:v>
                </c:pt>
                <c:pt idx="148">
                  <c:v>41670</c:v>
                </c:pt>
                <c:pt idx="149">
                  <c:v>41639</c:v>
                </c:pt>
                <c:pt idx="150">
                  <c:v>41608</c:v>
                </c:pt>
                <c:pt idx="151">
                  <c:v>41578</c:v>
                </c:pt>
                <c:pt idx="152">
                  <c:v>41547</c:v>
                </c:pt>
                <c:pt idx="153">
                  <c:v>41517</c:v>
                </c:pt>
                <c:pt idx="154">
                  <c:v>41486</c:v>
                </c:pt>
                <c:pt idx="155">
                  <c:v>41455</c:v>
                </c:pt>
                <c:pt idx="156">
                  <c:v>41425</c:v>
                </c:pt>
                <c:pt idx="157">
                  <c:v>41394</c:v>
                </c:pt>
                <c:pt idx="158">
                  <c:v>41364</c:v>
                </c:pt>
                <c:pt idx="159">
                  <c:v>41333</c:v>
                </c:pt>
                <c:pt idx="160">
                  <c:v>41305</c:v>
                </c:pt>
                <c:pt idx="161">
                  <c:v>41274</c:v>
                </c:pt>
                <c:pt idx="162">
                  <c:v>41243</c:v>
                </c:pt>
                <c:pt idx="163">
                  <c:v>41213</c:v>
                </c:pt>
                <c:pt idx="164">
                  <c:v>41182</c:v>
                </c:pt>
                <c:pt idx="165">
                  <c:v>41152</c:v>
                </c:pt>
                <c:pt idx="166">
                  <c:v>41121</c:v>
                </c:pt>
                <c:pt idx="167">
                  <c:v>41090</c:v>
                </c:pt>
                <c:pt idx="168">
                  <c:v>41060</c:v>
                </c:pt>
                <c:pt idx="169">
                  <c:v>41029</c:v>
                </c:pt>
                <c:pt idx="170">
                  <c:v>40999</c:v>
                </c:pt>
                <c:pt idx="171">
                  <c:v>40968</c:v>
                </c:pt>
                <c:pt idx="172">
                  <c:v>40939</c:v>
                </c:pt>
                <c:pt idx="173">
                  <c:v>40908</c:v>
                </c:pt>
                <c:pt idx="174">
                  <c:v>40877</c:v>
                </c:pt>
                <c:pt idx="175">
                  <c:v>40847</c:v>
                </c:pt>
                <c:pt idx="176">
                  <c:v>40816</c:v>
                </c:pt>
                <c:pt idx="177">
                  <c:v>40786</c:v>
                </c:pt>
                <c:pt idx="178">
                  <c:v>40755</c:v>
                </c:pt>
                <c:pt idx="179">
                  <c:v>40724</c:v>
                </c:pt>
                <c:pt idx="180">
                  <c:v>40694</c:v>
                </c:pt>
                <c:pt idx="181">
                  <c:v>40663</c:v>
                </c:pt>
                <c:pt idx="182">
                  <c:v>40633</c:v>
                </c:pt>
                <c:pt idx="183">
                  <c:v>40602</c:v>
                </c:pt>
                <c:pt idx="184">
                  <c:v>40574</c:v>
                </c:pt>
                <c:pt idx="185">
                  <c:v>40543</c:v>
                </c:pt>
                <c:pt idx="186">
                  <c:v>40512</c:v>
                </c:pt>
                <c:pt idx="187">
                  <c:v>40482</c:v>
                </c:pt>
                <c:pt idx="188">
                  <c:v>40451</c:v>
                </c:pt>
                <c:pt idx="189">
                  <c:v>40421</c:v>
                </c:pt>
                <c:pt idx="190">
                  <c:v>40390</c:v>
                </c:pt>
                <c:pt idx="191">
                  <c:v>40359</c:v>
                </c:pt>
                <c:pt idx="192">
                  <c:v>40329</c:v>
                </c:pt>
                <c:pt idx="193">
                  <c:v>40298</c:v>
                </c:pt>
                <c:pt idx="194">
                  <c:v>40268</c:v>
                </c:pt>
                <c:pt idx="195">
                  <c:v>40237</c:v>
                </c:pt>
                <c:pt idx="196">
                  <c:v>40209</c:v>
                </c:pt>
                <c:pt idx="197">
                  <c:v>40178</c:v>
                </c:pt>
                <c:pt idx="198">
                  <c:v>40147</c:v>
                </c:pt>
                <c:pt idx="199">
                  <c:v>40117</c:v>
                </c:pt>
                <c:pt idx="200">
                  <c:v>40086</c:v>
                </c:pt>
                <c:pt idx="201">
                  <c:v>40056</c:v>
                </c:pt>
                <c:pt idx="202">
                  <c:v>40025</c:v>
                </c:pt>
                <c:pt idx="203">
                  <c:v>39994</c:v>
                </c:pt>
                <c:pt idx="204">
                  <c:v>39964</c:v>
                </c:pt>
                <c:pt idx="205">
                  <c:v>39933</c:v>
                </c:pt>
                <c:pt idx="206">
                  <c:v>39903</c:v>
                </c:pt>
                <c:pt idx="207">
                  <c:v>39872</c:v>
                </c:pt>
                <c:pt idx="208">
                  <c:v>39844</c:v>
                </c:pt>
                <c:pt idx="209">
                  <c:v>39813</c:v>
                </c:pt>
                <c:pt idx="210">
                  <c:v>39782</c:v>
                </c:pt>
                <c:pt idx="211">
                  <c:v>39752</c:v>
                </c:pt>
                <c:pt idx="212">
                  <c:v>39721</c:v>
                </c:pt>
                <c:pt idx="213">
                  <c:v>39691</c:v>
                </c:pt>
                <c:pt idx="214">
                  <c:v>39660</c:v>
                </c:pt>
                <c:pt idx="215">
                  <c:v>39629</c:v>
                </c:pt>
                <c:pt idx="216">
                  <c:v>39599</c:v>
                </c:pt>
                <c:pt idx="217">
                  <c:v>39568</c:v>
                </c:pt>
                <c:pt idx="218">
                  <c:v>39538</c:v>
                </c:pt>
                <c:pt idx="219">
                  <c:v>39507</c:v>
                </c:pt>
                <c:pt idx="220">
                  <c:v>39478</c:v>
                </c:pt>
                <c:pt idx="221">
                  <c:v>39447</c:v>
                </c:pt>
                <c:pt idx="222">
                  <c:v>39416</c:v>
                </c:pt>
                <c:pt idx="223">
                  <c:v>39386</c:v>
                </c:pt>
                <c:pt idx="224">
                  <c:v>39355</c:v>
                </c:pt>
                <c:pt idx="225">
                  <c:v>39325</c:v>
                </c:pt>
                <c:pt idx="226">
                  <c:v>39294</c:v>
                </c:pt>
                <c:pt idx="227">
                  <c:v>39263</c:v>
                </c:pt>
                <c:pt idx="228">
                  <c:v>39233</c:v>
                </c:pt>
                <c:pt idx="229">
                  <c:v>39202</c:v>
                </c:pt>
                <c:pt idx="230">
                  <c:v>39172</c:v>
                </c:pt>
                <c:pt idx="231">
                  <c:v>39141</c:v>
                </c:pt>
                <c:pt idx="232">
                  <c:v>39113</c:v>
                </c:pt>
                <c:pt idx="233">
                  <c:v>39082</c:v>
                </c:pt>
                <c:pt idx="234">
                  <c:v>39051</c:v>
                </c:pt>
                <c:pt idx="235">
                  <c:v>39021</c:v>
                </c:pt>
                <c:pt idx="236">
                  <c:v>38990</c:v>
                </c:pt>
                <c:pt idx="237">
                  <c:v>38960</c:v>
                </c:pt>
                <c:pt idx="238">
                  <c:v>38929</c:v>
                </c:pt>
                <c:pt idx="239">
                  <c:v>38898</c:v>
                </c:pt>
                <c:pt idx="240">
                  <c:v>38868</c:v>
                </c:pt>
                <c:pt idx="241">
                  <c:v>38837</c:v>
                </c:pt>
                <c:pt idx="242">
                  <c:v>38807</c:v>
                </c:pt>
                <c:pt idx="243">
                  <c:v>38776</c:v>
                </c:pt>
                <c:pt idx="244">
                  <c:v>38748</c:v>
                </c:pt>
                <c:pt idx="245">
                  <c:v>38717</c:v>
                </c:pt>
                <c:pt idx="246">
                  <c:v>38686</c:v>
                </c:pt>
                <c:pt idx="247">
                  <c:v>38656</c:v>
                </c:pt>
                <c:pt idx="248">
                  <c:v>38625</c:v>
                </c:pt>
                <c:pt idx="249">
                  <c:v>38595</c:v>
                </c:pt>
                <c:pt idx="250">
                  <c:v>38564</c:v>
                </c:pt>
                <c:pt idx="251">
                  <c:v>38533</c:v>
                </c:pt>
                <c:pt idx="252">
                  <c:v>38503</c:v>
                </c:pt>
                <c:pt idx="253">
                  <c:v>38472</c:v>
                </c:pt>
                <c:pt idx="254">
                  <c:v>38442</c:v>
                </c:pt>
                <c:pt idx="255">
                  <c:v>38411</c:v>
                </c:pt>
                <c:pt idx="256">
                  <c:v>38383</c:v>
                </c:pt>
                <c:pt idx="257">
                  <c:v>38352</c:v>
                </c:pt>
                <c:pt idx="258">
                  <c:v>38321</c:v>
                </c:pt>
                <c:pt idx="259">
                  <c:v>38291</c:v>
                </c:pt>
                <c:pt idx="260">
                  <c:v>38260</c:v>
                </c:pt>
                <c:pt idx="261">
                  <c:v>38230</c:v>
                </c:pt>
                <c:pt idx="262">
                  <c:v>38199</c:v>
                </c:pt>
                <c:pt idx="263">
                  <c:v>38168</c:v>
                </c:pt>
                <c:pt idx="264">
                  <c:v>38138</c:v>
                </c:pt>
                <c:pt idx="265">
                  <c:v>38107</c:v>
                </c:pt>
                <c:pt idx="266">
                  <c:v>38077</c:v>
                </c:pt>
                <c:pt idx="267">
                  <c:v>38046</c:v>
                </c:pt>
                <c:pt idx="268">
                  <c:v>38017</c:v>
                </c:pt>
                <c:pt idx="269">
                  <c:v>37986</c:v>
                </c:pt>
                <c:pt idx="270">
                  <c:v>37955</c:v>
                </c:pt>
                <c:pt idx="271">
                  <c:v>37925</c:v>
                </c:pt>
                <c:pt idx="272">
                  <c:v>37894</c:v>
                </c:pt>
                <c:pt idx="273">
                  <c:v>37864</c:v>
                </c:pt>
                <c:pt idx="274">
                  <c:v>37833</c:v>
                </c:pt>
                <c:pt idx="275">
                  <c:v>37802</c:v>
                </c:pt>
                <c:pt idx="276">
                  <c:v>37772</c:v>
                </c:pt>
                <c:pt idx="277">
                  <c:v>37741</c:v>
                </c:pt>
                <c:pt idx="278">
                  <c:v>37711</c:v>
                </c:pt>
                <c:pt idx="279">
                  <c:v>37680</c:v>
                </c:pt>
                <c:pt idx="280">
                  <c:v>37652</c:v>
                </c:pt>
                <c:pt idx="281">
                  <c:v>37621</c:v>
                </c:pt>
                <c:pt idx="282">
                  <c:v>37590</c:v>
                </c:pt>
                <c:pt idx="283">
                  <c:v>37560</c:v>
                </c:pt>
                <c:pt idx="284">
                  <c:v>37529</c:v>
                </c:pt>
                <c:pt idx="285">
                  <c:v>37499</c:v>
                </c:pt>
                <c:pt idx="286">
                  <c:v>37468</c:v>
                </c:pt>
                <c:pt idx="287">
                  <c:v>37437</c:v>
                </c:pt>
                <c:pt idx="288">
                  <c:v>37407</c:v>
                </c:pt>
                <c:pt idx="289">
                  <c:v>37376</c:v>
                </c:pt>
                <c:pt idx="290">
                  <c:v>37346</c:v>
                </c:pt>
                <c:pt idx="291">
                  <c:v>37315</c:v>
                </c:pt>
                <c:pt idx="292">
                  <c:v>37287</c:v>
                </c:pt>
                <c:pt idx="293">
                  <c:v>37256</c:v>
                </c:pt>
                <c:pt idx="294">
                  <c:v>37225</c:v>
                </c:pt>
                <c:pt idx="295">
                  <c:v>37195</c:v>
                </c:pt>
                <c:pt idx="296">
                  <c:v>37164</c:v>
                </c:pt>
                <c:pt idx="297">
                  <c:v>37134</c:v>
                </c:pt>
                <c:pt idx="298">
                  <c:v>37103</c:v>
                </c:pt>
                <c:pt idx="299">
                  <c:v>37072</c:v>
                </c:pt>
                <c:pt idx="300">
                  <c:v>37042</c:v>
                </c:pt>
                <c:pt idx="301">
                  <c:v>37011</c:v>
                </c:pt>
                <c:pt idx="302">
                  <c:v>36981</c:v>
                </c:pt>
                <c:pt idx="303">
                  <c:v>36950</c:v>
                </c:pt>
                <c:pt idx="304">
                  <c:v>36922</c:v>
                </c:pt>
                <c:pt idx="305">
                  <c:v>36891</c:v>
                </c:pt>
                <c:pt idx="306">
                  <c:v>36860</c:v>
                </c:pt>
                <c:pt idx="307">
                  <c:v>36830</c:v>
                </c:pt>
                <c:pt idx="308">
                  <c:v>36799</c:v>
                </c:pt>
                <c:pt idx="309">
                  <c:v>36769</c:v>
                </c:pt>
                <c:pt idx="310">
                  <c:v>36738</c:v>
                </c:pt>
                <c:pt idx="311">
                  <c:v>36707</c:v>
                </c:pt>
                <c:pt idx="312">
                  <c:v>36677</c:v>
                </c:pt>
                <c:pt idx="313">
                  <c:v>36646</c:v>
                </c:pt>
                <c:pt idx="314">
                  <c:v>36616</c:v>
                </c:pt>
                <c:pt idx="315">
                  <c:v>36585</c:v>
                </c:pt>
                <c:pt idx="316">
                  <c:v>36556</c:v>
                </c:pt>
                <c:pt idx="317">
                  <c:v>36525</c:v>
                </c:pt>
                <c:pt idx="318">
                  <c:v>36494</c:v>
                </c:pt>
                <c:pt idx="319">
                  <c:v>36464</c:v>
                </c:pt>
                <c:pt idx="320">
                  <c:v>36433</c:v>
                </c:pt>
                <c:pt idx="321">
                  <c:v>36403</c:v>
                </c:pt>
                <c:pt idx="322">
                  <c:v>36372</c:v>
                </c:pt>
                <c:pt idx="323">
                  <c:v>36341</c:v>
                </c:pt>
                <c:pt idx="324">
                  <c:v>36311</c:v>
                </c:pt>
                <c:pt idx="325">
                  <c:v>36280</c:v>
                </c:pt>
                <c:pt idx="326">
                  <c:v>36250</c:v>
                </c:pt>
                <c:pt idx="327">
                  <c:v>36219</c:v>
                </c:pt>
                <c:pt idx="328">
                  <c:v>36191</c:v>
                </c:pt>
                <c:pt idx="329">
                  <c:v>36160</c:v>
                </c:pt>
                <c:pt idx="330">
                  <c:v>36129</c:v>
                </c:pt>
                <c:pt idx="331">
                  <c:v>36099</c:v>
                </c:pt>
                <c:pt idx="332">
                  <c:v>36068</c:v>
                </c:pt>
                <c:pt idx="333">
                  <c:v>36038</c:v>
                </c:pt>
                <c:pt idx="334">
                  <c:v>36007</c:v>
                </c:pt>
                <c:pt idx="335">
                  <c:v>35976</c:v>
                </c:pt>
                <c:pt idx="336">
                  <c:v>35946</c:v>
                </c:pt>
                <c:pt idx="337">
                  <c:v>35915</c:v>
                </c:pt>
                <c:pt idx="338">
                  <c:v>35885</c:v>
                </c:pt>
                <c:pt idx="339">
                  <c:v>35854</c:v>
                </c:pt>
                <c:pt idx="340">
                  <c:v>35826</c:v>
                </c:pt>
                <c:pt idx="341">
                  <c:v>35795</c:v>
                </c:pt>
                <c:pt idx="342">
                  <c:v>35764</c:v>
                </c:pt>
                <c:pt idx="343">
                  <c:v>35734</c:v>
                </c:pt>
                <c:pt idx="344">
                  <c:v>35703</c:v>
                </c:pt>
                <c:pt idx="345">
                  <c:v>35673</c:v>
                </c:pt>
                <c:pt idx="346">
                  <c:v>35642</c:v>
                </c:pt>
                <c:pt idx="347">
                  <c:v>35611</c:v>
                </c:pt>
                <c:pt idx="348">
                  <c:v>35581</c:v>
                </c:pt>
                <c:pt idx="349">
                  <c:v>35550</c:v>
                </c:pt>
                <c:pt idx="350">
                  <c:v>35520</c:v>
                </c:pt>
                <c:pt idx="351">
                  <c:v>35489</c:v>
                </c:pt>
                <c:pt idx="352">
                  <c:v>35461</c:v>
                </c:pt>
              </c:numCache>
            </c:numRef>
          </c:cat>
          <c:val>
            <c:numRef>
              <c:f>'R-Sq'!$I$3:$I$1355</c:f>
              <c:numCache>
                <c:formatCode>0%</c:formatCode>
                <c:ptCount val="1353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7.4458237606580338E-2</c:v>
                </c:pt>
                <c:pt idx="22">
                  <c:v>6.7403289383159301E-2</c:v>
                </c:pt>
                <c:pt idx="23">
                  <c:v>6.3300227995648412E-2</c:v>
                </c:pt>
                <c:pt idx="24">
                  <c:v>6.8654687968855821E-2</c:v>
                </c:pt>
                <c:pt idx="25">
                  <c:v>6.6426788639756484E-2</c:v>
                </c:pt>
                <c:pt idx="26">
                  <c:v>6.2602985761224389E-2</c:v>
                </c:pt>
                <c:pt idx="27">
                  <c:v>6.1542337749705502E-2</c:v>
                </c:pt>
                <c:pt idx="28">
                  <c:v>5.78372023975696E-2</c:v>
                </c:pt>
                <c:pt idx="29">
                  <c:v>5.307711292542959E-2</c:v>
                </c:pt>
                <c:pt idx="30">
                  <c:v>4.2303692235549487E-2</c:v>
                </c:pt>
                <c:pt idx="31">
                  <c:v>3.5749630220364613E-2</c:v>
                </c:pt>
                <c:pt idx="32">
                  <c:v>2.4742654376083476E-2</c:v>
                </c:pt>
                <c:pt idx="33">
                  <c:v>2.0691213493758638E-2</c:v>
                </c:pt>
                <c:pt idx="34">
                  <c:v>2.3056000230247228E-2</c:v>
                </c:pt>
                <c:pt idx="35">
                  <c:v>3.189058806735777E-2</c:v>
                </c:pt>
                <c:pt idx="36">
                  <c:v>4.2753435259941103E-2</c:v>
                </c:pt>
                <c:pt idx="37">
                  <c:v>3.7347378341733892E-2</c:v>
                </c:pt>
                <c:pt idx="38">
                  <c:v>2.4998737539383132E-2</c:v>
                </c:pt>
                <c:pt idx="39">
                  <c:v>1.5332417960990779E-2</c:v>
                </c:pt>
                <c:pt idx="40">
                  <c:v>6.3243785474043582E-3</c:v>
                </c:pt>
                <c:pt idx="41">
                  <c:v>4.6149074694944144E-3</c:v>
                </c:pt>
                <c:pt idx="42">
                  <c:v>6.6285160472980345E-4</c:v>
                </c:pt>
                <c:pt idx="43">
                  <c:v>2.4439463485921525E-5</c:v>
                </c:pt>
                <c:pt idx="44">
                  <c:v>9.0664039508280166E-4</c:v>
                </c:pt>
                <c:pt idx="45">
                  <c:v>7.6854447175356893E-3</c:v>
                </c:pt>
                <c:pt idx="46">
                  <c:v>1.0331483806195745E-2</c:v>
                </c:pt>
                <c:pt idx="47">
                  <c:v>1.1319534150854888E-2</c:v>
                </c:pt>
                <c:pt idx="48">
                  <c:v>1.5438651869411974E-2</c:v>
                </c:pt>
                <c:pt idx="49">
                  <c:v>1.4841877899983426E-2</c:v>
                </c:pt>
                <c:pt idx="50">
                  <c:v>1.1657297053410745E-2</c:v>
                </c:pt>
                <c:pt idx="51">
                  <c:v>4.1033000595314933E-3</c:v>
                </c:pt>
                <c:pt idx="52">
                  <c:v>1.7347420391831997E-3</c:v>
                </c:pt>
                <c:pt idx="53">
                  <c:v>5.3031648844882615E-5</c:v>
                </c:pt>
                <c:pt idx="54">
                  <c:v>1.6736468018630131E-5</c:v>
                </c:pt>
                <c:pt idx="55">
                  <c:v>5.6893481782875382E-7</c:v>
                </c:pt>
                <c:pt idx="56">
                  <c:v>1.0000502739016895E-4</c:v>
                </c:pt>
                <c:pt idx="57">
                  <c:v>6.541331722448449E-4</c:v>
                </c:pt>
                <c:pt idx="58">
                  <c:v>4.7398093064450362E-3</c:v>
                </c:pt>
                <c:pt idx="59">
                  <c:v>1.4147678167571703E-2</c:v>
                </c:pt>
                <c:pt idx="60">
                  <c:v>1.665631783772574E-2</c:v>
                </c:pt>
                <c:pt idx="61">
                  <c:v>2.1253829811554364E-2</c:v>
                </c:pt>
                <c:pt idx="62">
                  <c:v>2.2128475219559032E-2</c:v>
                </c:pt>
                <c:pt idx="63">
                  <c:v>2.6276199680159713E-2</c:v>
                </c:pt>
                <c:pt idx="64">
                  <c:v>2.3356164478699537E-2</c:v>
                </c:pt>
                <c:pt idx="65">
                  <c:v>2.2701606134476315E-2</c:v>
                </c:pt>
                <c:pt idx="66">
                  <c:v>3.0457222331381217E-2</c:v>
                </c:pt>
                <c:pt idx="67">
                  <c:v>4.1838924395743667E-2</c:v>
                </c:pt>
                <c:pt idx="68">
                  <c:v>4.565266135196526E-2</c:v>
                </c:pt>
                <c:pt idx="69">
                  <c:v>5.6194151211356853E-2</c:v>
                </c:pt>
                <c:pt idx="70">
                  <c:v>6.5668829053513969E-2</c:v>
                </c:pt>
                <c:pt idx="71">
                  <c:v>7.3930541236713859E-2</c:v>
                </c:pt>
                <c:pt idx="72">
                  <c:v>7.1336957205908422E-2</c:v>
                </c:pt>
                <c:pt idx="73">
                  <c:v>6.6130114820640032E-2</c:v>
                </c:pt>
                <c:pt idx="74">
                  <c:v>6.2258671760445784E-2</c:v>
                </c:pt>
                <c:pt idx="75">
                  <c:v>0.10651527200269804</c:v>
                </c:pt>
                <c:pt idx="76">
                  <c:v>0.10779474922321267</c:v>
                </c:pt>
                <c:pt idx="77">
                  <c:v>0.10173804302869978</c:v>
                </c:pt>
                <c:pt idx="78">
                  <c:v>0.10648054906582985</c:v>
                </c:pt>
                <c:pt idx="79">
                  <c:v>9.6893100190692527E-2</c:v>
                </c:pt>
                <c:pt idx="80">
                  <c:v>8.2368821478553386E-2</c:v>
                </c:pt>
                <c:pt idx="81">
                  <c:v>7.3060047169180992E-2</c:v>
                </c:pt>
                <c:pt idx="82">
                  <c:v>5.3670543583210134E-2</c:v>
                </c:pt>
                <c:pt idx="83">
                  <c:v>3.7422117276710749E-2</c:v>
                </c:pt>
                <c:pt idx="84">
                  <c:v>2.9956867332068097E-2</c:v>
                </c:pt>
                <c:pt idx="85">
                  <c:v>2.0150115666257261E-2</c:v>
                </c:pt>
                <c:pt idx="86">
                  <c:v>2.1243081056101995E-2</c:v>
                </c:pt>
                <c:pt idx="87">
                  <c:v>1.2615417578574524E-2</c:v>
                </c:pt>
                <c:pt idx="88">
                  <c:v>6.7149152836764115E-3</c:v>
                </c:pt>
                <c:pt idx="89">
                  <c:v>4.2580639446512048E-3</c:v>
                </c:pt>
                <c:pt idx="90">
                  <c:v>3.5109400271034381E-3</c:v>
                </c:pt>
                <c:pt idx="91">
                  <c:v>1.3574003718991312E-3</c:v>
                </c:pt>
                <c:pt idx="92">
                  <c:v>4.5041805739434386E-6</c:v>
                </c:pt>
                <c:pt idx="93">
                  <c:v>3.3322043807525204E-5</c:v>
                </c:pt>
                <c:pt idx="94">
                  <c:v>1.2066758560786784E-4</c:v>
                </c:pt>
                <c:pt idx="95">
                  <c:v>1.6946469080394704E-3</c:v>
                </c:pt>
                <c:pt idx="96">
                  <c:v>5.7347385339499282E-3</c:v>
                </c:pt>
                <c:pt idx="97">
                  <c:v>3.6550577036254571E-3</c:v>
                </c:pt>
                <c:pt idx="98">
                  <c:v>6.4550989886612243E-4</c:v>
                </c:pt>
                <c:pt idx="99">
                  <c:v>1.1800713241111565E-3</c:v>
                </c:pt>
                <c:pt idx="100">
                  <c:v>9.855250159192341E-3</c:v>
                </c:pt>
                <c:pt idx="101">
                  <c:v>1.334946975744992E-2</c:v>
                </c:pt>
                <c:pt idx="102">
                  <c:v>3.3349662917997673E-2</c:v>
                </c:pt>
                <c:pt idx="103">
                  <c:v>4.4731805717089949E-2</c:v>
                </c:pt>
                <c:pt idx="104">
                  <c:v>5.3119443275363984E-2</c:v>
                </c:pt>
                <c:pt idx="105">
                  <c:v>6.7428673165294564E-2</c:v>
                </c:pt>
                <c:pt idx="106">
                  <c:v>7.0131183541431927E-2</c:v>
                </c:pt>
                <c:pt idx="107">
                  <c:v>8.2217843717314887E-2</c:v>
                </c:pt>
                <c:pt idx="108">
                  <c:v>9.7941607193020142E-2</c:v>
                </c:pt>
                <c:pt idx="109">
                  <c:v>0.11463448300030255</c:v>
                </c:pt>
                <c:pt idx="110">
                  <c:v>0.11218487749140389</c:v>
                </c:pt>
                <c:pt idx="111">
                  <c:v>0.10744881361292875</c:v>
                </c:pt>
                <c:pt idx="112">
                  <c:v>0.11148092324047076</c:v>
                </c:pt>
                <c:pt idx="113">
                  <c:v>0.11663435327797288</c:v>
                </c:pt>
                <c:pt idx="114">
                  <c:v>0.13814162859680537</c:v>
                </c:pt>
                <c:pt idx="115">
                  <c:v>0.16367966665226238</c:v>
                </c:pt>
                <c:pt idx="116">
                  <c:v>0.19716389655720762</c:v>
                </c:pt>
                <c:pt idx="117">
                  <c:v>0.23723123115822159</c:v>
                </c:pt>
                <c:pt idx="118">
                  <c:v>0.25656351097983349</c:v>
                </c:pt>
                <c:pt idx="119">
                  <c:v>0.24834789534589341</c:v>
                </c:pt>
                <c:pt idx="120">
                  <c:v>0.22768915975909063</c:v>
                </c:pt>
                <c:pt idx="121">
                  <c:v>0.21526603663291266</c:v>
                </c:pt>
                <c:pt idx="122">
                  <c:v>0.2186507936479275</c:v>
                </c:pt>
                <c:pt idx="123">
                  <c:v>0.21395438099190556</c:v>
                </c:pt>
                <c:pt idx="124">
                  <c:v>0.21128502341843863</c:v>
                </c:pt>
                <c:pt idx="125">
                  <c:v>0.22468053962381818</c:v>
                </c:pt>
                <c:pt idx="126">
                  <c:v>0.22376579103363339</c:v>
                </c:pt>
                <c:pt idx="127">
                  <c:v>0.22720183800682814</c:v>
                </c:pt>
                <c:pt idx="128">
                  <c:v>0.22985917516591184</c:v>
                </c:pt>
                <c:pt idx="129">
                  <c:v>0.25422906143186935</c:v>
                </c:pt>
                <c:pt idx="130">
                  <c:v>0.27128101950423505</c:v>
                </c:pt>
                <c:pt idx="131">
                  <c:v>0.2704715349153769</c:v>
                </c:pt>
                <c:pt idx="132">
                  <c:v>0.27594899716854482</c:v>
                </c:pt>
                <c:pt idx="133">
                  <c:v>0.27284426109380611</c:v>
                </c:pt>
                <c:pt idx="134">
                  <c:v>0.26438034469249672</c:v>
                </c:pt>
                <c:pt idx="135">
                  <c:v>0.25287528465752146</c:v>
                </c:pt>
                <c:pt idx="136">
                  <c:v>0.23237391178074593</c:v>
                </c:pt>
                <c:pt idx="137">
                  <c:v>0.21013353741886084</c:v>
                </c:pt>
                <c:pt idx="138">
                  <c:v>0.17754261267854843</c:v>
                </c:pt>
                <c:pt idx="139">
                  <c:v>0.14821796401203938</c:v>
                </c:pt>
                <c:pt idx="140">
                  <c:v>0.12941550773995608</c:v>
                </c:pt>
                <c:pt idx="141">
                  <c:v>0.11300117116715114</c:v>
                </c:pt>
                <c:pt idx="142">
                  <c:v>9.2049103595359061E-2</c:v>
                </c:pt>
                <c:pt idx="143">
                  <c:v>6.9050372674233668E-2</c:v>
                </c:pt>
                <c:pt idx="144">
                  <c:v>5.5054463986530071E-2</c:v>
                </c:pt>
                <c:pt idx="145">
                  <c:v>2.6389776536428648E-2</c:v>
                </c:pt>
                <c:pt idx="146">
                  <c:v>1.4821210858742996E-2</c:v>
                </c:pt>
                <c:pt idx="147">
                  <c:v>1.7843841641430339E-2</c:v>
                </c:pt>
                <c:pt idx="148">
                  <c:v>5.1843904945333752E-2</c:v>
                </c:pt>
                <c:pt idx="149">
                  <c:v>6.700629784635527E-2</c:v>
                </c:pt>
                <c:pt idx="150">
                  <c:v>3.1378042570104861E-2</c:v>
                </c:pt>
                <c:pt idx="151">
                  <c:v>2.0255377833245511E-3</c:v>
                </c:pt>
                <c:pt idx="152">
                  <c:v>3.944799696196699E-3</c:v>
                </c:pt>
                <c:pt idx="153">
                  <c:v>6.4231768706802139E-2</c:v>
                </c:pt>
                <c:pt idx="154">
                  <c:v>0.19111214464920112</c:v>
                </c:pt>
                <c:pt idx="155">
                  <c:v>0.25576926928605043</c:v>
                </c:pt>
                <c:pt idx="156">
                  <c:v>0.31382666902479583</c:v>
                </c:pt>
                <c:pt idx="157">
                  <c:v>0.38185324201256676</c:v>
                </c:pt>
                <c:pt idx="158">
                  <c:v>0.44076636380162953</c:v>
                </c:pt>
                <c:pt idx="159">
                  <c:v>0.4795503229323046</c:v>
                </c:pt>
                <c:pt idx="160">
                  <c:v>0.51148519993718733</c:v>
                </c:pt>
                <c:pt idx="161">
                  <c:v>0.54739080805307294</c:v>
                </c:pt>
                <c:pt idx="162">
                  <c:v>0.57872833370264487</c:v>
                </c:pt>
                <c:pt idx="163">
                  <c:v>0.59591029708213183</c:v>
                </c:pt>
                <c:pt idx="164">
                  <c:v>0.59574893168185583</c:v>
                </c:pt>
                <c:pt idx="165">
                  <c:v>0.58792388701186626</c:v>
                </c:pt>
                <c:pt idx="166">
                  <c:v>0.58503081186876527</c:v>
                </c:pt>
                <c:pt idx="167">
                  <c:v>0.5823235062035923</c:v>
                </c:pt>
                <c:pt idx="168">
                  <c:v>0.56036131910326237</c:v>
                </c:pt>
                <c:pt idx="169">
                  <c:v>0.53088671800201181</c:v>
                </c:pt>
                <c:pt idx="170">
                  <c:v>0.50250293743841323</c:v>
                </c:pt>
                <c:pt idx="171">
                  <c:v>0.48071850615882999</c:v>
                </c:pt>
                <c:pt idx="172">
                  <c:v>0.45950863299696693</c:v>
                </c:pt>
                <c:pt idx="173">
                  <c:v>0.4385994160054596</c:v>
                </c:pt>
                <c:pt idx="174">
                  <c:v>0.42984615257404707</c:v>
                </c:pt>
                <c:pt idx="175">
                  <c:v>0.4226443515346886</c:v>
                </c:pt>
                <c:pt idx="176">
                  <c:v>0.41200403318697398</c:v>
                </c:pt>
                <c:pt idx="177">
                  <c:v>0.40831449313474977</c:v>
                </c:pt>
                <c:pt idx="178">
                  <c:v>0.40395381257190033</c:v>
                </c:pt>
                <c:pt idx="179">
                  <c:v>0.40034044143851183</c:v>
                </c:pt>
                <c:pt idx="180">
                  <c:v>0.39748607460250474</c:v>
                </c:pt>
                <c:pt idx="181">
                  <c:v>0.39617217595508136</c:v>
                </c:pt>
                <c:pt idx="182">
                  <c:v>0.39588397481738991</c:v>
                </c:pt>
                <c:pt idx="183">
                  <c:v>0.39861638191489362</c:v>
                </c:pt>
                <c:pt idx="184">
                  <c:v>0.40104373401662574</c:v>
                </c:pt>
                <c:pt idx="185">
                  <c:v>0.40306132311830561</c:v>
                </c:pt>
                <c:pt idx="186">
                  <c:v>0.40215692856749008</c:v>
                </c:pt>
                <c:pt idx="187">
                  <c:v>0.40130787830683273</c:v>
                </c:pt>
                <c:pt idx="188">
                  <c:v>0.40178305417718024</c:v>
                </c:pt>
                <c:pt idx="189">
                  <c:v>0.40168216912303589</c:v>
                </c:pt>
                <c:pt idx="190">
                  <c:v>0.40105104750765458</c:v>
                </c:pt>
                <c:pt idx="191">
                  <c:v>0.39814434685597738</c:v>
                </c:pt>
                <c:pt idx="192">
                  <c:v>0.39296875309754659</c:v>
                </c:pt>
                <c:pt idx="193">
                  <c:v>0.38985947805045235</c:v>
                </c:pt>
                <c:pt idx="194">
                  <c:v>0.3968662066284801</c:v>
                </c:pt>
                <c:pt idx="195">
                  <c:v>0.40461038619111056</c:v>
                </c:pt>
                <c:pt idx="196">
                  <c:v>0.40770197644775086</c:v>
                </c:pt>
                <c:pt idx="197">
                  <c:v>0.40796910569746214</c:v>
                </c:pt>
                <c:pt idx="198">
                  <c:v>0.41678271265585742</c:v>
                </c:pt>
                <c:pt idx="199">
                  <c:v>0.41768182350864752</c:v>
                </c:pt>
                <c:pt idx="200">
                  <c:v>0.41353568976498506</c:v>
                </c:pt>
                <c:pt idx="201">
                  <c:v>0.40934200116372088</c:v>
                </c:pt>
                <c:pt idx="202">
                  <c:v>0.40331302774156019</c:v>
                </c:pt>
                <c:pt idx="203">
                  <c:v>0.3968064712929702</c:v>
                </c:pt>
                <c:pt idx="204">
                  <c:v>0.3888388690521547</c:v>
                </c:pt>
                <c:pt idx="205">
                  <c:v>0.379295749286093</c:v>
                </c:pt>
                <c:pt idx="206">
                  <c:v>0.37310694126608179</c:v>
                </c:pt>
                <c:pt idx="207">
                  <c:v>0.37008125665050912</c:v>
                </c:pt>
                <c:pt idx="208">
                  <c:v>0.38276361068681375</c:v>
                </c:pt>
                <c:pt idx="209">
                  <c:v>0.38835855183030316</c:v>
                </c:pt>
                <c:pt idx="210">
                  <c:v>0.39867002548340619</c:v>
                </c:pt>
                <c:pt idx="211">
                  <c:v>0.41449408198707127</c:v>
                </c:pt>
                <c:pt idx="212">
                  <c:v>0.43545482399236102</c:v>
                </c:pt>
                <c:pt idx="213">
                  <c:v>0.4412432541435759</c:v>
                </c:pt>
                <c:pt idx="214">
                  <c:v>0.4655737376096038</c:v>
                </c:pt>
                <c:pt idx="215">
                  <c:v>0.51199931186048231</c:v>
                </c:pt>
                <c:pt idx="216">
                  <c:v>0.55502057384981396</c:v>
                </c:pt>
                <c:pt idx="217">
                  <c:v>0.56698218547505475</c:v>
                </c:pt>
                <c:pt idx="218">
                  <c:v>0.58038608001489544</c:v>
                </c:pt>
                <c:pt idx="219">
                  <c:v>0.62207716772009825</c:v>
                </c:pt>
                <c:pt idx="220">
                  <c:v>0.65166524884902977</c:v>
                </c:pt>
                <c:pt idx="221">
                  <c:v>0.69424053488472448</c:v>
                </c:pt>
                <c:pt idx="222">
                  <c:v>0.73081156610587428</c:v>
                </c:pt>
                <c:pt idx="223">
                  <c:v>0.746933406219083</c:v>
                </c:pt>
                <c:pt idx="224">
                  <c:v>0.7418567114894371</c:v>
                </c:pt>
                <c:pt idx="225">
                  <c:v>0.72390126011794564</c:v>
                </c:pt>
                <c:pt idx="226">
                  <c:v>0.70868612670996978</c:v>
                </c:pt>
                <c:pt idx="227">
                  <c:v>0.6898923178596289</c:v>
                </c:pt>
                <c:pt idx="228">
                  <c:v>0.64050525809175807</c:v>
                </c:pt>
                <c:pt idx="229">
                  <c:v>0.56747893712125974</c:v>
                </c:pt>
                <c:pt idx="230">
                  <c:v>0.50925055991256163</c:v>
                </c:pt>
                <c:pt idx="231">
                  <c:v>0.43858289996572841</c:v>
                </c:pt>
                <c:pt idx="232">
                  <c:v>0.37060906409598338</c:v>
                </c:pt>
                <c:pt idx="233">
                  <c:v>0.30861282972325754</c:v>
                </c:pt>
                <c:pt idx="234">
                  <c:v>0.24359939036709277</c:v>
                </c:pt>
                <c:pt idx="235">
                  <c:v>0.19058706574280798</c:v>
                </c:pt>
                <c:pt idx="236">
                  <c:v>0.16471065124685333</c:v>
                </c:pt>
                <c:pt idx="237">
                  <c:v>0.17131807051876455</c:v>
                </c:pt>
                <c:pt idx="238">
                  <c:v>0.17432692989553153</c:v>
                </c:pt>
                <c:pt idx="239">
                  <c:v>0.16680125971478743</c:v>
                </c:pt>
                <c:pt idx="240">
                  <c:v>0.16651621867358513</c:v>
                </c:pt>
                <c:pt idx="241">
                  <c:v>0.16398712485741293</c:v>
                </c:pt>
                <c:pt idx="242">
                  <c:v>0.17943190264804593</c:v>
                </c:pt>
                <c:pt idx="243">
                  <c:v>0.22478634181585622</c:v>
                </c:pt>
                <c:pt idx="244">
                  <c:v>0.27412731577874722</c:v>
                </c:pt>
                <c:pt idx="245">
                  <c:v>0.32874027557712415</c:v>
                </c:pt>
                <c:pt idx="246">
                  <c:v>0.43239783868655984</c:v>
                </c:pt>
                <c:pt idx="247">
                  <c:v>0.47078278334746348</c:v>
                </c:pt>
                <c:pt idx="248">
                  <c:v>0.48598282043174756</c:v>
                </c:pt>
                <c:pt idx="249">
                  <c:v>0.47033054011328607</c:v>
                </c:pt>
                <c:pt idx="250">
                  <c:v>0.43545063043101823</c:v>
                </c:pt>
                <c:pt idx="251">
                  <c:v>0.42859509797923745</c:v>
                </c:pt>
                <c:pt idx="252">
                  <c:v>0.416433660107217</c:v>
                </c:pt>
                <c:pt idx="253">
                  <c:v>0.3993883165705569</c:v>
                </c:pt>
                <c:pt idx="254">
                  <c:v>0.38756240206170889</c:v>
                </c:pt>
                <c:pt idx="255">
                  <c:v>0.41714286591335331</c:v>
                </c:pt>
                <c:pt idx="256">
                  <c:v>0.41538601445612616</c:v>
                </c:pt>
                <c:pt idx="257">
                  <c:v>0.40508077612648252</c:v>
                </c:pt>
                <c:pt idx="258">
                  <c:v>0.38708956891458501</c:v>
                </c:pt>
                <c:pt idx="259">
                  <c:v>0.33713945949687413</c:v>
                </c:pt>
                <c:pt idx="260">
                  <c:v>0.28997684643835786</c:v>
                </c:pt>
                <c:pt idx="261">
                  <c:v>0.26605081046347945</c:v>
                </c:pt>
                <c:pt idx="262">
                  <c:v>0.24127283837744459</c:v>
                </c:pt>
                <c:pt idx="263">
                  <c:v>0.22454350357077368</c:v>
                </c:pt>
                <c:pt idx="264">
                  <c:v>0.1988305190005567</c:v>
                </c:pt>
                <c:pt idx="265">
                  <c:v>0.19219102060393478</c:v>
                </c:pt>
                <c:pt idx="266">
                  <c:v>0.19581887803508985</c:v>
                </c:pt>
                <c:pt idx="267">
                  <c:v>0.19166322022477952</c:v>
                </c:pt>
                <c:pt idx="268">
                  <c:v>0.19293093195702285</c:v>
                </c:pt>
                <c:pt idx="269">
                  <c:v>0.19995874595112537</c:v>
                </c:pt>
                <c:pt idx="270">
                  <c:v>0.21326656828025239</c:v>
                </c:pt>
                <c:pt idx="271">
                  <c:v>0.23283116774010604</c:v>
                </c:pt>
                <c:pt idx="272">
                  <c:v>0.25468811105562478</c:v>
                </c:pt>
                <c:pt idx="273">
                  <c:v>0.28503959216479324</c:v>
                </c:pt>
                <c:pt idx="274">
                  <c:v>0.31737555024401026</c:v>
                </c:pt>
                <c:pt idx="275">
                  <c:v>0.34513043379220931</c:v>
                </c:pt>
                <c:pt idx="276">
                  <c:v>0.37211630054191347</c:v>
                </c:pt>
                <c:pt idx="277">
                  <c:v>0.38479996913130732</c:v>
                </c:pt>
                <c:pt idx="278">
                  <c:v>0.39507313340780426</c:v>
                </c:pt>
                <c:pt idx="279">
                  <c:v>0.43195510444007784</c:v>
                </c:pt>
                <c:pt idx="280">
                  <c:v>0.47365345230899214</c:v>
                </c:pt>
                <c:pt idx="281">
                  <c:v>0.51358137694516171</c:v>
                </c:pt>
                <c:pt idx="282">
                  <c:v>0.54708144513545742</c:v>
                </c:pt>
                <c:pt idx="283">
                  <c:v>0.57263292641018837</c:v>
                </c:pt>
                <c:pt idx="284">
                  <c:v>0.60936136945129893</c:v>
                </c:pt>
                <c:pt idx="285">
                  <c:v>0.67235585119170294</c:v>
                </c:pt>
                <c:pt idx="286">
                  <c:v>0.70368571415485959</c:v>
                </c:pt>
                <c:pt idx="287">
                  <c:v>0.73922644108825009</c:v>
                </c:pt>
                <c:pt idx="288">
                  <c:v>0.76294524358034599</c:v>
                </c:pt>
                <c:pt idx="289">
                  <c:v>0.77871793488053398</c:v>
                </c:pt>
                <c:pt idx="290">
                  <c:v>0.79395508180818952</c:v>
                </c:pt>
                <c:pt idx="291">
                  <c:v>0.80108899141935275</c:v>
                </c:pt>
                <c:pt idx="292">
                  <c:v>0.81168923005515869</c:v>
                </c:pt>
                <c:pt idx="293">
                  <c:v>0.81964138585678292</c:v>
                </c:pt>
                <c:pt idx="294">
                  <c:v>#N/A</c:v>
                </c:pt>
                <c:pt idx="295">
                  <c:v>#N/A</c:v>
                </c:pt>
                <c:pt idx="296">
                  <c:v>#N/A</c:v>
                </c:pt>
                <c:pt idx="297">
                  <c:v>#N/A</c:v>
                </c:pt>
                <c:pt idx="298">
                  <c:v>#N/A</c:v>
                </c:pt>
                <c:pt idx="299">
                  <c:v>#N/A</c:v>
                </c:pt>
                <c:pt idx="300">
                  <c:v>#N/A</c:v>
                </c:pt>
                <c:pt idx="301">
                  <c:v>#N/A</c:v>
                </c:pt>
                <c:pt idx="302">
                  <c:v>#N/A</c:v>
                </c:pt>
                <c:pt idx="303">
                  <c:v>#N/A</c:v>
                </c:pt>
                <c:pt idx="304">
                  <c:v>#N/A</c:v>
                </c:pt>
                <c:pt idx="305">
                  <c:v>#N/A</c:v>
                </c:pt>
                <c:pt idx="306">
                  <c:v>#N/A</c:v>
                </c:pt>
                <c:pt idx="307">
                  <c:v>#N/A</c:v>
                </c:pt>
                <c:pt idx="308">
                  <c:v>#N/A</c:v>
                </c:pt>
                <c:pt idx="309">
                  <c:v>#N/A</c:v>
                </c:pt>
                <c:pt idx="310">
                  <c:v>#N/A</c:v>
                </c:pt>
                <c:pt idx="311">
                  <c:v>#N/A</c:v>
                </c:pt>
                <c:pt idx="312">
                  <c:v>#N/A</c:v>
                </c:pt>
                <c:pt idx="313">
                  <c:v>#N/A</c:v>
                </c:pt>
                <c:pt idx="314">
                  <c:v>#N/A</c:v>
                </c:pt>
                <c:pt idx="315">
                  <c:v>#N/A</c:v>
                </c:pt>
                <c:pt idx="316">
                  <c:v>#N/A</c:v>
                </c:pt>
                <c:pt idx="317">
                  <c:v>#N/A</c:v>
                </c:pt>
                <c:pt idx="318">
                  <c:v>#N/A</c:v>
                </c:pt>
                <c:pt idx="319">
                  <c:v>#N/A</c:v>
                </c:pt>
                <c:pt idx="320">
                  <c:v>#N/A</c:v>
                </c:pt>
                <c:pt idx="321">
                  <c:v>#N/A</c:v>
                </c:pt>
                <c:pt idx="322">
                  <c:v>#N/A</c:v>
                </c:pt>
                <c:pt idx="323">
                  <c:v>#N/A</c:v>
                </c:pt>
                <c:pt idx="324">
                  <c:v>#N/A</c:v>
                </c:pt>
                <c:pt idx="325">
                  <c:v>#N/A</c:v>
                </c:pt>
                <c:pt idx="326">
                  <c:v>#N/A</c:v>
                </c:pt>
                <c:pt idx="327">
                  <c:v>#N/A</c:v>
                </c:pt>
                <c:pt idx="328">
                  <c:v>#N/A</c:v>
                </c:pt>
                <c:pt idx="329">
                  <c:v>#N/A</c:v>
                </c:pt>
                <c:pt idx="330">
                  <c:v>#N/A</c:v>
                </c:pt>
                <c:pt idx="331">
                  <c:v>#N/A</c:v>
                </c:pt>
                <c:pt idx="332">
                  <c:v>#N/A</c:v>
                </c:pt>
                <c:pt idx="333">
                  <c:v>#N/A</c:v>
                </c:pt>
                <c:pt idx="334">
                  <c:v>#N/A</c:v>
                </c:pt>
                <c:pt idx="335">
                  <c:v>#N/A</c:v>
                </c:pt>
                <c:pt idx="336">
                  <c:v>#N/A</c:v>
                </c:pt>
                <c:pt idx="337">
                  <c:v>#N/A</c:v>
                </c:pt>
                <c:pt idx="338">
                  <c:v>#N/A</c:v>
                </c:pt>
                <c:pt idx="339">
                  <c:v>#N/A</c:v>
                </c:pt>
                <c:pt idx="340">
                  <c:v>#N/A</c:v>
                </c:pt>
                <c:pt idx="341">
                  <c:v>#N/A</c:v>
                </c:pt>
                <c:pt idx="342">
                  <c:v>#N/A</c:v>
                </c:pt>
                <c:pt idx="343">
                  <c:v>#N/A</c:v>
                </c:pt>
                <c:pt idx="344">
                  <c:v>#N/A</c:v>
                </c:pt>
                <c:pt idx="345">
                  <c:v>#N/A</c:v>
                </c:pt>
                <c:pt idx="346">
                  <c:v>#N/A</c:v>
                </c:pt>
                <c:pt idx="347">
                  <c:v>#N/A</c:v>
                </c:pt>
                <c:pt idx="348">
                  <c:v>#N/A</c:v>
                </c:pt>
                <c:pt idx="349">
                  <c:v>#N/A</c:v>
                </c:pt>
                <c:pt idx="350">
                  <c:v>#N/A</c:v>
                </c:pt>
                <c:pt idx="351">
                  <c:v>#N/A</c:v>
                </c:pt>
                <c:pt idx="352">
                  <c:v>#N/A</c:v>
                </c:pt>
                <c:pt idx="353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E50-4C4D-B3DA-63BB3817D285}"/>
            </c:ext>
          </c:extLst>
        </c:ser>
        <c:ser>
          <c:idx val="1"/>
          <c:order val="1"/>
          <c:tx>
            <c:strRef>
              <c:f>'R-Sq'!$U$2</c:f>
              <c:strCache>
                <c:ptCount val="1"/>
                <c:pt idx="0">
                  <c:v>Credit : M2</c:v>
                </c:pt>
              </c:strCache>
            </c:strRef>
          </c:tx>
          <c:spPr>
            <a:ln w="19050" cap="rnd">
              <a:solidFill>
                <a:schemeClr val="accent3"/>
              </a:solidFill>
              <a:prstDash val="sysDash"/>
              <a:round/>
            </a:ln>
            <a:effectLst/>
          </c:spPr>
          <c:marker>
            <c:symbol val="none"/>
          </c:marker>
          <c:cat>
            <c:numRef>
              <c:f>'R-Sq'!$A$3:$A$1355</c:f>
              <c:numCache>
                <c:formatCode>m/d/yyyy</c:formatCode>
                <c:ptCount val="1353"/>
                <c:pt idx="0">
                  <c:v>46173</c:v>
                </c:pt>
                <c:pt idx="1">
                  <c:v>46142</c:v>
                </c:pt>
                <c:pt idx="2">
                  <c:v>46112</c:v>
                </c:pt>
                <c:pt idx="3">
                  <c:v>46081</c:v>
                </c:pt>
                <c:pt idx="4">
                  <c:v>46053</c:v>
                </c:pt>
                <c:pt idx="5">
                  <c:v>46022</c:v>
                </c:pt>
                <c:pt idx="6">
                  <c:v>45991</c:v>
                </c:pt>
                <c:pt idx="7">
                  <c:v>45961</c:v>
                </c:pt>
                <c:pt idx="8">
                  <c:v>45930</c:v>
                </c:pt>
                <c:pt idx="9">
                  <c:v>45900</c:v>
                </c:pt>
                <c:pt idx="10">
                  <c:v>45869</c:v>
                </c:pt>
                <c:pt idx="11">
                  <c:v>45838</c:v>
                </c:pt>
                <c:pt idx="12">
                  <c:v>45808</c:v>
                </c:pt>
                <c:pt idx="13">
                  <c:v>45777</c:v>
                </c:pt>
                <c:pt idx="14">
                  <c:v>45747</c:v>
                </c:pt>
                <c:pt idx="15">
                  <c:v>45716</c:v>
                </c:pt>
                <c:pt idx="16">
                  <c:v>45688</c:v>
                </c:pt>
                <c:pt idx="17">
                  <c:v>45657</c:v>
                </c:pt>
                <c:pt idx="18">
                  <c:v>45626</c:v>
                </c:pt>
                <c:pt idx="19">
                  <c:v>45596</c:v>
                </c:pt>
                <c:pt idx="20">
                  <c:v>45565</c:v>
                </c:pt>
                <c:pt idx="21">
                  <c:v>45535</c:v>
                </c:pt>
                <c:pt idx="22">
                  <c:v>45504</c:v>
                </c:pt>
                <c:pt idx="23">
                  <c:v>45473</c:v>
                </c:pt>
                <c:pt idx="24">
                  <c:v>45443</c:v>
                </c:pt>
                <c:pt idx="25">
                  <c:v>45412</c:v>
                </c:pt>
                <c:pt idx="26">
                  <c:v>45382</c:v>
                </c:pt>
                <c:pt idx="27">
                  <c:v>45351</c:v>
                </c:pt>
                <c:pt idx="28">
                  <c:v>45322</c:v>
                </c:pt>
                <c:pt idx="29">
                  <c:v>45291</c:v>
                </c:pt>
                <c:pt idx="30">
                  <c:v>45260</c:v>
                </c:pt>
                <c:pt idx="31">
                  <c:v>45230</c:v>
                </c:pt>
                <c:pt idx="32">
                  <c:v>45199</c:v>
                </c:pt>
                <c:pt idx="33">
                  <c:v>45169</c:v>
                </c:pt>
                <c:pt idx="34">
                  <c:v>45138</c:v>
                </c:pt>
                <c:pt idx="35">
                  <c:v>45107</c:v>
                </c:pt>
                <c:pt idx="36">
                  <c:v>45077</c:v>
                </c:pt>
                <c:pt idx="37">
                  <c:v>45046</c:v>
                </c:pt>
                <c:pt idx="38">
                  <c:v>45016</c:v>
                </c:pt>
                <c:pt idx="39">
                  <c:v>44985</c:v>
                </c:pt>
                <c:pt idx="40">
                  <c:v>44957</c:v>
                </c:pt>
                <c:pt idx="41">
                  <c:v>44926</c:v>
                </c:pt>
                <c:pt idx="42">
                  <c:v>44895</c:v>
                </c:pt>
                <c:pt idx="43">
                  <c:v>44865</c:v>
                </c:pt>
                <c:pt idx="44">
                  <c:v>44834</c:v>
                </c:pt>
                <c:pt idx="45">
                  <c:v>44804</c:v>
                </c:pt>
                <c:pt idx="46">
                  <c:v>44773</c:v>
                </c:pt>
                <c:pt idx="47">
                  <c:v>44742</c:v>
                </c:pt>
                <c:pt idx="48">
                  <c:v>44712</c:v>
                </c:pt>
                <c:pt idx="49">
                  <c:v>44681</c:v>
                </c:pt>
                <c:pt idx="50">
                  <c:v>44651</c:v>
                </c:pt>
                <c:pt idx="51">
                  <c:v>44620</c:v>
                </c:pt>
                <c:pt idx="52">
                  <c:v>44592</c:v>
                </c:pt>
                <c:pt idx="53">
                  <c:v>44561</c:v>
                </c:pt>
                <c:pt idx="54">
                  <c:v>44530</c:v>
                </c:pt>
                <c:pt idx="55">
                  <c:v>44500</c:v>
                </c:pt>
                <c:pt idx="56">
                  <c:v>44469</c:v>
                </c:pt>
                <c:pt idx="57">
                  <c:v>44439</c:v>
                </c:pt>
                <c:pt idx="58">
                  <c:v>44408</c:v>
                </c:pt>
                <c:pt idx="59">
                  <c:v>44377</c:v>
                </c:pt>
                <c:pt idx="60">
                  <c:v>44347</c:v>
                </c:pt>
                <c:pt idx="61">
                  <c:v>44316</c:v>
                </c:pt>
                <c:pt idx="62">
                  <c:v>44286</c:v>
                </c:pt>
                <c:pt idx="63">
                  <c:v>44255</c:v>
                </c:pt>
                <c:pt idx="64">
                  <c:v>44227</c:v>
                </c:pt>
                <c:pt idx="65">
                  <c:v>44196</c:v>
                </c:pt>
                <c:pt idx="66">
                  <c:v>44165</c:v>
                </c:pt>
                <c:pt idx="67">
                  <c:v>44135</c:v>
                </c:pt>
                <c:pt idx="68">
                  <c:v>44104</c:v>
                </c:pt>
                <c:pt idx="69">
                  <c:v>44074</c:v>
                </c:pt>
                <c:pt idx="70">
                  <c:v>44043</c:v>
                </c:pt>
                <c:pt idx="71">
                  <c:v>44012</c:v>
                </c:pt>
                <c:pt idx="72">
                  <c:v>43982</c:v>
                </c:pt>
                <c:pt idx="73">
                  <c:v>43951</c:v>
                </c:pt>
                <c:pt idx="74">
                  <c:v>43921</c:v>
                </c:pt>
                <c:pt idx="75">
                  <c:v>43890</c:v>
                </c:pt>
                <c:pt idx="76">
                  <c:v>43861</c:v>
                </c:pt>
                <c:pt idx="77">
                  <c:v>43830</c:v>
                </c:pt>
                <c:pt idx="78">
                  <c:v>43799</c:v>
                </c:pt>
                <c:pt idx="79">
                  <c:v>43769</c:v>
                </c:pt>
                <c:pt idx="80">
                  <c:v>43738</c:v>
                </c:pt>
                <c:pt idx="81">
                  <c:v>43708</c:v>
                </c:pt>
                <c:pt idx="82">
                  <c:v>43677</c:v>
                </c:pt>
                <c:pt idx="83">
                  <c:v>43646</c:v>
                </c:pt>
                <c:pt idx="84">
                  <c:v>43616</c:v>
                </c:pt>
                <c:pt idx="85">
                  <c:v>43585</c:v>
                </c:pt>
                <c:pt idx="86">
                  <c:v>43555</c:v>
                </c:pt>
                <c:pt idx="87">
                  <c:v>43524</c:v>
                </c:pt>
                <c:pt idx="88">
                  <c:v>43496</c:v>
                </c:pt>
                <c:pt idx="89">
                  <c:v>43465</c:v>
                </c:pt>
                <c:pt idx="90">
                  <c:v>43434</c:v>
                </c:pt>
                <c:pt idx="91">
                  <c:v>43404</c:v>
                </c:pt>
                <c:pt idx="92">
                  <c:v>43373</c:v>
                </c:pt>
                <c:pt idx="93">
                  <c:v>43343</c:v>
                </c:pt>
                <c:pt idx="94">
                  <c:v>43312</c:v>
                </c:pt>
                <c:pt idx="95">
                  <c:v>43281</c:v>
                </c:pt>
                <c:pt idx="96">
                  <c:v>43251</c:v>
                </c:pt>
                <c:pt idx="97">
                  <c:v>43220</c:v>
                </c:pt>
                <c:pt idx="98">
                  <c:v>43190</c:v>
                </c:pt>
                <c:pt idx="99">
                  <c:v>43159</c:v>
                </c:pt>
                <c:pt idx="100">
                  <c:v>43131</c:v>
                </c:pt>
                <c:pt idx="101">
                  <c:v>43100</c:v>
                </c:pt>
                <c:pt idx="102">
                  <c:v>43069</c:v>
                </c:pt>
                <c:pt idx="103">
                  <c:v>43039</c:v>
                </c:pt>
                <c:pt idx="104">
                  <c:v>43008</c:v>
                </c:pt>
                <c:pt idx="105">
                  <c:v>42978</c:v>
                </c:pt>
                <c:pt idx="106">
                  <c:v>42947</c:v>
                </c:pt>
                <c:pt idx="107">
                  <c:v>42916</c:v>
                </c:pt>
                <c:pt idx="108">
                  <c:v>42886</c:v>
                </c:pt>
                <c:pt idx="109">
                  <c:v>42855</c:v>
                </c:pt>
                <c:pt idx="110">
                  <c:v>42825</c:v>
                </c:pt>
                <c:pt idx="111">
                  <c:v>42794</c:v>
                </c:pt>
                <c:pt idx="112">
                  <c:v>42766</c:v>
                </c:pt>
                <c:pt idx="113">
                  <c:v>42735</c:v>
                </c:pt>
                <c:pt idx="114">
                  <c:v>42704</c:v>
                </c:pt>
                <c:pt idx="115">
                  <c:v>42674</c:v>
                </c:pt>
                <c:pt idx="116">
                  <c:v>42643</c:v>
                </c:pt>
                <c:pt idx="117">
                  <c:v>42613</c:v>
                </c:pt>
                <c:pt idx="118">
                  <c:v>42582</c:v>
                </c:pt>
                <c:pt idx="119">
                  <c:v>42551</c:v>
                </c:pt>
                <c:pt idx="120">
                  <c:v>42521</c:v>
                </c:pt>
                <c:pt idx="121">
                  <c:v>42490</c:v>
                </c:pt>
                <c:pt idx="122">
                  <c:v>42460</c:v>
                </c:pt>
                <c:pt idx="123">
                  <c:v>42429</c:v>
                </c:pt>
                <c:pt idx="124">
                  <c:v>42400</c:v>
                </c:pt>
                <c:pt idx="125">
                  <c:v>42369</c:v>
                </c:pt>
                <c:pt idx="126">
                  <c:v>42338</c:v>
                </c:pt>
                <c:pt idx="127">
                  <c:v>42308</c:v>
                </c:pt>
                <c:pt idx="128">
                  <c:v>42277</c:v>
                </c:pt>
                <c:pt idx="129">
                  <c:v>42247</c:v>
                </c:pt>
                <c:pt idx="130">
                  <c:v>42216</c:v>
                </c:pt>
                <c:pt idx="131">
                  <c:v>42185</c:v>
                </c:pt>
                <c:pt idx="132">
                  <c:v>42155</c:v>
                </c:pt>
                <c:pt idx="133">
                  <c:v>42124</c:v>
                </c:pt>
                <c:pt idx="134">
                  <c:v>42094</c:v>
                </c:pt>
                <c:pt idx="135">
                  <c:v>42063</c:v>
                </c:pt>
                <c:pt idx="136">
                  <c:v>42035</c:v>
                </c:pt>
                <c:pt idx="137">
                  <c:v>42004</c:v>
                </c:pt>
                <c:pt idx="138">
                  <c:v>41973</c:v>
                </c:pt>
                <c:pt idx="139">
                  <c:v>41943</c:v>
                </c:pt>
                <c:pt idx="140">
                  <c:v>41912</c:v>
                </c:pt>
                <c:pt idx="141">
                  <c:v>41882</c:v>
                </c:pt>
                <c:pt idx="142">
                  <c:v>41851</c:v>
                </c:pt>
                <c:pt idx="143">
                  <c:v>41820</c:v>
                </c:pt>
                <c:pt idx="144">
                  <c:v>41790</c:v>
                </c:pt>
                <c:pt idx="145">
                  <c:v>41759</c:v>
                </c:pt>
                <c:pt idx="146">
                  <c:v>41729</c:v>
                </c:pt>
                <c:pt idx="147">
                  <c:v>41698</c:v>
                </c:pt>
                <c:pt idx="148">
                  <c:v>41670</c:v>
                </c:pt>
                <c:pt idx="149">
                  <c:v>41639</c:v>
                </c:pt>
                <c:pt idx="150">
                  <c:v>41608</c:v>
                </c:pt>
                <c:pt idx="151">
                  <c:v>41578</c:v>
                </c:pt>
                <c:pt idx="152">
                  <c:v>41547</c:v>
                </c:pt>
                <c:pt idx="153">
                  <c:v>41517</c:v>
                </c:pt>
                <c:pt idx="154">
                  <c:v>41486</c:v>
                </c:pt>
                <c:pt idx="155">
                  <c:v>41455</c:v>
                </c:pt>
                <c:pt idx="156">
                  <c:v>41425</c:v>
                </c:pt>
                <c:pt idx="157">
                  <c:v>41394</c:v>
                </c:pt>
                <c:pt idx="158">
                  <c:v>41364</c:v>
                </c:pt>
                <c:pt idx="159">
                  <c:v>41333</c:v>
                </c:pt>
                <c:pt idx="160">
                  <c:v>41305</c:v>
                </c:pt>
                <c:pt idx="161">
                  <c:v>41274</c:v>
                </c:pt>
                <c:pt idx="162">
                  <c:v>41243</c:v>
                </c:pt>
                <c:pt idx="163">
                  <c:v>41213</c:v>
                </c:pt>
                <c:pt idx="164">
                  <c:v>41182</c:v>
                </c:pt>
                <c:pt idx="165">
                  <c:v>41152</c:v>
                </c:pt>
                <c:pt idx="166">
                  <c:v>41121</c:v>
                </c:pt>
                <c:pt idx="167">
                  <c:v>41090</c:v>
                </c:pt>
                <c:pt idx="168">
                  <c:v>41060</c:v>
                </c:pt>
                <c:pt idx="169">
                  <c:v>41029</c:v>
                </c:pt>
                <c:pt idx="170">
                  <c:v>40999</c:v>
                </c:pt>
                <c:pt idx="171">
                  <c:v>40968</c:v>
                </c:pt>
                <c:pt idx="172">
                  <c:v>40939</c:v>
                </c:pt>
                <c:pt idx="173">
                  <c:v>40908</c:v>
                </c:pt>
                <c:pt idx="174">
                  <c:v>40877</c:v>
                </c:pt>
                <c:pt idx="175">
                  <c:v>40847</c:v>
                </c:pt>
                <c:pt idx="176">
                  <c:v>40816</c:v>
                </c:pt>
                <c:pt idx="177">
                  <c:v>40786</c:v>
                </c:pt>
                <c:pt idx="178">
                  <c:v>40755</c:v>
                </c:pt>
                <c:pt idx="179">
                  <c:v>40724</c:v>
                </c:pt>
                <c:pt idx="180">
                  <c:v>40694</c:v>
                </c:pt>
                <c:pt idx="181">
                  <c:v>40663</c:v>
                </c:pt>
                <c:pt idx="182">
                  <c:v>40633</c:v>
                </c:pt>
                <c:pt idx="183">
                  <c:v>40602</c:v>
                </c:pt>
                <c:pt idx="184">
                  <c:v>40574</c:v>
                </c:pt>
                <c:pt idx="185">
                  <c:v>40543</c:v>
                </c:pt>
                <c:pt idx="186">
                  <c:v>40512</c:v>
                </c:pt>
                <c:pt idx="187">
                  <c:v>40482</c:v>
                </c:pt>
                <c:pt idx="188">
                  <c:v>40451</c:v>
                </c:pt>
                <c:pt idx="189">
                  <c:v>40421</c:v>
                </c:pt>
                <c:pt idx="190">
                  <c:v>40390</c:v>
                </c:pt>
                <c:pt idx="191">
                  <c:v>40359</c:v>
                </c:pt>
                <c:pt idx="192">
                  <c:v>40329</c:v>
                </c:pt>
                <c:pt idx="193">
                  <c:v>40298</c:v>
                </c:pt>
                <c:pt idx="194">
                  <c:v>40268</c:v>
                </c:pt>
                <c:pt idx="195">
                  <c:v>40237</c:v>
                </c:pt>
                <c:pt idx="196">
                  <c:v>40209</c:v>
                </c:pt>
                <c:pt idx="197">
                  <c:v>40178</c:v>
                </c:pt>
                <c:pt idx="198">
                  <c:v>40147</c:v>
                </c:pt>
                <c:pt idx="199">
                  <c:v>40117</c:v>
                </c:pt>
                <c:pt idx="200">
                  <c:v>40086</c:v>
                </c:pt>
                <c:pt idx="201">
                  <c:v>40056</c:v>
                </c:pt>
                <c:pt idx="202">
                  <c:v>40025</c:v>
                </c:pt>
                <c:pt idx="203">
                  <c:v>39994</c:v>
                </c:pt>
                <c:pt idx="204">
                  <c:v>39964</c:v>
                </c:pt>
                <c:pt idx="205">
                  <c:v>39933</c:v>
                </c:pt>
                <c:pt idx="206">
                  <c:v>39903</c:v>
                </c:pt>
                <c:pt idx="207">
                  <c:v>39872</c:v>
                </c:pt>
                <c:pt idx="208">
                  <c:v>39844</c:v>
                </c:pt>
                <c:pt idx="209">
                  <c:v>39813</c:v>
                </c:pt>
                <c:pt idx="210">
                  <c:v>39782</c:v>
                </c:pt>
                <c:pt idx="211">
                  <c:v>39752</c:v>
                </c:pt>
                <c:pt idx="212">
                  <c:v>39721</c:v>
                </c:pt>
                <c:pt idx="213">
                  <c:v>39691</c:v>
                </c:pt>
                <c:pt idx="214">
                  <c:v>39660</c:v>
                </c:pt>
                <c:pt idx="215">
                  <c:v>39629</c:v>
                </c:pt>
                <c:pt idx="216">
                  <c:v>39599</c:v>
                </c:pt>
                <c:pt idx="217">
                  <c:v>39568</c:v>
                </c:pt>
                <c:pt idx="218">
                  <c:v>39538</c:v>
                </c:pt>
                <c:pt idx="219">
                  <c:v>39507</c:v>
                </c:pt>
                <c:pt idx="220">
                  <c:v>39478</c:v>
                </c:pt>
                <c:pt idx="221">
                  <c:v>39447</c:v>
                </c:pt>
                <c:pt idx="222">
                  <c:v>39416</c:v>
                </c:pt>
                <c:pt idx="223">
                  <c:v>39386</c:v>
                </c:pt>
                <c:pt idx="224">
                  <c:v>39355</c:v>
                </c:pt>
                <c:pt idx="225">
                  <c:v>39325</c:v>
                </c:pt>
                <c:pt idx="226">
                  <c:v>39294</c:v>
                </c:pt>
                <c:pt idx="227">
                  <c:v>39263</c:v>
                </c:pt>
                <c:pt idx="228">
                  <c:v>39233</c:v>
                </c:pt>
                <c:pt idx="229">
                  <c:v>39202</c:v>
                </c:pt>
                <c:pt idx="230">
                  <c:v>39172</c:v>
                </c:pt>
                <c:pt idx="231">
                  <c:v>39141</c:v>
                </c:pt>
                <c:pt idx="232">
                  <c:v>39113</c:v>
                </c:pt>
                <c:pt idx="233">
                  <c:v>39082</c:v>
                </c:pt>
                <c:pt idx="234">
                  <c:v>39051</c:v>
                </c:pt>
                <c:pt idx="235">
                  <c:v>39021</c:v>
                </c:pt>
                <c:pt idx="236">
                  <c:v>38990</c:v>
                </c:pt>
                <c:pt idx="237">
                  <c:v>38960</c:v>
                </c:pt>
                <c:pt idx="238">
                  <c:v>38929</c:v>
                </c:pt>
                <c:pt idx="239">
                  <c:v>38898</c:v>
                </c:pt>
                <c:pt idx="240">
                  <c:v>38868</c:v>
                </c:pt>
                <c:pt idx="241">
                  <c:v>38837</c:v>
                </c:pt>
                <c:pt idx="242">
                  <c:v>38807</c:v>
                </c:pt>
                <c:pt idx="243">
                  <c:v>38776</c:v>
                </c:pt>
                <c:pt idx="244">
                  <c:v>38748</c:v>
                </c:pt>
                <c:pt idx="245">
                  <c:v>38717</c:v>
                </c:pt>
                <c:pt idx="246">
                  <c:v>38686</c:v>
                </c:pt>
                <c:pt idx="247">
                  <c:v>38656</c:v>
                </c:pt>
                <c:pt idx="248">
                  <c:v>38625</c:v>
                </c:pt>
                <c:pt idx="249">
                  <c:v>38595</c:v>
                </c:pt>
                <c:pt idx="250">
                  <c:v>38564</c:v>
                </c:pt>
                <c:pt idx="251">
                  <c:v>38533</c:v>
                </c:pt>
                <c:pt idx="252">
                  <c:v>38503</c:v>
                </c:pt>
                <c:pt idx="253">
                  <c:v>38472</c:v>
                </c:pt>
                <c:pt idx="254">
                  <c:v>38442</c:v>
                </c:pt>
                <c:pt idx="255">
                  <c:v>38411</c:v>
                </c:pt>
                <c:pt idx="256">
                  <c:v>38383</c:v>
                </c:pt>
                <c:pt idx="257">
                  <c:v>38352</c:v>
                </c:pt>
                <c:pt idx="258">
                  <c:v>38321</c:v>
                </c:pt>
                <c:pt idx="259">
                  <c:v>38291</c:v>
                </c:pt>
                <c:pt idx="260">
                  <c:v>38260</c:v>
                </c:pt>
                <c:pt idx="261">
                  <c:v>38230</c:v>
                </c:pt>
                <c:pt idx="262">
                  <c:v>38199</c:v>
                </c:pt>
                <c:pt idx="263">
                  <c:v>38168</c:v>
                </c:pt>
                <c:pt idx="264">
                  <c:v>38138</c:v>
                </c:pt>
                <c:pt idx="265">
                  <c:v>38107</c:v>
                </c:pt>
                <c:pt idx="266">
                  <c:v>38077</c:v>
                </c:pt>
                <c:pt idx="267">
                  <c:v>38046</c:v>
                </c:pt>
                <c:pt idx="268">
                  <c:v>38017</c:v>
                </c:pt>
                <c:pt idx="269">
                  <c:v>37986</c:v>
                </c:pt>
                <c:pt idx="270">
                  <c:v>37955</c:v>
                </c:pt>
                <c:pt idx="271">
                  <c:v>37925</c:v>
                </c:pt>
                <c:pt idx="272">
                  <c:v>37894</c:v>
                </c:pt>
                <c:pt idx="273">
                  <c:v>37864</c:v>
                </c:pt>
                <c:pt idx="274">
                  <c:v>37833</c:v>
                </c:pt>
                <c:pt idx="275">
                  <c:v>37802</c:v>
                </c:pt>
                <c:pt idx="276">
                  <c:v>37772</c:v>
                </c:pt>
                <c:pt idx="277">
                  <c:v>37741</c:v>
                </c:pt>
                <c:pt idx="278">
                  <c:v>37711</c:v>
                </c:pt>
                <c:pt idx="279">
                  <c:v>37680</c:v>
                </c:pt>
                <c:pt idx="280">
                  <c:v>37652</c:v>
                </c:pt>
                <c:pt idx="281">
                  <c:v>37621</c:v>
                </c:pt>
                <c:pt idx="282">
                  <c:v>37590</c:v>
                </c:pt>
                <c:pt idx="283">
                  <c:v>37560</c:v>
                </c:pt>
                <c:pt idx="284">
                  <c:v>37529</c:v>
                </c:pt>
                <c:pt idx="285">
                  <c:v>37499</c:v>
                </c:pt>
                <c:pt idx="286">
                  <c:v>37468</c:v>
                </c:pt>
                <c:pt idx="287">
                  <c:v>37437</c:v>
                </c:pt>
                <c:pt idx="288">
                  <c:v>37407</c:v>
                </c:pt>
                <c:pt idx="289">
                  <c:v>37376</c:v>
                </c:pt>
                <c:pt idx="290">
                  <c:v>37346</c:v>
                </c:pt>
                <c:pt idx="291">
                  <c:v>37315</c:v>
                </c:pt>
                <c:pt idx="292">
                  <c:v>37287</c:v>
                </c:pt>
                <c:pt idx="293">
                  <c:v>37256</c:v>
                </c:pt>
                <c:pt idx="294">
                  <c:v>37225</c:v>
                </c:pt>
                <c:pt idx="295">
                  <c:v>37195</c:v>
                </c:pt>
                <c:pt idx="296">
                  <c:v>37164</c:v>
                </c:pt>
                <c:pt idx="297">
                  <c:v>37134</c:v>
                </c:pt>
                <c:pt idx="298">
                  <c:v>37103</c:v>
                </c:pt>
                <c:pt idx="299">
                  <c:v>37072</c:v>
                </c:pt>
                <c:pt idx="300">
                  <c:v>37042</c:v>
                </c:pt>
                <c:pt idx="301">
                  <c:v>37011</c:v>
                </c:pt>
                <c:pt idx="302">
                  <c:v>36981</c:v>
                </c:pt>
                <c:pt idx="303">
                  <c:v>36950</c:v>
                </c:pt>
                <c:pt idx="304">
                  <c:v>36922</c:v>
                </c:pt>
                <c:pt idx="305">
                  <c:v>36891</c:v>
                </c:pt>
                <c:pt idx="306">
                  <c:v>36860</c:v>
                </c:pt>
                <c:pt idx="307">
                  <c:v>36830</c:v>
                </c:pt>
                <c:pt idx="308">
                  <c:v>36799</c:v>
                </c:pt>
                <c:pt idx="309">
                  <c:v>36769</c:v>
                </c:pt>
                <c:pt idx="310">
                  <c:v>36738</c:v>
                </c:pt>
                <c:pt idx="311">
                  <c:v>36707</c:v>
                </c:pt>
                <c:pt idx="312">
                  <c:v>36677</c:v>
                </c:pt>
                <c:pt idx="313">
                  <c:v>36646</c:v>
                </c:pt>
                <c:pt idx="314">
                  <c:v>36616</c:v>
                </c:pt>
                <c:pt idx="315">
                  <c:v>36585</c:v>
                </c:pt>
                <c:pt idx="316">
                  <c:v>36556</c:v>
                </c:pt>
                <c:pt idx="317">
                  <c:v>36525</c:v>
                </c:pt>
                <c:pt idx="318">
                  <c:v>36494</c:v>
                </c:pt>
                <c:pt idx="319">
                  <c:v>36464</c:v>
                </c:pt>
                <c:pt idx="320">
                  <c:v>36433</c:v>
                </c:pt>
                <c:pt idx="321">
                  <c:v>36403</c:v>
                </c:pt>
                <c:pt idx="322">
                  <c:v>36372</c:v>
                </c:pt>
                <c:pt idx="323">
                  <c:v>36341</c:v>
                </c:pt>
                <c:pt idx="324">
                  <c:v>36311</c:v>
                </c:pt>
                <c:pt idx="325">
                  <c:v>36280</c:v>
                </c:pt>
                <c:pt idx="326">
                  <c:v>36250</c:v>
                </c:pt>
                <c:pt idx="327">
                  <c:v>36219</c:v>
                </c:pt>
                <c:pt idx="328">
                  <c:v>36191</c:v>
                </c:pt>
                <c:pt idx="329">
                  <c:v>36160</c:v>
                </c:pt>
                <c:pt idx="330">
                  <c:v>36129</c:v>
                </c:pt>
                <c:pt idx="331">
                  <c:v>36099</c:v>
                </c:pt>
                <c:pt idx="332">
                  <c:v>36068</c:v>
                </c:pt>
                <c:pt idx="333">
                  <c:v>36038</c:v>
                </c:pt>
                <c:pt idx="334">
                  <c:v>36007</c:v>
                </c:pt>
                <c:pt idx="335">
                  <c:v>35976</c:v>
                </c:pt>
                <c:pt idx="336">
                  <c:v>35946</c:v>
                </c:pt>
                <c:pt idx="337">
                  <c:v>35915</c:v>
                </c:pt>
                <c:pt idx="338">
                  <c:v>35885</c:v>
                </c:pt>
                <c:pt idx="339">
                  <c:v>35854</c:v>
                </c:pt>
                <c:pt idx="340">
                  <c:v>35826</c:v>
                </c:pt>
                <c:pt idx="341">
                  <c:v>35795</c:v>
                </c:pt>
                <c:pt idx="342">
                  <c:v>35764</c:v>
                </c:pt>
                <c:pt idx="343">
                  <c:v>35734</c:v>
                </c:pt>
                <c:pt idx="344">
                  <c:v>35703</c:v>
                </c:pt>
                <c:pt idx="345">
                  <c:v>35673</c:v>
                </c:pt>
                <c:pt idx="346">
                  <c:v>35642</c:v>
                </c:pt>
                <c:pt idx="347">
                  <c:v>35611</c:v>
                </c:pt>
                <c:pt idx="348">
                  <c:v>35581</c:v>
                </c:pt>
                <c:pt idx="349">
                  <c:v>35550</c:v>
                </c:pt>
                <c:pt idx="350">
                  <c:v>35520</c:v>
                </c:pt>
                <c:pt idx="351">
                  <c:v>35489</c:v>
                </c:pt>
                <c:pt idx="352">
                  <c:v>35461</c:v>
                </c:pt>
              </c:numCache>
            </c:numRef>
          </c:cat>
          <c:val>
            <c:numRef>
              <c:f>'R-Sq'!$U$3:$U$1355</c:f>
              <c:numCache>
                <c:formatCode>0%</c:formatCode>
                <c:ptCount val="1353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  <c:pt idx="31">
                  <c:v>#N/A</c:v>
                </c:pt>
                <c:pt idx="32">
                  <c:v>#N/A</c:v>
                </c:pt>
                <c:pt idx="33">
                  <c:v>#N/A</c:v>
                </c:pt>
                <c:pt idx="34">
                  <c:v>#N/A</c:v>
                </c:pt>
                <c:pt idx="35">
                  <c:v>#N/A</c:v>
                </c:pt>
                <c:pt idx="36">
                  <c:v>#N/A</c:v>
                </c:pt>
                <c:pt idx="37">
                  <c:v>#N/A</c:v>
                </c:pt>
                <c:pt idx="38">
                  <c:v>#N/A</c:v>
                </c:pt>
                <c:pt idx="39">
                  <c:v>#N/A</c:v>
                </c:pt>
                <c:pt idx="40">
                  <c:v>#N/A</c:v>
                </c:pt>
                <c:pt idx="41">
                  <c:v>#N/A</c:v>
                </c:pt>
                <c:pt idx="42">
                  <c:v>0.13334353186286715</c:v>
                </c:pt>
                <c:pt idx="43">
                  <c:v>0.11104941334389216</c:v>
                </c:pt>
                <c:pt idx="44">
                  <c:v>0.10079852718407782</c:v>
                </c:pt>
                <c:pt idx="45">
                  <c:v>0.13292345829276964</c:v>
                </c:pt>
                <c:pt idx="46">
                  <c:v>3.9564495922225246E-2</c:v>
                </c:pt>
                <c:pt idx="47">
                  <c:v>7.8626155877089708E-4</c:v>
                </c:pt>
                <c:pt idx="48">
                  <c:v>5.2907592740910449E-3</c:v>
                </c:pt>
                <c:pt idx="49">
                  <c:v>5.6400846465542782E-2</c:v>
                </c:pt>
                <c:pt idx="50">
                  <c:v>0.12159558217786813</c:v>
                </c:pt>
                <c:pt idx="51">
                  <c:v>0.2409748923048505</c:v>
                </c:pt>
                <c:pt idx="52">
                  <c:v>0.32328811659922019</c:v>
                </c:pt>
                <c:pt idx="53">
                  <c:v>0.34783594191839895</c:v>
                </c:pt>
                <c:pt idx="54">
                  <c:v>0.42425485483275377</c:v>
                </c:pt>
                <c:pt idx="55">
                  <c:v>0.49696188154319587</c:v>
                </c:pt>
                <c:pt idx="56">
                  <c:v>0.6089887863049428</c:v>
                </c:pt>
                <c:pt idx="57">
                  <c:v>0.70799903057592772</c:v>
                </c:pt>
                <c:pt idx="58">
                  <c:v>0.70997987067420165</c:v>
                </c:pt>
                <c:pt idx="59">
                  <c:v>0.72669581718280907</c:v>
                </c:pt>
                <c:pt idx="60">
                  <c:v>0.72522121142995977</c:v>
                </c:pt>
                <c:pt idx="61">
                  <c:v>0.70002544344348794</c:v>
                </c:pt>
                <c:pt idx="62">
                  <c:v>0.67856301483725656</c:v>
                </c:pt>
                <c:pt idx="63">
                  <c:v>0.60739597326093975</c:v>
                </c:pt>
                <c:pt idx="64">
                  <c:v>0.46140414640278399</c:v>
                </c:pt>
                <c:pt idx="65">
                  <c:v>0.32759439008236602</c:v>
                </c:pt>
                <c:pt idx="66">
                  <c:v>0.24605427105030581</c:v>
                </c:pt>
                <c:pt idx="67">
                  <c:v>0.13879836914084609</c:v>
                </c:pt>
                <c:pt idx="68">
                  <c:v>4.9634297145663579E-2</c:v>
                </c:pt>
                <c:pt idx="69">
                  <c:v>1.2699167803086438E-2</c:v>
                </c:pt>
                <c:pt idx="70">
                  <c:v>1.1289021137303801E-3</c:v>
                </c:pt>
                <c:pt idx="71">
                  <c:v>3.6667733856984783E-2</c:v>
                </c:pt>
                <c:pt idx="72">
                  <c:v>8.0772670988685055E-2</c:v>
                </c:pt>
                <c:pt idx="73">
                  <c:v>5.4819948459600039E-2</c:v>
                </c:pt>
                <c:pt idx="74">
                  <c:v>8.3123304768594836E-2</c:v>
                </c:pt>
                <c:pt idx="75">
                  <c:v>0.31015226103332977</c:v>
                </c:pt>
                <c:pt idx="76">
                  <c:v>0.31681432938965276</c:v>
                </c:pt>
                <c:pt idx="77">
                  <c:v>0.27202154041869764</c:v>
                </c:pt>
                <c:pt idx="78">
                  <c:v>0.23974575675991738</c:v>
                </c:pt>
                <c:pt idx="79">
                  <c:v>0.16009453738493268</c:v>
                </c:pt>
                <c:pt idx="80">
                  <c:v>7.9777427325520484E-2</c:v>
                </c:pt>
                <c:pt idx="81">
                  <c:v>8.0062239154057926E-2</c:v>
                </c:pt>
                <c:pt idx="82">
                  <c:v>4.3383875492255537E-2</c:v>
                </c:pt>
                <c:pt idx="83">
                  <c:v>3.1298688168884078E-2</c:v>
                </c:pt>
                <c:pt idx="84">
                  <c:v>4.4796715985606826E-2</c:v>
                </c:pt>
                <c:pt idx="85">
                  <c:v>8.4820353587288552E-2</c:v>
                </c:pt>
                <c:pt idx="86">
                  <c:v>0.22090743609905852</c:v>
                </c:pt>
                <c:pt idx="87">
                  <c:v>0.50976060328791717</c:v>
                </c:pt>
                <c:pt idx="88">
                  <c:v>0.5482311649577174</c:v>
                </c:pt>
                <c:pt idx="89">
                  <c:v>0.40474624144780103</c:v>
                </c:pt>
                <c:pt idx="90">
                  <c:v>0.30415534300775049</c:v>
                </c:pt>
                <c:pt idx="91">
                  <c:v>0.26552528104604067</c:v>
                </c:pt>
                <c:pt idx="92">
                  <c:v>0.18738324385872454</c:v>
                </c:pt>
                <c:pt idx="93">
                  <c:v>6.3235104465979769E-2</c:v>
                </c:pt>
                <c:pt idx="94">
                  <c:v>4.4926343255387226E-2</c:v>
                </c:pt>
                <c:pt idx="95">
                  <c:v>1.9070975581039717E-2</c:v>
                </c:pt>
                <c:pt idx="96">
                  <c:v>0.33360638299904721</c:v>
                </c:pt>
                <c:pt idx="97">
                  <c:v>0.54666857418106329</c:v>
                </c:pt>
                <c:pt idx="98">
                  <c:v>0.52344873127968639</c:v>
                </c:pt>
                <c:pt idx="99">
                  <c:v>0.45992203899549422</c:v>
                </c:pt>
                <c:pt idx="100">
                  <c:v>0.41893589150943322</c:v>
                </c:pt>
                <c:pt idx="101">
                  <c:v>0.41819061531156421</c:v>
                </c:pt>
                <c:pt idx="102">
                  <c:v>0.42741568567039018</c:v>
                </c:pt>
                <c:pt idx="103">
                  <c:v>0.36663398445369172</c:v>
                </c:pt>
                <c:pt idx="104">
                  <c:v>0.28498809159725963</c:v>
                </c:pt>
                <c:pt idx="105">
                  <c:v>0.19918583306353849</c:v>
                </c:pt>
                <c:pt idx="106">
                  <c:v>0.12310324724764894</c:v>
                </c:pt>
                <c:pt idx="107">
                  <c:v>6.2248210395002869E-2</c:v>
                </c:pt>
                <c:pt idx="108">
                  <c:v>6.6684968974043265E-3</c:v>
                </c:pt>
                <c:pt idx="109">
                  <c:v>9.5520713880750869E-4</c:v>
                </c:pt>
                <c:pt idx="110">
                  <c:v>3.7839307760892792E-3</c:v>
                </c:pt>
                <c:pt idx="111">
                  <c:v>2.6526891510382832E-3</c:v>
                </c:pt>
                <c:pt idx="112">
                  <c:v>7.7259896445562859E-2</c:v>
                </c:pt>
                <c:pt idx="113">
                  <c:v>0.19690755079316666</c:v>
                </c:pt>
                <c:pt idx="114">
                  <c:v>0.27480674822839224</c:v>
                </c:pt>
                <c:pt idx="115">
                  <c:v>0.28499273122188329</c:v>
                </c:pt>
                <c:pt idx="116">
                  <c:v>0.27342826557411215</c:v>
                </c:pt>
                <c:pt idx="117">
                  <c:v>0.20363214609505467</c:v>
                </c:pt>
                <c:pt idx="118">
                  <c:v>0.18066134662653041</c:v>
                </c:pt>
                <c:pt idx="119">
                  <c:v>0.2962353845659435</c:v>
                </c:pt>
                <c:pt idx="120">
                  <c:v>0.44534467650284354</c:v>
                </c:pt>
                <c:pt idx="121">
                  <c:v>0.50343770689679701</c:v>
                </c:pt>
                <c:pt idx="122">
                  <c:v>0.45634833817557535</c:v>
                </c:pt>
                <c:pt idx="123">
                  <c:v>0.42295385339695324</c:v>
                </c:pt>
                <c:pt idx="124">
                  <c:v>0.32896972305940486</c:v>
                </c:pt>
                <c:pt idx="125">
                  <c:v>0.27963408178575505</c:v>
                </c:pt>
                <c:pt idx="126">
                  <c:v>0.2587251953031825</c:v>
                </c:pt>
                <c:pt idx="127">
                  <c:v>0.17838205431048956</c:v>
                </c:pt>
                <c:pt idx="128">
                  <c:v>0.17270758156540417</c:v>
                </c:pt>
                <c:pt idx="129">
                  <c:v>0.14228424281419683</c:v>
                </c:pt>
                <c:pt idx="130">
                  <c:v>8.049453220116147E-2</c:v>
                </c:pt>
                <c:pt idx="131">
                  <c:v>2.0866183866531978E-2</c:v>
                </c:pt>
                <c:pt idx="132">
                  <c:v>8.2440981818686463E-4</c:v>
                </c:pt>
                <c:pt idx="133">
                  <c:v>4.8718135095266847E-3</c:v>
                </c:pt>
                <c:pt idx="134">
                  <c:v>9.0688876631904913E-4</c:v>
                </c:pt>
                <c:pt idx="135">
                  <c:v>1.7296996745536444E-2</c:v>
                </c:pt>
                <c:pt idx="136">
                  <c:v>3.2051307590883892E-2</c:v>
                </c:pt>
                <c:pt idx="137">
                  <c:v>6.740720876403633E-2</c:v>
                </c:pt>
                <c:pt idx="138">
                  <c:v>0.15141527928210285</c:v>
                </c:pt>
                <c:pt idx="139">
                  <c:v>0.2062021764574247</c:v>
                </c:pt>
                <c:pt idx="140">
                  <c:v>0.26343686854374021</c:v>
                </c:pt>
                <c:pt idx="141">
                  <c:v>0.38236003656021234</c:v>
                </c:pt>
                <c:pt idx="142">
                  <c:v>0.45855598060689884</c:v>
                </c:pt>
                <c:pt idx="143">
                  <c:v>0.55359159378706146</c:v>
                </c:pt>
                <c:pt idx="144">
                  <c:v>0.55175580043575501</c:v>
                </c:pt>
                <c:pt idx="145">
                  <c:v>0.60789148957114569</c:v>
                </c:pt>
                <c:pt idx="146">
                  <c:v>0.61091757901585531</c:v>
                </c:pt>
                <c:pt idx="147">
                  <c:v>0.45866837015661432</c:v>
                </c:pt>
                <c:pt idx="148">
                  <c:v>0.32019104162543605</c:v>
                </c:pt>
                <c:pt idx="149">
                  <c:v>0.11760712527742846</c:v>
                </c:pt>
                <c:pt idx="150">
                  <c:v>8.1923055945788845E-2</c:v>
                </c:pt>
                <c:pt idx="151">
                  <c:v>2.3531726726863777E-2</c:v>
                </c:pt>
                <c:pt idx="152">
                  <c:v>3.1584411780659023E-2</c:v>
                </c:pt>
                <c:pt idx="153">
                  <c:v>0.18974991235973648</c:v>
                </c:pt>
                <c:pt idx="154">
                  <c:v>0.29620598423703615</c:v>
                </c:pt>
                <c:pt idx="155">
                  <c:v>0.40334267972375137</c:v>
                </c:pt>
                <c:pt idx="156">
                  <c:v>0.53387311947250504</c:v>
                </c:pt>
                <c:pt idx="157">
                  <c:v>0.59434212682476395</c:v>
                </c:pt>
                <c:pt idx="158">
                  <c:v>0.57814027963188097</c:v>
                </c:pt>
                <c:pt idx="159">
                  <c:v>0.58417641648710117</c:v>
                </c:pt>
                <c:pt idx="160">
                  <c:v>0.63815476656033865</c:v>
                </c:pt>
                <c:pt idx="161">
                  <c:v>0.6519557712394034</c:v>
                </c:pt>
                <c:pt idx="162">
                  <c:v>0.65496418081926999</c:v>
                </c:pt>
                <c:pt idx="163">
                  <c:v>0.61554196189195487</c:v>
                </c:pt>
                <c:pt idx="164">
                  <c:v>0.54793254562050087</c:v>
                </c:pt>
                <c:pt idx="165">
                  <c:v>0.52696405782785882</c:v>
                </c:pt>
                <c:pt idx="166">
                  <c:v>0.41410204792172955</c:v>
                </c:pt>
                <c:pt idx="167">
                  <c:v>0.30214274531697644</c:v>
                </c:pt>
                <c:pt idx="168">
                  <c:v>0.27981294602581425</c:v>
                </c:pt>
                <c:pt idx="169">
                  <c:v>0.23886595953842513</c:v>
                </c:pt>
                <c:pt idx="170">
                  <c:v>0.20202368997146339</c:v>
                </c:pt>
                <c:pt idx="171">
                  <c:v>0.21459574114898347</c:v>
                </c:pt>
                <c:pt idx="172">
                  <c:v>0.21517377563777582</c:v>
                </c:pt>
                <c:pt idx="173">
                  <c:v>0.21348091747363754</c:v>
                </c:pt>
                <c:pt idx="174">
                  <c:v>0.19819029717392028</c:v>
                </c:pt>
                <c:pt idx="175">
                  <c:v>0.15244269869055846</c:v>
                </c:pt>
                <c:pt idx="176">
                  <c:v>0.10747011754216648</c:v>
                </c:pt>
                <c:pt idx="177">
                  <c:v>0.23693741874103894</c:v>
                </c:pt>
                <c:pt idx="178">
                  <c:v>0.20688583417557066</c:v>
                </c:pt>
                <c:pt idx="179">
                  <c:v>1.7329046609795239E-2</c:v>
                </c:pt>
                <c:pt idx="180">
                  <c:v>2.1073551449531221E-2</c:v>
                </c:pt>
                <c:pt idx="181">
                  <c:v>4.0411342022375708E-2</c:v>
                </c:pt>
                <c:pt idx="182">
                  <c:v>4.6365613189683012E-2</c:v>
                </c:pt>
                <c:pt idx="183">
                  <c:v>7.8829151526246408E-2</c:v>
                </c:pt>
                <c:pt idx="184">
                  <c:v>0.13487446152091012</c:v>
                </c:pt>
                <c:pt idx="185">
                  <c:v>0.12940841215363599</c:v>
                </c:pt>
                <c:pt idx="186">
                  <c:v>0.14026248764336874</c:v>
                </c:pt>
                <c:pt idx="187">
                  <c:v>0.10817842783442642</c:v>
                </c:pt>
                <c:pt idx="188">
                  <c:v>6.5390313667289299E-2</c:v>
                </c:pt>
                <c:pt idx="189">
                  <c:v>4.7012208644109238E-2</c:v>
                </c:pt>
                <c:pt idx="190">
                  <c:v>3.0395332277327696E-2</c:v>
                </c:pt>
                <c:pt idx="191">
                  <c:v>2.8555506505921955E-2</c:v>
                </c:pt>
                <c:pt idx="192">
                  <c:v>2.597856511094979E-2</c:v>
                </c:pt>
                <c:pt idx="193">
                  <c:v>1.400837714927384E-2</c:v>
                </c:pt>
                <c:pt idx="194">
                  <c:v>9.1044447705381122E-3</c:v>
                </c:pt>
                <c:pt idx="195">
                  <c:v>3.7298103267148185E-2</c:v>
                </c:pt>
                <c:pt idx="196">
                  <c:v>6.4339847724105698E-2</c:v>
                </c:pt>
                <c:pt idx="197">
                  <c:v>7.4538756914383331E-2</c:v>
                </c:pt>
                <c:pt idx="198">
                  <c:v>4.9103695675722795E-3</c:v>
                </c:pt>
                <c:pt idx="199">
                  <c:v>1.3876603749318215E-3</c:v>
                </c:pt>
                <c:pt idx="200">
                  <c:v>1.8641175053415234E-4</c:v>
                </c:pt>
                <c:pt idx="201">
                  <c:v>4.0627848844074151E-4</c:v>
                </c:pt>
                <c:pt idx="202">
                  <c:v>2.3344622094613678E-3</c:v>
                </c:pt>
                <c:pt idx="203">
                  <c:v>6.743602659540043E-4</c:v>
                </c:pt>
                <c:pt idx="204">
                  <c:v>4.1178986981374975E-3</c:v>
                </c:pt>
                <c:pt idx="205">
                  <c:v>1.6675244524381377E-2</c:v>
                </c:pt>
                <c:pt idx="206">
                  <c:v>5.8785868518821636E-2</c:v>
                </c:pt>
                <c:pt idx="207">
                  <c:v>0.19104563745747596</c:v>
                </c:pt>
                <c:pt idx="208">
                  <c:v>0.37357385068689059</c:v>
                </c:pt>
                <c:pt idx="209">
                  <c:v>0.35701923736832164</c:v>
                </c:pt>
                <c:pt idx="210">
                  <c:v>0.14036679163419269</c:v>
                </c:pt>
                <c:pt idx="211">
                  <c:v>1.9746423098265502E-2</c:v>
                </c:pt>
                <c:pt idx="212">
                  <c:v>7.7663851537483413E-4</c:v>
                </c:pt>
                <c:pt idx="213">
                  <c:v>6.7366331880047106E-2</c:v>
                </c:pt>
                <c:pt idx="214">
                  <c:v>0.23693183256110528</c:v>
                </c:pt>
                <c:pt idx="215">
                  <c:v>0.34399943222221274</c:v>
                </c:pt>
                <c:pt idx="216">
                  <c:v>0.46011442091045063</c:v>
                </c:pt>
                <c:pt idx="217">
                  <c:v>0.56022199253381966</c:v>
                </c:pt>
                <c:pt idx="218">
                  <c:v>0.62620500779791721</c:v>
                </c:pt>
                <c:pt idx="219">
                  <c:v>0.74083011065805549</c:v>
                </c:pt>
                <c:pt idx="220">
                  <c:v>0.80808250473127674</c:v>
                </c:pt>
                <c:pt idx="221">
                  <c:v>0.83066663482365066</c:v>
                </c:pt>
                <c:pt idx="222">
                  <c:v>0.84708654450594667</c:v>
                </c:pt>
                <c:pt idx="223">
                  <c:v>0.83489821513559448</c:v>
                </c:pt>
                <c:pt idx="224">
                  <c:v>0.77872748800584357</c:v>
                </c:pt>
                <c:pt idx="225">
                  <c:v>0.69022894290891068</c:v>
                </c:pt>
                <c:pt idx="226">
                  <c:v>0.61009203806211454</c:v>
                </c:pt>
                <c:pt idx="227">
                  <c:v>0.51032929670664351</c:v>
                </c:pt>
                <c:pt idx="228">
                  <c:v>0.31226970194018133</c:v>
                </c:pt>
                <c:pt idx="229">
                  <c:v>9.9411703412667904E-2</c:v>
                </c:pt>
                <c:pt idx="230">
                  <c:v>3.5899145573156229E-7</c:v>
                </c:pt>
                <c:pt idx="231">
                  <c:v>7.4659681521721866E-2</c:v>
                </c:pt>
                <c:pt idx="232">
                  <c:v>0.26119123220642754</c:v>
                </c:pt>
                <c:pt idx="233">
                  <c:v>0.54600617802780027</c:v>
                </c:pt>
                <c:pt idx="234">
                  <c:v>0.50847682444620257</c:v>
                </c:pt>
                <c:pt idx="235">
                  <c:v>0.26022571682063239</c:v>
                </c:pt>
                <c:pt idx="236">
                  <c:v>6.3222135959485934E-2</c:v>
                </c:pt>
                <c:pt idx="237">
                  <c:v>1.3158394346040509E-5</c:v>
                </c:pt>
                <c:pt idx="238">
                  <c:v>2.7450997501691946E-2</c:v>
                </c:pt>
                <c:pt idx="239">
                  <c:v>7.8537999185913823E-2</c:v>
                </c:pt>
                <c:pt idx="240">
                  <c:v>0.16167566721916116</c:v>
                </c:pt>
                <c:pt idx="241">
                  <c:v>0.25404543897108439</c:v>
                </c:pt>
                <c:pt idx="242">
                  <c:v>0.36979308925009735</c:v>
                </c:pt>
                <c:pt idx="243">
                  <c:v>0.48806399770099196</c:v>
                </c:pt>
                <c:pt idx="244">
                  <c:v>0.58396858172149857</c:v>
                </c:pt>
                <c:pt idx="245">
                  <c:v>0.61481747167164402</c:v>
                </c:pt>
                <c:pt idx="246">
                  <c:v>0.60003424068187983</c:v>
                </c:pt>
                <c:pt idx="247">
                  <c:v>0.65106956335786115</c:v>
                </c:pt>
                <c:pt idx="248">
                  <c:v>0.78095641093937251</c:v>
                </c:pt>
                <c:pt idx="249">
                  <c:v>0.7955301561385193</c:v>
                </c:pt>
                <c:pt idx="250">
                  <c:v>0.73721481660630916</c:v>
                </c:pt>
                <c:pt idx="251">
                  <c:v>0.67187595461470517</c:v>
                </c:pt>
                <c:pt idx="252">
                  <c:v>0.63744717993369016</c:v>
                </c:pt>
                <c:pt idx="253">
                  <c:v>0.57876696473817346</c:v>
                </c:pt>
                <c:pt idx="254">
                  <c:v>0.60062596434698667</c:v>
                </c:pt>
                <c:pt idx="255">
                  <c:v>0.51639606184565012</c:v>
                </c:pt>
                <c:pt idx="256">
                  <c:v>0.41011911914473814</c:v>
                </c:pt>
                <c:pt idx="257">
                  <c:v>0.45577257713553965</c:v>
                </c:pt>
                <c:pt idx="258">
                  <c:v>0.45824752354822823</c:v>
                </c:pt>
                <c:pt idx="259">
                  <c:v>0.34170062562678594</c:v>
                </c:pt>
                <c:pt idx="260">
                  <c:v>0.24034371047496667</c:v>
                </c:pt>
                <c:pt idx="261">
                  <c:v>9.2292842335241668E-2</c:v>
                </c:pt>
                <c:pt idx="262">
                  <c:v>1.6188169415646596E-2</c:v>
                </c:pt>
                <c:pt idx="263">
                  <c:v>8.7053607908610083E-5</c:v>
                </c:pt>
                <c:pt idx="264">
                  <c:v>1.4247983267418871E-2</c:v>
                </c:pt>
                <c:pt idx="265">
                  <c:v>3.9728152604389146E-2</c:v>
                </c:pt>
                <c:pt idx="266">
                  <c:v>2.2491316937154202E-2</c:v>
                </c:pt>
                <c:pt idx="267">
                  <c:v>1.6253632789124714E-2</c:v>
                </c:pt>
                <c:pt idx="268">
                  <c:v>7.4148568706799117E-2</c:v>
                </c:pt>
                <c:pt idx="269">
                  <c:v>0.13281141183507536</c:v>
                </c:pt>
                <c:pt idx="270">
                  <c:v>0.13196268400854383</c:v>
                </c:pt>
                <c:pt idx="271">
                  <c:v>0.10879898992946205</c:v>
                </c:pt>
                <c:pt idx="272">
                  <c:v>6.9149911554916052E-2</c:v>
                </c:pt>
                <c:pt idx="273">
                  <c:v>8.7117272903162353E-3</c:v>
                </c:pt>
                <c:pt idx="274">
                  <c:v>1.9252826185457041E-8</c:v>
                </c:pt>
                <c:pt idx="275">
                  <c:v>2.1372430226145483E-3</c:v>
                </c:pt>
                <c:pt idx="276">
                  <c:v>6.3758579063206408E-2</c:v>
                </c:pt>
                <c:pt idx="277">
                  <c:v>0.17962029058342024</c:v>
                </c:pt>
                <c:pt idx="278">
                  <c:v>0.39104396128362473</c:v>
                </c:pt>
                <c:pt idx="279">
                  <c:v>0.3647650752332442</c:v>
                </c:pt>
                <c:pt idx="280">
                  <c:v>0.34869559758463697</c:v>
                </c:pt>
                <c:pt idx="281">
                  <c:v>0.35446149547867617</c:v>
                </c:pt>
                <c:pt idx="282">
                  <c:v>0.34544523148979678</c:v>
                </c:pt>
                <c:pt idx="283">
                  <c:v>0.31562766935377695</c:v>
                </c:pt>
                <c:pt idx="284">
                  <c:v>0.34939147054756148</c:v>
                </c:pt>
                <c:pt idx="285">
                  <c:v>0.26756610598826952</c:v>
                </c:pt>
                <c:pt idx="286">
                  <c:v>0.25751703482128913</c:v>
                </c:pt>
                <c:pt idx="287">
                  <c:v>0.25599086524249304</c:v>
                </c:pt>
                <c:pt idx="288">
                  <c:v>0.23221283840803775</c:v>
                </c:pt>
                <c:pt idx="289">
                  <c:v>0.17330861920414772</c:v>
                </c:pt>
                <c:pt idx="290">
                  <c:v>0.12758713566292934</c:v>
                </c:pt>
                <c:pt idx="291">
                  <c:v>0.15853174489709984</c:v>
                </c:pt>
                <c:pt idx="292">
                  <c:v>0.31480762714289384</c:v>
                </c:pt>
                <c:pt idx="293">
                  <c:v>0.42974330455131715</c:v>
                </c:pt>
                <c:pt idx="294">
                  <c:v>#N/A</c:v>
                </c:pt>
                <c:pt idx="295">
                  <c:v>#N/A</c:v>
                </c:pt>
                <c:pt idx="296">
                  <c:v>#N/A</c:v>
                </c:pt>
                <c:pt idx="297">
                  <c:v>#N/A</c:v>
                </c:pt>
                <c:pt idx="298">
                  <c:v>#N/A</c:v>
                </c:pt>
                <c:pt idx="299">
                  <c:v>#N/A</c:v>
                </c:pt>
                <c:pt idx="300">
                  <c:v>#N/A</c:v>
                </c:pt>
                <c:pt idx="301">
                  <c:v>#N/A</c:v>
                </c:pt>
                <c:pt idx="302">
                  <c:v>#N/A</c:v>
                </c:pt>
                <c:pt idx="303">
                  <c:v>#N/A</c:v>
                </c:pt>
                <c:pt idx="304">
                  <c:v>#N/A</c:v>
                </c:pt>
                <c:pt idx="305">
                  <c:v>#N/A</c:v>
                </c:pt>
                <c:pt idx="306">
                  <c:v>#N/A</c:v>
                </c:pt>
                <c:pt idx="307">
                  <c:v>#N/A</c:v>
                </c:pt>
                <c:pt idx="308">
                  <c:v>#N/A</c:v>
                </c:pt>
                <c:pt idx="309">
                  <c:v>#N/A</c:v>
                </c:pt>
                <c:pt idx="310">
                  <c:v>#N/A</c:v>
                </c:pt>
                <c:pt idx="311">
                  <c:v>#N/A</c:v>
                </c:pt>
                <c:pt idx="312">
                  <c:v>#N/A</c:v>
                </c:pt>
                <c:pt idx="313">
                  <c:v>#N/A</c:v>
                </c:pt>
                <c:pt idx="314">
                  <c:v>#N/A</c:v>
                </c:pt>
                <c:pt idx="315">
                  <c:v>#N/A</c:v>
                </c:pt>
                <c:pt idx="316">
                  <c:v>#N/A</c:v>
                </c:pt>
                <c:pt idx="317">
                  <c:v>#N/A</c:v>
                </c:pt>
                <c:pt idx="318">
                  <c:v>#N/A</c:v>
                </c:pt>
                <c:pt idx="319">
                  <c:v>#N/A</c:v>
                </c:pt>
                <c:pt idx="320">
                  <c:v>#N/A</c:v>
                </c:pt>
                <c:pt idx="321">
                  <c:v>#N/A</c:v>
                </c:pt>
                <c:pt idx="322">
                  <c:v>#N/A</c:v>
                </c:pt>
                <c:pt idx="323">
                  <c:v>#N/A</c:v>
                </c:pt>
                <c:pt idx="324">
                  <c:v>#N/A</c:v>
                </c:pt>
                <c:pt idx="325">
                  <c:v>#N/A</c:v>
                </c:pt>
                <c:pt idx="326">
                  <c:v>#N/A</c:v>
                </c:pt>
                <c:pt idx="327">
                  <c:v>#N/A</c:v>
                </c:pt>
                <c:pt idx="328">
                  <c:v>#N/A</c:v>
                </c:pt>
                <c:pt idx="329">
                  <c:v>#N/A</c:v>
                </c:pt>
                <c:pt idx="330">
                  <c:v>#N/A</c:v>
                </c:pt>
                <c:pt idx="331">
                  <c:v>#N/A</c:v>
                </c:pt>
                <c:pt idx="332">
                  <c:v>#N/A</c:v>
                </c:pt>
                <c:pt idx="333">
                  <c:v>#N/A</c:v>
                </c:pt>
                <c:pt idx="334">
                  <c:v>#N/A</c:v>
                </c:pt>
                <c:pt idx="335">
                  <c:v>#N/A</c:v>
                </c:pt>
                <c:pt idx="336">
                  <c:v>#N/A</c:v>
                </c:pt>
                <c:pt idx="337">
                  <c:v>#N/A</c:v>
                </c:pt>
                <c:pt idx="338">
                  <c:v>#N/A</c:v>
                </c:pt>
                <c:pt idx="339">
                  <c:v>#N/A</c:v>
                </c:pt>
                <c:pt idx="340">
                  <c:v>#N/A</c:v>
                </c:pt>
                <c:pt idx="341">
                  <c:v>#N/A</c:v>
                </c:pt>
                <c:pt idx="342">
                  <c:v>#N/A</c:v>
                </c:pt>
                <c:pt idx="343">
                  <c:v>#N/A</c:v>
                </c:pt>
                <c:pt idx="344">
                  <c:v>#N/A</c:v>
                </c:pt>
                <c:pt idx="345">
                  <c:v>#N/A</c:v>
                </c:pt>
                <c:pt idx="346">
                  <c:v>#N/A</c:v>
                </c:pt>
                <c:pt idx="347">
                  <c:v>#N/A</c:v>
                </c:pt>
                <c:pt idx="348">
                  <c:v>#N/A</c:v>
                </c:pt>
                <c:pt idx="349">
                  <c:v>#N/A</c:v>
                </c:pt>
                <c:pt idx="350">
                  <c:v>#N/A</c:v>
                </c:pt>
                <c:pt idx="351">
                  <c:v>#N/A</c:v>
                </c:pt>
                <c:pt idx="352">
                  <c:v>#N/A</c:v>
                </c:pt>
                <c:pt idx="353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E50-4C4D-B3DA-63BB3817D28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58880608"/>
        <c:axId val="1758880128"/>
      </c:lineChart>
      <c:dateAx>
        <c:axId val="1758880608"/>
        <c:scaling>
          <c:orientation val="minMax"/>
          <c:min val="35796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yyyy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58880128"/>
        <c:crosses val="autoZero"/>
        <c:auto val="1"/>
        <c:lblOffset val="100"/>
        <c:baseTimeUnit val="months"/>
        <c:majorUnit val="2"/>
        <c:majorTimeUnit val="years"/>
      </c:dateAx>
      <c:valAx>
        <c:axId val="17588801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58880608"/>
        <c:crosses val="autoZero"/>
        <c:crossBetween val="midCat"/>
        <c:majorUnit val="0.2"/>
        <c:minorUnit val="0.1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5" Type="http://schemas.openxmlformats.org/officeDocument/2006/relationships/chart" Target="../charts/chart5.xml"/><Relationship Id="rId10" Type="http://schemas.openxmlformats.org/officeDocument/2006/relationships/chart" Target="../charts/chart10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4.xml"/><Relationship Id="rId2" Type="http://schemas.openxmlformats.org/officeDocument/2006/relationships/chart" Target="../charts/chart13.xml"/><Relationship Id="rId1" Type="http://schemas.openxmlformats.org/officeDocument/2006/relationships/chart" Target="../charts/chart1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0</xdr:colOff>
      <xdr:row>2</xdr:row>
      <xdr:rowOff>0</xdr:rowOff>
    </xdr:from>
    <xdr:to>
      <xdr:col>9</xdr:col>
      <xdr:colOff>1062038</xdr:colOff>
      <xdr:row>16</xdr:row>
      <xdr:rowOff>76200</xdr:rowOff>
    </xdr:to>
    <xdr:graphicFrame macro="">
      <xdr:nvGraphicFramePr>
        <xdr:cNvPr id="32" name="Chart 31">
          <a:extLst>
            <a:ext uri="{FF2B5EF4-FFF2-40B4-BE49-F238E27FC236}">
              <a16:creationId xmlns:a16="http://schemas.microsoft.com/office/drawing/2014/main" id="{B7D7B1C4-8683-488E-8FD2-DBF448F877D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0</xdr:colOff>
      <xdr:row>2</xdr:row>
      <xdr:rowOff>0</xdr:rowOff>
    </xdr:from>
    <xdr:to>
      <xdr:col>15</xdr:col>
      <xdr:colOff>333375</xdr:colOff>
      <xdr:row>16</xdr:row>
      <xdr:rowOff>76200</xdr:rowOff>
    </xdr:to>
    <xdr:graphicFrame macro="">
      <xdr:nvGraphicFramePr>
        <xdr:cNvPr id="35" name="Chart 34">
          <a:extLst>
            <a:ext uri="{FF2B5EF4-FFF2-40B4-BE49-F238E27FC236}">
              <a16:creationId xmlns:a16="http://schemas.microsoft.com/office/drawing/2014/main" id="{D5D58423-CAB7-4D46-869A-C077E4911BC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10</xdr:col>
      <xdr:colOff>0</xdr:colOff>
      <xdr:row>17</xdr:row>
      <xdr:rowOff>0</xdr:rowOff>
    </xdr:from>
    <xdr:to>
      <xdr:col>15</xdr:col>
      <xdr:colOff>333375</xdr:colOff>
      <xdr:row>31</xdr:row>
      <xdr:rowOff>76200</xdr:rowOff>
    </xdr:to>
    <xdr:graphicFrame macro="">
      <xdr:nvGraphicFramePr>
        <xdr:cNvPr id="36" name="Chart 35">
          <a:extLst>
            <a:ext uri="{FF2B5EF4-FFF2-40B4-BE49-F238E27FC236}">
              <a16:creationId xmlns:a16="http://schemas.microsoft.com/office/drawing/2014/main" id="{4225C8F8-E2CE-45BE-8D7F-761F2019D0F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10</xdr:col>
      <xdr:colOff>0</xdr:colOff>
      <xdr:row>32</xdr:row>
      <xdr:rowOff>0</xdr:rowOff>
    </xdr:from>
    <xdr:to>
      <xdr:col>15</xdr:col>
      <xdr:colOff>333375</xdr:colOff>
      <xdr:row>46</xdr:row>
      <xdr:rowOff>76200</xdr:rowOff>
    </xdr:to>
    <xdr:graphicFrame macro="">
      <xdr:nvGraphicFramePr>
        <xdr:cNvPr id="37" name="Chart 36">
          <a:extLst>
            <a:ext uri="{FF2B5EF4-FFF2-40B4-BE49-F238E27FC236}">
              <a16:creationId xmlns:a16="http://schemas.microsoft.com/office/drawing/2014/main" id="{1A505D7F-0E2E-4C2F-B7C1-696B441F324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16</xdr:col>
      <xdr:colOff>0</xdr:colOff>
      <xdr:row>2</xdr:row>
      <xdr:rowOff>0</xdr:rowOff>
    </xdr:from>
    <xdr:to>
      <xdr:col>23</xdr:col>
      <xdr:colOff>321469</xdr:colOff>
      <xdr:row>16</xdr:row>
      <xdr:rowOff>76200</xdr:rowOff>
    </xdr:to>
    <xdr:graphicFrame macro="">
      <xdr:nvGraphicFramePr>
        <xdr:cNvPr id="39" name="Chart 38">
          <a:extLst>
            <a:ext uri="{FF2B5EF4-FFF2-40B4-BE49-F238E27FC236}">
              <a16:creationId xmlns:a16="http://schemas.microsoft.com/office/drawing/2014/main" id="{3E5BF544-B006-46C5-BC5A-9E86E8EE9BE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 editAs="oneCell">
    <xdr:from>
      <xdr:col>16</xdr:col>
      <xdr:colOff>0</xdr:colOff>
      <xdr:row>17</xdr:row>
      <xdr:rowOff>0</xdr:rowOff>
    </xdr:from>
    <xdr:to>
      <xdr:col>23</xdr:col>
      <xdr:colOff>321469</xdr:colOff>
      <xdr:row>31</xdr:row>
      <xdr:rowOff>76200</xdr:rowOff>
    </xdr:to>
    <xdr:graphicFrame macro="">
      <xdr:nvGraphicFramePr>
        <xdr:cNvPr id="42" name="Chart 41">
          <a:extLst>
            <a:ext uri="{FF2B5EF4-FFF2-40B4-BE49-F238E27FC236}">
              <a16:creationId xmlns:a16="http://schemas.microsoft.com/office/drawing/2014/main" id="{A178A05F-01DD-4A05-83D9-B35C61D781F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 editAs="oneCell">
    <xdr:from>
      <xdr:col>0</xdr:col>
      <xdr:colOff>0</xdr:colOff>
      <xdr:row>17</xdr:row>
      <xdr:rowOff>0</xdr:rowOff>
    </xdr:from>
    <xdr:to>
      <xdr:col>9</xdr:col>
      <xdr:colOff>1062038</xdr:colOff>
      <xdr:row>31</xdr:row>
      <xdr:rowOff>76200</xdr:rowOff>
    </xdr:to>
    <xdr:graphicFrame macro="">
      <xdr:nvGraphicFramePr>
        <xdr:cNvPr id="43" name="Chart 42">
          <a:extLst>
            <a:ext uri="{FF2B5EF4-FFF2-40B4-BE49-F238E27FC236}">
              <a16:creationId xmlns:a16="http://schemas.microsoft.com/office/drawing/2014/main" id="{97C728E9-A2E0-4AC5-ABFA-BB2D89B4113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 editAs="oneCell">
    <xdr:from>
      <xdr:col>16</xdr:col>
      <xdr:colOff>0</xdr:colOff>
      <xdr:row>32</xdr:row>
      <xdr:rowOff>0</xdr:rowOff>
    </xdr:from>
    <xdr:to>
      <xdr:col>23</xdr:col>
      <xdr:colOff>321469</xdr:colOff>
      <xdr:row>46</xdr:row>
      <xdr:rowOff>76200</xdr:rowOff>
    </xdr:to>
    <xdr:graphicFrame macro="">
      <xdr:nvGraphicFramePr>
        <xdr:cNvPr id="46" name="Chart 45">
          <a:extLst>
            <a:ext uri="{FF2B5EF4-FFF2-40B4-BE49-F238E27FC236}">
              <a16:creationId xmlns:a16="http://schemas.microsoft.com/office/drawing/2014/main" id="{2A1B9446-6742-4F6D-9C9D-2C2DECD4359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 editAs="oneCell">
    <xdr:from>
      <xdr:col>0</xdr:col>
      <xdr:colOff>0</xdr:colOff>
      <xdr:row>32</xdr:row>
      <xdr:rowOff>0</xdr:rowOff>
    </xdr:from>
    <xdr:to>
      <xdr:col>9</xdr:col>
      <xdr:colOff>1062038</xdr:colOff>
      <xdr:row>46</xdr:row>
      <xdr:rowOff>76200</xdr:rowOff>
    </xdr:to>
    <xdr:graphicFrame macro="">
      <xdr:nvGraphicFramePr>
        <xdr:cNvPr id="48" name="Chart 47">
          <a:extLst>
            <a:ext uri="{FF2B5EF4-FFF2-40B4-BE49-F238E27FC236}">
              <a16:creationId xmlns:a16="http://schemas.microsoft.com/office/drawing/2014/main" id="{6366A655-0A59-4D10-9C7E-A95898A1EAC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24</xdr:col>
      <xdr:colOff>0</xdr:colOff>
      <xdr:row>14</xdr:row>
      <xdr:rowOff>0</xdr:rowOff>
    </xdr:from>
    <xdr:to>
      <xdr:col>31</xdr:col>
      <xdr:colOff>35719</xdr:colOff>
      <xdr:row>28</xdr:row>
      <xdr:rowOff>76200</xdr:rowOff>
    </xdr:to>
    <xdr:graphicFrame macro="">
      <xdr:nvGraphicFramePr>
        <xdr:cNvPr id="50" name="Chart 49">
          <a:extLst>
            <a:ext uri="{FF2B5EF4-FFF2-40B4-BE49-F238E27FC236}">
              <a16:creationId xmlns:a16="http://schemas.microsoft.com/office/drawing/2014/main" id="{C4B8B602-7B80-4FF1-A99A-D99BF00B074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24</xdr:col>
      <xdr:colOff>0</xdr:colOff>
      <xdr:row>29</xdr:row>
      <xdr:rowOff>0</xdr:rowOff>
    </xdr:from>
    <xdr:to>
      <xdr:col>31</xdr:col>
      <xdr:colOff>35719</xdr:colOff>
      <xdr:row>43</xdr:row>
      <xdr:rowOff>76200</xdr:rowOff>
    </xdr:to>
    <xdr:graphicFrame macro="">
      <xdr:nvGraphicFramePr>
        <xdr:cNvPr id="51" name="Chart 50">
          <a:extLst>
            <a:ext uri="{FF2B5EF4-FFF2-40B4-BE49-F238E27FC236}">
              <a16:creationId xmlns:a16="http://schemas.microsoft.com/office/drawing/2014/main" id="{2924AF43-F766-4DC9-9276-1CA8B50C2BF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22</xdr:col>
      <xdr:colOff>0</xdr:colOff>
      <xdr:row>2</xdr:row>
      <xdr:rowOff>0</xdr:rowOff>
    </xdr:from>
    <xdr:to>
      <xdr:col>29</xdr:col>
      <xdr:colOff>321469</xdr:colOff>
      <xdr:row>16</xdr:row>
      <xdr:rowOff>76200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34950424-C279-4F22-853A-1D80A11F092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22</xdr:col>
      <xdr:colOff>0</xdr:colOff>
      <xdr:row>17</xdr:row>
      <xdr:rowOff>0</xdr:rowOff>
    </xdr:from>
    <xdr:to>
      <xdr:col>29</xdr:col>
      <xdr:colOff>321469</xdr:colOff>
      <xdr:row>31</xdr:row>
      <xdr:rowOff>76200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8879C87-ACD6-40D3-89C6-5A43629D0FA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22</xdr:col>
      <xdr:colOff>0</xdr:colOff>
      <xdr:row>32</xdr:row>
      <xdr:rowOff>0</xdr:rowOff>
    </xdr:from>
    <xdr:to>
      <xdr:col>29</xdr:col>
      <xdr:colOff>321469</xdr:colOff>
      <xdr:row>46</xdr:row>
      <xdr:rowOff>76200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A547B74A-3C59-474B-B06B-85B6BE1E0E3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AP354"/>
  <sheetViews>
    <sheetView topLeftCell="G1" zoomScale="80" zoomScaleNormal="80" workbookViewId="0">
      <selection activeCell="G1" sqref="G1"/>
    </sheetView>
  </sheetViews>
  <sheetFormatPr defaultRowHeight="15" outlineLevelCol="1" x14ac:dyDescent="0.25"/>
  <cols>
    <col min="1" max="4" width="14" hidden="1" customWidth="1" outlineLevel="1"/>
    <col min="5" max="6" width="9.140625" hidden="1" customWidth="1" outlineLevel="1"/>
    <col min="7" max="7" width="11.5703125" bestFit="1" customWidth="1" collapsed="1"/>
    <col min="8" max="11" width="20.28515625" style="7" customWidth="1"/>
    <col min="12" max="12" width="10.85546875" style="7" bestFit="1" customWidth="1"/>
    <col min="13" max="13" width="9.140625" style="8"/>
    <col min="14" max="14" width="10.140625" style="7" bestFit="1" customWidth="1"/>
    <col min="15" max="15" width="13" style="11" bestFit="1" customWidth="1"/>
    <col min="16" max="18" width="9.140625" style="10"/>
    <col min="20" max="23" width="9.140625" style="10"/>
    <col min="25" max="25" width="12" bestFit="1" customWidth="1"/>
    <col min="26" max="26" width="10.5703125" bestFit="1" customWidth="1"/>
    <col min="35" max="35" width="13" bestFit="1" customWidth="1"/>
    <col min="37" max="42" width="9.140625" style="10"/>
  </cols>
  <sheetData>
    <row r="1" spans="1:42" ht="60" x14ac:dyDescent="0.25">
      <c r="A1" s="1" t="s">
        <v>0</v>
      </c>
      <c r="B1" s="1" t="s">
        <v>1</v>
      </c>
      <c r="C1" s="1" t="s">
        <v>2</v>
      </c>
      <c r="D1" s="1" t="s">
        <v>3</v>
      </c>
      <c r="G1" s="4" t="s">
        <v>357</v>
      </c>
      <c r="H1" s="6" t="str" cm="1">
        <f t="array" aca="1" ref="H1:J354" ca="1">OFFSET(B1,,,COUNTA(B:B), 3)</f>
        <v>Debit Balances in Customers' Securities Margin Accounts</v>
      </c>
      <c r="I1" s="6" t="str">
        <f ca="1"/>
        <v>Free Credit Balances in Customers' Cash Accounts</v>
      </c>
      <c r="J1" s="6" t="str">
        <f ca="1"/>
        <v>Free Credit Balances in Customers' Securities Margin Accounts</v>
      </c>
      <c r="K1" s="9" t="s">
        <v>364</v>
      </c>
      <c r="L1" s="7" t="s">
        <v>361</v>
      </c>
      <c r="M1" s="8" t="s">
        <v>389</v>
      </c>
      <c r="N1" s="7" t="s">
        <v>365</v>
      </c>
      <c r="O1" s="11" t="s">
        <v>364</v>
      </c>
      <c r="P1" s="10" t="str">
        <f>N1 &amp; " : USM2"</f>
        <v>Retail Money Market Funds : USM2</v>
      </c>
      <c r="Q1" s="10" t="str">
        <f>O1 &amp; " : USM2"</f>
        <v>Free Credit Balances : USM2</v>
      </c>
      <c r="R1" s="10" t="s">
        <v>367</v>
      </c>
      <c r="S1" s="12" t="s">
        <v>360</v>
      </c>
      <c r="T1" s="13" t="str">
        <f>"S&amp;P 500 FwdRtn" &amp; " (" &amp; Z2 &amp; "M)"</f>
        <v>S&amp;P 500 FwdRtn (21M)</v>
      </c>
      <c r="U1" s="13" t="s">
        <v>376</v>
      </c>
      <c r="V1" s="13" t="s">
        <v>381</v>
      </c>
      <c r="W1" s="13" t="s">
        <v>395</v>
      </c>
      <c r="AB1" s="12" t="s">
        <v>379</v>
      </c>
      <c r="AC1" t="s">
        <v>370</v>
      </c>
      <c r="AD1" t="s">
        <v>371</v>
      </c>
      <c r="AE1" t="s">
        <v>372</v>
      </c>
      <c r="AH1" t="s">
        <v>374</v>
      </c>
      <c r="AI1" t="s">
        <v>375</v>
      </c>
      <c r="AK1" s="13" t="str">
        <f>R1</f>
        <v>Debit+Credit Balances : USM2</v>
      </c>
      <c r="AL1" s="13" t="str">
        <f>T1</f>
        <v>S&amp;P 500 FwdRtn (21M)</v>
      </c>
      <c r="AM1" s="14" t="str">
        <f>M1</f>
        <v>Debit Balances : USM2</v>
      </c>
      <c r="AN1" s="10" t="str">
        <f>T1</f>
        <v>S&amp;P 500 FwdRtn (21M)</v>
      </c>
      <c r="AO1" s="10" t="str">
        <f>Q1</f>
        <v>Free Credit Balances : USM2</v>
      </c>
      <c r="AP1" s="10" t="str">
        <f>T1</f>
        <v>S&amp;P 500 FwdRtn (21M)</v>
      </c>
    </row>
    <row r="2" spans="1:42" x14ac:dyDescent="0.25">
      <c r="A2" s="2" t="s">
        <v>4</v>
      </c>
      <c r="B2" s="3">
        <v>1415557</v>
      </c>
      <c r="C2" s="3">
        <v>206600</v>
      </c>
      <c r="D2" s="3">
        <v>217256</v>
      </c>
      <c r="G2" s="5" cm="1">
        <f t="array" aca="1" ref="G2:G354" ca="1">_xlfn.BYROW(OFFSET(A2,,,COUNTA(A:A) -1), _xlfn.LAMBDA(_xlpm.yyyymm, EOMONTH(DATE(_xlfn.NUMBERVALUE(LEFT(_xlpm.yyyymm, 4)), _xlfn.NUMBERVALUE(RIGHT(_xlpm.yyyymm, 2)), 1), 0)))</f>
        <v>46173</v>
      </c>
      <c r="H2" s="7">
        <f ca="1"/>
        <v>1415557</v>
      </c>
      <c r="I2" s="7">
        <f ca="1"/>
        <v>206600</v>
      </c>
      <c r="J2" s="7">
        <f ca="1"/>
        <v>217256</v>
      </c>
      <c r="K2" s="7" cm="1">
        <f t="array" aca="1" ref="K2:K354" ca="1">OFFSET(C2,,,ROWS(_xlfn.ANCHORARRAY(G2))) +OFFSET(D2,,,ROWS(_xlfn.ANCHORARRAY(G2)))</f>
        <v>423856</v>
      </c>
      <c r="L2" s="7" cm="1">
        <f t="array" aca="1" ref="L2:L354" ca="1">VLOOKUP(OFFSET(G2,,,COUNT(G:G)), 'USM2(NS)'!A:B, 2) *1000</f>
        <v>22971700</v>
      </c>
      <c r="M2" s="8" cm="1">
        <f t="array" aca="1" ref="M2:M354" ca="1">OFFSET(H2,,,COUNT(H:H)) /_xlfn.ANCHORARRAY(L2)</f>
        <v>6.1621778100880646E-2</v>
      </c>
      <c r="N2" s="7" cm="1">
        <f t="array" aca="1" ref="N2:N354" ca="1">VLOOKUP(OFFSET(G2,,,COUNT(G:G)), MMF!A:B, 2) *1000</f>
        <v>2247600</v>
      </c>
      <c r="O2" s="11" cm="1">
        <f t="array" aca="1" ref="O2:O354" ca="1">_xlfn.ANCHORARRAY(K2)</f>
        <v>423856</v>
      </c>
      <c r="P2" s="10" cm="1">
        <f t="array" aca="1" ref="P2:P354" ca="1">_xlfn.ANCHORARRAY(N2) /_xlfn.ANCHORARRAY($L2)</f>
        <v>9.7842127487299591E-2</v>
      </c>
      <c r="Q2" s="10" cm="1">
        <f t="array" aca="1" ref="Q2:Q354" ca="1">_xlfn.ANCHORARRAY(O2) /_xlfn.ANCHORARRAY($L2)</f>
        <v>1.845122476786655E-2</v>
      </c>
      <c r="R2" s="10" cm="1">
        <f t="array" aca="1" ref="R2:R354" ca="1">(_xlfn.ANCHORARRAY(M2) +_xlfn.ANCHORARRAY(Q2))</f>
        <v>8.007300286874719E-2</v>
      </c>
      <c r="T2" s="10" t="e" cm="1">
        <f t="array" aca="1" ref="T2:T354" ca="1">IF(EOMONTH(--_xlfn.ANCHORARRAY(G2), $Z$2) &gt;MAX('SP500'!A:A), NA(),
INDEX('SP500'!B:B, MATCH(EOMONTH(--_xlfn.ANCHORARRAY(G2), $Z$2), 'SP500'!A:A, 1)) /INDEX('SP500'!B:B, MATCH(_xlfn.ANCHORARRAY(G2), 'SP500'!A:A, 1)) -1)</f>
        <v>#N/A</v>
      </c>
      <c r="U2" s="10" cm="1">
        <f t="array" aca="1" ref="U2:U354" ca="1">IF(_xlfn.ANCHORARRAY($G2) &gt;$Z$4, AC2 *_xlfn.ANCHORARRAY(R2) +AC3, NA())</f>
        <v>-0.32745581592086626</v>
      </c>
      <c r="V2" s="10" cm="1">
        <f t="array" aca="1" ref="V2:V354" ca="1">IF(_xlfn.ANCHORARRAY($G2) &gt;$Z$4, AC7 *_xlfn.ANCHORARRAY(M2) +AC8, NA())</f>
        <v>-0.75115242977277807</v>
      </c>
      <c r="W2" s="10" cm="1">
        <f t="array" aca="1" ref="W2:W354" ca="1">IF(_xlfn.ANCHORARRAY($G2) &gt;$Z$4, AC12 *_xlfn.ANCHORARRAY(Q2) +AC13, NA())</f>
        <v>0.28326535227160177</v>
      </c>
      <c r="Y2" t="s">
        <v>385</v>
      </c>
      <c r="Z2">
        <v>21</v>
      </c>
      <c r="AB2" t="s">
        <v>368</v>
      </c>
      <c r="AC2" cm="1">
        <f t="array" aca="1" ref="AC2:AG3" ca="1">_xlfn.LET(_xlpm.trainingSince, $Z$4, _xlpm.trainingUntil, $Z$5, _xlpm.dtCol,_xlfn.ANCHORARRAY( $G$2),
_xlpm.original_y,_xlfn.ANCHORARRAY( $T$2), _xlpm.clean_y, _xlfn._xlws.FILTER(_xlpm.original_y, ISNUMBER(_xlpm.original_y) *(_xlpm.dtCol&gt;_xlpm.trainingSince) *(_xlpm.dtCol&lt;=_xlpm.trainingUntil)),
_xlpm.original_x,_xlfn.ANCHORARRAY( $R$2), _xlpm.clean_x, _xlfn._xlws.FILTER(_xlpm.original_x, ISNUMBER(_xlpm.original_y) *(_xlpm.dtCol&gt;_xlpm.trainingSince) *(_xlpm.dtCol&lt;=_xlpm.trainingUntil)),
TRANSPOSE(LINEST(_xlpm.clean_y, _xlpm.clean_x, TRUE, TRUE)))</f>
        <v>-23.810532804209174</v>
      </c>
      <c r="AD2">
        <f ca="1"/>
        <v>3.0842499903018279</v>
      </c>
      <c r="AE2">
        <f ca="1"/>
        <v>0.50679859071116395</v>
      </c>
      <c r="AF2">
        <f ca="1"/>
        <v>59.59901514400007</v>
      </c>
      <c r="AG2">
        <f ca="1"/>
        <v>1.3279226074667856</v>
      </c>
      <c r="AH2" cm="1">
        <f t="array" aca="1" ref="AH2:AH3" ca="1">AC2:AC3 /AD2:AD3</f>
        <v>-7.7200398408298447</v>
      </c>
      <c r="AI2" cm="1">
        <f t="array" aca="1" ref="AI2:AI3" ca="1">_xlfn.T.DIST.2T(ABS(_xlfn.ANCHORARRAY(AH2)), AF3)</f>
        <v>1.806564327440652E-10</v>
      </c>
      <c r="AK2" s="10" cm="1">
        <f t="array" aca="1" ref="AK2:AK62" ca="1">_xlfn._xlws.FILTER(_xlfn.ANCHORARRAY(R2), (_xlfn.ANCHORARRAY($G$2) &gt;=$Z$4) *(_xlfn.ANCHORARRAY($G$2) &lt;=$Z$5))</f>
        <v>5.1941765025900609E-2</v>
      </c>
      <c r="AL2" s="10" cm="1">
        <f t="array" aca="1" ref="AL2:AL62" ca="1">_xlfn._xlws.FILTER(_xlfn.ANCHORARRAY(T2), (_xlfn.ANCHORARRAY($G$2) &gt;=$Z$4) *(_xlfn.ANCHORARRAY($G$2) &lt;=$Z$5))</f>
        <v>0.34198357056865669</v>
      </c>
      <c r="AM2" s="10" cm="1">
        <f t="array" aca="1" ref="AM2:AM62" ca="1">_xlfn._xlws.FILTER(_xlfn.ANCHORARRAY(M2), (_xlfn.ANCHORARRAY($G$2) &gt;=$Z$4) *(_xlfn.ANCHORARRAY($G$2) &lt;=$Z$5))</f>
        <v>3.7711379710007806E-2</v>
      </c>
      <c r="AN2" s="10" cm="1">
        <f t="array" aca="1" ref="AN2:AN62" ca="1">_xlfn._xlws.FILTER(_xlfn.ANCHORARRAY(T2), (_xlfn.ANCHORARRAY($G$2) &gt;=$Z$4) *(_xlfn.ANCHORARRAY($G$2) &lt;=$Z$5))</f>
        <v>0.34198357056865669</v>
      </c>
      <c r="AO2" s="10" cm="1">
        <f t="array" aca="1" ref="AO2:AO62" ca="1">_xlfn._xlws.FILTER(_xlfn.ANCHORARRAY(Q2), (_xlfn.ANCHORARRAY($G$2) &gt;=$Z$4) *(_xlfn.ANCHORARRAY($G$2) &lt;=$Z$5))</f>
        <v>1.4230385315892801E-2</v>
      </c>
      <c r="AP2" s="10" cm="1">
        <f t="array" aca="1" ref="AP2:AP62" ca="1">_xlfn._xlws.FILTER(_xlfn.ANCHORARRAY(T2), (_xlfn.ANCHORARRAY($G$2) &gt;=$Z$4) *(_xlfn.ANCHORARRAY($G$2) &lt;=$Z$5))</f>
        <v>0.34198357056865669</v>
      </c>
    </row>
    <row r="3" spans="1:42" x14ac:dyDescent="0.25">
      <c r="A3" s="2" t="s">
        <v>5</v>
      </c>
      <c r="B3" s="3">
        <v>1304281</v>
      </c>
      <c r="C3" s="3">
        <v>217836</v>
      </c>
      <c r="D3" s="3">
        <v>215445</v>
      </c>
      <c r="G3" s="5">
        <f ca="1"/>
        <v>46142</v>
      </c>
      <c r="H3" s="7">
        <f ca="1"/>
        <v>1304281</v>
      </c>
      <c r="I3" s="7">
        <f ca="1"/>
        <v>217836</v>
      </c>
      <c r="J3" s="7">
        <f ca="1"/>
        <v>215445</v>
      </c>
      <c r="K3" s="7">
        <f ca="1"/>
        <v>433281</v>
      </c>
      <c r="L3" s="7">
        <f ca="1"/>
        <v>22936200</v>
      </c>
      <c r="M3" s="8">
        <f ca="1"/>
        <v>5.6865609822028061E-2</v>
      </c>
      <c r="N3" s="7">
        <f ca="1"/>
        <v>2252000</v>
      </c>
      <c r="O3" s="11">
        <f ca="1"/>
        <v>433281</v>
      </c>
      <c r="P3" s="10">
        <f ca="1"/>
        <v>9.8185401243449225E-2</v>
      </c>
      <c r="Q3" s="10">
        <f ca="1"/>
        <v>1.8890705522274832E-2</v>
      </c>
      <c r="R3" s="10">
        <f ca="1"/>
        <v>7.5756315344302896E-2</v>
      </c>
      <c r="T3" s="10" t="e">
        <f ca="1"/>
        <v>#N/A</v>
      </c>
      <c r="U3" s="10">
        <f ca="1"/>
        <v>-0.22467318601456476</v>
      </c>
      <c r="V3" s="10">
        <f ca="1"/>
        <v>-0.56358711190422062</v>
      </c>
      <c r="W3" s="10">
        <f ca="1"/>
        <v>0.27553374607368963</v>
      </c>
      <c r="Y3" t="s">
        <v>386</v>
      </c>
      <c r="Z3">
        <v>60</v>
      </c>
      <c r="AB3" t="s">
        <v>369</v>
      </c>
      <c r="AC3">
        <f ca="1"/>
        <v>1.5791250456169741</v>
      </c>
      <c r="AD3">
        <f ca="1"/>
        <v>0.17081891004015298</v>
      </c>
      <c r="AE3">
        <f ca="1"/>
        <v>0.14926804360667212</v>
      </c>
      <c r="AF3">
        <f ca="1"/>
        <v>58</v>
      </c>
      <c r="AG3">
        <f ca="1"/>
        <v>1.2922950328454756</v>
      </c>
      <c r="AH3">
        <f ca="1"/>
        <v>9.2444393026848282</v>
      </c>
      <c r="AI3">
        <f ca="1"/>
        <v>5.2517129877123755E-13</v>
      </c>
      <c r="AK3" s="10">
        <f ca="1"/>
        <v>5.3035473390207297E-2</v>
      </c>
      <c r="AL3" s="10">
        <f ca="1"/>
        <v>0.30543614073846048</v>
      </c>
      <c r="AM3" s="10">
        <f ca="1"/>
        <v>3.8515086165947829E-2</v>
      </c>
      <c r="AN3" s="10">
        <f ca="1"/>
        <v>0.30543614073846048</v>
      </c>
      <c r="AO3" s="10">
        <f ca="1"/>
        <v>1.4520387224259466E-2</v>
      </c>
      <c r="AP3" s="10">
        <f ca="1"/>
        <v>0.30543614073846048</v>
      </c>
    </row>
    <row r="4" spans="1:42" x14ac:dyDescent="0.25">
      <c r="A4" s="2" t="s">
        <v>6</v>
      </c>
      <c r="B4" s="3">
        <v>1220922</v>
      </c>
      <c r="C4" s="3">
        <v>221860</v>
      </c>
      <c r="D4" s="3">
        <v>205600</v>
      </c>
      <c r="G4" s="5">
        <f ca="1"/>
        <v>46112</v>
      </c>
      <c r="H4" s="7">
        <f ca="1"/>
        <v>1220922</v>
      </c>
      <c r="I4" s="7">
        <f ca="1"/>
        <v>221860</v>
      </c>
      <c r="J4" s="7">
        <f ca="1"/>
        <v>205600</v>
      </c>
      <c r="K4" s="7">
        <f ca="1"/>
        <v>427460</v>
      </c>
      <c r="L4" s="7">
        <f ca="1"/>
        <v>22815900</v>
      </c>
      <c r="M4" s="8">
        <f ca="1"/>
        <v>5.351189302197152E-2</v>
      </c>
      <c r="N4" s="7">
        <f ca="1"/>
        <v>2291400</v>
      </c>
      <c r="O4" s="11">
        <f ca="1"/>
        <v>427460</v>
      </c>
      <c r="P4" s="10">
        <f ca="1"/>
        <v>0.1004299633150566</v>
      </c>
      <c r="Q4" s="10">
        <f ca="1"/>
        <v>1.8735180290937459E-2</v>
      </c>
      <c r="R4" s="10">
        <f ca="1"/>
        <v>7.2247073312908971E-2</v>
      </c>
      <c r="T4" s="10" t="e">
        <f ca="1"/>
        <v>#N/A</v>
      </c>
      <c r="U4" s="10">
        <f ca="1"/>
        <v>-0.14111626350815021</v>
      </c>
      <c r="V4" s="10">
        <f ca="1"/>
        <v>-0.43132918477396309</v>
      </c>
      <c r="W4" s="10">
        <f ca="1"/>
        <v>0.27826983822443407</v>
      </c>
      <c r="Y4" t="s">
        <v>377</v>
      </c>
      <c r="Z4" s="5">
        <f ca="1">EOMONTH(Z5, -Z3)</f>
        <v>43708</v>
      </c>
      <c r="AF4" t="s">
        <v>373</v>
      </c>
      <c r="AK4" s="10">
        <f ca="1"/>
        <v>5.3050908676146299E-2</v>
      </c>
      <c r="AL4" s="10">
        <f ca="1"/>
        <v>0.19559452648851394</v>
      </c>
      <c r="AM4" s="10">
        <f ca="1"/>
        <v>3.8462949585582842E-2</v>
      </c>
      <c r="AN4" s="10">
        <f ca="1"/>
        <v>0.19559452648851394</v>
      </c>
      <c r="AO4" s="10">
        <f ca="1"/>
        <v>1.4587959090563455E-2</v>
      </c>
      <c r="AP4" s="10">
        <f ca="1"/>
        <v>0.19559452648851394</v>
      </c>
    </row>
    <row r="5" spans="1:42" x14ac:dyDescent="0.25">
      <c r="A5" s="2" t="s">
        <v>7</v>
      </c>
      <c r="B5" s="3">
        <v>1253192</v>
      </c>
      <c r="C5" s="3">
        <v>205060</v>
      </c>
      <c r="D5" s="3">
        <v>200047</v>
      </c>
      <c r="G5" s="5">
        <f ca="1"/>
        <v>46081</v>
      </c>
      <c r="H5" s="7">
        <f ca="1"/>
        <v>1253192</v>
      </c>
      <c r="I5" s="7">
        <f ca="1"/>
        <v>205060</v>
      </c>
      <c r="J5" s="7">
        <f ca="1"/>
        <v>200047</v>
      </c>
      <c r="K5" s="7">
        <f ca="1"/>
        <v>405107</v>
      </c>
      <c r="L5" s="7">
        <f ca="1"/>
        <v>22532100</v>
      </c>
      <c r="M5" s="8">
        <f ca="1"/>
        <v>5.561807377030991E-2</v>
      </c>
      <c r="N5" s="7">
        <f ca="1"/>
        <v>2263100</v>
      </c>
      <c r="O5" s="11">
        <f ca="1"/>
        <v>405107</v>
      </c>
      <c r="P5" s="10">
        <f ca="1"/>
        <v>0.10043892934968333</v>
      </c>
      <c r="Q5" s="10">
        <f ca="1"/>
        <v>1.7979105365234487E-2</v>
      </c>
      <c r="R5" s="10">
        <f ca="1"/>
        <v>7.3597179135544394E-2</v>
      </c>
      <c r="T5" s="10" t="e">
        <f ca="1"/>
        <v>#N/A</v>
      </c>
      <c r="U5" s="10">
        <f ca="1"/>
        <v>-0.17326300248716464</v>
      </c>
      <c r="V5" s="10">
        <f ca="1"/>
        <v>-0.51438900065710325</v>
      </c>
      <c r="W5" s="10">
        <f ca="1"/>
        <v>0.29157115693524238</v>
      </c>
      <c r="Y5" t="s">
        <v>378</v>
      </c>
      <c r="Z5" s="5">
        <f ca="1">EOMONTH(TODAY(), -1 -Z2)</f>
        <v>45535</v>
      </c>
      <c r="AK5" s="10">
        <f ca="1"/>
        <v>5.3002908628932498E-2</v>
      </c>
      <c r="AL5" s="10">
        <f ca="1"/>
        <v>0.30343286890976984</v>
      </c>
      <c r="AM5" s="10">
        <f ca="1"/>
        <v>3.8659021764568216E-2</v>
      </c>
      <c r="AN5" s="10">
        <f ca="1"/>
        <v>0.30343286890976984</v>
      </c>
      <c r="AO5" s="10">
        <f ca="1"/>
        <v>1.434388686436428E-2</v>
      </c>
      <c r="AP5" s="10">
        <f ca="1"/>
        <v>0.30343286890976984</v>
      </c>
    </row>
    <row r="6" spans="1:42" x14ac:dyDescent="0.25">
      <c r="A6" s="2" t="s">
        <v>8</v>
      </c>
      <c r="B6" s="3">
        <v>1279042</v>
      </c>
      <c r="C6" s="3">
        <v>203700</v>
      </c>
      <c r="D6" s="3">
        <v>196911</v>
      </c>
      <c r="G6" s="5">
        <f ca="1"/>
        <v>46053</v>
      </c>
      <c r="H6" s="7">
        <f ca="1"/>
        <v>1279042</v>
      </c>
      <c r="I6" s="7">
        <f ca="1"/>
        <v>203700</v>
      </c>
      <c r="J6" s="7">
        <f ca="1"/>
        <v>196911</v>
      </c>
      <c r="K6" s="7">
        <f ca="1"/>
        <v>400611</v>
      </c>
      <c r="L6" s="7">
        <f ca="1"/>
        <v>22466300</v>
      </c>
      <c r="M6" s="8">
        <f ca="1"/>
        <v>5.693158196943867E-2</v>
      </c>
      <c r="N6" s="7">
        <f ca="1"/>
        <v>2256000</v>
      </c>
      <c r="O6" s="11">
        <f ca="1"/>
        <v>400611</v>
      </c>
      <c r="P6" s="10">
        <f ca="1"/>
        <v>0.10041706912130613</v>
      </c>
      <c r="Q6" s="10">
        <f ca="1"/>
        <v>1.7831641169217895E-2</v>
      </c>
      <c r="R6" s="10">
        <f ca="1"/>
        <v>7.4763223138656562E-2</v>
      </c>
      <c r="T6" s="10" t="e">
        <f ca="1"/>
        <v>#N/A</v>
      </c>
      <c r="U6" s="10">
        <f ca="1"/>
        <v>-0.20102713147441831</v>
      </c>
      <c r="V6" s="10">
        <f ca="1"/>
        <v>-0.56618880429062335</v>
      </c>
      <c r="W6" s="10">
        <f ca="1"/>
        <v>0.29416543456959998</v>
      </c>
      <c r="AB6" s="12" t="s">
        <v>380</v>
      </c>
      <c r="AC6" t="s">
        <v>370</v>
      </c>
      <c r="AD6" t="s">
        <v>371</v>
      </c>
      <c r="AE6" t="s">
        <v>372</v>
      </c>
      <c r="AH6" t="s">
        <v>374</v>
      </c>
      <c r="AI6" t="s">
        <v>375</v>
      </c>
      <c r="AK6" s="10">
        <f ca="1"/>
        <v>5.15946348733234E-2</v>
      </c>
      <c r="AL6" s="10">
        <f ca="1"/>
        <v>0.37797004978463722</v>
      </c>
      <c r="AM6" s="10">
        <f ca="1"/>
        <v>3.6805224638575378E-2</v>
      </c>
      <c r="AN6" s="10">
        <f ca="1"/>
        <v>0.37797004978463722</v>
      </c>
      <c r="AO6" s="10">
        <f ca="1"/>
        <v>1.4789410234748022E-2</v>
      </c>
      <c r="AP6" s="10">
        <f ca="1"/>
        <v>0.37797004978463722</v>
      </c>
    </row>
    <row r="7" spans="1:42" x14ac:dyDescent="0.25">
      <c r="A7" s="2" t="s">
        <v>9</v>
      </c>
      <c r="B7" s="3">
        <v>1225597</v>
      </c>
      <c r="C7" s="3">
        <v>211720</v>
      </c>
      <c r="D7" s="3">
        <v>199762</v>
      </c>
      <c r="G7" s="5">
        <f ca="1"/>
        <v>46022</v>
      </c>
      <c r="H7" s="7">
        <f ca="1"/>
        <v>1225597</v>
      </c>
      <c r="I7" s="7">
        <f ca="1"/>
        <v>211720</v>
      </c>
      <c r="J7" s="7">
        <f ca="1"/>
        <v>199762</v>
      </c>
      <c r="K7" s="7">
        <f ca="1"/>
        <v>411482</v>
      </c>
      <c r="L7" s="7">
        <f ca="1"/>
        <v>22503300</v>
      </c>
      <c r="M7" s="8">
        <f ca="1"/>
        <v>5.4462989872596464E-2</v>
      </c>
      <c r="N7" s="7">
        <f ca="1"/>
        <v>2250300</v>
      </c>
      <c r="O7" s="11">
        <f ca="1"/>
        <v>411482</v>
      </c>
      <c r="P7" s="10">
        <f ca="1"/>
        <v>9.9998666862193539E-2</v>
      </c>
      <c r="Q7" s="10">
        <f ca="1"/>
        <v>1.8285407029191274E-2</v>
      </c>
      <c r="R7" s="10">
        <f ca="1"/>
        <v>7.2748396901787735E-2</v>
      </c>
      <c r="T7" s="10" t="e">
        <f ca="1"/>
        <v>#N/A</v>
      </c>
      <c r="U7" s="10">
        <f ca="1"/>
        <v>-0.15305304526667185</v>
      </c>
      <c r="V7" s="10">
        <f ca="1"/>
        <v>-0.4688368532693028</v>
      </c>
      <c r="W7" s="10">
        <f ca="1"/>
        <v>0.2861825163185045</v>
      </c>
      <c r="AB7" t="s">
        <v>368</v>
      </c>
      <c r="AC7" cm="1">
        <f t="array" aca="1" ref="AC7:AG8" ca="1">_xlfn.LET(_xlpm.trainingSince, $Z$4, _xlpm.trainingUntil, $Z$5, _xlpm.dtCol,_xlfn.ANCHORARRAY( $G$2),
_xlpm.original_y,_xlfn.ANCHORARRAY( $T$2), _xlpm.clean_y, _xlfn._xlws.FILTER(_xlpm.original_y, ISNUMBER(_xlpm.original_y) *(_xlpm.dtCol&gt;_xlpm.trainingSince) *(_xlpm.dtCol&lt;=_xlpm.trainingUntil)),
_xlpm.original_x,_xlfn.ANCHORARRAY( $M$2), _xlpm.clean_x, _xlfn._xlws.FILTER(_xlpm.original_x, ISNUMBER(_xlpm.original_y) *(_xlpm.dtCol&gt;_xlpm.trainingSince) *(_xlpm.dtCol&lt;=_xlpm.trainingUntil)),
TRANSPOSE(LINEST(_xlpm.clean_y, _xlpm.clean_x, TRUE, TRUE)))</f>
        <v>-39.436224050888129</v>
      </c>
      <c r="AD7">
        <f ca="1"/>
        <v>3.6137919017884905</v>
      </c>
      <c r="AE7">
        <f ca="1"/>
        <v>0.67247737758075621</v>
      </c>
      <c r="AF7">
        <f ca="1"/>
        <v>119.08700416350899</v>
      </c>
      <c r="AG7">
        <f ca="1"/>
        <v>1.7620370874480267</v>
      </c>
      <c r="AH7" cm="1">
        <f t="array" aca="1" ref="AH7:AH8" ca="1">AC7:AC8 /AD7:AD8</f>
        <v>-10.912699215295399</v>
      </c>
      <c r="AI7" cm="1">
        <f t="array" aca="1" ref="AI7:AI8" ca="1">_xlfn.T.DIST.2T(ABS(_xlfn.ANCHORARRAY(AH7)), AF8)</f>
        <v>1.1042163261261434E-15</v>
      </c>
      <c r="AK7" s="10">
        <f ca="1"/>
        <v>5.2276035714793757E-2</v>
      </c>
      <c r="AL7" s="10">
        <f ca="1"/>
        <v>0.30282527810290505</v>
      </c>
      <c r="AM7" s="10">
        <f ca="1"/>
        <v>3.7181698776156631E-2</v>
      </c>
      <c r="AN7" s="10">
        <f ca="1"/>
        <v>0.30282527810290505</v>
      </c>
      <c r="AO7" s="10">
        <f ca="1"/>
        <v>1.5094336938637128E-2</v>
      </c>
      <c r="AP7" s="10">
        <f ca="1"/>
        <v>0.30282527810290505</v>
      </c>
    </row>
    <row r="8" spans="1:42" x14ac:dyDescent="0.25">
      <c r="A8" s="2" t="s">
        <v>10</v>
      </c>
      <c r="B8" s="3">
        <v>1214321</v>
      </c>
      <c r="C8" s="3">
        <v>202131</v>
      </c>
      <c r="D8" s="3">
        <v>194418</v>
      </c>
      <c r="G8" s="5">
        <f ca="1"/>
        <v>45991</v>
      </c>
      <c r="H8" s="7">
        <f ca="1"/>
        <v>1214321</v>
      </c>
      <c r="I8" s="7">
        <f ca="1"/>
        <v>202131</v>
      </c>
      <c r="J8" s="7">
        <f ca="1"/>
        <v>194418</v>
      </c>
      <c r="K8" s="7">
        <f ca="1"/>
        <v>396549</v>
      </c>
      <c r="L8" s="7">
        <f ca="1"/>
        <v>22269300</v>
      </c>
      <c r="M8" s="8">
        <f ca="1"/>
        <v>5.4528925471388864E-2</v>
      </c>
      <c r="N8" s="7">
        <f ca="1"/>
        <v>2222200</v>
      </c>
      <c r="O8" s="11">
        <f ca="1"/>
        <v>396549</v>
      </c>
      <c r="P8" s="10">
        <f ca="1"/>
        <v>9.9787599969464694E-2</v>
      </c>
      <c r="Q8" s="10">
        <f ca="1"/>
        <v>1.7806980910940174E-2</v>
      </c>
      <c r="R8" s="10">
        <f ca="1"/>
        <v>7.2335906382329035E-2</v>
      </c>
      <c r="T8" s="10" t="e">
        <f ca="1"/>
        <v>#N/A</v>
      </c>
      <c r="U8" s="10">
        <f ca="1"/>
        <v>-0.14323142622167517</v>
      </c>
      <c r="V8" s="10">
        <f ca="1"/>
        <v>-0.47143710431620933</v>
      </c>
      <c r="W8" s="10">
        <f ca="1"/>
        <v>0.29459927246541151</v>
      </c>
      <c r="AB8" t="s">
        <v>369</v>
      </c>
      <c r="AC8">
        <f ca="1"/>
        <v>1.6789778178276626</v>
      </c>
      <c r="AD8">
        <f ca="1"/>
        <v>0.13017291109885223</v>
      </c>
      <c r="AE8">
        <f ca="1"/>
        <v>0.12163969922970748</v>
      </c>
      <c r="AF8">
        <f ca="1"/>
        <v>58</v>
      </c>
      <c r="AG8">
        <f ca="1"/>
        <v>0.85818055286423456</v>
      </c>
      <c r="AH8">
        <f ca="1"/>
        <v>12.898058464350243</v>
      </c>
      <c r="AI8">
        <f ca="1"/>
        <v>1.1036020649559044E-18</v>
      </c>
      <c r="AK8" s="10">
        <f ca="1"/>
        <v>5.0837450948410676E-2</v>
      </c>
      <c r="AL8" s="10">
        <f ca="1"/>
        <v>0.34394174562964674</v>
      </c>
      <c r="AM8" s="10">
        <f ca="1"/>
        <v>3.5641580396634266E-2</v>
      </c>
      <c r="AN8" s="10">
        <f ca="1"/>
        <v>0.34394174562964674</v>
      </c>
      <c r="AO8" s="10">
        <f ca="1"/>
        <v>1.5195870551776411E-2</v>
      </c>
      <c r="AP8" s="10">
        <f ca="1"/>
        <v>0.34394174562964674</v>
      </c>
    </row>
    <row r="9" spans="1:42" x14ac:dyDescent="0.25">
      <c r="A9" s="2" t="s">
        <v>11</v>
      </c>
      <c r="B9" s="3">
        <v>1183654</v>
      </c>
      <c r="C9" s="3">
        <v>197923</v>
      </c>
      <c r="D9" s="3">
        <v>195376</v>
      </c>
      <c r="G9" s="5">
        <f ca="1"/>
        <v>45961</v>
      </c>
      <c r="H9" s="7">
        <f ca="1"/>
        <v>1183654</v>
      </c>
      <c r="I9" s="7">
        <f ca="1"/>
        <v>197923</v>
      </c>
      <c r="J9" s="7">
        <f ca="1"/>
        <v>195376</v>
      </c>
      <c r="K9" s="7">
        <f ca="1"/>
        <v>393299</v>
      </c>
      <c r="L9" s="7">
        <f ca="1"/>
        <v>22179000</v>
      </c>
      <c r="M9" s="8">
        <f ca="1"/>
        <v>5.3368231209702875E-2</v>
      </c>
      <c r="N9" s="7">
        <f ca="1"/>
        <v>2194600</v>
      </c>
      <c r="O9" s="11">
        <f ca="1"/>
        <v>393299</v>
      </c>
      <c r="P9" s="10">
        <f ca="1"/>
        <v>9.8949456693268406E-2</v>
      </c>
      <c r="Q9" s="10">
        <f ca="1"/>
        <v>1.7732945579151449E-2</v>
      </c>
      <c r="R9" s="10">
        <f ca="1"/>
        <v>7.1101176788854331E-2</v>
      </c>
      <c r="T9" s="10" t="e">
        <f ca="1"/>
        <v>#N/A</v>
      </c>
      <c r="U9" s="10">
        <f ca="1"/>
        <v>-0.11383185673191787</v>
      </c>
      <c r="V9" s="10">
        <f ca="1"/>
        <v>-0.42566370535778031</v>
      </c>
      <c r="W9" s="10">
        <f ca="1"/>
        <v>0.29590174595117968</v>
      </c>
      <c r="AF9" t="s">
        <v>373</v>
      </c>
      <c r="AK9" s="10">
        <f ca="1"/>
        <v>4.8478537894030851E-2</v>
      </c>
      <c r="AL9" s="10">
        <f ca="1"/>
        <v>0.41161660458349258</v>
      </c>
      <c r="AM9" s="10">
        <f ca="1"/>
        <v>3.3629155887707193E-2</v>
      </c>
      <c r="AN9" s="10">
        <f ca="1"/>
        <v>0.41161660458349258</v>
      </c>
      <c r="AO9" s="10">
        <f ca="1"/>
        <v>1.4849382006323656E-2</v>
      </c>
      <c r="AP9" s="10">
        <f ca="1"/>
        <v>0.41161660458349258</v>
      </c>
    </row>
    <row r="10" spans="1:42" x14ac:dyDescent="0.25">
      <c r="A10" s="2" t="s">
        <v>12</v>
      </c>
      <c r="B10" s="3">
        <v>1126494</v>
      </c>
      <c r="C10" s="3">
        <v>204106</v>
      </c>
      <c r="D10" s="3">
        <v>194884</v>
      </c>
      <c r="G10" s="5">
        <f ca="1"/>
        <v>45930</v>
      </c>
      <c r="H10" s="7">
        <f ca="1"/>
        <v>1126494</v>
      </c>
      <c r="I10" s="7">
        <f ca="1"/>
        <v>204106</v>
      </c>
      <c r="J10" s="7">
        <f ca="1"/>
        <v>194884</v>
      </c>
      <c r="K10" s="7">
        <f ca="1"/>
        <v>398990</v>
      </c>
      <c r="L10" s="7">
        <f ca="1"/>
        <v>22111500</v>
      </c>
      <c r="M10" s="8">
        <f ca="1"/>
        <v>5.0946068787734888E-2</v>
      </c>
      <c r="N10" s="7">
        <f ca="1"/>
        <v>2163400</v>
      </c>
      <c r="O10" s="11">
        <f ca="1"/>
        <v>398990</v>
      </c>
      <c r="P10" s="10">
        <f ca="1"/>
        <v>9.7840490242633929E-2</v>
      </c>
      <c r="Q10" s="10">
        <f ca="1"/>
        <v>1.8044456504533839E-2</v>
      </c>
      <c r="R10" s="10">
        <f ca="1"/>
        <v>6.8990525292268734E-2</v>
      </c>
      <c r="T10" s="10" t="e">
        <f ca="1"/>
        <v>#N/A</v>
      </c>
      <c r="U10" s="10">
        <f ca="1"/>
        <v>-6.3576120034213313E-2</v>
      </c>
      <c r="V10" s="10">
        <f ca="1"/>
        <v>-0.33014276539740894</v>
      </c>
      <c r="W10" s="10">
        <f ca="1"/>
        <v>0.29042146091652193</v>
      </c>
      <c r="AK10" s="10">
        <f ca="1"/>
        <v>4.8281548940078065E-2</v>
      </c>
      <c r="AL10" s="10">
        <f ca="1"/>
        <v>0.40224284722935622</v>
      </c>
      <c r="AM10" s="10">
        <f ca="1"/>
        <v>3.3518309481900974E-2</v>
      </c>
      <c r="AN10" s="10">
        <f ca="1"/>
        <v>0.40224284722935622</v>
      </c>
      <c r="AO10" s="10">
        <f ca="1"/>
        <v>1.4763239458177087E-2</v>
      </c>
      <c r="AP10" s="10">
        <f ca="1"/>
        <v>0.40224284722935622</v>
      </c>
    </row>
    <row r="11" spans="1:42" x14ac:dyDescent="0.25">
      <c r="A11" s="2" t="s">
        <v>13</v>
      </c>
      <c r="B11" s="3">
        <v>1059723</v>
      </c>
      <c r="C11" s="3">
        <v>188221</v>
      </c>
      <c r="D11" s="3">
        <v>181563</v>
      </c>
      <c r="G11" s="5">
        <f ca="1"/>
        <v>45900</v>
      </c>
      <c r="H11" s="7">
        <f ca="1"/>
        <v>1059723</v>
      </c>
      <c r="I11" s="7">
        <f ca="1"/>
        <v>188221</v>
      </c>
      <c r="J11" s="7">
        <f ca="1"/>
        <v>181563</v>
      </c>
      <c r="K11" s="7">
        <f ca="1"/>
        <v>369784</v>
      </c>
      <c r="L11" s="7">
        <f ca="1"/>
        <v>22032900</v>
      </c>
      <c r="M11" s="8">
        <f ca="1"/>
        <v>4.8097299946897591E-2</v>
      </c>
      <c r="N11" s="7">
        <f ca="1"/>
        <v>2158200</v>
      </c>
      <c r="O11" s="11">
        <f ca="1"/>
        <v>369784</v>
      </c>
      <c r="P11" s="10">
        <f ca="1"/>
        <v>9.7953514970793673E-2</v>
      </c>
      <c r="Q11" s="10">
        <f ca="1"/>
        <v>1.6783265026392349E-2</v>
      </c>
      <c r="R11" s="10">
        <f ca="1"/>
        <v>6.4880564973289936E-2</v>
      </c>
      <c r="T11" s="10" t="e">
        <f ca="1"/>
        <v>#N/A</v>
      </c>
      <c r="U11" s="10">
        <f ca="1"/>
        <v>3.4284224964829413E-2</v>
      </c>
      <c r="V11" s="10">
        <f ca="1"/>
        <v>-0.21779807912096039</v>
      </c>
      <c r="W11" s="10">
        <f ca="1"/>
        <v>0.3126090897292591</v>
      </c>
      <c r="AB11" s="12" t="s">
        <v>396</v>
      </c>
      <c r="AC11" t="s">
        <v>370</v>
      </c>
      <c r="AD11" t="s">
        <v>371</v>
      </c>
      <c r="AE11" t="s">
        <v>372</v>
      </c>
      <c r="AH11" t="s">
        <v>374</v>
      </c>
      <c r="AI11" t="s">
        <v>375</v>
      </c>
      <c r="AK11" s="10">
        <f ca="1"/>
        <v>4.7151752022862321E-2</v>
      </c>
      <c r="AL11" s="10">
        <f ca="1"/>
        <v>0.41430447918034941</v>
      </c>
      <c r="AM11" s="10">
        <f ca="1"/>
        <v>3.1849515428692597E-2</v>
      </c>
      <c r="AN11" s="10">
        <f ca="1"/>
        <v>0.41430447918034941</v>
      </c>
      <c r="AO11" s="10">
        <f ca="1"/>
        <v>1.5302236594169722E-2</v>
      </c>
      <c r="AP11" s="10">
        <f ca="1"/>
        <v>0.41430447918034941</v>
      </c>
    </row>
    <row r="12" spans="1:42" x14ac:dyDescent="0.25">
      <c r="A12" s="2" t="s">
        <v>14</v>
      </c>
      <c r="B12" s="3">
        <v>1022548</v>
      </c>
      <c r="C12" s="3">
        <v>194712</v>
      </c>
      <c r="D12" s="3">
        <v>186672</v>
      </c>
      <c r="G12" s="5">
        <f ca="1"/>
        <v>45869</v>
      </c>
      <c r="H12" s="7">
        <f ca="1"/>
        <v>1022548</v>
      </c>
      <c r="I12" s="7">
        <f ca="1"/>
        <v>194712</v>
      </c>
      <c r="J12" s="7">
        <f ca="1"/>
        <v>186672</v>
      </c>
      <c r="K12" s="7">
        <f ca="1"/>
        <v>381384</v>
      </c>
      <c r="L12" s="7">
        <f ca="1"/>
        <v>21965200</v>
      </c>
      <c r="M12" s="8">
        <f ca="1"/>
        <v>4.655309307449966E-2</v>
      </c>
      <c r="N12" s="7">
        <f ca="1"/>
        <v>2127800</v>
      </c>
      <c r="O12" s="11">
        <f ca="1"/>
        <v>381384</v>
      </c>
      <c r="P12" s="10">
        <f ca="1"/>
        <v>9.6871414783384624E-2</v>
      </c>
      <c r="Q12" s="10">
        <f ca="1"/>
        <v>1.7363101633492979E-2</v>
      </c>
      <c r="R12" s="10">
        <f ca="1"/>
        <v>6.3916194707992646E-2</v>
      </c>
      <c r="T12" s="10" t="e">
        <f ca="1"/>
        <v>#N/A</v>
      </c>
      <c r="U12" s="10">
        <f ca="1"/>
        <v>5.7246394802094258E-2</v>
      </c>
      <c r="V12" s="10">
        <f ca="1"/>
        <v>-0.15690039092015451</v>
      </c>
      <c r="W12" s="10">
        <f ca="1"/>
        <v>0.30240826009049238</v>
      </c>
      <c r="AB12" t="s">
        <v>368</v>
      </c>
      <c r="AC12" cm="1">
        <f t="array" aca="1" ref="AC12:AG13" ca="1">_xlfn.LET(_xlpm.trainingSince, $Z$4, _xlpm.trainingUntil, $Z$5, _xlpm.dtCol,_xlfn.ANCHORARRAY( $G$2),
_xlpm.original_y,_xlfn.ANCHORARRAY( $T$2), _xlpm.clean_y, _xlfn._xlws.FILTER(_xlpm.original_y, ISNUMBER(_xlpm.original_y) *(_xlpm.dtCol&gt;_xlpm.trainingSince) *(_xlpm.dtCol&lt;=_xlpm.trainingUntil)),
_xlpm.original_x,_xlfn.ANCHORARRAY( Q2), _xlpm.clean_x, _xlfn._xlws.FILTER(_xlpm.original_x, ISNUMBER(_xlpm.original_y) *(_xlpm.dtCol&gt;_xlpm.trainingSince) *(_xlpm.dtCol&lt;=_xlpm.trainingUntil)),
TRANSPOSE(LINEST(_xlpm.clean_y, _xlpm.clean_x, TRUE, TRUE)))</f>
        <v>-17.59259335103755</v>
      </c>
      <c r="AD12">
        <f ca="1"/>
        <v>8.1443701047111894</v>
      </c>
      <c r="AE12">
        <f ca="1"/>
        <v>7.4458237606580255E-2</v>
      </c>
      <c r="AF12">
        <f ca="1"/>
        <v>4.6659999112454509</v>
      </c>
      <c r="AG12">
        <f ca="1"/>
        <v>0.19509678764332339</v>
      </c>
      <c r="AH12" cm="1">
        <f t="array" aca="1" ref="AH12:AH13" ca="1">AC12:AC13 /AD12:AD13</f>
        <v>-2.1600925700639446</v>
      </c>
      <c r="AI12" cm="1">
        <f t="array" aca="1" ref="AI12:AI13" ca="1">_xlfn.T.DIST.2T(ABS(_xlfn.ANCHORARRAY(AH12)), AF13)</f>
        <v>3.4910670797947192E-2</v>
      </c>
      <c r="AK12" s="10">
        <f ca="1"/>
        <v>4.5477357039559282E-2</v>
      </c>
      <c r="AL12" s="10">
        <f ca="1"/>
        <v>0.51160999570794985</v>
      </c>
      <c r="AM12" s="10">
        <f ca="1"/>
        <v>3.0726325615589616E-2</v>
      </c>
      <c r="AN12" s="10">
        <f ca="1"/>
        <v>0.51160999570794985</v>
      </c>
      <c r="AO12" s="10">
        <f ca="1"/>
        <v>1.4751031423969664E-2</v>
      </c>
      <c r="AP12" s="10">
        <f ca="1"/>
        <v>0.51160999570794985</v>
      </c>
    </row>
    <row r="13" spans="1:42" x14ac:dyDescent="0.25">
      <c r="A13" s="2" t="s">
        <v>15</v>
      </c>
      <c r="B13" s="3">
        <v>1007961</v>
      </c>
      <c r="C13" s="3">
        <v>200573</v>
      </c>
      <c r="D13" s="3">
        <v>185584</v>
      </c>
      <c r="G13" s="5">
        <f ca="1"/>
        <v>45838</v>
      </c>
      <c r="H13" s="7">
        <f ca="1"/>
        <v>1007961</v>
      </c>
      <c r="I13" s="7">
        <f ca="1"/>
        <v>200573</v>
      </c>
      <c r="J13" s="7">
        <f ca="1"/>
        <v>185584</v>
      </c>
      <c r="K13" s="7">
        <f ca="1"/>
        <v>386157</v>
      </c>
      <c r="L13" s="7">
        <f ca="1"/>
        <v>21908100</v>
      </c>
      <c r="M13" s="8">
        <f ca="1"/>
        <v>4.6008599559067193E-2</v>
      </c>
      <c r="N13" s="7">
        <f ca="1"/>
        <v>2114300</v>
      </c>
      <c r="O13" s="11">
        <f ca="1"/>
        <v>386157</v>
      </c>
      <c r="P13" s="10">
        <f ca="1"/>
        <v>9.6507684372446723E-2</v>
      </c>
      <c r="Q13" s="10">
        <f ca="1"/>
        <v>1.7626220439015707E-2</v>
      </c>
      <c r="R13" s="10">
        <f ca="1"/>
        <v>6.3634819998082903E-2</v>
      </c>
      <c r="T13" s="10" t="e">
        <f ca="1"/>
        <v>#N/A</v>
      </c>
      <c r="U13" s="10">
        <f ca="1"/>
        <v>6.3946076562675147E-2</v>
      </c>
      <c r="V13" s="10">
        <f ca="1"/>
        <v>-0.13542762265130381</v>
      </c>
      <c r="W13" s="10">
        <f ca="1"/>
        <v>0.29777931794192031</v>
      </c>
      <c r="AB13" t="s">
        <v>369</v>
      </c>
      <c r="AC13">
        <f ca="1"/>
        <v>0.60787024644127019</v>
      </c>
      <c r="AD13">
        <f ca="1"/>
        <v>0.15916788081919081</v>
      </c>
      <c r="AE13">
        <f ca="1"/>
        <v>0.20448087561992692</v>
      </c>
      <c r="AF13">
        <f ca="1"/>
        <v>58</v>
      </c>
      <c r="AG13">
        <f ca="1"/>
        <v>2.4251208526689378</v>
      </c>
      <c r="AH13">
        <f ca="1"/>
        <v>3.8190509499324787</v>
      </c>
      <c r="AI13">
        <f ca="1"/>
        <v>3.2843645681473289E-4</v>
      </c>
      <c r="AK13" s="10">
        <f ca="1"/>
        <v>4.7151403656169426E-2</v>
      </c>
      <c r="AL13" s="10">
        <f ca="1"/>
        <v>0.44703303366332015</v>
      </c>
      <c r="AM13" s="10">
        <f ca="1"/>
        <v>3.2874911879170653E-2</v>
      </c>
      <c r="AN13" s="10">
        <f ca="1"/>
        <v>0.44703303366332015</v>
      </c>
      <c r="AO13" s="10">
        <f ca="1"/>
        <v>1.4276491776998773E-2</v>
      </c>
      <c r="AP13" s="10">
        <f ca="1"/>
        <v>0.44703303366332015</v>
      </c>
    </row>
    <row r="14" spans="1:42" x14ac:dyDescent="0.25">
      <c r="A14" s="2" t="s">
        <v>16</v>
      </c>
      <c r="B14" s="3">
        <v>920960</v>
      </c>
      <c r="C14" s="3">
        <v>187685</v>
      </c>
      <c r="D14" s="3">
        <v>176698</v>
      </c>
      <c r="G14" s="5">
        <f ca="1"/>
        <v>45808</v>
      </c>
      <c r="H14" s="7">
        <f ca="1"/>
        <v>920960</v>
      </c>
      <c r="I14" s="7">
        <f ca="1"/>
        <v>187685</v>
      </c>
      <c r="J14" s="7">
        <f ca="1"/>
        <v>176698</v>
      </c>
      <c r="K14" s="7">
        <f ca="1"/>
        <v>364383</v>
      </c>
      <c r="L14" s="7">
        <f ca="1"/>
        <v>21753800</v>
      </c>
      <c r="M14" s="8">
        <f ca="1"/>
        <v>4.2335591942557163E-2</v>
      </c>
      <c r="N14" s="7">
        <f ca="1"/>
        <v>2098900</v>
      </c>
      <c r="O14" s="11">
        <f ca="1"/>
        <v>364383</v>
      </c>
      <c r="P14" s="10">
        <f ca="1"/>
        <v>9.648429239948883E-2</v>
      </c>
      <c r="Q14" s="10">
        <f ca="1"/>
        <v>1.6750314887513905E-2</v>
      </c>
      <c r="R14" s="10">
        <f ca="1"/>
        <v>5.9085906830071068E-2</v>
      </c>
      <c r="T14" s="10" t="e">
        <f ca="1"/>
        <v>#N/A</v>
      </c>
      <c r="U14" s="10">
        <f ca="1"/>
        <v>0.17225812277311991</v>
      </c>
      <c r="V14" s="10">
        <f ca="1"/>
        <v>9.4219286540042635E-3</v>
      </c>
      <c r="W14" s="10">
        <f ca="1"/>
        <v>0.31318876812340779</v>
      </c>
      <c r="AF14" t="s">
        <v>373</v>
      </c>
      <c r="AK14" s="10">
        <f ca="1"/>
        <v>4.8867666002479847E-2</v>
      </c>
      <c r="AL14" s="10">
        <f ca="1"/>
        <v>0.31147646450708355</v>
      </c>
      <c r="AM14" s="10">
        <f ca="1"/>
        <v>3.3250430595693561E-2</v>
      </c>
      <c r="AN14" s="10">
        <f ca="1"/>
        <v>0.31147646450708355</v>
      </c>
      <c r="AO14" s="10">
        <f ca="1"/>
        <v>1.5617235406786285E-2</v>
      </c>
      <c r="AP14" s="10">
        <f ca="1"/>
        <v>0.31147646450708355</v>
      </c>
    </row>
    <row r="15" spans="1:42" x14ac:dyDescent="0.25">
      <c r="A15" s="2" t="s">
        <v>17</v>
      </c>
      <c r="B15" s="3">
        <v>850558</v>
      </c>
      <c r="C15" s="3">
        <v>187958</v>
      </c>
      <c r="D15" s="3">
        <v>175824</v>
      </c>
      <c r="G15" s="5">
        <f ca="1"/>
        <v>45777</v>
      </c>
      <c r="H15" s="7">
        <f ca="1"/>
        <v>850558</v>
      </c>
      <c r="I15" s="7">
        <f ca="1"/>
        <v>187958</v>
      </c>
      <c r="J15" s="7">
        <f ca="1"/>
        <v>175824</v>
      </c>
      <c r="K15" s="7">
        <f ca="1"/>
        <v>363782</v>
      </c>
      <c r="L15" s="7">
        <f ca="1"/>
        <v>21896700</v>
      </c>
      <c r="M15" s="8">
        <f ca="1"/>
        <v>3.8844118063452483E-2</v>
      </c>
      <c r="N15" s="7">
        <f ca="1"/>
        <v>2087500</v>
      </c>
      <c r="O15" s="11">
        <f ca="1"/>
        <v>363782</v>
      </c>
      <c r="P15" s="10">
        <f ca="1"/>
        <v>9.5334000100471758E-2</v>
      </c>
      <c r="Q15" s="10">
        <f ca="1"/>
        <v>1.6613553640502907E-2</v>
      </c>
      <c r="R15" s="10">
        <f ca="1"/>
        <v>5.5457671703955394E-2</v>
      </c>
      <c r="T15" s="10" t="e">
        <f ca="1"/>
        <v>#N/A</v>
      </c>
      <c r="U15" s="10">
        <f ca="1"/>
        <v>0.25864833426488132</v>
      </c>
      <c r="V15" s="10">
        <f ca="1"/>
        <v>0.14711247481819978</v>
      </c>
      <c r="W15" s="10">
        <f ca="1"/>
        <v>0.31559475312825308</v>
      </c>
      <c r="AK15" s="10">
        <f ca="1"/>
        <v>4.9758762101651463E-2</v>
      </c>
      <c r="AL15" s="10">
        <f ca="1"/>
        <v>0.21357780412119531</v>
      </c>
      <c r="AM15" s="10">
        <f ca="1"/>
        <v>3.4206724397989524E-2</v>
      </c>
      <c r="AN15" s="10">
        <f ca="1"/>
        <v>0.21357780412119531</v>
      </c>
      <c r="AO15" s="10">
        <f ca="1"/>
        <v>1.5552037703661939E-2</v>
      </c>
      <c r="AP15" s="10">
        <f ca="1"/>
        <v>0.21357780412119531</v>
      </c>
    </row>
    <row r="16" spans="1:42" x14ac:dyDescent="0.25">
      <c r="A16" s="2" t="s">
        <v>18</v>
      </c>
      <c r="B16" s="3">
        <v>880316</v>
      </c>
      <c r="C16" s="3">
        <v>189855</v>
      </c>
      <c r="D16" s="3">
        <v>176161</v>
      </c>
      <c r="G16" s="5">
        <f ca="1"/>
        <v>45747</v>
      </c>
      <c r="H16" s="7">
        <f ca="1"/>
        <v>880316</v>
      </c>
      <c r="I16" s="7">
        <f ca="1"/>
        <v>189855</v>
      </c>
      <c r="J16" s="7">
        <f ca="1"/>
        <v>176161</v>
      </c>
      <c r="K16" s="7">
        <f ca="1"/>
        <v>366016</v>
      </c>
      <c r="L16" s="7">
        <f ca="1"/>
        <v>21819100</v>
      </c>
      <c r="M16" s="8">
        <f ca="1"/>
        <v>4.0346118767501868E-2</v>
      </c>
      <c r="N16" s="7">
        <f ca="1"/>
        <v>2110300</v>
      </c>
      <c r="O16" s="11">
        <f ca="1"/>
        <v>366016</v>
      </c>
      <c r="P16" s="10">
        <f ca="1"/>
        <v>9.6718013116947998E-2</v>
      </c>
      <c r="Q16" s="10">
        <f ca="1"/>
        <v>1.6775027384264247E-2</v>
      </c>
      <c r="R16" s="10">
        <f ca="1"/>
        <v>5.7121146151766111E-2</v>
      </c>
      <c r="T16" s="10" t="e">
        <f ca="1"/>
        <v>#N/A</v>
      </c>
      <c r="U16" s="10">
        <f ca="1"/>
        <v>0.21904012135632045</v>
      </c>
      <c r="V16" s="10">
        <f ca="1"/>
        <v>8.7879238528716597E-2</v>
      </c>
      <c r="W16" s="10">
        <f ca="1"/>
        <v>0.31275401121739016</v>
      </c>
      <c r="AK16" s="10">
        <f ca="1"/>
        <v>4.8527287783084266E-2</v>
      </c>
      <c r="AL16" s="10">
        <f ca="1"/>
        <v>0.26098220826086771</v>
      </c>
      <c r="AM16" s="10">
        <f ca="1"/>
        <v>3.2796757048220611E-2</v>
      </c>
      <c r="AN16" s="10">
        <f ca="1"/>
        <v>0.26098220826086771</v>
      </c>
      <c r="AO16" s="10">
        <f ca="1"/>
        <v>1.5730530734863659E-2</v>
      </c>
      <c r="AP16" s="10">
        <f ca="1"/>
        <v>0.26098220826086771</v>
      </c>
    </row>
    <row r="17" spans="1:42" x14ac:dyDescent="0.25">
      <c r="A17" s="2" t="s">
        <v>19</v>
      </c>
      <c r="B17" s="3">
        <v>918144</v>
      </c>
      <c r="C17" s="3">
        <v>183278</v>
      </c>
      <c r="D17" s="3">
        <v>176051</v>
      </c>
      <c r="G17" s="5">
        <f ca="1"/>
        <v>45716</v>
      </c>
      <c r="H17" s="7">
        <f ca="1"/>
        <v>918144</v>
      </c>
      <c r="I17" s="7">
        <f ca="1"/>
        <v>183278</v>
      </c>
      <c r="J17" s="7">
        <f ca="1"/>
        <v>176051</v>
      </c>
      <c r="K17" s="7">
        <f ca="1"/>
        <v>359329</v>
      </c>
      <c r="L17" s="7">
        <f ca="1"/>
        <v>21532000</v>
      </c>
      <c r="M17" s="8">
        <f ca="1"/>
        <v>4.2640906557681588E-2</v>
      </c>
      <c r="N17" s="7">
        <f ca="1"/>
        <v>2062100</v>
      </c>
      <c r="O17" s="11">
        <f ca="1"/>
        <v>359329</v>
      </c>
      <c r="P17" s="10">
        <f ca="1"/>
        <v>9.5769087869217909E-2</v>
      </c>
      <c r="Q17" s="10">
        <f ca="1"/>
        <v>1.6688138584432473E-2</v>
      </c>
      <c r="R17" s="10">
        <f ca="1"/>
        <v>5.932904514211406E-2</v>
      </c>
      <c r="T17" s="10" t="e">
        <f ca="1"/>
        <v>#N/A</v>
      </c>
      <c r="U17" s="10">
        <f ca="1"/>
        <v>0.16646887001826038</v>
      </c>
      <c r="V17" s="10">
        <f ca="1"/>
        <v>-2.6185269140532874E-3</v>
      </c>
      <c r="W17" s="10">
        <f ca="1"/>
        <v>0.31428261053959028</v>
      </c>
      <c r="AG17" s="18" t="s">
        <v>399</v>
      </c>
      <c r="AH17" s="18"/>
      <c r="AK17" s="10">
        <f ca="1"/>
        <v>4.6787865634570401E-2</v>
      </c>
      <c r="AL17" s="10">
        <f ca="1"/>
        <v>0.42457946854297912</v>
      </c>
      <c r="AM17" s="10">
        <f ca="1"/>
        <v>3.1067544430779619E-2</v>
      </c>
      <c r="AN17" s="10">
        <f ca="1"/>
        <v>0.42457946854297912</v>
      </c>
      <c r="AO17" s="10">
        <f ca="1"/>
        <v>1.5720321203790782E-2</v>
      </c>
      <c r="AP17" s="10">
        <f ca="1"/>
        <v>0.42457946854297912</v>
      </c>
    </row>
    <row r="18" spans="1:42" x14ac:dyDescent="0.25">
      <c r="A18" s="2" t="s">
        <v>20</v>
      </c>
      <c r="B18" s="3">
        <v>937253</v>
      </c>
      <c r="C18" s="3">
        <v>178301</v>
      </c>
      <c r="D18" s="3">
        <v>166346</v>
      </c>
      <c r="G18" s="5">
        <f ca="1"/>
        <v>45688</v>
      </c>
      <c r="H18" s="7">
        <f ca="1"/>
        <v>937253</v>
      </c>
      <c r="I18" s="7">
        <f ca="1"/>
        <v>178301</v>
      </c>
      <c r="J18" s="7">
        <f ca="1"/>
        <v>166346</v>
      </c>
      <c r="K18" s="7">
        <f ca="1"/>
        <v>344647</v>
      </c>
      <c r="L18" s="7">
        <f ca="1"/>
        <v>21584500</v>
      </c>
      <c r="M18" s="8">
        <f ca="1"/>
        <v>4.3422502258565171E-2</v>
      </c>
      <c r="N18" s="7">
        <f ca="1"/>
        <v>2044800</v>
      </c>
      <c r="O18" s="11">
        <f ca="1"/>
        <v>344647</v>
      </c>
      <c r="P18" s="10">
        <f ca="1"/>
        <v>9.4734647548008991E-2</v>
      </c>
      <c r="Q18" s="10">
        <f ca="1"/>
        <v>1.5967337672867104E-2</v>
      </c>
      <c r="R18" s="10">
        <f ca="1"/>
        <v>5.9389839931432278E-2</v>
      </c>
      <c r="T18" s="10" t="e">
        <f ca="1"/>
        <v>#N/A</v>
      </c>
      <c r="U18" s="10">
        <f ca="1"/>
        <v>0.16502131369287398</v>
      </c>
      <c r="V18" s="10">
        <f ca="1"/>
        <v>-3.344171009130914E-2</v>
      </c>
      <c r="W18" s="10">
        <f ca="1"/>
        <v>0.32696336786381697</v>
      </c>
      <c r="AG18" s="19" t="s">
        <v>393</v>
      </c>
      <c r="AH18" s="19" t="s">
        <v>394</v>
      </c>
      <c r="AK18" s="10">
        <f ca="1"/>
        <v>4.5664213360933022E-2</v>
      </c>
      <c r="AL18" s="10">
        <f ca="1"/>
        <v>0.44874900467204548</v>
      </c>
      <c r="AM18" s="10">
        <f ca="1"/>
        <v>3.0280548927157903E-2</v>
      </c>
      <c r="AN18" s="10">
        <f ca="1"/>
        <v>0.44874900467204548</v>
      </c>
      <c r="AO18" s="10">
        <f ca="1"/>
        <v>1.538366443377512E-2</v>
      </c>
      <c r="AP18" s="10">
        <f ca="1"/>
        <v>0.44874900467204548</v>
      </c>
    </row>
    <row r="19" spans="1:42" x14ac:dyDescent="0.25">
      <c r="A19" s="2" t="s">
        <v>21</v>
      </c>
      <c r="B19" s="3">
        <v>899168</v>
      </c>
      <c r="C19" s="3">
        <v>181280</v>
      </c>
      <c r="D19" s="3">
        <v>175795</v>
      </c>
      <c r="G19" s="5">
        <f ca="1"/>
        <v>45657</v>
      </c>
      <c r="H19" s="7">
        <f ca="1"/>
        <v>899168</v>
      </c>
      <c r="I19" s="7">
        <f ca="1"/>
        <v>181280</v>
      </c>
      <c r="J19" s="7">
        <f ca="1"/>
        <v>175795</v>
      </c>
      <c r="K19" s="7">
        <f ca="1"/>
        <v>357075</v>
      </c>
      <c r="L19" s="7">
        <f ca="1"/>
        <v>21618400</v>
      </c>
      <c r="M19" s="8">
        <f ca="1"/>
        <v>4.1592717314879915E-2</v>
      </c>
      <c r="N19" s="7">
        <f ca="1"/>
        <v>2008200</v>
      </c>
      <c r="O19" s="11">
        <f ca="1"/>
        <v>357075</v>
      </c>
      <c r="P19" s="10">
        <f ca="1"/>
        <v>9.289309107056952E-2</v>
      </c>
      <c r="Q19" s="10">
        <f ca="1"/>
        <v>1.6517179809791657E-2</v>
      </c>
      <c r="R19" s="10">
        <f ca="1"/>
        <v>5.8109897124671572E-2</v>
      </c>
      <c r="T19" s="10" t="e">
        <f ca="1"/>
        <v>#N/A</v>
      </c>
      <c r="U19" s="10">
        <f ca="1"/>
        <v>0.19549743388076135</v>
      </c>
      <c r="V19" s="10">
        <f ca="1"/>
        <v>3.87180989128042E-2</v>
      </c>
      <c r="W19" s="10">
        <f ca="1"/>
        <v>0.31729021874163782</v>
      </c>
      <c r="AF19" s="20" t="s">
        <v>390</v>
      </c>
      <c r="AG19" s="8" cm="1">
        <f t="array" aca="1" ref="AG19" ca="1">AVERAGE(_xlfn.IFNA(_xlfn.ANCHORARRAY('R-Sq'!G3), ""))</f>
        <v>0.55525996318046467</v>
      </c>
      <c r="AH19" s="8">
        <f ca="1">INDEX('R-Sq'!G:G, MATCH($Z$5, 'R-Sq'!$A:$A, 0))</f>
        <v>0.50679859071116407</v>
      </c>
      <c r="AK19" s="10">
        <f ca="1"/>
        <v>4.6976897721119779E-2</v>
      </c>
      <c r="AL19" s="10">
        <f ca="1"/>
        <v>0.43129381818358792</v>
      </c>
      <c r="AM19" s="10">
        <f ca="1"/>
        <v>3.0655593658272459E-2</v>
      </c>
      <c r="AN19" s="10">
        <f ca="1"/>
        <v>0.43129381818358792</v>
      </c>
      <c r="AO19" s="10">
        <f ca="1"/>
        <v>1.6321304062847319E-2</v>
      </c>
      <c r="AP19" s="10">
        <f ca="1"/>
        <v>0.43129381818358792</v>
      </c>
    </row>
    <row r="20" spans="1:42" x14ac:dyDescent="0.25">
      <c r="A20" s="2" t="s">
        <v>22</v>
      </c>
      <c r="B20" s="3">
        <v>890852</v>
      </c>
      <c r="C20" s="3">
        <v>170052</v>
      </c>
      <c r="D20" s="3">
        <v>167223</v>
      </c>
      <c r="G20" s="5">
        <f ca="1"/>
        <v>45626</v>
      </c>
      <c r="H20" s="7">
        <f ca="1"/>
        <v>890852</v>
      </c>
      <c r="I20" s="7">
        <f ca="1"/>
        <v>170052</v>
      </c>
      <c r="J20" s="7">
        <f ca="1"/>
        <v>167223</v>
      </c>
      <c r="K20" s="7">
        <f ca="1"/>
        <v>337275</v>
      </c>
      <c r="L20" s="7">
        <f ca="1"/>
        <v>21450500</v>
      </c>
      <c r="M20" s="8">
        <f ca="1"/>
        <v>4.1530593692454723E-2</v>
      </c>
      <c r="N20" s="7">
        <f ca="1"/>
        <v>1977200</v>
      </c>
      <c r="O20" s="11">
        <f ca="1"/>
        <v>337275</v>
      </c>
      <c r="P20" s="10">
        <f ca="1"/>
        <v>9.2175007575580989E-2</v>
      </c>
      <c r="Q20" s="10">
        <f ca="1"/>
        <v>1.5723409710729355E-2</v>
      </c>
      <c r="R20" s="10">
        <f ca="1"/>
        <v>5.7254003403184081E-2</v>
      </c>
      <c r="T20" s="10" t="e">
        <f ca="1"/>
        <v>#N/A</v>
      </c>
      <c r="U20" s="10">
        <f ca="1"/>
        <v>0.21587671941315589</v>
      </c>
      <c r="V20" s="10">
        <f ca="1"/>
        <v>4.1168020005616812E-2</v>
      </c>
      <c r="W20" s="10">
        <f ca="1"/>
        <v>0.3312546933086537</v>
      </c>
      <c r="AF20" s="22" t="s">
        <v>391</v>
      </c>
      <c r="AG20" s="23" cm="1">
        <f t="array" aca="1" ref="AG20" ca="1">AVERAGE(_xlfn.IFNA(_xlfn.ANCHORARRAY('R-Sq'!H3), ""))</f>
        <v>0.58363984978969918</v>
      </c>
      <c r="AH20" s="23">
        <f ca="1">INDEX('R-Sq'!H:H, MATCH($Z$5, 'R-Sq'!$A:$A, 0))</f>
        <v>0.67247737758075676</v>
      </c>
      <c r="AK20" s="10">
        <f ca="1"/>
        <v>4.6439950256048954E-2</v>
      </c>
      <c r="AL20" s="10">
        <f ca="1"/>
        <v>0.51943377454252349</v>
      </c>
      <c r="AM20" s="10">
        <f ca="1"/>
        <v>2.9523838795553307E-2</v>
      </c>
      <c r="AN20" s="10">
        <f ca="1"/>
        <v>0.51943377454252349</v>
      </c>
      <c r="AO20" s="10">
        <f ca="1"/>
        <v>1.6916111460495643E-2</v>
      </c>
      <c r="AP20" s="10">
        <f ca="1"/>
        <v>0.51943377454252349</v>
      </c>
    </row>
    <row r="21" spans="1:42" x14ac:dyDescent="0.25">
      <c r="A21" s="2" t="s">
        <v>23</v>
      </c>
      <c r="B21" s="3">
        <v>815369</v>
      </c>
      <c r="C21" s="3">
        <v>173621</v>
      </c>
      <c r="D21" s="3">
        <v>164813</v>
      </c>
      <c r="G21" s="5">
        <f ca="1"/>
        <v>45596</v>
      </c>
      <c r="H21" s="7">
        <f ca="1"/>
        <v>815369</v>
      </c>
      <c r="I21" s="7">
        <f ca="1"/>
        <v>173621</v>
      </c>
      <c r="J21" s="7">
        <f ca="1"/>
        <v>164813</v>
      </c>
      <c r="K21" s="7">
        <f ca="1"/>
        <v>338434</v>
      </c>
      <c r="L21" s="7">
        <f ca="1"/>
        <v>21268400</v>
      </c>
      <c r="M21" s="8">
        <f ca="1"/>
        <v>3.8337110454947247E-2</v>
      </c>
      <c r="N21" s="7">
        <f ca="1"/>
        <v>1940600</v>
      </c>
      <c r="O21" s="11">
        <f ca="1"/>
        <v>338434</v>
      </c>
      <c r="P21" s="10">
        <f ca="1"/>
        <v>9.1243346937240219E-2</v>
      </c>
      <c r="Q21" s="10">
        <f ca="1"/>
        <v>1.5912527505595155E-2</v>
      </c>
      <c r="R21" s="10">
        <f ca="1"/>
        <v>5.4249637960542399E-2</v>
      </c>
      <c r="T21" s="10" t="e">
        <f ca="1"/>
        <v>#N/A</v>
      </c>
      <c r="U21" s="10">
        <f ca="1"/>
        <v>0.28741226134100795</v>
      </c>
      <c r="V21" s="10">
        <f ca="1"/>
        <v>0.16710694046271724</v>
      </c>
      <c r="W21" s="10">
        <f ca="1"/>
        <v>0.3279276208481347</v>
      </c>
      <c r="AF21" s="20" t="s">
        <v>392</v>
      </c>
      <c r="AG21" s="8" cm="1">
        <f t="array" aca="1" ref="AG21" ca="1">AVERAGE(_xlfn.IFNA(_xlfn.ANCHORARRAY('R-Sq'!I3), ""))</f>
        <v>0.26028444659895161</v>
      </c>
      <c r="AH21" s="8">
        <f ca="1">INDEX('R-Sq'!I:I, MATCH($Z$5, 'R-Sq'!$A:$A, 0))</f>
        <v>7.4458237606580338E-2</v>
      </c>
      <c r="AK21" s="10">
        <f ca="1"/>
        <v>4.7467738225449835E-2</v>
      </c>
      <c r="AL21" s="10">
        <f ca="1"/>
        <v>0.39956090860030424</v>
      </c>
      <c r="AM21" s="10">
        <f ca="1"/>
        <v>3.0101350558390409E-2</v>
      </c>
      <c r="AN21" s="10">
        <f ca="1"/>
        <v>0.39956090860030424</v>
      </c>
      <c r="AO21" s="10">
        <f ca="1"/>
        <v>1.7366387667059426E-2</v>
      </c>
      <c r="AP21" s="10">
        <f ca="1"/>
        <v>0.39956090860030424</v>
      </c>
    </row>
    <row r="22" spans="1:42" x14ac:dyDescent="0.25">
      <c r="A22" s="2" t="s">
        <v>24</v>
      </c>
      <c r="B22" s="3">
        <v>813211</v>
      </c>
      <c r="C22" s="3">
        <v>167901</v>
      </c>
      <c r="D22" s="3">
        <v>158358</v>
      </c>
      <c r="G22" s="5">
        <f ca="1"/>
        <v>45565</v>
      </c>
      <c r="H22" s="7">
        <f ca="1"/>
        <v>813211</v>
      </c>
      <c r="I22" s="7">
        <f ca="1"/>
        <v>167901</v>
      </c>
      <c r="J22" s="7">
        <f ca="1"/>
        <v>158358</v>
      </c>
      <c r="K22" s="7">
        <f ca="1"/>
        <v>326259</v>
      </c>
      <c r="L22" s="7">
        <f ca="1"/>
        <v>21219000</v>
      </c>
      <c r="M22" s="8">
        <f ca="1"/>
        <v>3.8324661859654087E-2</v>
      </c>
      <c r="N22" s="7">
        <f ca="1"/>
        <v>1899400</v>
      </c>
      <c r="O22" s="11">
        <f ca="1"/>
        <v>326259</v>
      </c>
      <c r="P22" s="10">
        <f ca="1"/>
        <v>8.9514114708515946E-2</v>
      </c>
      <c r="Q22" s="10">
        <f ca="1"/>
        <v>1.537579527781705E-2</v>
      </c>
      <c r="R22" s="10">
        <f ca="1"/>
        <v>5.3700457137471139E-2</v>
      </c>
      <c r="T22" s="10" t="e">
        <f ca="1"/>
        <v>#N/A</v>
      </c>
      <c r="U22" s="10">
        <f ca="1"/>
        <v>0.30048854934418889</v>
      </c>
      <c r="V22" s="10">
        <f ca="1"/>
        <v>0.16759786605581728</v>
      </c>
      <c r="W22" s="10">
        <f ca="1"/>
        <v>0.3373701326698314</v>
      </c>
      <c r="AK22" s="10">
        <f ca="1"/>
        <v>4.5533109232727395E-2</v>
      </c>
      <c r="AL22" s="10">
        <f ca="1"/>
        <v>0.50084125537179314</v>
      </c>
      <c r="AM22" s="10">
        <f ca="1"/>
        <v>2.8284185055504528E-2</v>
      </c>
      <c r="AN22" s="10">
        <f ca="1"/>
        <v>0.50084125537179314</v>
      </c>
      <c r="AO22" s="10">
        <f ca="1"/>
        <v>1.7248924177222864E-2</v>
      </c>
      <c r="AP22" s="10">
        <f ca="1"/>
        <v>0.50084125537179314</v>
      </c>
    </row>
    <row r="23" spans="1:42" x14ac:dyDescent="0.25">
      <c r="A23" s="2" t="s">
        <v>25</v>
      </c>
      <c r="B23" s="3">
        <v>797162</v>
      </c>
      <c r="C23" s="3">
        <v>148702</v>
      </c>
      <c r="D23" s="3">
        <v>152107</v>
      </c>
      <c r="G23" s="5">
        <f ca="1"/>
        <v>45535</v>
      </c>
      <c r="H23" s="7">
        <f ca="1"/>
        <v>797162</v>
      </c>
      <c r="I23" s="7">
        <f ca="1"/>
        <v>148702</v>
      </c>
      <c r="J23" s="7">
        <f ca="1"/>
        <v>152107</v>
      </c>
      <c r="K23" s="7">
        <f ca="1"/>
        <v>300809</v>
      </c>
      <c r="L23" s="7">
        <f ca="1"/>
        <v>21138500</v>
      </c>
      <c r="M23" s="8">
        <f ca="1"/>
        <v>3.7711379710007806E-2</v>
      </c>
      <c r="N23" s="7">
        <f ca="1"/>
        <v>1871500</v>
      </c>
      <c r="O23" s="11">
        <f ca="1"/>
        <v>300809</v>
      </c>
      <c r="P23" s="10">
        <f ca="1"/>
        <v>8.8535137308702133E-2</v>
      </c>
      <c r="Q23" s="10">
        <f ca="1"/>
        <v>1.4230385315892801E-2</v>
      </c>
      <c r="R23" s="10">
        <f ca="1"/>
        <v>5.1941765025900609E-2</v>
      </c>
      <c r="T23" s="10">
        <f ca="1"/>
        <v>0.34198357056865669</v>
      </c>
      <c r="U23" s="10">
        <f ca="1"/>
        <v>0.34236394555924288</v>
      </c>
      <c r="V23" s="10">
        <f ca="1"/>
        <v>0.19178339831567826</v>
      </c>
      <c r="W23" s="10">
        <f ca="1"/>
        <v>0.35752086435019209</v>
      </c>
      <c r="AK23" s="10">
        <f ca="1"/>
        <v>4.7351137127492712E-2</v>
      </c>
      <c r="AL23" s="10">
        <f ca="1"/>
        <v>0.38437444088517214</v>
      </c>
      <c r="AM23" s="10">
        <f ca="1"/>
        <v>3.0051861602808275E-2</v>
      </c>
      <c r="AN23" s="10">
        <f ca="1"/>
        <v>0.38437444088517214</v>
      </c>
      <c r="AO23" s="10">
        <f ca="1"/>
        <v>1.7299275524684441E-2</v>
      </c>
      <c r="AP23" s="10">
        <f ca="1"/>
        <v>0.38437444088517214</v>
      </c>
    </row>
    <row r="24" spans="1:42" x14ac:dyDescent="0.25">
      <c r="A24" s="2" t="s">
        <v>26</v>
      </c>
      <c r="B24" s="3">
        <v>810835</v>
      </c>
      <c r="C24" s="3">
        <v>154951</v>
      </c>
      <c r="D24" s="3">
        <v>150738</v>
      </c>
      <c r="G24" s="5">
        <f ca="1"/>
        <v>45504</v>
      </c>
      <c r="H24" s="7">
        <f ca="1"/>
        <v>810835</v>
      </c>
      <c r="I24" s="7">
        <f ca="1"/>
        <v>154951</v>
      </c>
      <c r="J24" s="7">
        <f ca="1"/>
        <v>150738</v>
      </c>
      <c r="K24" s="7">
        <f ca="1"/>
        <v>305689</v>
      </c>
      <c r="L24" s="7">
        <f ca="1"/>
        <v>21052400</v>
      </c>
      <c r="M24" s="8">
        <f ca="1"/>
        <v>3.8515086165947829E-2</v>
      </c>
      <c r="N24" s="7">
        <f ca="1"/>
        <v>1846500</v>
      </c>
      <c r="O24" s="11">
        <f ca="1"/>
        <v>305689</v>
      </c>
      <c r="P24" s="10">
        <f ca="1"/>
        <v>8.7709714806862876E-2</v>
      </c>
      <c r="Q24" s="10">
        <f ca="1"/>
        <v>1.4520387224259466E-2</v>
      </c>
      <c r="R24" s="10">
        <f ca="1"/>
        <v>5.3035473390207297E-2</v>
      </c>
      <c r="T24" s="10">
        <f ca="1"/>
        <v>0.30543614073846048</v>
      </c>
      <c r="U24" s="10">
        <f ca="1"/>
        <v>0.31632216667268054</v>
      </c>
      <c r="V24" s="10">
        <f ca="1"/>
        <v>0.16008825044808228</v>
      </c>
      <c r="W24" s="10">
        <f ca="1"/>
        <v>0.3524189787052725</v>
      </c>
      <c r="AK24" s="10">
        <f ca="1"/>
        <v>4.8506080475229765E-2</v>
      </c>
      <c r="AL24" s="10">
        <f ca="1"/>
        <v>0.42622120982029865</v>
      </c>
      <c r="AM24" s="10">
        <f ca="1"/>
        <v>3.0337835313457372E-2</v>
      </c>
      <c r="AN24" s="10">
        <f ca="1"/>
        <v>0.42622120982029865</v>
      </c>
      <c r="AO24" s="10">
        <f ca="1"/>
        <v>1.8168245161772397E-2</v>
      </c>
      <c r="AP24" s="10">
        <f ca="1"/>
        <v>0.42622120982029865</v>
      </c>
    </row>
    <row r="25" spans="1:42" x14ac:dyDescent="0.25">
      <c r="A25" s="2" t="s">
        <v>27</v>
      </c>
      <c r="B25" s="3">
        <v>809322</v>
      </c>
      <c r="C25" s="3">
        <v>157240</v>
      </c>
      <c r="D25" s="3">
        <v>149714</v>
      </c>
      <c r="G25" s="5">
        <f ca="1"/>
        <v>45473</v>
      </c>
      <c r="H25" s="7">
        <f ca="1"/>
        <v>809322</v>
      </c>
      <c r="I25" s="7">
        <f ca="1"/>
        <v>157240</v>
      </c>
      <c r="J25" s="7">
        <f ca="1"/>
        <v>149714</v>
      </c>
      <c r="K25" s="7">
        <f ca="1"/>
        <v>306954</v>
      </c>
      <c r="L25" s="7">
        <f ca="1"/>
        <v>21041600</v>
      </c>
      <c r="M25" s="8">
        <f ca="1"/>
        <v>3.8462949585582842E-2</v>
      </c>
      <c r="N25" s="7">
        <f ca="1"/>
        <v>1834300</v>
      </c>
      <c r="O25" s="11">
        <f ca="1"/>
        <v>306954</v>
      </c>
      <c r="P25" s="10">
        <f ca="1"/>
        <v>8.7174929663143483E-2</v>
      </c>
      <c r="Q25" s="10">
        <f ca="1"/>
        <v>1.4587959090563455E-2</v>
      </c>
      <c r="R25" s="10">
        <f ca="1"/>
        <v>5.3050908676146299E-2</v>
      </c>
      <c r="T25" s="10">
        <f ca="1"/>
        <v>0.19559452648851394</v>
      </c>
      <c r="U25" s="10">
        <f ca="1"/>
        <v>0.31595464429048747</v>
      </c>
      <c r="V25" s="10">
        <f ca="1"/>
        <v>0.16214432031260295</v>
      </c>
      <c r="W25" s="10">
        <f ca="1"/>
        <v>0.35123021433941576</v>
      </c>
      <c r="AK25" s="10">
        <f ca="1"/>
        <v>4.9307850038824749E-2</v>
      </c>
      <c r="AL25" s="10">
        <f ca="1"/>
        <v>0.52288307182579286</v>
      </c>
      <c r="AM25" s="10">
        <f ca="1"/>
        <v>3.0874231060729347E-2</v>
      </c>
      <c r="AN25" s="10">
        <f ca="1"/>
        <v>0.52288307182579286</v>
      </c>
      <c r="AO25" s="10">
        <f ca="1"/>
        <v>1.8433618978095402E-2</v>
      </c>
      <c r="AP25" s="10">
        <f ca="1"/>
        <v>0.52288307182579286</v>
      </c>
    </row>
    <row r="26" spans="1:42" x14ac:dyDescent="0.25">
      <c r="A26" s="2" t="s">
        <v>28</v>
      </c>
      <c r="B26" s="3">
        <v>809431</v>
      </c>
      <c r="C26" s="3">
        <v>155256</v>
      </c>
      <c r="D26" s="3">
        <v>145072</v>
      </c>
      <c r="G26" s="5">
        <f ca="1"/>
        <v>45443</v>
      </c>
      <c r="H26" s="7">
        <f ca="1"/>
        <v>809431</v>
      </c>
      <c r="I26" s="7">
        <f ca="1"/>
        <v>155256</v>
      </c>
      <c r="J26" s="7">
        <f ca="1"/>
        <v>145072</v>
      </c>
      <c r="K26" s="7">
        <f ca="1"/>
        <v>300328</v>
      </c>
      <c r="L26" s="7">
        <f ca="1"/>
        <v>20937700</v>
      </c>
      <c r="M26" s="8">
        <f ca="1"/>
        <v>3.8659021764568216E-2</v>
      </c>
      <c r="N26" s="7">
        <f ca="1"/>
        <v>1818500</v>
      </c>
      <c r="O26" s="11">
        <f ca="1"/>
        <v>300328</v>
      </c>
      <c r="P26" s="10">
        <f ca="1"/>
        <v>8.6852901703625515E-2</v>
      </c>
      <c r="Q26" s="10">
        <f ca="1"/>
        <v>1.434388686436428E-2</v>
      </c>
      <c r="R26" s="10">
        <f ca="1"/>
        <v>5.3002908628932498E-2</v>
      </c>
      <c r="T26" s="10">
        <f ca="1"/>
        <v>0.30343286890976984</v>
      </c>
      <c r="U26" s="10">
        <f ca="1"/>
        <v>0.31709755098927528</v>
      </c>
      <c r="V26" s="10">
        <f ca="1"/>
        <v>0.15441197393199002</v>
      </c>
      <c r="W26" s="10">
        <f ca="1"/>
        <v>0.35552407776322031</v>
      </c>
      <c r="AK26" s="10">
        <f ca="1"/>
        <v>5.049749584184654E-2</v>
      </c>
      <c r="AL26" s="10">
        <f ca="1"/>
        <v>0.33438938053097345</v>
      </c>
      <c r="AM26" s="10">
        <f ca="1"/>
        <v>3.1865447250522372E-2</v>
      </c>
      <c r="AN26" s="10">
        <f ca="1"/>
        <v>0.33438938053097345</v>
      </c>
      <c r="AO26" s="10">
        <f ca="1"/>
        <v>1.8632048591324168E-2</v>
      </c>
      <c r="AP26" s="10">
        <f ca="1"/>
        <v>0.33438938053097345</v>
      </c>
    </row>
    <row r="27" spans="1:42" x14ac:dyDescent="0.25">
      <c r="A27" s="2" t="s">
        <v>29</v>
      </c>
      <c r="B27" s="3">
        <v>775464</v>
      </c>
      <c r="C27" s="3">
        <v>161749</v>
      </c>
      <c r="D27" s="3">
        <v>149855</v>
      </c>
      <c r="G27" s="5">
        <f ca="1"/>
        <v>45412</v>
      </c>
      <c r="H27" s="7">
        <f ca="1"/>
        <v>775464</v>
      </c>
      <c r="I27" s="7">
        <f ca="1"/>
        <v>161749</v>
      </c>
      <c r="J27" s="7">
        <f ca="1"/>
        <v>149855</v>
      </c>
      <c r="K27" s="7">
        <f ca="1"/>
        <v>311604</v>
      </c>
      <c r="L27" s="7">
        <f ca="1"/>
        <v>21069400</v>
      </c>
      <c r="M27" s="8">
        <f ca="1"/>
        <v>3.6805224638575378E-2</v>
      </c>
      <c r="N27" s="7">
        <f ca="1"/>
        <v>1795500</v>
      </c>
      <c r="O27" s="11">
        <f ca="1"/>
        <v>311604</v>
      </c>
      <c r="P27" s="10">
        <f ca="1"/>
        <v>8.5218373565455113E-2</v>
      </c>
      <c r="Q27" s="10">
        <f ca="1"/>
        <v>1.4789410234748022E-2</v>
      </c>
      <c r="R27" s="10">
        <f ca="1"/>
        <v>5.15946348733234E-2</v>
      </c>
      <c r="T27" s="10">
        <f ca="1"/>
        <v>0.37797004978463722</v>
      </c>
      <c r="U27" s="10">
        <f ca="1"/>
        <v>0.3506292994445126</v>
      </c>
      <c r="V27" s="10">
        <f ca="1"/>
        <v>0.22751873273753609</v>
      </c>
      <c r="W27" s="10">
        <f ca="1"/>
        <v>0.34768616627967541</v>
      </c>
      <c r="AK27" s="10">
        <f ca="1"/>
        <v>5.1179413139348172E-2</v>
      </c>
      <c r="AL27" s="10">
        <f ca="1"/>
        <v>0.21920978914313505</v>
      </c>
      <c r="AM27" s="10">
        <f ca="1"/>
        <v>3.2243601312361467E-2</v>
      </c>
      <c r="AN27" s="10">
        <f ca="1"/>
        <v>0.21920978914313505</v>
      </c>
      <c r="AO27" s="10">
        <f ca="1"/>
        <v>1.8935811826986705E-2</v>
      </c>
      <c r="AP27" s="10">
        <f ca="1"/>
        <v>0.21920978914313505</v>
      </c>
    </row>
    <row r="28" spans="1:42" x14ac:dyDescent="0.25">
      <c r="A28" s="2" t="s">
        <v>30</v>
      </c>
      <c r="B28" s="3">
        <v>784136</v>
      </c>
      <c r="C28" s="3">
        <v>166990</v>
      </c>
      <c r="D28" s="3">
        <v>151339</v>
      </c>
      <c r="G28" s="5">
        <f ca="1"/>
        <v>45382</v>
      </c>
      <c r="H28" s="7">
        <f ca="1"/>
        <v>784136</v>
      </c>
      <c r="I28" s="7">
        <f ca="1"/>
        <v>166990</v>
      </c>
      <c r="J28" s="7">
        <f ca="1"/>
        <v>151339</v>
      </c>
      <c r="K28" s="7">
        <f ca="1"/>
        <v>318329</v>
      </c>
      <c r="L28" s="7">
        <f ca="1"/>
        <v>21089300</v>
      </c>
      <c r="M28" s="8">
        <f ca="1"/>
        <v>3.7181698776156631E-2</v>
      </c>
      <c r="N28" s="7">
        <f ca="1"/>
        <v>1804100</v>
      </c>
      <c r="O28" s="11">
        <f ca="1"/>
        <v>318329</v>
      </c>
      <c r="P28" s="10">
        <f ca="1"/>
        <v>8.554575068873789E-2</v>
      </c>
      <c r="Q28" s="10">
        <f ca="1"/>
        <v>1.5094336938637128E-2</v>
      </c>
      <c r="R28" s="10">
        <f ca="1"/>
        <v>5.2276035714793757E-2</v>
      </c>
      <c r="T28" s="10">
        <f ca="1"/>
        <v>0.30282527810290505</v>
      </c>
      <c r="U28" s="10">
        <f ca="1"/>
        <v>0.3344047823558669</v>
      </c>
      <c r="V28" s="10">
        <f ca="1"/>
        <v>0.21267201429851679</v>
      </c>
      <c r="W28" s="10">
        <f ca="1"/>
        <v>0.34232171477628215</v>
      </c>
      <c r="AK28" s="10">
        <f ca="1"/>
        <v>5.1807376632028945E-2</v>
      </c>
      <c r="AL28" s="10">
        <f ca="1"/>
        <v>0.38806407811104826</v>
      </c>
      <c r="AM28" s="10">
        <f ca="1"/>
        <v>3.162018487845953E-2</v>
      </c>
      <c r="AN28" s="10">
        <f ca="1"/>
        <v>0.38806407811104826</v>
      </c>
      <c r="AO28" s="10">
        <f ca="1"/>
        <v>2.0187191753569412E-2</v>
      </c>
      <c r="AP28" s="10">
        <f ca="1"/>
        <v>0.38806407811104826</v>
      </c>
    </row>
    <row r="29" spans="1:42" x14ac:dyDescent="0.25">
      <c r="A29" s="2" t="s">
        <v>31</v>
      </c>
      <c r="B29" s="3">
        <v>742963</v>
      </c>
      <c r="C29" s="3">
        <v>166144</v>
      </c>
      <c r="D29" s="3">
        <v>150620</v>
      </c>
      <c r="G29" s="5">
        <f ca="1"/>
        <v>45351</v>
      </c>
      <c r="H29" s="7">
        <f ca="1"/>
        <v>742963</v>
      </c>
      <c r="I29" s="7">
        <f ca="1"/>
        <v>166144</v>
      </c>
      <c r="J29" s="7">
        <f ca="1"/>
        <v>150620</v>
      </c>
      <c r="K29" s="7">
        <f ca="1"/>
        <v>316764</v>
      </c>
      <c r="L29" s="7">
        <f ca="1"/>
        <v>20845400</v>
      </c>
      <c r="M29" s="8">
        <f ca="1"/>
        <v>3.5641580396634266E-2</v>
      </c>
      <c r="N29" s="7">
        <f ca="1"/>
        <v>1774700</v>
      </c>
      <c r="O29" s="11">
        <f ca="1"/>
        <v>316764</v>
      </c>
      <c r="P29" s="10">
        <f ca="1"/>
        <v>8.5136289061375645E-2</v>
      </c>
      <c r="Q29" s="10">
        <f ca="1"/>
        <v>1.5195870551776411E-2</v>
      </c>
      <c r="R29" s="10">
        <f ca="1"/>
        <v>5.0837450948410676E-2</v>
      </c>
      <c r="T29" s="10">
        <f ca="1"/>
        <v>0.34394174562964674</v>
      </c>
      <c r="U29" s="10">
        <f ca="1"/>
        <v>0.36865825212746683</v>
      </c>
      <c r="V29" s="10">
        <f ca="1"/>
        <v>0.27340846777825156</v>
      </c>
      <c r="W29" s="10">
        <f ca="1"/>
        <v>0.34053547520886118</v>
      </c>
      <c r="AK29" s="10">
        <f ca="1"/>
        <v>5.4747120101161222E-2</v>
      </c>
      <c r="AL29" s="10">
        <f ca="1"/>
        <v>0.23332163643623804</v>
      </c>
      <c r="AM29" s="10">
        <f ca="1"/>
        <v>3.4875794953981833E-2</v>
      </c>
      <c r="AN29" s="10">
        <f ca="1"/>
        <v>0.23332163643623804</v>
      </c>
      <c r="AO29" s="10">
        <f ca="1"/>
        <v>1.9871325147179389E-2</v>
      </c>
      <c r="AP29" s="10">
        <f ca="1"/>
        <v>0.23332163643623804</v>
      </c>
    </row>
    <row r="30" spans="1:42" x14ac:dyDescent="0.25">
      <c r="A30" s="2" t="s">
        <v>32</v>
      </c>
      <c r="B30" s="3">
        <v>701975</v>
      </c>
      <c r="C30" s="3">
        <v>165025</v>
      </c>
      <c r="D30" s="3">
        <v>144941</v>
      </c>
      <c r="G30" s="5">
        <f ca="1"/>
        <v>45322</v>
      </c>
      <c r="H30" s="7">
        <f ca="1"/>
        <v>701975</v>
      </c>
      <c r="I30" s="7">
        <f ca="1"/>
        <v>165025</v>
      </c>
      <c r="J30" s="7">
        <f ca="1"/>
        <v>144941</v>
      </c>
      <c r="K30" s="7">
        <f ca="1"/>
        <v>309966</v>
      </c>
      <c r="L30" s="7">
        <f ca="1"/>
        <v>20874000</v>
      </c>
      <c r="M30" s="8">
        <f ca="1"/>
        <v>3.3629155887707193E-2</v>
      </c>
      <c r="N30" s="7">
        <f ca="1"/>
        <v>1751000</v>
      </c>
      <c r="O30" s="11">
        <f ca="1"/>
        <v>309966</v>
      </c>
      <c r="P30" s="10">
        <f ca="1"/>
        <v>8.3884257928523526E-2</v>
      </c>
      <c r="Q30" s="10">
        <f ca="1"/>
        <v>1.4849382006323656E-2</v>
      </c>
      <c r="R30" s="10">
        <f ca="1"/>
        <v>4.8478537894030851E-2</v>
      </c>
      <c r="T30" s="10">
        <f ca="1"/>
        <v>0.41161660458349258</v>
      </c>
      <c r="U30" s="10">
        <f ca="1"/>
        <v>0.424825228791055</v>
      </c>
      <c r="V30" s="10">
        <f ca="1"/>
        <v>0.35277089159779806</v>
      </c>
      <c r="W30" s="10">
        <f ca="1"/>
        <v>0.34663110728980401</v>
      </c>
      <c r="AK30" s="10">
        <f ca="1"/>
        <v>5.5031552588408944E-2</v>
      </c>
      <c r="AL30" s="10">
        <f ca="1"/>
        <v>0.1727328391332863</v>
      </c>
      <c r="AM30" s="10">
        <f ca="1"/>
        <v>3.5319707001887218E-2</v>
      </c>
      <c r="AN30" s="10">
        <f ca="1"/>
        <v>0.1727328391332863</v>
      </c>
      <c r="AO30" s="10">
        <f ca="1"/>
        <v>1.9711845586521722E-2</v>
      </c>
      <c r="AP30" s="10">
        <f ca="1"/>
        <v>0.1727328391332863</v>
      </c>
    </row>
    <row r="31" spans="1:42" x14ac:dyDescent="0.25">
      <c r="A31" s="2" t="s">
        <v>33</v>
      </c>
      <c r="B31" s="3">
        <v>700774</v>
      </c>
      <c r="C31" s="3">
        <v>161639</v>
      </c>
      <c r="D31" s="3">
        <v>147019</v>
      </c>
      <c r="G31" s="5">
        <f ca="1"/>
        <v>45291</v>
      </c>
      <c r="H31" s="7">
        <f ca="1"/>
        <v>700774</v>
      </c>
      <c r="I31" s="7">
        <f ca="1"/>
        <v>161639</v>
      </c>
      <c r="J31" s="7">
        <f ca="1"/>
        <v>147019</v>
      </c>
      <c r="K31" s="7">
        <f ca="1"/>
        <v>308658</v>
      </c>
      <c r="L31" s="7">
        <f ca="1"/>
        <v>20907200</v>
      </c>
      <c r="M31" s="8">
        <f ca="1"/>
        <v>3.3518309481900974E-2</v>
      </c>
      <c r="N31" s="7">
        <f ca="1"/>
        <v>1693700</v>
      </c>
      <c r="O31" s="11">
        <f ca="1"/>
        <v>308658</v>
      </c>
      <c r="P31" s="10">
        <f ca="1"/>
        <v>8.1010369633427712E-2</v>
      </c>
      <c r="Q31" s="10">
        <f ca="1"/>
        <v>1.4763239458177087E-2</v>
      </c>
      <c r="R31" s="10">
        <f ca="1"/>
        <v>4.8281548940078065E-2</v>
      </c>
      <c r="T31" s="10">
        <f ca="1"/>
        <v>0.40224284722935622</v>
      </c>
      <c r="U31" s="10">
        <f ca="1"/>
        <v>0.42951564074121462</v>
      </c>
      <c r="V31" s="10">
        <f ca="1"/>
        <v>0.35714225529240795</v>
      </c>
      <c r="W31" s="10">
        <f ca="1"/>
        <v>0.34814657810956878</v>
      </c>
      <c r="AK31" s="10">
        <f ca="1"/>
        <v>5.7178669638860216E-2</v>
      </c>
      <c r="AL31" s="10">
        <f ca="1"/>
        <v>5.2847314040009641E-2</v>
      </c>
      <c r="AM31" s="10">
        <f ca="1"/>
        <v>3.6527832339049326E-2</v>
      </c>
      <c r="AN31" s="10">
        <f ca="1"/>
        <v>5.2847314040009641E-2</v>
      </c>
      <c r="AO31" s="10">
        <f ca="1"/>
        <v>2.065083729981089E-2</v>
      </c>
      <c r="AP31" s="10">
        <f ca="1"/>
        <v>5.2847314040009641E-2</v>
      </c>
    </row>
    <row r="32" spans="1:42" x14ac:dyDescent="0.25">
      <c r="A32" s="2" t="s">
        <v>34</v>
      </c>
      <c r="B32" s="3">
        <v>660887</v>
      </c>
      <c r="C32" s="3">
        <v>171207</v>
      </c>
      <c r="D32" s="3">
        <v>146319</v>
      </c>
      <c r="G32" s="5">
        <f ca="1"/>
        <v>45260</v>
      </c>
      <c r="H32" s="7">
        <f ca="1"/>
        <v>660887</v>
      </c>
      <c r="I32" s="7">
        <f ca="1"/>
        <v>171207</v>
      </c>
      <c r="J32" s="7">
        <f ca="1"/>
        <v>146319</v>
      </c>
      <c r="K32" s="7">
        <f ca="1"/>
        <v>317526</v>
      </c>
      <c r="L32" s="7">
        <f ca="1"/>
        <v>20750300</v>
      </c>
      <c r="M32" s="8">
        <f ca="1"/>
        <v>3.1849515428692597E-2</v>
      </c>
      <c r="N32" s="7">
        <f ca="1"/>
        <v>1667100</v>
      </c>
      <c r="O32" s="11">
        <f ca="1"/>
        <v>317526</v>
      </c>
      <c r="P32" s="10">
        <f ca="1"/>
        <v>8.0341007117969376E-2</v>
      </c>
      <c r="Q32" s="10">
        <f ca="1"/>
        <v>1.5302236594169722E-2</v>
      </c>
      <c r="R32" s="10">
        <f ca="1"/>
        <v>4.7151752022862321E-2</v>
      </c>
      <c r="T32" s="10">
        <f ca="1"/>
        <v>0.41430447918034941</v>
      </c>
      <c r="U32" s="10">
        <f ca="1"/>
        <v>0.45641670730067441</v>
      </c>
      <c r="V32" s="10">
        <f ca="1"/>
        <v>0.42295319146952304</v>
      </c>
      <c r="W32" s="10">
        <f ca="1"/>
        <v>0.33866422067867646</v>
      </c>
      <c r="AG32" s="18" t="s">
        <v>400</v>
      </c>
      <c r="AH32" s="18"/>
      <c r="AK32" s="10">
        <f ca="1"/>
        <v>5.9263148156714004E-2</v>
      </c>
      <c r="AL32" s="10">
        <f ca="1"/>
        <v>4.4321595632313304E-2</v>
      </c>
      <c r="AM32" s="10">
        <f ca="1"/>
        <v>3.8635228271427909E-2</v>
      </c>
      <c r="AN32" s="10">
        <f ca="1"/>
        <v>4.4321595632313304E-2</v>
      </c>
      <c r="AO32" s="10">
        <f ca="1"/>
        <v>2.0627919885286092E-2</v>
      </c>
      <c r="AP32" s="10">
        <f ca="1"/>
        <v>4.4321595632313304E-2</v>
      </c>
    </row>
    <row r="33" spans="1:42" x14ac:dyDescent="0.25">
      <c r="A33" s="2" t="s">
        <v>35</v>
      </c>
      <c r="B33" s="3">
        <v>635276</v>
      </c>
      <c r="C33" s="3">
        <v>162865</v>
      </c>
      <c r="D33" s="3">
        <v>142117</v>
      </c>
      <c r="G33" s="5">
        <f ca="1"/>
        <v>45230</v>
      </c>
      <c r="H33" s="7">
        <f ca="1"/>
        <v>635276</v>
      </c>
      <c r="I33" s="7">
        <f ca="1"/>
        <v>162865</v>
      </c>
      <c r="J33" s="7">
        <f ca="1"/>
        <v>142117</v>
      </c>
      <c r="K33" s="7">
        <f ca="1"/>
        <v>304982</v>
      </c>
      <c r="L33" s="7">
        <f ca="1"/>
        <v>20675300</v>
      </c>
      <c r="M33" s="8">
        <f ca="1"/>
        <v>3.0726325615589616E-2</v>
      </c>
      <c r="N33" s="7">
        <f ca="1"/>
        <v>1623000</v>
      </c>
      <c r="O33" s="11">
        <f ca="1"/>
        <v>304982</v>
      </c>
      <c r="P33" s="10">
        <f ca="1"/>
        <v>7.8499465545844554E-2</v>
      </c>
      <c r="Q33" s="10">
        <f ca="1"/>
        <v>1.4751031423969664E-2</v>
      </c>
      <c r="R33" s="10">
        <f ca="1"/>
        <v>4.5477357039559282E-2</v>
      </c>
      <c r="T33" s="10">
        <f ca="1"/>
        <v>0.51160999570794985</v>
      </c>
      <c r="U33" s="10">
        <f ca="1"/>
        <v>0.49628494397781475</v>
      </c>
      <c r="V33" s="10">
        <f ca="1"/>
        <v>0.46724755659072748</v>
      </c>
      <c r="W33" s="10">
        <f ca="1"/>
        <v>0.34836134909099553</v>
      </c>
      <c r="AG33" s="19" t="s">
        <v>393</v>
      </c>
      <c r="AH33" s="19"/>
      <c r="AK33" s="10">
        <f ca="1"/>
        <v>5.8701304694963513E-2</v>
      </c>
      <c r="AL33" s="10">
        <f ca="1"/>
        <v>-7.1253778609471685E-2</v>
      </c>
      <c r="AM33" s="10">
        <f ca="1"/>
        <v>3.82887589475676E-2</v>
      </c>
      <c r="AN33" s="10">
        <f ca="1"/>
        <v>-7.1253778609471685E-2</v>
      </c>
      <c r="AO33" s="10">
        <f ca="1"/>
        <v>2.0412545747395917E-2</v>
      </c>
      <c r="AP33" s="10">
        <f ca="1"/>
        <v>-7.1253778609471685E-2</v>
      </c>
    </row>
    <row r="34" spans="1:42" x14ac:dyDescent="0.25">
      <c r="A34" s="2" t="s">
        <v>36</v>
      </c>
      <c r="B34" s="3">
        <v>680846</v>
      </c>
      <c r="C34" s="3">
        <v>153918</v>
      </c>
      <c r="D34" s="3">
        <v>141751</v>
      </c>
      <c r="G34" s="5">
        <f ca="1"/>
        <v>45199</v>
      </c>
      <c r="H34" s="7">
        <f ca="1"/>
        <v>680846</v>
      </c>
      <c r="I34" s="7">
        <f ca="1"/>
        <v>153918</v>
      </c>
      <c r="J34" s="7">
        <f ca="1"/>
        <v>141751</v>
      </c>
      <c r="K34" s="7">
        <f ca="1"/>
        <v>295669</v>
      </c>
      <c r="L34" s="7">
        <f ca="1"/>
        <v>20710200</v>
      </c>
      <c r="M34" s="8">
        <f ca="1"/>
        <v>3.2874911879170653E-2</v>
      </c>
      <c r="N34" s="7">
        <f ca="1"/>
        <v>1570900</v>
      </c>
      <c r="O34" s="11">
        <f ca="1"/>
        <v>295669</v>
      </c>
      <c r="P34" s="10">
        <f ca="1"/>
        <v>7.5851512781141661E-2</v>
      </c>
      <c r="Q34" s="10">
        <f ca="1"/>
        <v>1.4276491776998773E-2</v>
      </c>
      <c r="R34" s="10">
        <f ca="1"/>
        <v>4.7151403656169426E-2</v>
      </c>
      <c r="T34" s="10">
        <f ca="1"/>
        <v>0.44703303366332015</v>
      </c>
      <c r="U34" s="10">
        <f ca="1"/>
        <v>0.45642500209724357</v>
      </c>
      <c r="V34" s="10">
        <f ca="1"/>
        <v>0.38251542730748511</v>
      </c>
      <c r="W34" s="10">
        <f ca="1"/>
        <v>0.35670973212909929</v>
      </c>
      <c r="AF34" s="20" t="s">
        <v>390</v>
      </c>
      <c r="AG34" s="8" cm="1">
        <f t="array" aca="1" ref="AG34" ca="1">AVERAGE(_xlfn.IFNA(_xlfn.ANCHORARRAY('R-Sq'!S3), ""))</f>
        <v>0.5093495039225534</v>
      </c>
      <c r="AH34" s="8"/>
      <c r="AK34" s="10">
        <f ca="1"/>
        <v>6.3446259149758544E-2</v>
      </c>
      <c r="AL34" s="10">
        <f ca="1"/>
        <v>-0.1003172351862498</v>
      </c>
      <c r="AM34" s="10">
        <f ca="1"/>
        <v>4.197339593836049E-2</v>
      </c>
      <c r="AN34" s="10">
        <f ca="1"/>
        <v>-0.1003172351862498</v>
      </c>
      <c r="AO34" s="10">
        <f ca="1"/>
        <v>2.147286321139805E-2</v>
      </c>
      <c r="AP34" s="10">
        <f ca="1"/>
        <v>-0.1003172351862498</v>
      </c>
    </row>
    <row r="35" spans="1:42" x14ac:dyDescent="0.25">
      <c r="A35" s="2" t="s">
        <v>37</v>
      </c>
      <c r="B35" s="3">
        <v>689185</v>
      </c>
      <c r="C35" s="3">
        <v>177711</v>
      </c>
      <c r="D35" s="3">
        <v>145989</v>
      </c>
      <c r="G35" s="5">
        <f ca="1"/>
        <v>45169</v>
      </c>
      <c r="H35" s="7">
        <f ca="1"/>
        <v>689185</v>
      </c>
      <c r="I35" s="7">
        <f ca="1"/>
        <v>177711</v>
      </c>
      <c r="J35" s="7">
        <f ca="1"/>
        <v>145989</v>
      </c>
      <c r="K35" s="7">
        <f ca="1"/>
        <v>323700</v>
      </c>
      <c r="L35" s="7">
        <f ca="1"/>
        <v>20727100</v>
      </c>
      <c r="M35" s="8">
        <f ca="1"/>
        <v>3.3250430595693561E-2</v>
      </c>
      <c r="N35" s="7">
        <f ca="1"/>
        <v>1540200</v>
      </c>
      <c r="O35" s="11">
        <f ca="1"/>
        <v>323700</v>
      </c>
      <c r="P35" s="10">
        <f ca="1"/>
        <v>7.4308513974458562E-2</v>
      </c>
      <c r="Q35" s="10">
        <f ca="1"/>
        <v>1.5617235406786285E-2</v>
      </c>
      <c r="R35" s="10">
        <f ca="1"/>
        <v>4.8867666002479847E-2</v>
      </c>
      <c r="T35" s="10">
        <f ca="1"/>
        <v>0.31147646450708355</v>
      </c>
      <c r="U35" s="10">
        <f ca="1"/>
        <v>0.41555988119979026</v>
      </c>
      <c r="V35" s="10">
        <f ca="1"/>
        <v>0.36770638706738579</v>
      </c>
      <c r="W35" s="10">
        <f ca="1"/>
        <v>0.33312257466225359</v>
      </c>
      <c r="AF35" s="22" t="s">
        <v>391</v>
      </c>
      <c r="AG35" s="8" cm="1">
        <f t="array" aca="1" ref="AG35" ca="1">AVERAGE(_xlfn.IFNA(_xlfn.ANCHORARRAY('R-Sq'!T3), ""))</f>
        <v>0.58878368482410937</v>
      </c>
      <c r="AH35" s="8"/>
      <c r="AK35" s="10">
        <f ca="1"/>
        <v>6.3957884582966529E-2</v>
      </c>
      <c r="AL35" s="10">
        <f ca="1"/>
        <v>-1.2993212174293833E-2</v>
      </c>
      <c r="AM35" s="10">
        <f ca="1"/>
        <v>4.3014384985671207E-2</v>
      </c>
      <c r="AN35" s="10">
        <f ca="1"/>
        <v>-1.2993212174293833E-2</v>
      </c>
      <c r="AO35" s="10">
        <f ca="1"/>
        <v>2.0943499597295322E-2</v>
      </c>
      <c r="AP35" s="10">
        <f ca="1"/>
        <v>-1.2993212174293833E-2</v>
      </c>
    </row>
    <row r="36" spans="1:42" x14ac:dyDescent="0.25">
      <c r="A36" s="2" t="s">
        <v>38</v>
      </c>
      <c r="B36" s="3">
        <v>709834</v>
      </c>
      <c r="C36" s="3">
        <v>174804</v>
      </c>
      <c r="D36" s="3">
        <v>147921</v>
      </c>
      <c r="G36" s="5">
        <f ca="1"/>
        <v>45138</v>
      </c>
      <c r="H36" s="7">
        <f ca="1"/>
        <v>709834</v>
      </c>
      <c r="I36" s="7">
        <f ca="1"/>
        <v>174804</v>
      </c>
      <c r="J36" s="7">
        <f ca="1"/>
        <v>147921</v>
      </c>
      <c r="K36" s="7">
        <f ca="1"/>
        <v>322725</v>
      </c>
      <c r="L36" s="7">
        <f ca="1"/>
        <v>20751300</v>
      </c>
      <c r="M36" s="8">
        <f ca="1"/>
        <v>3.4206724397989524E-2</v>
      </c>
      <c r="N36" s="7">
        <f ca="1"/>
        <v>1499000</v>
      </c>
      <c r="O36" s="11">
        <f ca="1"/>
        <v>322725</v>
      </c>
      <c r="P36" s="10">
        <f ca="1"/>
        <v>7.2236438199052594E-2</v>
      </c>
      <c r="Q36" s="10">
        <f ca="1"/>
        <v>1.5552037703661939E-2</v>
      </c>
      <c r="R36" s="10">
        <f ca="1"/>
        <v>4.9758762101651463E-2</v>
      </c>
      <c r="T36" s="10">
        <f ca="1"/>
        <v>0.21357780412119531</v>
      </c>
      <c r="U36" s="10">
        <f ca="1"/>
        <v>0.39434240829876166</v>
      </c>
      <c r="V36" s="10">
        <f ca="1"/>
        <v>0.32999377042156652</v>
      </c>
      <c r="W36" s="10">
        <f ca="1"/>
        <v>0.33426957134074187</v>
      </c>
      <c r="AF36" s="20" t="s">
        <v>392</v>
      </c>
      <c r="AG36" s="8" cm="1">
        <f t="array" aca="1" ref="AG36" ca="1">AVERAGE(_xlfn.IFNA(_xlfn.ANCHORARRAY('R-Sq'!U3), ""))</f>
        <v>0.26901047782294285</v>
      </c>
      <c r="AH36" s="8"/>
      <c r="AK36" s="10">
        <f ca="1"/>
        <v>6.4499086407831335E-2</v>
      </c>
      <c r="AL36" s="10">
        <f ca="1"/>
        <v>-3.5653952551146784E-3</v>
      </c>
      <c r="AM36" s="10">
        <f ca="1"/>
        <v>4.4300320940668582E-2</v>
      </c>
      <c r="AN36" s="10">
        <f ca="1"/>
        <v>-3.5653952551146784E-3</v>
      </c>
      <c r="AO36" s="10">
        <f ca="1"/>
        <v>2.0198765467162753E-2</v>
      </c>
      <c r="AP36" s="10">
        <f ca="1"/>
        <v>-3.5653952551146784E-3</v>
      </c>
    </row>
    <row r="37" spans="1:42" x14ac:dyDescent="0.25">
      <c r="A37" s="2" t="s">
        <v>39</v>
      </c>
      <c r="B37" s="3">
        <v>681228</v>
      </c>
      <c r="C37" s="3">
        <v>181569</v>
      </c>
      <c r="D37" s="3">
        <v>145173</v>
      </c>
      <c r="G37" s="5">
        <f ca="1"/>
        <v>45107</v>
      </c>
      <c r="H37" s="7">
        <f ca="1"/>
        <v>681228</v>
      </c>
      <c r="I37" s="7">
        <f ca="1"/>
        <v>181569</v>
      </c>
      <c r="J37" s="7">
        <f ca="1"/>
        <v>145173</v>
      </c>
      <c r="K37" s="7">
        <f ca="1"/>
        <v>326742</v>
      </c>
      <c r="L37" s="7">
        <f ca="1"/>
        <v>20771200</v>
      </c>
      <c r="M37" s="8">
        <f ca="1"/>
        <v>3.2796757048220611E-2</v>
      </c>
      <c r="N37" s="7">
        <f ca="1"/>
        <v>1469600</v>
      </c>
      <c r="O37" s="11">
        <f ca="1"/>
        <v>326742</v>
      </c>
      <c r="P37" s="10">
        <f ca="1"/>
        <v>7.0751810198736706E-2</v>
      </c>
      <c r="Q37" s="10">
        <f ca="1"/>
        <v>1.5730530734863659E-2</v>
      </c>
      <c r="R37" s="10">
        <f ca="1"/>
        <v>4.8527287783084266E-2</v>
      </c>
      <c r="T37" s="10">
        <f ca="1"/>
        <v>0.26098220826086771</v>
      </c>
      <c r="U37" s="10">
        <f ca="1"/>
        <v>0.42366446795854706</v>
      </c>
      <c r="V37" s="10">
        <f ca="1"/>
        <v>0.38559755873149015</v>
      </c>
      <c r="W37" s="10">
        <f ca="1"/>
        <v>0.33112941602681595</v>
      </c>
      <c r="AK37" s="10">
        <f ca="1"/>
        <v>6.3832142209669568E-2</v>
      </c>
      <c r="AL37" s="10">
        <f ca="1"/>
        <v>3.3160458173342677E-2</v>
      </c>
      <c r="AM37" s="10">
        <f ca="1"/>
        <v>4.3086409740179195E-2</v>
      </c>
      <c r="AN37" s="10">
        <f ca="1"/>
        <v>3.3160458173342677E-2</v>
      </c>
      <c r="AO37" s="10">
        <f ca="1"/>
        <v>2.0745732469490376E-2</v>
      </c>
      <c r="AP37" s="10">
        <f ca="1"/>
        <v>3.3160458173342677E-2</v>
      </c>
    </row>
    <row r="38" spans="1:42" x14ac:dyDescent="0.25">
      <c r="A38" s="2" t="s">
        <v>40</v>
      </c>
      <c r="B38" s="3">
        <v>644170</v>
      </c>
      <c r="C38" s="3">
        <v>178576</v>
      </c>
      <c r="D38" s="3">
        <v>147377</v>
      </c>
      <c r="G38" s="5">
        <f ca="1"/>
        <v>45077</v>
      </c>
      <c r="H38" s="7">
        <f ca="1"/>
        <v>644170</v>
      </c>
      <c r="I38" s="7">
        <f ca="1"/>
        <v>178576</v>
      </c>
      <c r="J38" s="7">
        <f ca="1"/>
        <v>147377</v>
      </c>
      <c r="K38" s="7">
        <f ca="1"/>
        <v>325953</v>
      </c>
      <c r="L38" s="7">
        <f ca="1"/>
        <v>20734500</v>
      </c>
      <c r="M38" s="8">
        <f ca="1"/>
        <v>3.1067544430779619E-2</v>
      </c>
      <c r="N38" s="7">
        <f ca="1"/>
        <v>1444300</v>
      </c>
      <c r="O38" s="11">
        <f ca="1"/>
        <v>325953</v>
      </c>
      <c r="P38" s="10">
        <f ca="1"/>
        <v>6.9656852106392733E-2</v>
      </c>
      <c r="Q38" s="10">
        <f ca="1"/>
        <v>1.5720321203790782E-2</v>
      </c>
      <c r="R38" s="10">
        <f ca="1"/>
        <v>4.6787865634570401E-2</v>
      </c>
      <c r="T38" s="10">
        <f ca="1"/>
        <v>0.42457946854297912</v>
      </c>
      <c r="U38" s="10">
        <f ca="1"/>
        <v>0.4650810360861044</v>
      </c>
      <c r="V38" s="10">
        <f ca="1"/>
        <v>0.45379117494451582</v>
      </c>
      <c r="W38" s="10">
        <f ca="1"/>
        <v>0.33130902815528585</v>
      </c>
      <c r="AK38" s="10">
        <f ca="1"/>
        <v>6.3971935192133775E-2</v>
      </c>
      <c r="AL38" s="10">
        <f ca="1"/>
        <v>-7.5806822503471483E-2</v>
      </c>
      <c r="AM38" s="10">
        <f ca="1"/>
        <v>4.3850420442956381E-2</v>
      </c>
      <c r="AN38" s="10">
        <f ca="1"/>
        <v>-7.5806822503471483E-2</v>
      </c>
      <c r="AO38" s="10">
        <f ca="1"/>
        <v>2.0121514749177394E-2</v>
      </c>
      <c r="AP38" s="10">
        <f ca="1"/>
        <v>-7.5806822503471483E-2</v>
      </c>
    </row>
    <row r="39" spans="1:42" x14ac:dyDescent="0.25">
      <c r="A39" s="2" t="s">
        <v>41</v>
      </c>
      <c r="B39" s="3">
        <v>631949</v>
      </c>
      <c r="C39" s="3">
        <v>175460</v>
      </c>
      <c r="D39" s="3">
        <v>145594</v>
      </c>
      <c r="G39" s="5">
        <f ca="1"/>
        <v>45046</v>
      </c>
      <c r="H39" s="7">
        <f ca="1"/>
        <v>631949</v>
      </c>
      <c r="I39" s="7">
        <f ca="1"/>
        <v>175460</v>
      </c>
      <c r="J39" s="7">
        <f ca="1"/>
        <v>145594</v>
      </c>
      <c r="K39" s="7">
        <f ca="1"/>
        <v>321054</v>
      </c>
      <c r="L39" s="7">
        <f ca="1"/>
        <v>20869800</v>
      </c>
      <c r="M39" s="8">
        <f ca="1"/>
        <v>3.0280548927157903E-2</v>
      </c>
      <c r="N39" s="7">
        <f ca="1"/>
        <v>1392500</v>
      </c>
      <c r="O39" s="11">
        <f ca="1"/>
        <v>321054</v>
      </c>
      <c r="P39" s="10">
        <f ca="1"/>
        <v>6.6723207697246739E-2</v>
      </c>
      <c r="Q39" s="10">
        <f ca="1"/>
        <v>1.538366443377512E-2</v>
      </c>
      <c r="R39" s="10">
        <f ca="1"/>
        <v>4.5664213360933022E-2</v>
      </c>
      <c r="T39" s="10">
        <f ca="1"/>
        <v>0.44874900467204548</v>
      </c>
      <c r="U39" s="10">
        <f ca="1"/>
        <v>0.49183579540807143</v>
      </c>
      <c r="V39" s="10">
        <f ca="1"/>
        <v>0.48482730595238333</v>
      </c>
      <c r="W39" s="10">
        <f ca="1"/>
        <v>0.33723169380904516</v>
      </c>
      <c r="AK39" s="10">
        <f ca="1"/>
        <v>6.0960817634492133E-2</v>
      </c>
      <c r="AL39" s="10">
        <f ca="1"/>
        <v>-5.136897475917257E-2</v>
      </c>
      <c r="AM39" s="10">
        <f ca="1"/>
        <v>4.0994562050883664E-2</v>
      </c>
      <c r="AN39" s="10">
        <f ca="1"/>
        <v>-5.136897475917257E-2</v>
      </c>
      <c r="AO39" s="10">
        <f ca="1"/>
        <v>1.9966255583608469E-2</v>
      </c>
      <c r="AP39" s="10">
        <f ca="1"/>
        <v>-5.136897475917257E-2</v>
      </c>
    </row>
    <row r="40" spans="1:42" x14ac:dyDescent="0.25">
      <c r="A40" s="2" t="s">
        <v>42</v>
      </c>
      <c r="B40" s="3">
        <v>645429</v>
      </c>
      <c r="C40" s="3">
        <v>191618</v>
      </c>
      <c r="D40" s="3">
        <v>152014</v>
      </c>
      <c r="G40" s="5">
        <f ca="1"/>
        <v>45016</v>
      </c>
      <c r="H40" s="7">
        <f ca="1"/>
        <v>645429</v>
      </c>
      <c r="I40" s="7">
        <f ca="1"/>
        <v>191618</v>
      </c>
      <c r="J40" s="7">
        <f ca="1"/>
        <v>152014</v>
      </c>
      <c r="K40" s="7">
        <f ca="1"/>
        <v>343632</v>
      </c>
      <c r="L40" s="7">
        <f ca="1"/>
        <v>21054200</v>
      </c>
      <c r="M40" s="8">
        <f ca="1"/>
        <v>3.0655593658272459E-2</v>
      </c>
      <c r="N40" s="7">
        <f ca="1"/>
        <v>1369600</v>
      </c>
      <c r="O40" s="11">
        <f ca="1"/>
        <v>343632</v>
      </c>
      <c r="P40" s="10">
        <f ca="1"/>
        <v>6.5051153689050165E-2</v>
      </c>
      <c r="Q40" s="10">
        <f ca="1"/>
        <v>1.6321304062847319E-2</v>
      </c>
      <c r="R40" s="10">
        <f ca="1"/>
        <v>4.6976897721119779E-2</v>
      </c>
      <c r="T40" s="10">
        <f ca="1"/>
        <v>0.43129381818358792</v>
      </c>
      <c r="U40" s="10">
        <f ca="1"/>
        <v>0.46058008138827233</v>
      </c>
      <c r="V40" s="10">
        <f ca="1"/>
        <v>0.47003695790704469</v>
      </c>
      <c r="W40" s="10">
        <f ca="1"/>
        <v>0.32073618110496027</v>
      </c>
      <c r="AK40" s="10">
        <f ca="1"/>
        <v>6.5709582581216397E-2</v>
      </c>
      <c r="AL40" s="10">
        <f ca="1"/>
        <v>-4.3790575916230257E-2</v>
      </c>
      <c r="AM40" s="10">
        <f ca="1"/>
        <v>4.3150868542189483E-2</v>
      </c>
      <c r="AN40" s="10">
        <f ca="1"/>
        <v>-4.3790575916230257E-2</v>
      </c>
      <c r="AO40" s="10">
        <f ca="1"/>
        <v>2.2558714039026921E-2</v>
      </c>
      <c r="AP40" s="10">
        <f ca="1"/>
        <v>-4.3790575916230257E-2</v>
      </c>
    </row>
    <row r="41" spans="1:42" x14ac:dyDescent="0.25">
      <c r="A41" s="2" t="s">
        <v>43</v>
      </c>
      <c r="B41" s="3">
        <v>624379</v>
      </c>
      <c r="C41" s="3">
        <v>198644</v>
      </c>
      <c r="D41" s="3">
        <v>159103</v>
      </c>
      <c r="G41" s="5">
        <f ca="1"/>
        <v>44985</v>
      </c>
      <c r="H41" s="7">
        <f ca="1"/>
        <v>624379</v>
      </c>
      <c r="I41" s="7">
        <f ca="1"/>
        <v>198644</v>
      </c>
      <c r="J41" s="7">
        <f ca="1"/>
        <v>159103</v>
      </c>
      <c r="K41" s="7">
        <f ca="1"/>
        <v>357747</v>
      </c>
      <c r="L41" s="7">
        <f ca="1"/>
        <v>21148300</v>
      </c>
      <c r="M41" s="8">
        <f ca="1"/>
        <v>2.9523838795553307E-2</v>
      </c>
      <c r="N41" s="7">
        <f ca="1"/>
        <v>1309500</v>
      </c>
      <c r="O41" s="11">
        <f ca="1"/>
        <v>357747</v>
      </c>
      <c r="P41" s="10">
        <f ca="1"/>
        <v>6.1919870627899172E-2</v>
      </c>
      <c r="Q41" s="10">
        <f ca="1"/>
        <v>1.6916111460495643E-2</v>
      </c>
      <c r="R41" s="10">
        <f ca="1"/>
        <v>4.6439950256048954E-2</v>
      </c>
      <c r="T41" s="10">
        <f ca="1"/>
        <v>0.51943377454252349</v>
      </c>
      <c r="U41" s="10">
        <f ca="1"/>
        <v>0.47336508661947829</v>
      </c>
      <c r="V41" s="10">
        <f ca="1"/>
        <v>0.51466909624391932</v>
      </c>
      <c r="W41" s="10">
        <f ca="1"/>
        <v>0.31027197643594445</v>
      </c>
      <c r="AK41" s="10">
        <f ca="1"/>
        <v>6.4449779833214427E-2</v>
      </c>
      <c r="AL41" s="10">
        <f ca="1"/>
        <v>-5.56503041071712E-2</v>
      </c>
      <c r="AM41" s="10">
        <f ca="1"/>
        <v>4.2391380285847824E-2</v>
      </c>
      <c r="AN41" s="10">
        <f ca="1"/>
        <v>-5.56503041071712E-2</v>
      </c>
      <c r="AO41" s="10">
        <f ca="1"/>
        <v>2.205839954736661E-2</v>
      </c>
      <c r="AP41" s="10">
        <f ca="1"/>
        <v>-5.56503041071712E-2</v>
      </c>
    </row>
    <row r="42" spans="1:42" x14ac:dyDescent="0.25">
      <c r="A42" s="2" t="s">
        <v>44</v>
      </c>
      <c r="B42" s="3">
        <v>641228</v>
      </c>
      <c r="C42" s="3">
        <v>208720</v>
      </c>
      <c r="D42" s="3">
        <v>161224</v>
      </c>
      <c r="G42" s="5">
        <f ca="1"/>
        <v>44957</v>
      </c>
      <c r="H42" s="7">
        <f ca="1"/>
        <v>641228</v>
      </c>
      <c r="I42" s="7">
        <f ca="1"/>
        <v>208720</v>
      </c>
      <c r="J42" s="7">
        <f ca="1"/>
        <v>161224</v>
      </c>
      <c r="K42" s="7">
        <f ca="1"/>
        <v>369944</v>
      </c>
      <c r="L42" s="7">
        <f ca="1"/>
        <v>21302300</v>
      </c>
      <c r="M42" s="8">
        <f ca="1"/>
        <v>3.0101350558390409E-2</v>
      </c>
      <c r="N42" s="7">
        <f ca="1"/>
        <v>1269300</v>
      </c>
      <c r="O42" s="11">
        <f ca="1"/>
        <v>369944</v>
      </c>
      <c r="P42" s="10">
        <f ca="1"/>
        <v>5.9585115222299936E-2</v>
      </c>
      <c r="Q42" s="10">
        <f ca="1"/>
        <v>1.7366387667059426E-2</v>
      </c>
      <c r="R42" s="10">
        <f ca="1"/>
        <v>4.7467738225449835E-2</v>
      </c>
      <c r="T42" s="10">
        <f ca="1"/>
        <v>0.39956090860030424</v>
      </c>
      <c r="U42" s="10">
        <f ca="1"/>
        <v>0.44889290745828703</v>
      </c>
      <c r="V42" s="10">
        <f ca="1"/>
        <v>0.49189421297265201</v>
      </c>
      <c r="W42" s="10">
        <f ca="1"/>
        <v>0.30235045023822005</v>
      </c>
      <c r="AK42" s="10">
        <f ca="1"/>
        <v>6.4029932442428134E-2</v>
      </c>
      <c r="AL42" s="10">
        <f ca="1"/>
        <v>-2.5009746075859152E-2</v>
      </c>
      <c r="AM42" s="10">
        <f ca="1"/>
        <v>4.1776517579762314E-2</v>
      </c>
      <c r="AN42" s="10">
        <f ca="1"/>
        <v>-2.5009746075859152E-2</v>
      </c>
      <c r="AO42" s="10">
        <f ca="1"/>
        <v>2.2253414862665813E-2</v>
      </c>
      <c r="AP42" s="10">
        <f ca="1"/>
        <v>-2.5009746075859152E-2</v>
      </c>
    </row>
    <row r="43" spans="1:42" x14ac:dyDescent="0.25">
      <c r="A43" s="2" t="s">
        <v>45</v>
      </c>
      <c r="B43" s="3">
        <v>606659</v>
      </c>
      <c r="C43" s="3">
        <v>205902</v>
      </c>
      <c r="D43" s="3">
        <v>164065</v>
      </c>
      <c r="G43" s="5">
        <f ca="1"/>
        <v>44926</v>
      </c>
      <c r="H43" s="7">
        <f ca="1"/>
        <v>606659</v>
      </c>
      <c r="I43" s="7">
        <f ca="1"/>
        <v>205902</v>
      </c>
      <c r="J43" s="7">
        <f ca="1"/>
        <v>164065</v>
      </c>
      <c r="K43" s="7">
        <f ca="1"/>
        <v>369967</v>
      </c>
      <c r="L43" s="7">
        <f ca="1"/>
        <v>21448700</v>
      </c>
      <c r="M43" s="8">
        <f ca="1"/>
        <v>2.8284185055504528E-2</v>
      </c>
      <c r="N43" s="7">
        <f ca="1"/>
        <v>1187100</v>
      </c>
      <c r="O43" s="11">
        <f ca="1"/>
        <v>369967</v>
      </c>
      <c r="P43" s="10">
        <f ca="1"/>
        <v>5.5346011646393488E-2</v>
      </c>
      <c r="Q43" s="10">
        <f ca="1"/>
        <v>1.7248924177222864E-2</v>
      </c>
      <c r="R43" s="10">
        <f ca="1"/>
        <v>4.5533109232727395E-2</v>
      </c>
      <c r="T43" s="10">
        <f ca="1"/>
        <v>0.50084125537179314</v>
      </c>
      <c r="U43" s="10">
        <f ca="1"/>
        <v>0.49495745455347873</v>
      </c>
      <c r="V43" s="10">
        <f ca="1"/>
        <v>0.5635563588820045</v>
      </c>
      <c r="W43" s="10">
        <f ca="1"/>
        <v>0.30441693764850841</v>
      </c>
      <c r="AK43" s="10">
        <f ca="1"/>
        <v>6.4085034115843584E-2</v>
      </c>
      <c r="AL43" s="10">
        <f ca="1"/>
        <v>-3.3575054934820714E-2</v>
      </c>
      <c r="AM43" s="10">
        <f ca="1"/>
        <v>4.1207079663751041E-2</v>
      </c>
      <c r="AN43" s="10">
        <f ca="1"/>
        <v>-3.3575054934820714E-2</v>
      </c>
      <c r="AO43" s="10">
        <f ca="1"/>
        <v>2.2877954452092539E-2</v>
      </c>
      <c r="AP43" s="10">
        <f ca="1"/>
        <v>-3.3575054934820714E-2</v>
      </c>
    </row>
    <row r="44" spans="1:42" x14ac:dyDescent="0.25">
      <c r="A44" s="2" t="s">
        <v>46</v>
      </c>
      <c r="B44" s="3">
        <v>643783</v>
      </c>
      <c r="C44" s="3">
        <v>205158</v>
      </c>
      <c r="D44" s="3">
        <v>165434</v>
      </c>
      <c r="G44" s="5">
        <f ca="1"/>
        <v>44895</v>
      </c>
      <c r="H44" s="7">
        <f ca="1"/>
        <v>643783</v>
      </c>
      <c r="I44" s="7">
        <f ca="1"/>
        <v>205158</v>
      </c>
      <c r="J44" s="7">
        <f ca="1"/>
        <v>165434</v>
      </c>
      <c r="K44" s="7">
        <f ca="1"/>
        <v>370592</v>
      </c>
      <c r="L44" s="7">
        <f ca="1"/>
        <v>21422400</v>
      </c>
      <c r="M44" s="8">
        <f ca="1"/>
        <v>3.0051861602808275E-2</v>
      </c>
      <c r="N44" s="7">
        <f ca="1"/>
        <v>1143100</v>
      </c>
      <c r="O44" s="11">
        <f ca="1"/>
        <v>370592</v>
      </c>
      <c r="P44" s="10">
        <f ca="1"/>
        <v>5.3360034356561357E-2</v>
      </c>
      <c r="Q44" s="10">
        <f ca="1"/>
        <v>1.7299275524684441E-2</v>
      </c>
      <c r="R44" s="10">
        <f ca="1"/>
        <v>4.7351137127492712E-2</v>
      </c>
      <c r="T44" s="10">
        <f ca="1"/>
        <v>0.38437444088517214</v>
      </c>
      <c r="U44" s="10">
        <f ca="1"/>
        <v>0.45166924172620182</v>
      </c>
      <c r="V44" s="10">
        <f ca="1"/>
        <v>0.49384587051303352</v>
      </c>
      <c r="W44" s="10">
        <f ca="1"/>
        <v>0.30353112686794009</v>
      </c>
      <c r="AK44" s="10">
        <f ca="1"/>
        <v>6.523312509912868E-2</v>
      </c>
      <c r="AL44" s="10">
        <f ca="1"/>
        <v>7.0571874631016884E-2</v>
      </c>
      <c r="AM44" s="10">
        <f ca="1"/>
        <v>4.1630468706031626E-2</v>
      </c>
      <c r="AN44" s="10">
        <f ca="1"/>
        <v>7.0571874631016884E-2</v>
      </c>
      <c r="AO44" s="10">
        <f ca="1"/>
        <v>2.3602656393097061E-2</v>
      </c>
      <c r="AP44" s="10">
        <f ca="1"/>
        <v>7.0571874631016884E-2</v>
      </c>
    </row>
    <row r="45" spans="1:42" x14ac:dyDescent="0.25">
      <c r="A45" s="2" t="s">
        <v>47</v>
      </c>
      <c r="B45" s="3">
        <v>649618</v>
      </c>
      <c r="C45" s="3">
        <v>216057</v>
      </c>
      <c r="D45" s="3">
        <v>172976</v>
      </c>
      <c r="G45" s="5">
        <f ca="1"/>
        <v>44865</v>
      </c>
      <c r="H45" s="7">
        <f ca="1"/>
        <v>649618</v>
      </c>
      <c r="I45" s="7">
        <f ca="1"/>
        <v>216057</v>
      </c>
      <c r="J45" s="7">
        <f ca="1"/>
        <v>172976</v>
      </c>
      <c r="K45" s="7">
        <f ca="1"/>
        <v>389033</v>
      </c>
      <c r="L45" s="7">
        <f ca="1"/>
        <v>21412800</v>
      </c>
      <c r="M45" s="8">
        <f ca="1"/>
        <v>3.0337835313457372E-2</v>
      </c>
      <c r="N45" s="7">
        <f ca="1"/>
        <v>1112300</v>
      </c>
      <c r="O45" s="11">
        <f ca="1"/>
        <v>389033</v>
      </c>
      <c r="P45" s="10">
        <f ca="1"/>
        <v>5.1945565269371594E-2</v>
      </c>
      <c r="Q45" s="10">
        <f ca="1"/>
        <v>1.8168245161772397E-2</v>
      </c>
      <c r="R45" s="10">
        <f ca="1"/>
        <v>4.8506080475229765E-2</v>
      </c>
      <c r="T45" s="10">
        <f ca="1"/>
        <v>0.42622120982029865</v>
      </c>
      <c r="U45" s="10">
        <f ca="1"/>
        <v>0.42416942525790557</v>
      </c>
      <c r="V45" s="10">
        <f ca="1"/>
        <v>0.48256814718721186</v>
      </c>
      <c r="W45" s="10">
        <f ca="1"/>
        <v>0.28824369740825295</v>
      </c>
      <c r="AK45" s="10">
        <f ca="1"/>
        <v>6.5151466729895927E-2</v>
      </c>
      <c r="AL45" s="10">
        <f ca="1"/>
        <v>4.2468984233652085E-2</v>
      </c>
      <c r="AM45" s="10">
        <f ca="1"/>
        <v>4.116456962005742E-2</v>
      </c>
      <c r="AN45" s="10">
        <f ca="1"/>
        <v>4.2468984233652085E-2</v>
      </c>
      <c r="AO45" s="10">
        <f ca="1"/>
        <v>2.3986897109838506E-2</v>
      </c>
      <c r="AP45" s="10">
        <f ca="1"/>
        <v>4.2468984233652085E-2</v>
      </c>
    </row>
    <row r="46" spans="1:42" x14ac:dyDescent="0.25">
      <c r="A46" s="2" t="s">
        <v>48</v>
      </c>
      <c r="B46" s="3">
        <v>664009</v>
      </c>
      <c r="C46" s="3">
        <v>223400</v>
      </c>
      <c r="D46" s="3">
        <v>173050</v>
      </c>
      <c r="G46" s="5">
        <f ca="1"/>
        <v>44834</v>
      </c>
      <c r="H46" s="7">
        <f ca="1"/>
        <v>664009</v>
      </c>
      <c r="I46" s="7">
        <f ca="1"/>
        <v>223400</v>
      </c>
      <c r="J46" s="7">
        <f ca="1"/>
        <v>173050</v>
      </c>
      <c r="K46" s="7">
        <f ca="1"/>
        <v>396450</v>
      </c>
      <c r="L46" s="7">
        <f ca="1"/>
        <v>21506900</v>
      </c>
      <c r="M46" s="8">
        <f ca="1"/>
        <v>3.0874231060729347E-2</v>
      </c>
      <c r="N46" s="7">
        <f ca="1"/>
        <v>1061500</v>
      </c>
      <c r="O46" s="11">
        <f ca="1"/>
        <v>396450</v>
      </c>
      <c r="P46" s="10">
        <f ca="1"/>
        <v>4.9356253109467195E-2</v>
      </c>
      <c r="Q46" s="10">
        <f ca="1"/>
        <v>1.8433618978095402E-2</v>
      </c>
      <c r="R46" s="10">
        <f ca="1"/>
        <v>4.9307850038824749E-2</v>
      </c>
      <c r="T46" s="10">
        <f ca="1"/>
        <v>0.52288307182579286</v>
      </c>
      <c r="U46" s="10">
        <f ca="1"/>
        <v>0.40507886476251076</v>
      </c>
      <c r="V46" s="10">
        <f ca="1"/>
        <v>0.46141472431785058</v>
      </c>
      <c r="W46" s="10">
        <f ca="1"/>
        <v>0.2835750837716694</v>
      </c>
      <c r="AK46" s="10">
        <f ca="1"/>
        <v>6.3806829086118261E-2</v>
      </c>
      <c r="AL46" s="10">
        <f ca="1"/>
        <v>-4.5379878436770382E-2</v>
      </c>
      <c r="AM46" s="10">
        <f ca="1"/>
        <v>4.035608139299663E-2</v>
      </c>
      <c r="AN46" s="10">
        <f ca="1"/>
        <v>-4.5379878436770382E-2</v>
      </c>
      <c r="AO46" s="10">
        <f ca="1"/>
        <v>2.3450747693121637E-2</v>
      </c>
      <c r="AP46" s="10">
        <f ca="1"/>
        <v>-4.5379878436770382E-2</v>
      </c>
    </row>
    <row r="47" spans="1:42" x14ac:dyDescent="0.25">
      <c r="A47" s="2" t="s">
        <v>49</v>
      </c>
      <c r="B47" s="3">
        <v>687787</v>
      </c>
      <c r="C47" s="3">
        <v>226182</v>
      </c>
      <c r="D47" s="3">
        <v>175974</v>
      </c>
      <c r="G47" s="5">
        <f ca="1"/>
        <v>44804</v>
      </c>
      <c r="H47" s="7">
        <f ca="1"/>
        <v>687787</v>
      </c>
      <c r="I47" s="7">
        <f ca="1"/>
        <v>226182</v>
      </c>
      <c r="J47" s="7">
        <f ca="1"/>
        <v>175974</v>
      </c>
      <c r="K47" s="7">
        <f ca="1"/>
        <v>402156</v>
      </c>
      <c r="L47" s="7">
        <f ca="1"/>
        <v>21584100</v>
      </c>
      <c r="M47" s="8">
        <f ca="1"/>
        <v>3.1865447250522372E-2</v>
      </c>
      <c r="N47" s="7">
        <f ca="1"/>
        <v>1034599.9999999999</v>
      </c>
      <c r="O47" s="11">
        <f ca="1"/>
        <v>402156</v>
      </c>
      <c r="P47" s="10">
        <f ca="1"/>
        <v>4.7933432480390656E-2</v>
      </c>
      <c r="Q47" s="10">
        <f ca="1"/>
        <v>1.8632048591324168E-2</v>
      </c>
      <c r="R47" s="10">
        <f ca="1"/>
        <v>5.049749584184654E-2</v>
      </c>
      <c r="T47" s="10">
        <f ca="1"/>
        <v>0.33438938053097345</v>
      </c>
      <c r="U47" s="10">
        <f ca="1"/>
        <v>0.37675276434427074</v>
      </c>
      <c r="V47" s="10">
        <f ca="1"/>
        <v>0.42232490057430527</v>
      </c>
      <c r="W47" s="10">
        <f ca="1"/>
        <v>0.28008419227733206</v>
      </c>
      <c r="AK47" s="10">
        <f ca="1"/>
        <v>6.0183219916488742E-2</v>
      </c>
      <c r="AL47" s="10">
        <f ca="1"/>
        <v>9.2049712422306973E-2</v>
      </c>
      <c r="AM47" s="10">
        <f ca="1"/>
        <v>3.7975430440590256E-2</v>
      </c>
      <c r="AN47" s="10">
        <f ca="1"/>
        <v>9.2049712422306973E-2</v>
      </c>
      <c r="AO47" s="10">
        <f ca="1"/>
        <v>2.2207789475898482E-2</v>
      </c>
      <c r="AP47" s="10">
        <f ca="1"/>
        <v>9.2049712422306973E-2</v>
      </c>
    </row>
    <row r="48" spans="1:42" x14ac:dyDescent="0.25">
      <c r="A48" s="2" t="s">
        <v>50</v>
      </c>
      <c r="B48" s="3">
        <v>696781</v>
      </c>
      <c r="C48" s="3">
        <v>232147</v>
      </c>
      <c r="D48" s="3">
        <v>177054</v>
      </c>
      <c r="G48" s="5">
        <f ca="1"/>
        <v>44773</v>
      </c>
      <c r="H48" s="7">
        <f ca="1"/>
        <v>696781</v>
      </c>
      <c r="I48" s="7">
        <f ca="1"/>
        <v>232147</v>
      </c>
      <c r="J48" s="7">
        <f ca="1"/>
        <v>177054</v>
      </c>
      <c r="K48" s="7">
        <f ca="1"/>
        <v>409201</v>
      </c>
      <c r="L48" s="7">
        <f ca="1"/>
        <v>21609900</v>
      </c>
      <c r="M48" s="8">
        <f ca="1"/>
        <v>3.2243601312361467E-2</v>
      </c>
      <c r="N48" s="7">
        <f ca="1"/>
        <v>1024000</v>
      </c>
      <c r="O48" s="11">
        <f ca="1"/>
        <v>409201</v>
      </c>
      <c r="P48" s="10">
        <f ca="1"/>
        <v>4.7385688966631034E-2</v>
      </c>
      <c r="Q48" s="10">
        <f ca="1"/>
        <v>1.8935811826986705E-2</v>
      </c>
      <c r="R48" s="10">
        <f ca="1"/>
        <v>5.1179413139348172E-2</v>
      </c>
      <c r="T48" s="10">
        <f ca="1"/>
        <v>0.21920978914313505</v>
      </c>
      <c r="U48" s="10">
        <f ca="1"/>
        <v>0.3605159501623505</v>
      </c>
      <c r="V48" s="10">
        <f ca="1"/>
        <v>0.40741193226586536</v>
      </c>
      <c r="W48" s="10">
        <f ca="1"/>
        <v>0.27474020919732567</v>
      </c>
      <c r="AK48" s="10">
        <f ca="1"/>
        <v>5.7152125160187951E-2</v>
      </c>
      <c r="AL48" s="10">
        <f ca="1"/>
        <v>0.26310107768902369</v>
      </c>
      <c r="AM48" s="10">
        <f ca="1"/>
        <v>3.5204666809055957E-2</v>
      </c>
      <c r="AN48" s="10">
        <f ca="1"/>
        <v>0.26310107768902369</v>
      </c>
      <c r="AO48" s="10">
        <f ca="1"/>
        <v>2.1947458351131995E-2</v>
      </c>
      <c r="AP48" s="10">
        <f ca="1"/>
        <v>0.26310107768902369</v>
      </c>
    </row>
    <row r="49" spans="1:42" x14ac:dyDescent="0.25">
      <c r="A49" s="2" t="s">
        <v>51</v>
      </c>
      <c r="B49" s="3">
        <v>683445</v>
      </c>
      <c r="C49" s="3">
        <v>249399</v>
      </c>
      <c r="D49" s="3">
        <v>186931</v>
      </c>
      <c r="G49" s="5">
        <f ca="1"/>
        <v>44742</v>
      </c>
      <c r="H49" s="7">
        <f ca="1"/>
        <v>683445</v>
      </c>
      <c r="I49" s="7">
        <f ca="1"/>
        <v>249399</v>
      </c>
      <c r="J49" s="7">
        <f ca="1"/>
        <v>186931</v>
      </c>
      <c r="K49" s="7">
        <f ca="1"/>
        <v>436330</v>
      </c>
      <c r="L49" s="7">
        <f ca="1"/>
        <v>21614200</v>
      </c>
      <c r="M49" s="8">
        <f ca="1"/>
        <v>3.162018487845953E-2</v>
      </c>
      <c r="N49" s="7">
        <f ca="1"/>
        <v>995400</v>
      </c>
      <c r="O49" s="11">
        <f ca="1"/>
        <v>436330</v>
      </c>
      <c r="P49" s="10">
        <f ca="1"/>
        <v>4.6053057712059663E-2</v>
      </c>
      <c r="Q49" s="10">
        <f ca="1"/>
        <v>2.0187191753569412E-2</v>
      </c>
      <c r="R49" s="10">
        <f ca="1"/>
        <v>5.1807376632028945E-2</v>
      </c>
      <c r="T49" s="10">
        <f ca="1"/>
        <v>0.38806407811104826</v>
      </c>
      <c r="U49" s="10">
        <f ca="1"/>
        <v>0.34556380482002913</v>
      </c>
      <c r="V49" s="10">
        <f ca="1"/>
        <v>0.43199712243022792</v>
      </c>
      <c r="W49" s="10">
        <f ca="1"/>
        <v>0.25272519102130492</v>
      </c>
      <c r="AK49" s="10">
        <f ca="1"/>
        <v>5.6783515915890065E-2</v>
      </c>
      <c r="AL49" s="10">
        <f ca="1"/>
        <v>0.12559619387451693</v>
      </c>
      <c r="AM49" s="10">
        <f ca="1"/>
        <v>3.5206723629554702E-2</v>
      </c>
      <c r="AN49" s="10">
        <f ca="1"/>
        <v>0.12559619387451693</v>
      </c>
      <c r="AO49" s="10">
        <f ca="1"/>
        <v>2.1576792286335363E-2</v>
      </c>
      <c r="AP49" s="10">
        <f ca="1"/>
        <v>0.12559619387451693</v>
      </c>
    </row>
    <row r="50" spans="1:42" x14ac:dyDescent="0.25">
      <c r="A50" s="2" t="s">
        <v>52</v>
      </c>
      <c r="B50" s="3">
        <v>752944</v>
      </c>
      <c r="C50" s="3">
        <v>244857</v>
      </c>
      <c r="D50" s="3">
        <v>184151</v>
      </c>
      <c r="G50" s="5">
        <f ca="1"/>
        <v>44712</v>
      </c>
      <c r="H50" s="7">
        <f ca="1"/>
        <v>752944</v>
      </c>
      <c r="I50" s="7">
        <f ca="1"/>
        <v>244857</v>
      </c>
      <c r="J50" s="7">
        <f ca="1"/>
        <v>184151</v>
      </c>
      <c r="K50" s="7">
        <f ca="1"/>
        <v>429008</v>
      </c>
      <c r="L50" s="7">
        <f ca="1"/>
        <v>21589300</v>
      </c>
      <c r="M50" s="8">
        <f ca="1"/>
        <v>3.4875794953981833E-2</v>
      </c>
      <c r="N50" s="7">
        <f ca="1"/>
        <v>979100</v>
      </c>
      <c r="O50" s="11">
        <f ca="1"/>
        <v>429008</v>
      </c>
      <c r="P50" s="10">
        <f ca="1"/>
        <v>4.5351169329251068E-2</v>
      </c>
      <c r="Q50" s="10">
        <f ca="1"/>
        <v>1.9871325147179389E-2</v>
      </c>
      <c r="R50" s="10">
        <f ca="1"/>
        <v>5.4747120101161222E-2</v>
      </c>
      <c r="T50" s="10">
        <f ca="1"/>
        <v>0.23332163643623804</v>
      </c>
      <c r="U50" s="10">
        <f ca="1"/>
        <v>0.27556694651229541</v>
      </c>
      <c r="V50" s="10">
        <f ca="1"/>
        <v>0.3036081540696014</v>
      </c>
      <c r="W50" s="10">
        <f ca="1"/>
        <v>0.25828210378069683</v>
      </c>
      <c r="AK50" s="10">
        <f ca="1"/>
        <v>5.6943350813280405E-2</v>
      </c>
      <c r="AL50" s="10">
        <f ca="1"/>
        <v>0.1805097262813864</v>
      </c>
      <c r="AM50" s="10">
        <f ca="1"/>
        <v>3.5153044832524682E-2</v>
      </c>
      <c r="AN50" s="10">
        <f ca="1"/>
        <v>0.1805097262813864</v>
      </c>
      <c r="AO50" s="10">
        <f ca="1"/>
        <v>2.1790305980755723E-2</v>
      </c>
      <c r="AP50" s="10">
        <f ca="1"/>
        <v>0.1805097262813864</v>
      </c>
    </row>
    <row r="51" spans="1:42" x14ac:dyDescent="0.25">
      <c r="A51" s="2" t="s">
        <v>53</v>
      </c>
      <c r="B51" s="3">
        <v>772940</v>
      </c>
      <c r="C51" s="3">
        <v>242724</v>
      </c>
      <c r="D51" s="3">
        <v>188652</v>
      </c>
      <c r="G51" s="5">
        <f ca="1"/>
        <v>44681</v>
      </c>
      <c r="H51" s="7">
        <f ca="1"/>
        <v>772940</v>
      </c>
      <c r="I51" s="7">
        <f ca="1"/>
        <v>242724</v>
      </c>
      <c r="J51" s="7">
        <f ca="1"/>
        <v>188652</v>
      </c>
      <c r="K51" s="7">
        <f ca="1"/>
        <v>431376</v>
      </c>
      <c r="L51" s="7">
        <f ca="1"/>
        <v>21884100</v>
      </c>
      <c r="M51" s="8">
        <f ca="1"/>
        <v>3.5319707001887218E-2</v>
      </c>
      <c r="N51" s="7">
        <f ca="1"/>
        <v>978200</v>
      </c>
      <c r="O51" s="11">
        <f ca="1"/>
        <v>431376</v>
      </c>
      <c r="P51" s="10">
        <f ca="1"/>
        <v>4.4699119452022242E-2</v>
      </c>
      <c r="Q51" s="10">
        <f ca="1"/>
        <v>1.9711845586521722E-2</v>
      </c>
      <c r="R51" s="10">
        <f ca="1"/>
        <v>5.5031552588408944E-2</v>
      </c>
      <c r="T51" s="10">
        <f ca="1"/>
        <v>0.1727328391332863</v>
      </c>
      <c r="U51" s="10">
        <f ca="1"/>
        <v>0.26879445744410058</v>
      </c>
      <c r="V51" s="10">
        <f ca="1"/>
        <v>0.28610193908951609</v>
      </c>
      <c r="W51" s="10">
        <f ca="1"/>
        <v>0.26108776283914925</v>
      </c>
      <c r="AK51" s="10">
        <f ca="1"/>
        <v>5.5689217031090317E-2</v>
      </c>
      <c r="AL51" s="10">
        <f ca="1"/>
        <v>0.26315451588446792</v>
      </c>
      <c r="AM51" s="10">
        <f ca="1"/>
        <v>3.3545739221676328E-2</v>
      </c>
      <c r="AN51" s="10">
        <f ca="1"/>
        <v>0.26315451588446792</v>
      </c>
      <c r="AO51" s="10">
        <f ca="1"/>
        <v>2.2143477809413989E-2</v>
      </c>
      <c r="AP51" s="10">
        <f ca="1"/>
        <v>0.26315451588446792</v>
      </c>
    </row>
    <row r="52" spans="1:42" x14ac:dyDescent="0.25">
      <c r="A52" s="2" t="s">
        <v>54</v>
      </c>
      <c r="B52" s="3">
        <v>799660</v>
      </c>
      <c r="C52" s="3">
        <v>256076</v>
      </c>
      <c r="D52" s="3">
        <v>196008</v>
      </c>
      <c r="G52" s="5">
        <f ca="1"/>
        <v>44651</v>
      </c>
      <c r="H52" s="7">
        <f ca="1"/>
        <v>799660</v>
      </c>
      <c r="I52" s="7">
        <f ca="1"/>
        <v>256076</v>
      </c>
      <c r="J52" s="7">
        <f ca="1"/>
        <v>196008</v>
      </c>
      <c r="K52" s="7">
        <f ca="1"/>
        <v>452084</v>
      </c>
      <c r="L52" s="7">
        <f ca="1"/>
        <v>21891800</v>
      </c>
      <c r="M52" s="8">
        <f ca="1"/>
        <v>3.6527832339049326E-2</v>
      </c>
      <c r="N52" s="7">
        <f ca="1"/>
        <v>1011000</v>
      </c>
      <c r="O52" s="11">
        <f ca="1"/>
        <v>452084</v>
      </c>
      <c r="P52" s="10">
        <f ca="1"/>
        <v>4.6181675330489044E-2</v>
      </c>
      <c r="Q52" s="10">
        <f ca="1"/>
        <v>2.065083729981089E-2</v>
      </c>
      <c r="R52" s="10">
        <f ca="1"/>
        <v>5.7178669638860216E-2</v>
      </c>
      <c r="T52" s="10">
        <f ca="1"/>
        <v>5.2847314040009641E-2</v>
      </c>
      <c r="U52" s="10">
        <f ca="1"/>
        <v>0.21767045647985372</v>
      </c>
      <c r="V52" s="10">
        <f ca="1"/>
        <v>0.23845803761163653</v>
      </c>
      <c r="W52" s="10">
        <f ca="1"/>
        <v>0.24456846346725891</v>
      </c>
      <c r="AK52" s="10">
        <f ca="1"/>
        <v>5.5055151515151515E-2</v>
      </c>
      <c r="AL52" s="10">
        <f ca="1"/>
        <v>0.46128587970802726</v>
      </c>
      <c r="AM52" s="10">
        <f ca="1"/>
        <v>3.2213553719008262E-2</v>
      </c>
      <c r="AN52" s="10">
        <f ca="1"/>
        <v>0.46128587970802726</v>
      </c>
      <c r="AO52" s="10">
        <f ca="1"/>
        <v>2.284159779614325E-2</v>
      </c>
      <c r="AP52" s="10">
        <f ca="1"/>
        <v>0.46128587970802726</v>
      </c>
    </row>
    <row r="53" spans="1:42" x14ac:dyDescent="0.25">
      <c r="A53" s="2" t="s">
        <v>55</v>
      </c>
      <c r="B53" s="3">
        <v>835255</v>
      </c>
      <c r="C53" s="3">
        <v>250686</v>
      </c>
      <c r="D53" s="3">
        <v>195269</v>
      </c>
      <c r="G53" s="5">
        <f ca="1"/>
        <v>44620</v>
      </c>
      <c r="H53" s="7">
        <f ca="1"/>
        <v>835255</v>
      </c>
      <c r="I53" s="7">
        <f ca="1"/>
        <v>250686</v>
      </c>
      <c r="J53" s="7">
        <f ca="1"/>
        <v>195269</v>
      </c>
      <c r="K53" s="7">
        <f ca="1"/>
        <v>445955</v>
      </c>
      <c r="L53" s="7">
        <f ca="1"/>
        <v>21619000</v>
      </c>
      <c r="M53" s="8">
        <f ca="1"/>
        <v>3.8635228271427909E-2</v>
      </c>
      <c r="N53" s="7">
        <f ca="1"/>
        <v>1004800</v>
      </c>
      <c r="O53" s="11">
        <f ca="1"/>
        <v>445955</v>
      </c>
      <c r="P53" s="10">
        <f ca="1"/>
        <v>4.6477635413293861E-2</v>
      </c>
      <c r="Q53" s="10">
        <f ca="1"/>
        <v>2.0627919885286092E-2</v>
      </c>
      <c r="R53" s="10">
        <f ca="1"/>
        <v>5.9263148156714004E-2</v>
      </c>
      <c r="T53" s="10">
        <f ca="1"/>
        <v>4.4321595632313304E-2</v>
      </c>
      <c r="U53" s="10">
        <f ca="1"/>
        <v>0.16803791235082688</v>
      </c>
      <c r="V53" s="10">
        <f ca="1"/>
        <v>0.15535029945842438</v>
      </c>
      <c r="W53" s="10">
        <f ca="1"/>
        <v>0.2449716402216508</v>
      </c>
      <c r="AK53" s="10">
        <f ca="1"/>
        <v>5.2730171562022816E-2</v>
      </c>
      <c r="AL53" s="10">
        <f ca="1"/>
        <v>0.43675906855740698</v>
      </c>
      <c r="AM53" s="10">
        <f ca="1"/>
        <v>3.1019435462139585E-2</v>
      </c>
      <c r="AN53" s="10">
        <f ca="1"/>
        <v>0.43675906855740698</v>
      </c>
      <c r="AO53" s="10">
        <f ca="1"/>
        <v>2.1710736099883231E-2</v>
      </c>
      <c r="AP53" s="10">
        <f ca="1"/>
        <v>0.43675906855740698</v>
      </c>
    </row>
    <row r="54" spans="1:42" x14ac:dyDescent="0.25">
      <c r="A54" s="2" t="s">
        <v>56</v>
      </c>
      <c r="B54" s="3">
        <v>829637</v>
      </c>
      <c r="C54" s="3">
        <v>247752</v>
      </c>
      <c r="D54" s="3">
        <v>194545</v>
      </c>
      <c r="G54" s="5">
        <f ca="1"/>
        <v>44592</v>
      </c>
      <c r="H54" s="7">
        <f ca="1"/>
        <v>829637</v>
      </c>
      <c r="I54" s="7">
        <f ca="1"/>
        <v>247752</v>
      </c>
      <c r="J54" s="7">
        <f ca="1"/>
        <v>194545</v>
      </c>
      <c r="K54" s="7">
        <f ca="1"/>
        <v>442297</v>
      </c>
      <c r="L54" s="7">
        <f ca="1"/>
        <v>21667900</v>
      </c>
      <c r="M54" s="8">
        <f ca="1"/>
        <v>3.82887589475676E-2</v>
      </c>
      <c r="N54" s="7">
        <f ca="1"/>
        <v>1015600</v>
      </c>
      <c r="O54" s="11">
        <f ca="1"/>
        <v>442297</v>
      </c>
      <c r="P54" s="10">
        <f ca="1"/>
        <v>4.6871178102169571E-2</v>
      </c>
      <c r="Q54" s="10">
        <f ca="1"/>
        <v>2.0412545747395917E-2</v>
      </c>
      <c r="R54" s="10">
        <f ca="1"/>
        <v>5.8701304694963513E-2</v>
      </c>
      <c r="T54" s="10">
        <f ca="1"/>
        <v>-7.1253778609471685E-2</v>
      </c>
      <c r="U54" s="10">
        <f ca="1"/>
        <v>0.18141570452766742</v>
      </c>
      <c r="V54" s="10">
        <f ca="1"/>
        <v>0.16901374134093916</v>
      </c>
      <c r="W54" s="10">
        <f ca="1"/>
        <v>0.24876062984788294</v>
      </c>
      <c r="AK54" s="10">
        <f ca="1"/>
        <v>5.3820021578747851E-2</v>
      </c>
      <c r="AL54" s="10">
        <f ca="1"/>
        <v>0.55044069728714518</v>
      </c>
      <c r="AM54" s="10">
        <f ca="1"/>
        <v>3.0600764004315748E-2</v>
      </c>
      <c r="AN54" s="10">
        <f ca="1"/>
        <v>0.55044069728714518</v>
      </c>
      <c r="AO54" s="10">
        <f ca="1"/>
        <v>2.3219257574432099E-2</v>
      </c>
      <c r="AP54" s="10">
        <f ca="1"/>
        <v>0.55044069728714518</v>
      </c>
    </row>
    <row r="55" spans="1:42" x14ac:dyDescent="0.25">
      <c r="A55" s="2" t="s">
        <v>57</v>
      </c>
      <c r="B55" s="3">
        <v>910021</v>
      </c>
      <c r="C55" s="3">
        <v>250435</v>
      </c>
      <c r="D55" s="3">
        <v>215116</v>
      </c>
      <c r="G55" s="5">
        <f ca="1"/>
        <v>44561</v>
      </c>
      <c r="H55" s="7">
        <f ca="1"/>
        <v>910021</v>
      </c>
      <c r="I55" s="7">
        <f ca="1"/>
        <v>250435</v>
      </c>
      <c r="J55" s="7">
        <f ca="1"/>
        <v>215116</v>
      </c>
      <c r="K55" s="7">
        <f ca="1"/>
        <v>465551</v>
      </c>
      <c r="L55" s="7">
        <f ca="1"/>
        <v>21680900</v>
      </c>
      <c r="M55" s="8">
        <f ca="1"/>
        <v>4.197339593836049E-2</v>
      </c>
      <c r="N55" s="7">
        <f ca="1"/>
        <v>999900</v>
      </c>
      <c r="O55" s="11">
        <f ca="1"/>
        <v>465551</v>
      </c>
      <c r="P55" s="10">
        <f ca="1"/>
        <v>4.6118934177086741E-2</v>
      </c>
      <c r="Q55" s="10">
        <f ca="1"/>
        <v>2.147286321139805E-2</v>
      </c>
      <c r="R55" s="10">
        <f ca="1"/>
        <v>6.3446259149758544E-2</v>
      </c>
      <c r="T55" s="10">
        <f ca="1"/>
        <v>-0.1003172351862498</v>
      </c>
      <c r="U55" s="10">
        <f ca="1"/>
        <v>6.8435810827291776E-2</v>
      </c>
      <c r="V55" s="10">
        <f ca="1"/>
        <v>2.370557142584051E-2</v>
      </c>
      <c r="W55" s="10">
        <f ca="1"/>
        <v>0.23010689588069005</v>
      </c>
      <c r="AK55" s="10">
        <f ca="1"/>
        <v>5.5676660911902431E-2</v>
      </c>
      <c r="AL55" s="10">
        <f ca="1"/>
        <v>0.8440758495544749</v>
      </c>
      <c r="AM55" s="10">
        <f ca="1"/>
        <v>2.9764820587979583E-2</v>
      </c>
      <c r="AN55" s="10">
        <f ca="1"/>
        <v>0.8440758495544749</v>
      </c>
      <c r="AO55" s="10">
        <f ca="1"/>
        <v>2.5911840323922845E-2</v>
      </c>
      <c r="AP55" s="10">
        <f ca="1"/>
        <v>0.8440758495544749</v>
      </c>
    </row>
    <row r="56" spans="1:42" x14ac:dyDescent="0.25">
      <c r="A56" s="2" t="s">
        <v>58</v>
      </c>
      <c r="B56" s="3">
        <v>918598</v>
      </c>
      <c r="C56" s="3">
        <v>235638</v>
      </c>
      <c r="D56" s="3">
        <v>211623</v>
      </c>
      <c r="G56" s="5">
        <f ca="1"/>
        <v>44530</v>
      </c>
      <c r="H56" s="7">
        <f ca="1"/>
        <v>918598</v>
      </c>
      <c r="I56" s="7">
        <f ca="1"/>
        <v>235638</v>
      </c>
      <c r="J56" s="7">
        <f ca="1"/>
        <v>211623</v>
      </c>
      <c r="K56" s="7">
        <f ca="1"/>
        <v>447261</v>
      </c>
      <c r="L56" s="7">
        <f ca="1"/>
        <v>21355600</v>
      </c>
      <c r="M56" s="8">
        <f ca="1"/>
        <v>4.3014384985671207E-2</v>
      </c>
      <c r="N56" s="7">
        <f ca="1"/>
        <v>976300</v>
      </c>
      <c r="O56" s="11">
        <f ca="1"/>
        <v>447261</v>
      </c>
      <c r="P56" s="10">
        <f ca="1"/>
        <v>4.5716346063795911E-2</v>
      </c>
      <c r="Q56" s="10">
        <f ca="1"/>
        <v>2.0943499597295322E-2</v>
      </c>
      <c r="R56" s="10">
        <f ca="1"/>
        <v>6.3957884582966529E-2</v>
      </c>
      <c r="T56" s="10">
        <f ca="1"/>
        <v>-1.2993212174293833E-2</v>
      </c>
      <c r="U56" s="10">
        <f ca="1"/>
        <v>5.6253736666425302E-2</v>
      </c>
      <c r="V56" s="10">
        <f ca="1"/>
        <v>-1.7347105878425362E-2</v>
      </c>
      <c r="W56" s="10">
        <f ca="1"/>
        <v>0.23941977467843489</v>
      </c>
      <c r="AK56" s="10">
        <f ca="1"/>
        <v>5.8692601255693706E-2</v>
      </c>
      <c r="AL56" s="10">
        <f ca="1"/>
        <v>0.54592413564324938</v>
      </c>
      <c r="AM56" s="10">
        <f ca="1"/>
        <v>3.5320564738202762E-2</v>
      </c>
      <c r="AN56" s="10">
        <f ca="1"/>
        <v>0.54592413564324938</v>
      </c>
      <c r="AO56" s="10">
        <f ca="1"/>
        <v>2.3372036517490945E-2</v>
      </c>
      <c r="AP56" s="10">
        <f ca="1"/>
        <v>0.54592413564324938</v>
      </c>
    </row>
    <row r="57" spans="1:42" x14ac:dyDescent="0.25">
      <c r="A57" s="2" t="s">
        <v>59</v>
      </c>
      <c r="B57" s="3">
        <v>935862</v>
      </c>
      <c r="C57" s="3">
        <v>226159</v>
      </c>
      <c r="D57" s="3">
        <v>200548</v>
      </c>
      <c r="G57" s="5">
        <f ca="1"/>
        <v>44500</v>
      </c>
      <c r="H57" s="7">
        <f ca="1"/>
        <v>935862</v>
      </c>
      <c r="I57" s="7">
        <f ca="1"/>
        <v>226159</v>
      </c>
      <c r="J57" s="7">
        <f ca="1"/>
        <v>200548</v>
      </c>
      <c r="K57" s="7">
        <f ca="1"/>
        <v>426707</v>
      </c>
      <c r="L57" s="7">
        <f ca="1"/>
        <v>21125400</v>
      </c>
      <c r="M57" s="8">
        <f ca="1"/>
        <v>4.4300320940668582E-2</v>
      </c>
      <c r="N57" s="7">
        <f ca="1"/>
        <v>976600</v>
      </c>
      <c r="O57" s="11">
        <f ca="1"/>
        <v>426707</v>
      </c>
      <c r="P57" s="10">
        <f ca="1"/>
        <v>4.6228710462287104E-2</v>
      </c>
      <c r="Q57" s="10">
        <f ca="1"/>
        <v>2.0198765467162753E-2</v>
      </c>
      <c r="R57" s="10">
        <f ca="1"/>
        <v>6.4499086407831335E-2</v>
      </c>
      <c r="T57" s="10">
        <f ca="1"/>
        <v>-3.5653952551146784E-3</v>
      </c>
      <c r="U57" s="10">
        <f ca="1"/>
        <v>4.3367432861783906E-2</v>
      </c>
      <c r="V57" s="10">
        <f ca="1"/>
        <v>-6.8059564314794763E-2</v>
      </c>
      <c r="W57" s="10">
        <f ca="1"/>
        <v>0.25252157938449588</v>
      </c>
      <c r="AK57" s="10">
        <f ca="1"/>
        <v>5.8370379482929419E-2</v>
      </c>
      <c r="AL57" s="10">
        <f ca="1"/>
        <v>0.4277945881594285</v>
      </c>
      <c r="AM57" s="10">
        <f ca="1"/>
        <v>3.6375714646448294E-2</v>
      </c>
      <c r="AN57" s="10">
        <f ca="1"/>
        <v>0.4277945881594285</v>
      </c>
      <c r="AO57" s="10">
        <f ca="1"/>
        <v>2.1994664836481125E-2</v>
      </c>
      <c r="AP57" s="10">
        <f ca="1"/>
        <v>0.4277945881594285</v>
      </c>
    </row>
    <row r="58" spans="1:42" x14ac:dyDescent="0.25">
      <c r="A58" s="2" t="s">
        <v>60</v>
      </c>
      <c r="B58" s="3">
        <v>903117</v>
      </c>
      <c r="C58" s="3">
        <v>229279</v>
      </c>
      <c r="D58" s="3">
        <v>205564</v>
      </c>
      <c r="G58" s="5">
        <f ca="1"/>
        <v>44469</v>
      </c>
      <c r="H58" s="7">
        <f ca="1"/>
        <v>903117</v>
      </c>
      <c r="I58" s="7">
        <f ca="1"/>
        <v>229279</v>
      </c>
      <c r="J58" s="7">
        <f ca="1"/>
        <v>205564</v>
      </c>
      <c r="K58" s="7">
        <f ca="1"/>
        <v>434843</v>
      </c>
      <c r="L58" s="7">
        <f ca="1"/>
        <v>20960600</v>
      </c>
      <c r="M58" s="8">
        <f ca="1"/>
        <v>4.3086409740179195E-2</v>
      </c>
      <c r="N58" s="7">
        <f ca="1"/>
        <v>973100</v>
      </c>
      <c r="O58" s="11">
        <f ca="1"/>
        <v>434843</v>
      </c>
      <c r="P58" s="10">
        <f ca="1"/>
        <v>4.6425197751972749E-2</v>
      </c>
      <c r="Q58" s="10">
        <f ca="1"/>
        <v>2.0745732469490376E-2</v>
      </c>
      <c r="R58" s="10">
        <f ca="1"/>
        <v>6.3832142209669568E-2</v>
      </c>
      <c r="T58" s="10">
        <f ca="1"/>
        <v>3.3160458173342677E-2</v>
      </c>
      <c r="U58" s="10">
        <f ca="1"/>
        <v>5.9247729570691687E-2</v>
      </c>
      <c r="V58" s="10">
        <f ca="1"/>
        <v>-2.0187490234412575E-2</v>
      </c>
      <c r="W58" s="10">
        <f ca="1"/>
        <v>0.24289901133610997</v>
      </c>
      <c r="AK58" s="10">
        <f ca="1"/>
        <v>5.9321771866954733E-2</v>
      </c>
      <c r="AL58" s="10">
        <f ca="1"/>
        <v>0.33328174620370299</v>
      </c>
      <c r="AM58" s="10">
        <f ca="1"/>
        <v>3.7467236762099433E-2</v>
      </c>
      <c r="AN58" s="10">
        <f ca="1"/>
        <v>0.33328174620370299</v>
      </c>
      <c r="AO58" s="10">
        <f ca="1"/>
        <v>2.1854535104855299E-2</v>
      </c>
      <c r="AP58" s="10">
        <f ca="1"/>
        <v>0.33328174620370299</v>
      </c>
    </row>
    <row r="59" spans="1:42" x14ac:dyDescent="0.25">
      <c r="A59" s="2" t="s">
        <v>61</v>
      </c>
      <c r="B59" s="3">
        <v>911545</v>
      </c>
      <c r="C59" s="3">
        <v>219365</v>
      </c>
      <c r="D59" s="3">
        <v>198913</v>
      </c>
      <c r="G59" s="5">
        <f ca="1"/>
        <v>44439</v>
      </c>
      <c r="H59" s="7">
        <f ca="1"/>
        <v>911545</v>
      </c>
      <c r="I59" s="7">
        <f ca="1"/>
        <v>219365</v>
      </c>
      <c r="J59" s="7">
        <f ca="1"/>
        <v>198913</v>
      </c>
      <c r="K59" s="7">
        <f ca="1"/>
        <v>418278</v>
      </c>
      <c r="L59" s="7">
        <f ca="1"/>
        <v>20787600</v>
      </c>
      <c r="M59" s="8">
        <f ca="1"/>
        <v>4.3850420442956381E-2</v>
      </c>
      <c r="N59" s="7">
        <f ca="1"/>
        <v>970000</v>
      </c>
      <c r="O59" s="11">
        <f ca="1"/>
        <v>418278</v>
      </c>
      <c r="P59" s="10">
        <f ca="1"/>
        <v>4.666243337374204E-2</v>
      </c>
      <c r="Q59" s="10">
        <f ca="1"/>
        <v>2.0121514749177394E-2</v>
      </c>
      <c r="R59" s="10">
        <f ca="1"/>
        <v>6.3971935192133775E-2</v>
      </c>
      <c r="T59" s="10">
        <f ca="1"/>
        <v>-7.5806822503471483E-2</v>
      </c>
      <c r="U59" s="10">
        <f ca="1"/>
        <v>5.5919184175929448E-2</v>
      </c>
      <c r="V59" s="10">
        <f ca="1"/>
        <v>-5.0317187486410342E-2</v>
      </c>
      <c r="W59" s="10">
        <f ca="1"/>
        <v>0.25388061985208799</v>
      </c>
      <c r="AK59" s="10">
        <f ca="1"/>
        <v>5.8614916286149163E-2</v>
      </c>
      <c r="AL59" s="10">
        <f ca="1"/>
        <v>0.43989455520251641</v>
      </c>
      <c r="AM59" s="10">
        <f ca="1"/>
        <v>3.6809401558651957E-2</v>
      </c>
      <c r="AN59" s="10">
        <f ca="1"/>
        <v>0.43989455520251641</v>
      </c>
      <c r="AO59" s="10">
        <f ca="1"/>
        <v>2.1805514727497206E-2</v>
      </c>
      <c r="AP59" s="10">
        <f ca="1"/>
        <v>0.43989455520251641</v>
      </c>
    </row>
    <row r="60" spans="1:42" x14ac:dyDescent="0.25">
      <c r="A60" s="2" t="s">
        <v>62</v>
      </c>
      <c r="B60" s="3">
        <v>844324</v>
      </c>
      <c r="C60" s="3">
        <v>215463</v>
      </c>
      <c r="D60" s="3">
        <v>195762</v>
      </c>
      <c r="G60" s="5">
        <f ca="1"/>
        <v>44408</v>
      </c>
      <c r="H60" s="7">
        <f ca="1"/>
        <v>844324</v>
      </c>
      <c r="I60" s="7">
        <f ca="1"/>
        <v>215463</v>
      </c>
      <c r="J60" s="7">
        <f ca="1"/>
        <v>195762</v>
      </c>
      <c r="K60" s="7">
        <f ca="1"/>
        <v>411225</v>
      </c>
      <c r="L60" s="7">
        <f ca="1"/>
        <v>20596000</v>
      </c>
      <c r="M60" s="8">
        <f ca="1"/>
        <v>4.0994562050883664E-2</v>
      </c>
      <c r="N60" s="7">
        <f ca="1"/>
        <v>974400</v>
      </c>
      <c r="O60" s="11">
        <f ca="1"/>
        <v>411225</v>
      </c>
      <c r="P60" s="10">
        <f ca="1"/>
        <v>4.7310157312099435E-2</v>
      </c>
      <c r="Q60" s="10">
        <f ca="1"/>
        <v>1.9966255583608469E-2</v>
      </c>
      <c r="R60" s="10">
        <f ca="1"/>
        <v>6.0960817634492133E-2</v>
      </c>
      <c r="T60" s="10">
        <f ca="1"/>
        <v>-5.136897475917257E-2</v>
      </c>
      <c r="U60" s="10">
        <f ca="1"/>
        <v>0.12761549755948609</v>
      </c>
      <c r="V60" s="10">
        <f ca="1"/>
        <v>6.2307083920978501E-2</v>
      </c>
      <c r="W60" s="10">
        <f ca="1"/>
        <v>0.25661203121596349</v>
      </c>
      <c r="AK60" s="10">
        <f ca="1"/>
        <v>5.8317779199451261E-2</v>
      </c>
      <c r="AL60" s="10">
        <f ca="1"/>
        <v>0.44697059481952639</v>
      </c>
      <c r="AM60" s="10">
        <f ca="1"/>
        <v>3.6578310392359897E-2</v>
      </c>
      <c r="AN60" s="10">
        <f ca="1"/>
        <v>0.44697059481952639</v>
      </c>
      <c r="AO60" s="10">
        <f ca="1"/>
        <v>2.1739468807091367E-2</v>
      </c>
      <c r="AP60" s="10">
        <f ca="1"/>
        <v>0.44697059481952639</v>
      </c>
    </row>
    <row r="61" spans="1:42" x14ac:dyDescent="0.25">
      <c r="A61" s="2" t="s">
        <v>63</v>
      </c>
      <c r="B61" s="3">
        <v>882103</v>
      </c>
      <c r="C61" s="3">
        <v>221862</v>
      </c>
      <c r="D61" s="3">
        <v>239290</v>
      </c>
      <c r="G61" s="5">
        <f ca="1"/>
        <v>44377</v>
      </c>
      <c r="H61" s="7">
        <f ca="1"/>
        <v>882103</v>
      </c>
      <c r="I61" s="7">
        <f ca="1"/>
        <v>221862</v>
      </c>
      <c r="J61" s="7">
        <f ca="1"/>
        <v>239290</v>
      </c>
      <c r="K61" s="7">
        <f ca="1"/>
        <v>461152</v>
      </c>
      <c r="L61" s="7">
        <f ca="1"/>
        <v>20442300</v>
      </c>
      <c r="M61" s="8">
        <f ca="1"/>
        <v>4.3150868542189483E-2</v>
      </c>
      <c r="N61" s="7">
        <f ca="1"/>
        <v>982000</v>
      </c>
      <c r="O61" s="11">
        <f ca="1"/>
        <v>461152</v>
      </c>
      <c r="P61" s="10">
        <f ca="1"/>
        <v>4.8037647427148611E-2</v>
      </c>
      <c r="Q61" s="10">
        <f ca="1"/>
        <v>2.2558714039026921E-2</v>
      </c>
      <c r="R61" s="10">
        <f ca="1"/>
        <v>6.5709582581216397E-2</v>
      </c>
      <c r="T61" s="10">
        <f ca="1"/>
        <v>-4.3790575916230257E-2</v>
      </c>
      <c r="U61" s="10">
        <f ca="1"/>
        <v>1.4544874016029219E-2</v>
      </c>
      <c r="V61" s="10">
        <f ca="1"/>
        <v>-2.27295019925422E-2</v>
      </c>
      <c r="W61" s="10">
        <f ca="1"/>
        <v>0.21100396383032777</v>
      </c>
      <c r="AK61" s="10">
        <f ca="1"/>
        <v>5.9483337656032829E-2</v>
      </c>
      <c r="AL61" s="10">
        <f ca="1"/>
        <v>0.44369343644389514</v>
      </c>
      <c r="AM61" s="10">
        <f ca="1"/>
        <v>3.6969721152631196E-2</v>
      </c>
      <c r="AN61" s="10">
        <f ca="1"/>
        <v>0.44369343644389514</v>
      </c>
      <c r="AO61" s="10">
        <f ca="1"/>
        <v>2.2513616503401633E-2</v>
      </c>
      <c r="AP61" s="10">
        <f ca="1"/>
        <v>0.44369343644389514</v>
      </c>
    </row>
    <row r="62" spans="1:42" x14ac:dyDescent="0.25">
      <c r="A62" s="2" t="s">
        <v>64</v>
      </c>
      <c r="B62" s="3">
        <v>861626</v>
      </c>
      <c r="C62" s="3">
        <v>213356</v>
      </c>
      <c r="D62" s="3">
        <v>234992</v>
      </c>
      <c r="G62" s="5">
        <f ca="1"/>
        <v>44347</v>
      </c>
      <c r="H62" s="7">
        <f ca="1"/>
        <v>861626</v>
      </c>
      <c r="I62" s="7">
        <f ca="1"/>
        <v>213356</v>
      </c>
      <c r="J62" s="7">
        <f ca="1"/>
        <v>234992</v>
      </c>
      <c r="K62" s="7">
        <f ca="1"/>
        <v>448348</v>
      </c>
      <c r="L62" s="7">
        <f ca="1"/>
        <v>20325500</v>
      </c>
      <c r="M62" s="8">
        <f ca="1"/>
        <v>4.2391380285847824E-2</v>
      </c>
      <c r="N62" s="7">
        <f ca="1"/>
        <v>988700</v>
      </c>
      <c r="O62" s="11">
        <f ca="1"/>
        <v>448348</v>
      </c>
      <c r="P62" s="10">
        <f ca="1"/>
        <v>4.8643329807384811E-2</v>
      </c>
      <c r="Q62" s="10">
        <f ca="1"/>
        <v>2.205839954736661E-2</v>
      </c>
      <c r="R62" s="10">
        <f ca="1"/>
        <v>6.4449779833214427E-2</v>
      </c>
      <c r="T62" s="10">
        <f ca="1"/>
        <v>-5.56503041071712E-2</v>
      </c>
      <c r="U62" s="10">
        <f ca="1"/>
        <v>4.4541448674163098E-2</v>
      </c>
      <c r="V62" s="10">
        <f ca="1"/>
        <v>7.221847048565877E-3</v>
      </c>
      <c r="W62" s="10">
        <f ca="1"/>
        <v>0.21980579322973864</v>
      </c>
      <c r="AK62" s="10">
        <f ca="1"/>
        <v>5.9013664164023504E-2</v>
      </c>
      <c r="AL62" s="10">
        <f ca="1"/>
        <v>0.43658549920381606</v>
      </c>
      <c r="AM62" s="10">
        <f ca="1"/>
        <v>3.7800216806520258E-2</v>
      </c>
      <c r="AN62" s="10">
        <f ca="1"/>
        <v>0.43658549920381606</v>
      </c>
      <c r="AO62" s="10">
        <f ca="1"/>
        <v>2.1213447357503246E-2</v>
      </c>
      <c r="AP62" s="10">
        <f ca="1"/>
        <v>0.43658549920381606</v>
      </c>
    </row>
    <row r="63" spans="1:42" x14ac:dyDescent="0.25">
      <c r="A63" s="2" t="s">
        <v>65</v>
      </c>
      <c r="B63" s="3">
        <v>847186</v>
      </c>
      <c r="C63" s="3">
        <v>218132</v>
      </c>
      <c r="D63" s="3">
        <v>233145</v>
      </c>
      <c r="G63" s="5">
        <f ca="1"/>
        <v>44316</v>
      </c>
      <c r="H63" s="7">
        <f ca="1"/>
        <v>847186</v>
      </c>
      <c r="I63" s="7">
        <f ca="1"/>
        <v>218132</v>
      </c>
      <c r="J63" s="7">
        <f ca="1"/>
        <v>233145</v>
      </c>
      <c r="K63" s="7">
        <f ca="1"/>
        <v>451277</v>
      </c>
      <c r="L63" s="7">
        <f ca="1"/>
        <v>20279000</v>
      </c>
      <c r="M63" s="8">
        <f ca="1"/>
        <v>4.1776517579762314E-2</v>
      </c>
      <c r="N63" s="7">
        <f ca="1"/>
        <v>1012500</v>
      </c>
      <c r="O63" s="11">
        <f ca="1"/>
        <v>451277</v>
      </c>
      <c r="P63" s="10">
        <f ca="1"/>
        <v>4.9928497460427046E-2</v>
      </c>
      <c r="Q63" s="10">
        <f ca="1"/>
        <v>2.2253414862665813E-2</v>
      </c>
      <c r="R63" s="10">
        <f ca="1"/>
        <v>6.4029932442428134E-2</v>
      </c>
      <c r="T63" s="10">
        <f ca="1"/>
        <v>-2.5009746075859152E-2</v>
      </c>
      <c r="U63" s="10">
        <f ca="1"/>
        <v>5.4538238745241774E-2</v>
      </c>
      <c r="V63" s="10">
        <f ca="1"/>
        <v>3.1469710486289326E-2</v>
      </c>
      <c r="W63" s="10">
        <f ca="1"/>
        <v>0.21637496809045542</v>
      </c>
    </row>
    <row r="64" spans="1:42" x14ac:dyDescent="0.25">
      <c r="A64" s="2" t="s">
        <v>66</v>
      </c>
      <c r="B64" s="3">
        <v>822551</v>
      </c>
      <c r="C64" s="3">
        <v>219522</v>
      </c>
      <c r="D64" s="3">
        <v>237154</v>
      </c>
      <c r="G64" s="5">
        <f ca="1"/>
        <v>44286</v>
      </c>
      <c r="H64" s="7">
        <f ca="1"/>
        <v>822551</v>
      </c>
      <c r="I64" s="7">
        <f ca="1"/>
        <v>219522</v>
      </c>
      <c r="J64" s="7">
        <f ca="1"/>
        <v>237154</v>
      </c>
      <c r="K64" s="7">
        <f ca="1"/>
        <v>456676</v>
      </c>
      <c r="L64" s="7">
        <f ca="1"/>
        <v>19961400</v>
      </c>
      <c r="M64" s="8">
        <f ca="1"/>
        <v>4.1207079663751041E-2</v>
      </c>
      <c r="N64" s="7">
        <f ca="1"/>
        <v>1038000</v>
      </c>
      <c r="O64" s="11">
        <f ca="1"/>
        <v>456676</v>
      </c>
      <c r="P64" s="10">
        <f ca="1"/>
        <v>5.2000360696143555E-2</v>
      </c>
      <c r="Q64" s="10">
        <f ca="1"/>
        <v>2.2877954452092539E-2</v>
      </c>
      <c r="R64" s="10">
        <f ca="1"/>
        <v>6.4085034115843584E-2</v>
      </c>
      <c r="T64" s="10">
        <f ca="1"/>
        <v>-3.3575054934820714E-2</v>
      </c>
      <c r="U64" s="10">
        <f ca="1"/>
        <v>5.3226238542816384E-2</v>
      </c>
      <c r="V64" s="10">
        <f ca="1"/>
        <v>5.3926191725180761E-2</v>
      </c>
      <c r="W64" s="10">
        <f ca="1"/>
        <v>0.20538769706204707</v>
      </c>
    </row>
    <row r="65" spans="1:23" x14ac:dyDescent="0.25">
      <c r="A65" s="2" t="s">
        <v>67</v>
      </c>
      <c r="B65" s="3">
        <v>813680</v>
      </c>
      <c r="C65" s="3">
        <v>220840</v>
      </c>
      <c r="D65" s="3">
        <v>240481</v>
      </c>
      <c r="G65" s="5">
        <f ca="1"/>
        <v>44255</v>
      </c>
      <c r="H65" s="7">
        <f ca="1"/>
        <v>813680</v>
      </c>
      <c r="I65" s="7">
        <f ca="1"/>
        <v>220840</v>
      </c>
      <c r="J65" s="7">
        <f ca="1"/>
        <v>240481</v>
      </c>
      <c r="K65" s="7">
        <f ca="1"/>
        <v>461321</v>
      </c>
      <c r="L65" s="7">
        <f ca="1"/>
        <v>19545300</v>
      </c>
      <c r="M65" s="8">
        <f ca="1"/>
        <v>4.1630468706031626E-2</v>
      </c>
      <c r="N65" s="7">
        <f ca="1"/>
        <v>1061100</v>
      </c>
      <c r="O65" s="11">
        <f ca="1"/>
        <v>461321</v>
      </c>
      <c r="P65" s="10">
        <f ca="1"/>
        <v>5.4289266473269787E-2</v>
      </c>
      <c r="Q65" s="10">
        <f ca="1"/>
        <v>2.3602656393097061E-2</v>
      </c>
      <c r="R65" s="10">
        <f ca="1"/>
        <v>6.523312509912868E-2</v>
      </c>
      <c r="T65" s="10">
        <f ca="1"/>
        <v>7.0571874631016884E-2</v>
      </c>
      <c r="U65" s="10">
        <f ca="1"/>
        <v>2.5889580523089872E-2</v>
      </c>
      <c r="V65" s="10">
        <f ca="1"/>
        <v>3.7229326593112733E-2</v>
      </c>
      <c r="W65" s="10">
        <f ca="1"/>
        <v>0.19263831051324692</v>
      </c>
    </row>
    <row r="66" spans="1:23" x14ac:dyDescent="0.25">
      <c r="A66" s="2" t="s">
        <v>68</v>
      </c>
      <c r="B66" s="3">
        <v>798605</v>
      </c>
      <c r="C66" s="3">
        <v>224133</v>
      </c>
      <c r="D66" s="3">
        <v>241220</v>
      </c>
      <c r="G66" s="5">
        <f ca="1"/>
        <v>44227</v>
      </c>
      <c r="H66" s="7">
        <f ca="1"/>
        <v>798605</v>
      </c>
      <c r="I66" s="7">
        <f ca="1"/>
        <v>224133</v>
      </c>
      <c r="J66" s="7">
        <f ca="1"/>
        <v>241220</v>
      </c>
      <c r="K66" s="7">
        <f ca="1"/>
        <v>465353</v>
      </c>
      <c r="L66" s="7">
        <f ca="1"/>
        <v>19400300</v>
      </c>
      <c r="M66" s="8">
        <f ca="1"/>
        <v>4.116456962005742E-2</v>
      </c>
      <c r="N66" s="7">
        <f ca="1"/>
        <v>1069700</v>
      </c>
      <c r="O66" s="11">
        <f ca="1"/>
        <v>465353</v>
      </c>
      <c r="P66" s="10">
        <f ca="1"/>
        <v>5.513832260325871E-2</v>
      </c>
      <c r="Q66" s="10">
        <f ca="1"/>
        <v>2.3986897109838506E-2</v>
      </c>
      <c r="R66" s="10">
        <f ca="1"/>
        <v>6.5151466729895927E-2</v>
      </c>
      <c r="T66" s="10">
        <f ca="1"/>
        <v>4.2468984233652085E-2</v>
      </c>
      <c r="U66" s="10">
        <f ca="1"/>
        <v>2.783390980244449E-2</v>
      </c>
      <c r="V66" s="10">
        <f ca="1"/>
        <v>5.5602627332695498E-2</v>
      </c>
      <c r="W66" s="10">
        <f ca="1"/>
        <v>0.18587851983470344</v>
      </c>
    </row>
    <row r="67" spans="1:23" x14ac:dyDescent="0.25">
      <c r="A67" s="2" t="s">
        <v>69</v>
      </c>
      <c r="B67" s="3">
        <v>778037</v>
      </c>
      <c r="C67" s="3">
        <v>224987</v>
      </c>
      <c r="D67" s="3">
        <v>227127</v>
      </c>
      <c r="G67" s="5">
        <f ca="1"/>
        <v>44196</v>
      </c>
      <c r="H67" s="7">
        <f ca="1"/>
        <v>778037</v>
      </c>
      <c r="I67" s="7">
        <f ca="1"/>
        <v>224987</v>
      </c>
      <c r="J67" s="7">
        <f ca="1"/>
        <v>227127</v>
      </c>
      <c r="K67" s="7">
        <f ca="1"/>
        <v>452114</v>
      </c>
      <c r="L67" s="7">
        <f ca="1"/>
        <v>19279300</v>
      </c>
      <c r="M67" s="8">
        <f ca="1"/>
        <v>4.035608139299663E-2</v>
      </c>
      <c r="N67" s="7">
        <f ca="1"/>
        <v>1061900</v>
      </c>
      <c r="O67" s="11">
        <f ca="1"/>
        <v>452114</v>
      </c>
      <c r="P67" s="10">
        <f ca="1"/>
        <v>5.5079800615167561E-2</v>
      </c>
      <c r="Q67" s="10">
        <f ca="1"/>
        <v>2.3450747693121637E-2</v>
      </c>
      <c r="R67" s="10">
        <f ca="1"/>
        <v>6.3806829086118261E-2</v>
      </c>
      <c r="T67" s="10">
        <f ca="1"/>
        <v>-4.5379878436770382E-2</v>
      </c>
      <c r="U67" s="10">
        <f ca="1"/>
        <v>5.9850448529387146E-2</v>
      </c>
      <c r="V67" s="10">
        <f ca="1"/>
        <v>8.7486350197570006E-2</v>
      </c>
      <c r="W67" s="10">
        <f ca="1"/>
        <v>0.19531077849839928</v>
      </c>
    </row>
    <row r="68" spans="1:23" x14ac:dyDescent="0.25">
      <c r="A68" s="2" t="s">
        <v>70</v>
      </c>
      <c r="B68" s="3">
        <v>722118</v>
      </c>
      <c r="C68" s="3">
        <v>200723</v>
      </c>
      <c r="D68" s="3">
        <v>221567</v>
      </c>
      <c r="G68" s="5">
        <f ca="1"/>
        <v>44165</v>
      </c>
      <c r="H68" s="7">
        <f ca="1"/>
        <v>722118</v>
      </c>
      <c r="I68" s="7">
        <f ca="1"/>
        <v>200723</v>
      </c>
      <c r="J68" s="7">
        <f ca="1"/>
        <v>221567</v>
      </c>
      <c r="K68" s="7">
        <f ca="1"/>
        <v>422290</v>
      </c>
      <c r="L68" s="7">
        <f ca="1"/>
        <v>19015400</v>
      </c>
      <c r="M68" s="8">
        <f ca="1"/>
        <v>3.7975430440590256E-2</v>
      </c>
      <c r="N68" s="7">
        <f ca="1"/>
        <v>1070800</v>
      </c>
      <c r="O68" s="11">
        <f ca="1"/>
        <v>422290</v>
      </c>
      <c r="P68" s="10">
        <f ca="1"/>
        <v>5.6312252174553254E-2</v>
      </c>
      <c r="Q68" s="10">
        <f ca="1"/>
        <v>2.2207789475898482E-2</v>
      </c>
      <c r="R68" s="10">
        <f ca="1"/>
        <v>6.0183219916488742E-2</v>
      </c>
      <c r="T68" s="10">
        <f ca="1"/>
        <v>9.2049712422306973E-2</v>
      </c>
      <c r="U68" s="10">
        <f ca="1"/>
        <v>0.14613051353248396</v>
      </c>
      <c r="V68" s="10">
        <f ca="1"/>
        <v>0.18137023454362811</v>
      </c>
      <c r="W68" s="10">
        <f ca="1"/>
        <v>0.21717763696633685</v>
      </c>
    </row>
    <row r="69" spans="1:23" x14ac:dyDescent="0.25">
      <c r="A69" s="2" t="s">
        <v>71</v>
      </c>
      <c r="B69" s="3">
        <v>659313</v>
      </c>
      <c r="C69" s="3">
        <v>193293</v>
      </c>
      <c r="D69" s="3">
        <v>217739</v>
      </c>
      <c r="G69" s="5">
        <f ca="1"/>
        <v>44135</v>
      </c>
      <c r="H69" s="7">
        <f ca="1"/>
        <v>659313</v>
      </c>
      <c r="I69" s="7">
        <f ca="1"/>
        <v>193293</v>
      </c>
      <c r="J69" s="7">
        <f ca="1"/>
        <v>217739</v>
      </c>
      <c r="K69" s="7">
        <f ca="1"/>
        <v>411032</v>
      </c>
      <c r="L69" s="7">
        <f ca="1"/>
        <v>18728000</v>
      </c>
      <c r="M69" s="8">
        <f ca="1"/>
        <v>3.5204666809055957E-2</v>
      </c>
      <c r="N69" s="7">
        <f ca="1"/>
        <v>1069200</v>
      </c>
      <c r="O69" s="11">
        <f ca="1"/>
        <v>411032</v>
      </c>
      <c r="P69" s="10">
        <f ca="1"/>
        <v>5.7090986757795815E-2</v>
      </c>
      <c r="Q69" s="10">
        <f ca="1"/>
        <v>2.1947458351131995E-2</v>
      </c>
      <c r="R69" s="10">
        <f ca="1"/>
        <v>5.7152125160187951E-2</v>
      </c>
      <c r="T69" s="10">
        <f ca="1"/>
        <v>0.26310107768902369</v>
      </c>
      <c r="U69" s="10">
        <f ca="1"/>
        <v>0.21830249466005047</v>
      </c>
      <c r="V69" s="10">
        <f ca="1"/>
        <v>0.2906386899088671</v>
      </c>
      <c r="W69" s="10">
        <f ca="1"/>
        <v>0.22175753658097191</v>
      </c>
    </row>
    <row r="70" spans="1:23" x14ac:dyDescent="0.25">
      <c r="A70" s="2" t="s">
        <v>72</v>
      </c>
      <c r="B70" s="3">
        <v>654324</v>
      </c>
      <c r="C70" s="3">
        <v>189462</v>
      </c>
      <c r="D70" s="3">
        <v>211547</v>
      </c>
      <c r="G70" s="5">
        <f ca="1"/>
        <v>44104</v>
      </c>
      <c r="H70" s="7">
        <f ca="1"/>
        <v>654324</v>
      </c>
      <c r="I70" s="7">
        <f ca="1"/>
        <v>189462</v>
      </c>
      <c r="J70" s="7">
        <f ca="1"/>
        <v>211547</v>
      </c>
      <c r="K70" s="7">
        <f ca="1"/>
        <v>401009</v>
      </c>
      <c r="L70" s="7">
        <f ca="1"/>
        <v>18585200</v>
      </c>
      <c r="M70" s="8">
        <f ca="1"/>
        <v>3.5206723629554702E-2</v>
      </c>
      <c r="N70" s="7">
        <f ca="1"/>
        <v>1064000</v>
      </c>
      <c r="O70" s="11">
        <f ca="1"/>
        <v>401009</v>
      </c>
      <c r="P70" s="10">
        <f ca="1"/>
        <v>5.7249854723113017E-2</v>
      </c>
      <c r="Q70" s="10">
        <f ca="1"/>
        <v>2.1576792286335363E-2</v>
      </c>
      <c r="R70" s="10">
        <f ca="1"/>
        <v>5.6783515915890065E-2</v>
      </c>
      <c r="T70" s="10">
        <f ca="1"/>
        <v>0.12559619387451693</v>
      </c>
      <c r="U70" s="10">
        <f ca="1"/>
        <v>0.22707927716333987</v>
      </c>
      <c r="V70" s="10">
        <f ca="1"/>
        <v>0.29055757667484605</v>
      </c>
      <c r="W70" s="10">
        <f ca="1"/>
        <v>0.22827851392796839</v>
      </c>
    </row>
    <row r="71" spans="1:23" x14ac:dyDescent="0.25">
      <c r="A71" s="2" t="s">
        <v>73</v>
      </c>
      <c r="B71" s="3">
        <v>645547</v>
      </c>
      <c r="C71" s="3">
        <v>185113</v>
      </c>
      <c r="D71" s="3">
        <v>215042</v>
      </c>
      <c r="G71" s="5">
        <f ca="1"/>
        <v>44074</v>
      </c>
      <c r="H71" s="7">
        <f ca="1"/>
        <v>645547</v>
      </c>
      <c r="I71" s="7">
        <f ca="1"/>
        <v>185113</v>
      </c>
      <c r="J71" s="7">
        <f ca="1"/>
        <v>215042</v>
      </c>
      <c r="K71" s="7">
        <f ca="1"/>
        <v>400155</v>
      </c>
      <c r="L71" s="7">
        <f ca="1"/>
        <v>18363900</v>
      </c>
      <c r="M71" s="8">
        <f ca="1"/>
        <v>3.5153044832524682E-2</v>
      </c>
      <c r="N71" s="7">
        <f ca="1"/>
        <v>1080100</v>
      </c>
      <c r="O71" s="11">
        <f ca="1"/>
        <v>400155</v>
      </c>
      <c r="P71" s="10">
        <f ca="1"/>
        <v>5.8816482337629809E-2</v>
      </c>
      <c r="Q71" s="10">
        <f ca="1"/>
        <v>2.1790305980755723E-2</v>
      </c>
      <c r="R71" s="10">
        <f ca="1"/>
        <v>5.6943350813280405E-2</v>
      </c>
      <c r="T71" s="10">
        <f ca="1"/>
        <v>0.1805097262813864</v>
      </c>
      <c r="U71" s="10">
        <f ca="1"/>
        <v>0.22327352309576987</v>
      </c>
      <c r="V71" s="10">
        <f ca="1"/>
        <v>0.29267446574130407</v>
      </c>
      <c r="W71" s="10">
        <f ca="1"/>
        <v>0.22452225432715328</v>
      </c>
    </row>
    <row r="72" spans="1:23" x14ac:dyDescent="0.25">
      <c r="A72" s="2" t="s">
        <v>74</v>
      </c>
      <c r="B72" s="3">
        <v>613830</v>
      </c>
      <c r="C72" s="3">
        <v>181420</v>
      </c>
      <c r="D72" s="3">
        <v>223768</v>
      </c>
      <c r="G72" s="5">
        <f ca="1"/>
        <v>44043</v>
      </c>
      <c r="H72" s="7">
        <f ca="1"/>
        <v>613830</v>
      </c>
      <c r="I72" s="7">
        <f ca="1"/>
        <v>181420</v>
      </c>
      <c r="J72" s="7">
        <f ca="1"/>
        <v>223768</v>
      </c>
      <c r="K72" s="7">
        <f ca="1"/>
        <v>405188</v>
      </c>
      <c r="L72" s="7">
        <f ca="1"/>
        <v>18298300</v>
      </c>
      <c r="M72" s="8">
        <f ca="1"/>
        <v>3.3545739221676328E-2</v>
      </c>
      <c r="N72" s="7">
        <f ca="1"/>
        <v>1096200</v>
      </c>
      <c r="O72" s="11">
        <f ca="1"/>
        <v>405188</v>
      </c>
      <c r="P72" s="10">
        <f ca="1"/>
        <v>5.9907204494406584E-2</v>
      </c>
      <c r="Q72" s="10">
        <f ca="1"/>
        <v>2.2143477809413989E-2</v>
      </c>
      <c r="R72" s="10">
        <f ca="1"/>
        <v>5.5689217031090317E-2</v>
      </c>
      <c r="T72" s="10">
        <f ca="1"/>
        <v>0.26315451588446792</v>
      </c>
      <c r="U72" s="10">
        <f ca="1"/>
        <v>0.25313511665747379</v>
      </c>
      <c r="V72" s="10">
        <f ca="1"/>
        <v>0.35606052992896942</v>
      </c>
      <c r="W72" s="10">
        <f ca="1"/>
        <v>0.21830904596252609</v>
      </c>
    </row>
    <row r="73" spans="1:23" x14ac:dyDescent="0.25">
      <c r="A73" s="2" t="s">
        <v>75</v>
      </c>
      <c r="B73" s="3">
        <v>584676</v>
      </c>
      <c r="C73" s="3">
        <v>185497</v>
      </c>
      <c r="D73" s="3">
        <v>229078</v>
      </c>
      <c r="G73" s="5">
        <f ca="1"/>
        <v>44012</v>
      </c>
      <c r="H73" s="7">
        <f ca="1"/>
        <v>584676</v>
      </c>
      <c r="I73" s="7">
        <f ca="1"/>
        <v>185497</v>
      </c>
      <c r="J73" s="7">
        <f ca="1"/>
        <v>229078</v>
      </c>
      <c r="K73" s="7">
        <f ca="1"/>
        <v>414575</v>
      </c>
      <c r="L73" s="7">
        <f ca="1"/>
        <v>18150000</v>
      </c>
      <c r="M73" s="8">
        <f ca="1"/>
        <v>3.2213553719008262E-2</v>
      </c>
      <c r="N73" s="7">
        <f ca="1"/>
        <v>1121400</v>
      </c>
      <c r="O73" s="11">
        <f ca="1"/>
        <v>414575</v>
      </c>
      <c r="P73" s="10">
        <f ca="1"/>
        <v>6.1785123966942149E-2</v>
      </c>
      <c r="Q73" s="10">
        <f ca="1"/>
        <v>2.284159779614325E-2</v>
      </c>
      <c r="R73" s="10">
        <f ca="1"/>
        <v>5.5055151515151515E-2</v>
      </c>
      <c r="T73" s="10">
        <f ca="1"/>
        <v>0.46128587970802726</v>
      </c>
      <c r="U73" s="10">
        <f ca="1"/>
        <v>0.26823255442475258</v>
      </c>
      <c r="V73" s="10">
        <f ca="1"/>
        <v>0.4085968958895323</v>
      </c>
      <c r="W73" s="10">
        <f ca="1"/>
        <v>0.20602730492576649</v>
      </c>
    </row>
    <row r="74" spans="1:23" x14ac:dyDescent="0.25">
      <c r="A74" s="2" t="s">
        <v>76</v>
      </c>
      <c r="B74" s="3">
        <v>552543</v>
      </c>
      <c r="C74" s="3">
        <v>175794</v>
      </c>
      <c r="D74" s="3">
        <v>210935</v>
      </c>
      <c r="G74" s="5">
        <f ca="1"/>
        <v>43982</v>
      </c>
      <c r="H74" s="7">
        <f ca="1"/>
        <v>552543</v>
      </c>
      <c r="I74" s="7">
        <f ca="1"/>
        <v>175794</v>
      </c>
      <c r="J74" s="7">
        <f ca="1"/>
        <v>210935</v>
      </c>
      <c r="K74" s="7">
        <f ca="1"/>
        <v>386729</v>
      </c>
      <c r="L74" s="7">
        <f ca="1"/>
        <v>17812800</v>
      </c>
      <c r="M74" s="8">
        <f ca="1"/>
        <v>3.1019435462139585E-2</v>
      </c>
      <c r="N74" s="7">
        <f ca="1"/>
        <v>1141700</v>
      </c>
      <c r="O74" s="11">
        <f ca="1"/>
        <v>386729</v>
      </c>
      <c r="P74" s="10">
        <f ca="1"/>
        <v>6.409435911254828E-2</v>
      </c>
      <c r="Q74" s="10">
        <f ca="1"/>
        <v>2.1710736099883231E-2</v>
      </c>
      <c r="R74" s="10">
        <f ca="1"/>
        <v>5.2730171562022816E-2</v>
      </c>
      <c r="T74" s="10">
        <f ca="1"/>
        <v>0.43675906855740698</v>
      </c>
      <c r="U74" s="10">
        <f ca="1"/>
        <v>0.32359156586785209</v>
      </c>
      <c r="V74" s="10">
        <f ca="1"/>
        <v>0.45568841101066138</v>
      </c>
      <c r="W74" s="10">
        <f ca="1"/>
        <v>0.22592209488433351</v>
      </c>
    </row>
    <row r="75" spans="1:23" x14ac:dyDescent="0.25">
      <c r="A75" s="2" t="s">
        <v>77</v>
      </c>
      <c r="B75" s="3">
        <v>524696</v>
      </c>
      <c r="C75" s="3">
        <v>180942</v>
      </c>
      <c r="D75" s="3">
        <v>217187</v>
      </c>
      <c r="G75" s="5">
        <f ca="1"/>
        <v>43951</v>
      </c>
      <c r="H75" s="7">
        <f ca="1"/>
        <v>524696</v>
      </c>
      <c r="I75" s="7">
        <f ca="1"/>
        <v>180942</v>
      </c>
      <c r="J75" s="7">
        <f ca="1"/>
        <v>217187</v>
      </c>
      <c r="K75" s="7">
        <f ca="1"/>
        <v>398129</v>
      </c>
      <c r="L75" s="7">
        <f ca="1"/>
        <v>17146500</v>
      </c>
      <c r="M75" s="8">
        <f ca="1"/>
        <v>3.0600764004315748E-2</v>
      </c>
      <c r="N75" s="7">
        <f ca="1"/>
        <v>1113500</v>
      </c>
      <c r="O75" s="11">
        <f ca="1"/>
        <v>398129</v>
      </c>
      <c r="P75" s="10">
        <f ca="1"/>
        <v>6.4940366838713445E-2</v>
      </c>
      <c r="Q75" s="10">
        <f ca="1"/>
        <v>2.3219257574432099E-2</v>
      </c>
      <c r="R75" s="10">
        <f ca="1"/>
        <v>5.3820021578747851E-2</v>
      </c>
      <c r="T75" s="10">
        <f ca="1"/>
        <v>0.55044069728714518</v>
      </c>
      <c r="U75" s="10">
        <f ca="1"/>
        <v>0.29764165629295269</v>
      </c>
      <c r="V75" s="10">
        <f ca="1"/>
        <v>0.4721992324251143</v>
      </c>
      <c r="W75" s="10">
        <f ca="1"/>
        <v>0.1993832900212878</v>
      </c>
    </row>
    <row r="76" spans="1:23" x14ac:dyDescent="0.25">
      <c r="A76" s="2" t="s">
        <v>78</v>
      </c>
      <c r="B76" s="3">
        <v>479291</v>
      </c>
      <c r="C76" s="3">
        <v>191046</v>
      </c>
      <c r="D76" s="3">
        <v>226202</v>
      </c>
      <c r="G76" s="5">
        <f ca="1"/>
        <v>43921</v>
      </c>
      <c r="H76" s="7">
        <f ca="1"/>
        <v>479291</v>
      </c>
      <c r="I76" s="7">
        <f ca="1"/>
        <v>191046</v>
      </c>
      <c r="J76" s="7">
        <f ca="1"/>
        <v>226202</v>
      </c>
      <c r="K76" s="7">
        <f ca="1"/>
        <v>417248</v>
      </c>
      <c r="L76" s="7">
        <f ca="1"/>
        <v>16102600</v>
      </c>
      <c r="M76" s="8">
        <f ca="1"/>
        <v>2.9764820587979583E-2</v>
      </c>
      <c r="N76" s="7">
        <f ca="1"/>
        <v>1083500</v>
      </c>
      <c r="O76" s="11">
        <f ca="1"/>
        <v>417248</v>
      </c>
      <c r="P76" s="10">
        <f ca="1"/>
        <v>6.7287270378696612E-2</v>
      </c>
      <c r="Q76" s="10">
        <f ca="1"/>
        <v>2.5911840323922845E-2</v>
      </c>
      <c r="R76" s="10">
        <f ca="1"/>
        <v>5.5676660911902431E-2</v>
      </c>
      <c r="T76" s="10">
        <f ca="1"/>
        <v>0.8440758495544749</v>
      </c>
      <c r="U76" s="10">
        <f ca="1"/>
        <v>0.25343408454529048</v>
      </c>
      <c r="V76" s="10">
        <f ca="1"/>
        <v>0.50516568428561204</v>
      </c>
      <c r="W76" s="10">
        <f ca="1"/>
        <v>0.15201377664547844</v>
      </c>
    </row>
    <row r="77" spans="1:23" x14ac:dyDescent="0.25">
      <c r="A77" s="2" t="s">
        <v>79</v>
      </c>
      <c r="B77" s="3">
        <v>545127</v>
      </c>
      <c r="C77" s="3">
        <v>163001</v>
      </c>
      <c r="D77" s="3">
        <v>197716</v>
      </c>
      <c r="G77" s="5">
        <f ca="1"/>
        <v>43890</v>
      </c>
      <c r="H77" s="7">
        <f ca="1"/>
        <v>545127</v>
      </c>
      <c r="I77" s="7">
        <f ca="1"/>
        <v>163001</v>
      </c>
      <c r="J77" s="7">
        <f ca="1"/>
        <v>197716</v>
      </c>
      <c r="K77" s="7">
        <f ca="1"/>
        <v>360717</v>
      </c>
      <c r="L77" s="7">
        <f ca="1"/>
        <v>15433700</v>
      </c>
      <c r="M77" s="8">
        <f ca="1"/>
        <v>3.5320564738202762E-2</v>
      </c>
      <c r="N77" s="7">
        <f ca="1"/>
        <v>1007100</v>
      </c>
      <c r="O77" s="11">
        <f ca="1"/>
        <v>360717</v>
      </c>
      <c r="P77" s="10">
        <f ca="1"/>
        <v>6.5253309316625305E-2</v>
      </c>
      <c r="Q77" s="10">
        <f ca="1"/>
        <v>2.3372036517490945E-2</v>
      </c>
      <c r="R77" s="10">
        <f ca="1"/>
        <v>5.8692601255693706E-2</v>
      </c>
      <c r="T77" s="10">
        <f ca="1"/>
        <v>0.54592413564324938</v>
      </c>
      <c r="U77" s="10">
        <f ca="1"/>
        <v>0.1816229380539105</v>
      </c>
      <c r="V77" s="10">
        <f ca="1"/>
        <v>0.28606811320799985</v>
      </c>
      <c r="W77" s="10">
        <f ca="1"/>
        <v>0.19669551220345216</v>
      </c>
    </row>
    <row r="78" spans="1:23" x14ac:dyDescent="0.25">
      <c r="A78" s="2" t="s">
        <v>80</v>
      </c>
      <c r="B78" s="3">
        <v>561812</v>
      </c>
      <c r="C78" s="3">
        <v>152854</v>
      </c>
      <c r="D78" s="3">
        <v>186847</v>
      </c>
      <c r="G78" s="5">
        <f ca="1"/>
        <v>43861</v>
      </c>
      <c r="H78" s="7">
        <f ca="1"/>
        <v>561812</v>
      </c>
      <c r="I78" s="7">
        <f ca="1"/>
        <v>152854</v>
      </c>
      <c r="J78" s="7">
        <f ca="1"/>
        <v>186847</v>
      </c>
      <c r="K78" s="7">
        <f ca="1"/>
        <v>339701</v>
      </c>
      <c r="L78" s="7">
        <f ca="1"/>
        <v>15444700</v>
      </c>
      <c r="M78" s="8">
        <f ca="1"/>
        <v>3.6375714646448294E-2</v>
      </c>
      <c r="N78" s="7">
        <f ca="1"/>
        <v>1011500</v>
      </c>
      <c r="O78" s="11">
        <f ca="1"/>
        <v>339701</v>
      </c>
      <c r="P78" s="10">
        <f ca="1"/>
        <v>6.5491722079418835E-2</v>
      </c>
      <c r="Q78" s="10">
        <f ca="1"/>
        <v>2.1994664836481125E-2</v>
      </c>
      <c r="R78" s="10">
        <f ca="1"/>
        <v>5.8370379482929419E-2</v>
      </c>
      <c r="T78" s="10">
        <f ca="1"/>
        <v>0.4277945881594285</v>
      </c>
      <c r="U78" s="10">
        <f ca="1"/>
        <v>0.18929521014454509</v>
      </c>
      <c r="V78" s="10">
        <f ca="1"/>
        <v>0.24445698501915492</v>
      </c>
      <c r="W78" s="10">
        <f ca="1"/>
        <v>0.22092705208069296</v>
      </c>
    </row>
    <row r="79" spans="1:23" x14ac:dyDescent="0.25">
      <c r="A79" s="2" t="s">
        <v>81</v>
      </c>
      <c r="B79" s="3">
        <v>579221</v>
      </c>
      <c r="C79" s="3">
        <v>151543</v>
      </c>
      <c r="D79" s="3">
        <v>186315</v>
      </c>
      <c r="G79" s="5">
        <f ca="1"/>
        <v>43830</v>
      </c>
      <c r="H79" s="7">
        <f ca="1"/>
        <v>579221</v>
      </c>
      <c r="I79" s="7">
        <f ca="1"/>
        <v>151543</v>
      </c>
      <c r="J79" s="7">
        <f ca="1"/>
        <v>186315</v>
      </c>
      <c r="K79" s="7">
        <f ca="1"/>
        <v>337858</v>
      </c>
      <c r="L79" s="7">
        <f ca="1"/>
        <v>15459400</v>
      </c>
      <c r="M79" s="8">
        <f ca="1"/>
        <v>3.7467236762099433E-2</v>
      </c>
      <c r="N79" s="7">
        <f ca="1"/>
        <v>1008700</v>
      </c>
      <c r="O79" s="11">
        <f ca="1"/>
        <v>337858</v>
      </c>
      <c r="P79" s="10">
        <f ca="1"/>
        <v>6.5248327878184145E-2</v>
      </c>
      <c r="Q79" s="10">
        <f ca="1"/>
        <v>2.1854535104855299E-2</v>
      </c>
      <c r="R79" s="10">
        <f ca="1"/>
        <v>5.9321771866954733E-2</v>
      </c>
      <c r="T79" s="10">
        <f ca="1"/>
        <v>0.33328174620370299</v>
      </c>
      <c r="U79" s="10">
        <f ca="1"/>
        <v>0.16664205057503545</v>
      </c>
      <c r="V79" s="10">
        <f ca="1"/>
        <v>0.20141147430983719</v>
      </c>
      <c r="W79" s="10">
        <f ca="1"/>
        <v>0.22339229746557615</v>
      </c>
    </row>
    <row r="80" spans="1:23" x14ac:dyDescent="0.25">
      <c r="A80" s="2" t="s">
        <v>82</v>
      </c>
      <c r="B80" s="3">
        <v>563482</v>
      </c>
      <c r="C80" s="3">
        <v>146935</v>
      </c>
      <c r="D80" s="3">
        <v>186866</v>
      </c>
      <c r="G80" s="5">
        <f ca="1"/>
        <v>43799</v>
      </c>
      <c r="H80" s="7">
        <f ca="1"/>
        <v>563482</v>
      </c>
      <c r="I80" s="7">
        <f ca="1"/>
        <v>146935</v>
      </c>
      <c r="J80" s="7">
        <f ca="1"/>
        <v>186866</v>
      </c>
      <c r="K80" s="7">
        <f ca="1"/>
        <v>333801</v>
      </c>
      <c r="L80" s="7">
        <f ca="1"/>
        <v>15308100</v>
      </c>
      <c r="M80" s="8">
        <f ca="1"/>
        <v>3.6809401558651957E-2</v>
      </c>
      <c r="N80" s="7">
        <f ca="1"/>
        <v>992500</v>
      </c>
      <c r="O80" s="11">
        <f ca="1"/>
        <v>333801</v>
      </c>
      <c r="P80" s="10">
        <f ca="1"/>
        <v>6.4834956656933257E-2</v>
      </c>
      <c r="Q80" s="10">
        <f ca="1"/>
        <v>2.1805514727497206E-2</v>
      </c>
      <c r="R80" s="10">
        <f ca="1"/>
        <v>5.8614916286149163E-2</v>
      </c>
      <c r="T80" s="10">
        <f ca="1"/>
        <v>0.43989455520251641</v>
      </c>
      <c r="U80" s="10">
        <f ca="1"/>
        <v>0.1834726585696449</v>
      </c>
      <c r="V80" s="10">
        <f ca="1"/>
        <v>0.22735401078155348</v>
      </c>
      <c r="W80" s="10">
        <f ca="1"/>
        <v>0.22425469303035145</v>
      </c>
    </row>
    <row r="81" spans="1:23" x14ac:dyDescent="0.25">
      <c r="A81" s="2" t="s">
        <v>83</v>
      </c>
      <c r="B81" s="3">
        <v>554604</v>
      </c>
      <c r="C81" s="3">
        <v>145650</v>
      </c>
      <c r="D81" s="3">
        <v>183966</v>
      </c>
      <c r="G81" s="5">
        <f ca="1"/>
        <v>43769</v>
      </c>
      <c r="H81" s="7">
        <f ca="1"/>
        <v>554604</v>
      </c>
      <c r="I81" s="7">
        <f ca="1"/>
        <v>145650</v>
      </c>
      <c r="J81" s="7">
        <f ca="1"/>
        <v>183966</v>
      </c>
      <c r="K81" s="7">
        <f ca="1"/>
        <v>329616</v>
      </c>
      <c r="L81" s="7">
        <f ca="1"/>
        <v>15162100</v>
      </c>
      <c r="M81" s="8">
        <f ca="1"/>
        <v>3.6578310392359897E-2</v>
      </c>
      <c r="N81" s="7">
        <f ca="1"/>
        <v>986800</v>
      </c>
      <c r="O81" s="11">
        <f ca="1"/>
        <v>329616</v>
      </c>
      <c r="P81" s="10">
        <f ca="1"/>
        <v>6.5083332783717293E-2</v>
      </c>
      <c r="Q81" s="10">
        <f ca="1"/>
        <v>2.1739468807091367E-2</v>
      </c>
      <c r="R81" s="10">
        <f ca="1"/>
        <v>5.8317779199451261E-2</v>
      </c>
      <c r="T81" s="10">
        <f ca="1"/>
        <v>0.44697059481952639</v>
      </c>
      <c r="U81" s="10">
        <f ca="1"/>
        <v>0.19054765091981229</v>
      </c>
      <c r="V81" s="10">
        <f ca="1"/>
        <v>0.23646737379162808</v>
      </c>
      <c r="W81" s="10">
        <f ca="1"/>
        <v>0.22541661205054636</v>
      </c>
    </row>
    <row r="82" spans="1:23" x14ac:dyDescent="0.25">
      <c r="A82" s="2" t="s">
        <v>84</v>
      </c>
      <c r="B82" s="3">
        <v>555910</v>
      </c>
      <c r="C82" s="3">
        <v>150648</v>
      </c>
      <c r="D82" s="3">
        <v>187887</v>
      </c>
      <c r="G82" s="5">
        <f ca="1"/>
        <v>43738</v>
      </c>
      <c r="H82" s="7">
        <f ca="1"/>
        <v>555910</v>
      </c>
      <c r="I82" s="7">
        <f ca="1"/>
        <v>150648</v>
      </c>
      <c r="J82" s="7">
        <f ca="1"/>
        <v>187887</v>
      </c>
      <c r="K82" s="7">
        <f ca="1"/>
        <v>338535</v>
      </c>
      <c r="L82" s="7">
        <f ca="1"/>
        <v>15036900</v>
      </c>
      <c r="M82" s="8">
        <f ca="1"/>
        <v>3.6969721152631196E-2</v>
      </c>
      <c r="N82" s="7">
        <f ca="1"/>
        <v>959800</v>
      </c>
      <c r="O82" s="11">
        <f ca="1"/>
        <v>338535</v>
      </c>
      <c r="P82" s="10">
        <f ca="1"/>
        <v>6.3829645738150823E-2</v>
      </c>
      <c r="Q82" s="10">
        <f ca="1"/>
        <v>2.2513616503401633E-2</v>
      </c>
      <c r="R82" s="10">
        <f ca="1"/>
        <v>5.9483337656032829E-2</v>
      </c>
      <c r="T82" s="10">
        <f ca="1"/>
        <v>0.44369343644389514</v>
      </c>
      <c r="U82" s="10">
        <f ca="1"/>
        <v>0.16279508305415358</v>
      </c>
      <c r="V82" s="10">
        <f ca="1"/>
        <v>0.22103161135364058</v>
      </c>
      <c r="W82" s="10">
        <f ca="1"/>
        <v>0.21179734643571735</v>
      </c>
    </row>
    <row r="83" spans="1:23" x14ac:dyDescent="0.25">
      <c r="A83" s="2" t="s">
        <v>85</v>
      </c>
      <c r="B83" s="3">
        <v>564894</v>
      </c>
      <c r="C83" s="3">
        <v>135567</v>
      </c>
      <c r="D83" s="3">
        <v>181451</v>
      </c>
      <c r="G83" s="5">
        <f ca="1"/>
        <v>43708</v>
      </c>
      <c r="H83" s="7">
        <f ca="1"/>
        <v>564894</v>
      </c>
      <c r="I83" s="7">
        <f ca="1"/>
        <v>135567</v>
      </c>
      <c r="J83" s="7">
        <f ca="1"/>
        <v>181451</v>
      </c>
      <c r="K83" s="7">
        <f ca="1"/>
        <v>317018</v>
      </c>
      <c r="L83" s="7">
        <f ca="1"/>
        <v>14944200</v>
      </c>
      <c r="M83" s="8">
        <f ca="1"/>
        <v>3.7800216806520258E-2</v>
      </c>
      <c r="N83" s="7">
        <f ca="1"/>
        <v>936800</v>
      </c>
      <c r="O83" s="11">
        <f ca="1"/>
        <v>317018</v>
      </c>
      <c r="P83" s="10">
        <f ca="1"/>
        <v>6.2686527214571533E-2</v>
      </c>
      <c r="Q83" s="10">
        <f ca="1"/>
        <v>2.1213447357503246E-2</v>
      </c>
      <c r="R83" s="10">
        <f ca="1"/>
        <v>5.9013664164023504E-2</v>
      </c>
      <c r="T83" s="10">
        <f ca="1"/>
        <v>0.43658549920381606</v>
      </c>
      <c r="U83" s="10" t="e">
        <f ca="1"/>
        <v>#N/A</v>
      </c>
      <c r="V83" s="10" t="e">
        <f ca="1"/>
        <v>#N/A</v>
      </c>
      <c r="W83" s="10" t="e">
        <f ca="1"/>
        <v>#N/A</v>
      </c>
    </row>
    <row r="84" spans="1:23" x14ac:dyDescent="0.25">
      <c r="A84" s="2" t="s">
        <v>86</v>
      </c>
      <c r="B84" s="3">
        <v>602139</v>
      </c>
      <c r="C84" s="3">
        <v>138703</v>
      </c>
      <c r="D84" s="3">
        <v>182613</v>
      </c>
      <c r="G84" s="5">
        <f ca="1"/>
        <v>43677</v>
      </c>
      <c r="H84" s="7">
        <f ca="1"/>
        <v>602139</v>
      </c>
      <c r="I84" s="7">
        <f ca="1"/>
        <v>138703</v>
      </c>
      <c r="J84" s="7">
        <f ca="1"/>
        <v>182613</v>
      </c>
      <c r="K84" s="7">
        <f ca="1"/>
        <v>321316</v>
      </c>
      <c r="L84" s="7">
        <f ca="1"/>
        <v>14860700</v>
      </c>
      <c r="M84" s="8">
        <f ca="1"/>
        <v>4.0518885382249827E-2</v>
      </c>
      <c r="N84" s="7">
        <f ca="1"/>
        <v>922100</v>
      </c>
      <c r="O84" s="11">
        <f ca="1"/>
        <v>321316</v>
      </c>
      <c r="P84" s="10">
        <f ca="1"/>
        <v>6.2049566978675301E-2</v>
      </c>
      <c r="Q84" s="10">
        <f ca="1"/>
        <v>2.1621861688884105E-2</v>
      </c>
      <c r="R84" s="10">
        <f ca="1"/>
        <v>6.2140747071133928E-2</v>
      </c>
      <c r="T84" s="10">
        <f ca="1"/>
        <v>0.4028982881377543</v>
      </c>
      <c r="U84" s="10" t="e">
        <f ca="1"/>
        <v>#N/A</v>
      </c>
      <c r="V84" s="10" t="e">
        <f ca="1"/>
        <v>#N/A</v>
      </c>
      <c r="W84" s="10" t="e">
        <f ca="1"/>
        <v>#N/A</v>
      </c>
    </row>
    <row r="85" spans="1:23" x14ac:dyDescent="0.25">
      <c r="A85" s="2" t="s">
        <v>87</v>
      </c>
      <c r="B85" s="3">
        <v>596304</v>
      </c>
      <c r="C85" s="3">
        <v>139826</v>
      </c>
      <c r="D85" s="3">
        <v>179542</v>
      </c>
      <c r="G85" s="5">
        <f ca="1"/>
        <v>43646</v>
      </c>
      <c r="H85" s="7">
        <f ca="1"/>
        <v>596304</v>
      </c>
      <c r="I85" s="7">
        <f ca="1"/>
        <v>139826</v>
      </c>
      <c r="J85" s="7">
        <f ca="1"/>
        <v>179542</v>
      </c>
      <c r="K85" s="7">
        <f ca="1"/>
        <v>319368</v>
      </c>
      <c r="L85" s="7">
        <f ca="1"/>
        <v>14779300</v>
      </c>
      <c r="M85" s="8">
        <f ca="1"/>
        <v>4.0347242426907903E-2</v>
      </c>
      <c r="N85" s="7">
        <f ca="1"/>
        <v>896500</v>
      </c>
      <c r="O85" s="11">
        <f ca="1"/>
        <v>319368</v>
      </c>
      <c r="P85" s="10">
        <f ca="1"/>
        <v>6.0659165183736714E-2</v>
      </c>
      <c r="Q85" s="10">
        <f ca="1"/>
        <v>2.1609142516898636E-2</v>
      </c>
      <c r="R85" s="10">
        <f ca="1"/>
        <v>6.1956384943806536E-2</v>
      </c>
      <c r="T85" s="10">
        <f ca="1"/>
        <v>0.35051465789187408</v>
      </c>
      <c r="U85" s="10" t="e">
        <f ca="1"/>
        <v>#N/A</v>
      </c>
      <c r="V85" s="10" t="e">
        <f ca="1"/>
        <v>#N/A</v>
      </c>
      <c r="W85" s="10" t="e">
        <f ca="1"/>
        <v>#N/A</v>
      </c>
    </row>
    <row r="86" spans="1:23" x14ac:dyDescent="0.25">
      <c r="A86" s="2" t="s">
        <v>88</v>
      </c>
      <c r="B86" s="3">
        <v>568751</v>
      </c>
      <c r="C86" s="3">
        <v>137489</v>
      </c>
      <c r="D86" s="3">
        <v>179019</v>
      </c>
      <c r="G86" s="5">
        <f ca="1"/>
        <v>43616</v>
      </c>
      <c r="H86" s="7">
        <f ca="1"/>
        <v>568751</v>
      </c>
      <c r="I86" s="7">
        <f ca="1"/>
        <v>137489</v>
      </c>
      <c r="J86" s="7">
        <f ca="1"/>
        <v>179019</v>
      </c>
      <c r="K86" s="7">
        <f ca="1"/>
        <v>316508</v>
      </c>
      <c r="L86" s="7">
        <f ca="1"/>
        <v>14618100</v>
      </c>
      <c r="M86" s="8">
        <f ca="1"/>
        <v>3.8907313535958846E-2</v>
      </c>
      <c r="N86" s="7">
        <f ca="1"/>
        <v>894200</v>
      </c>
      <c r="O86" s="11">
        <f ca="1"/>
        <v>316508</v>
      </c>
      <c r="P86" s="10">
        <f ca="1"/>
        <v>6.1170740383497173E-2</v>
      </c>
      <c r="Q86" s="10">
        <f ca="1"/>
        <v>2.1651787852046436E-2</v>
      </c>
      <c r="R86" s="10">
        <f ca="1"/>
        <v>6.0559101388005285E-2</v>
      </c>
      <c r="T86" s="10">
        <f ca="1"/>
        <v>0.38483535969419269</v>
      </c>
      <c r="U86" s="10" t="e">
        <f ca="1"/>
        <v>#N/A</v>
      </c>
      <c r="V86" s="10" t="e">
        <f ca="1"/>
        <v>#N/A</v>
      </c>
      <c r="W86" s="10" t="e">
        <f ca="1"/>
        <v>#N/A</v>
      </c>
    </row>
    <row r="87" spans="1:23" x14ac:dyDescent="0.25">
      <c r="A87" s="2" t="s">
        <v>89</v>
      </c>
      <c r="B87" s="3">
        <v>588721</v>
      </c>
      <c r="C87" s="3">
        <v>143802</v>
      </c>
      <c r="D87" s="3">
        <v>178523</v>
      </c>
      <c r="G87" s="5">
        <f ca="1"/>
        <v>43585</v>
      </c>
      <c r="H87" s="7">
        <f ca="1"/>
        <v>588721</v>
      </c>
      <c r="I87" s="7">
        <f ca="1"/>
        <v>143802</v>
      </c>
      <c r="J87" s="7">
        <f ca="1"/>
        <v>178523</v>
      </c>
      <c r="K87" s="7">
        <f ca="1"/>
        <v>322325</v>
      </c>
      <c r="L87" s="7">
        <f ca="1"/>
        <v>14665000</v>
      </c>
      <c r="M87" s="8">
        <f ca="1"/>
        <v>4.0144630071599047E-2</v>
      </c>
      <c r="N87" s="7">
        <f ca="1"/>
        <v>880400</v>
      </c>
      <c r="O87" s="11">
        <f ca="1"/>
        <v>322325</v>
      </c>
      <c r="P87" s="10">
        <f ca="1"/>
        <v>6.0034094783498124E-2</v>
      </c>
      <c r="Q87" s="10">
        <f ca="1"/>
        <v>2.1979202182066143E-2</v>
      </c>
      <c r="R87" s="10">
        <f ca="1"/>
        <v>6.212383225366519E-2</v>
      </c>
      <c r="T87" s="10">
        <f ca="1"/>
        <v>0.26084668836966141</v>
      </c>
      <c r="U87" s="10" t="e">
        <f ca="1"/>
        <v>#N/A</v>
      </c>
      <c r="V87" s="10" t="e">
        <f ca="1"/>
        <v>#N/A</v>
      </c>
      <c r="W87" s="10" t="e">
        <f ca="1"/>
        <v>#N/A</v>
      </c>
    </row>
    <row r="88" spans="1:23" x14ac:dyDescent="0.25">
      <c r="A88" s="2" t="s">
        <v>90</v>
      </c>
      <c r="B88" s="3">
        <v>574013</v>
      </c>
      <c r="C88" s="3">
        <v>141074</v>
      </c>
      <c r="D88" s="3">
        <v>180765</v>
      </c>
      <c r="G88" s="5">
        <f ca="1"/>
        <v>43555</v>
      </c>
      <c r="H88" s="7">
        <f ca="1"/>
        <v>574013</v>
      </c>
      <c r="I88" s="7">
        <f ca="1"/>
        <v>141074</v>
      </c>
      <c r="J88" s="7">
        <f ca="1"/>
        <v>180765</v>
      </c>
      <c r="K88" s="7">
        <f ca="1"/>
        <v>321839</v>
      </c>
      <c r="L88" s="7">
        <f ca="1"/>
        <v>14614300</v>
      </c>
      <c r="M88" s="8">
        <f ca="1"/>
        <v>3.927748848730353E-2</v>
      </c>
      <c r="N88" s="7">
        <f ca="1"/>
        <v>892800</v>
      </c>
      <c r="O88" s="11">
        <f ca="1"/>
        <v>321839</v>
      </c>
      <c r="P88" s="10">
        <f ca="1"/>
        <v>6.1090849373558777E-2</v>
      </c>
      <c r="Q88" s="10">
        <f ca="1"/>
        <v>2.2022197436757148E-2</v>
      </c>
      <c r="R88" s="10">
        <f ca="1"/>
        <v>6.1299685924060682E-2</v>
      </c>
      <c r="T88" s="10">
        <f ca="1"/>
        <v>0.32517287609370582</v>
      </c>
      <c r="U88" s="10" t="e">
        <f ca="1"/>
        <v>#N/A</v>
      </c>
      <c r="V88" s="10" t="e">
        <f ca="1"/>
        <v>#N/A</v>
      </c>
      <c r="W88" s="10" t="e">
        <f ca="1"/>
        <v>#N/A</v>
      </c>
    </row>
    <row r="89" spans="1:23" x14ac:dyDescent="0.25">
      <c r="A89" s="2" t="s">
        <v>91</v>
      </c>
      <c r="B89" s="3">
        <v>581205</v>
      </c>
      <c r="C89" s="3">
        <v>149686</v>
      </c>
      <c r="D89" s="3">
        <v>181955</v>
      </c>
      <c r="G89" s="5">
        <f ca="1"/>
        <v>43524</v>
      </c>
      <c r="H89" s="7">
        <f ca="1"/>
        <v>581205</v>
      </c>
      <c r="I89" s="7">
        <f ca="1"/>
        <v>149686</v>
      </c>
      <c r="J89" s="7">
        <f ca="1"/>
        <v>181955</v>
      </c>
      <c r="K89" s="7">
        <f ca="1"/>
        <v>331641</v>
      </c>
      <c r="L89" s="7">
        <f ca="1"/>
        <v>14443200</v>
      </c>
      <c r="M89" s="8">
        <f ca="1"/>
        <v>4.0240736124958459E-2</v>
      </c>
      <c r="N89" s="7">
        <f ca="1"/>
        <v>882400</v>
      </c>
      <c r="O89" s="11">
        <f ca="1"/>
        <v>331641</v>
      </c>
      <c r="P89" s="10">
        <f ca="1"/>
        <v>6.1094494294893095E-2</v>
      </c>
      <c r="Q89" s="10">
        <f ca="1"/>
        <v>2.2961739780658026E-2</v>
      </c>
      <c r="R89" s="10">
        <f ca="1"/>
        <v>6.3202475905616479E-2</v>
      </c>
      <c r="T89" s="10">
        <f ca="1"/>
        <v>0.30064392402199336</v>
      </c>
      <c r="U89" s="10" t="e">
        <f ca="1"/>
        <v>#N/A</v>
      </c>
      <c r="V89" s="10" t="e">
        <f ca="1"/>
        <v>#N/A</v>
      </c>
      <c r="W89" s="10" t="e">
        <f ca="1"/>
        <v>#N/A</v>
      </c>
    </row>
    <row r="90" spans="1:23" x14ac:dyDescent="0.25">
      <c r="A90" s="2" t="s">
        <v>92</v>
      </c>
      <c r="B90" s="3">
        <v>568433</v>
      </c>
      <c r="C90" s="3">
        <v>151804</v>
      </c>
      <c r="D90" s="3">
        <v>186050</v>
      </c>
      <c r="G90" s="5">
        <f ca="1"/>
        <v>43496</v>
      </c>
      <c r="H90" s="7">
        <f ca="1"/>
        <v>568433</v>
      </c>
      <c r="I90" s="7">
        <f ca="1"/>
        <v>151804</v>
      </c>
      <c r="J90" s="7">
        <f ca="1"/>
        <v>186050</v>
      </c>
      <c r="K90" s="7">
        <f ca="1"/>
        <v>337854</v>
      </c>
      <c r="L90" s="7">
        <f ca="1"/>
        <v>14465200</v>
      </c>
      <c r="M90" s="8">
        <f ca="1"/>
        <v>3.9296587672482924E-2</v>
      </c>
      <c r="N90" s="7">
        <f ca="1"/>
        <v>873600</v>
      </c>
      <c r="O90" s="11">
        <f ca="1"/>
        <v>337854</v>
      </c>
      <c r="P90" s="10">
        <f ca="1"/>
        <v>6.0393219589082767E-2</v>
      </c>
      <c r="Q90" s="10">
        <f ca="1"/>
        <v>2.3356331056604816E-2</v>
      </c>
      <c r="R90" s="10">
        <f ca="1"/>
        <v>6.2652918729087737E-2</v>
      </c>
      <c r="T90" s="10">
        <f ca="1"/>
        <v>0.20926001257349958</v>
      </c>
      <c r="U90" s="10" t="e">
        <f ca="1"/>
        <v>#N/A</v>
      </c>
      <c r="V90" s="10" t="e">
        <f ca="1"/>
        <v>#N/A</v>
      </c>
      <c r="W90" s="10" t="e">
        <f ca="1"/>
        <v>#N/A</v>
      </c>
    </row>
    <row r="91" spans="1:23" x14ac:dyDescent="0.25">
      <c r="A91" s="2" t="s">
        <v>93</v>
      </c>
      <c r="B91" s="3">
        <v>554285</v>
      </c>
      <c r="C91" s="3">
        <v>159572</v>
      </c>
      <c r="D91" s="3">
        <v>190743</v>
      </c>
      <c r="G91" s="5">
        <f ca="1"/>
        <v>43465</v>
      </c>
      <c r="H91" s="7">
        <f ca="1"/>
        <v>554285</v>
      </c>
      <c r="I91" s="7">
        <f ca="1"/>
        <v>159572</v>
      </c>
      <c r="J91" s="7">
        <f ca="1"/>
        <v>190743</v>
      </c>
      <c r="K91" s="7">
        <f ca="1"/>
        <v>350315</v>
      </c>
      <c r="L91" s="7">
        <f ca="1"/>
        <v>14489000</v>
      </c>
      <c r="M91" s="8">
        <f ca="1"/>
        <v>3.8255573193457106E-2</v>
      </c>
      <c r="N91" s="7">
        <f ca="1"/>
        <v>855000</v>
      </c>
      <c r="O91" s="11">
        <f ca="1"/>
        <v>350315</v>
      </c>
      <c r="P91" s="10">
        <f ca="1"/>
        <v>5.9010283663468839E-2</v>
      </c>
      <c r="Q91" s="10">
        <f ca="1"/>
        <v>2.4177997101249224E-2</v>
      </c>
      <c r="R91" s="10">
        <f ca="1"/>
        <v>6.243357029470633E-2</v>
      </c>
      <c r="T91" s="10">
        <f ca="1"/>
        <v>0.34152422362726131</v>
      </c>
      <c r="U91" s="10" t="e">
        <f ca="1"/>
        <v>#N/A</v>
      </c>
      <c r="V91" s="10" t="e">
        <f ca="1"/>
        <v>#N/A</v>
      </c>
      <c r="W91" s="10" t="e">
        <f ca="1"/>
        <v>#N/A</v>
      </c>
    </row>
    <row r="92" spans="1:23" x14ac:dyDescent="0.25">
      <c r="A92" s="2" t="s">
        <v>94</v>
      </c>
      <c r="B92" s="3">
        <v>592593</v>
      </c>
      <c r="C92" s="3">
        <v>146452</v>
      </c>
      <c r="D92" s="3">
        <v>178810</v>
      </c>
      <c r="G92" s="5">
        <f ca="1"/>
        <v>43434</v>
      </c>
      <c r="H92" s="7">
        <f ca="1"/>
        <v>592593</v>
      </c>
      <c r="I92" s="7">
        <f ca="1"/>
        <v>146452</v>
      </c>
      <c r="J92" s="7">
        <f ca="1"/>
        <v>178810</v>
      </c>
      <c r="K92" s="7">
        <f ca="1"/>
        <v>325262</v>
      </c>
      <c r="L92" s="7">
        <f ca="1"/>
        <v>14293500</v>
      </c>
      <c r="M92" s="8">
        <f ca="1"/>
        <v>4.1458914891384195E-2</v>
      </c>
      <c r="N92" s="7">
        <f ca="1"/>
        <v>803000</v>
      </c>
      <c r="O92" s="11">
        <f ca="1"/>
        <v>325262</v>
      </c>
      <c r="P92" s="10">
        <f ca="1"/>
        <v>5.6179382236681008E-2</v>
      </c>
      <c r="Q92" s="10">
        <f ca="1"/>
        <v>2.2755938013782489E-2</v>
      </c>
      <c r="R92" s="10">
        <f ca="1"/>
        <v>6.4214852905166681E-2</v>
      </c>
      <c r="T92" s="10">
        <f ca="1"/>
        <v>0.26815015017190968</v>
      </c>
      <c r="U92" s="10" t="e">
        <f ca="1"/>
        <v>#N/A</v>
      </c>
      <c r="V92" s="10" t="e">
        <f ca="1"/>
        <v>#N/A</v>
      </c>
      <c r="W92" s="10" t="e">
        <f ca="1"/>
        <v>#N/A</v>
      </c>
    </row>
    <row r="93" spans="1:23" x14ac:dyDescent="0.25">
      <c r="A93" s="2" t="s">
        <v>95</v>
      </c>
      <c r="B93" s="3">
        <v>607645</v>
      </c>
      <c r="C93" s="3">
        <v>148037</v>
      </c>
      <c r="D93" s="3">
        <v>183432</v>
      </c>
      <c r="G93" s="5">
        <f ca="1"/>
        <v>43404</v>
      </c>
      <c r="H93" s="7">
        <f ca="1"/>
        <v>607645</v>
      </c>
      <c r="I93" s="7">
        <f ca="1"/>
        <v>148037</v>
      </c>
      <c r="J93" s="7">
        <f ca="1"/>
        <v>183432</v>
      </c>
      <c r="K93" s="7">
        <f ca="1"/>
        <v>331469</v>
      </c>
      <c r="L93" s="7">
        <f ca="1"/>
        <v>14238800</v>
      </c>
      <c r="M93" s="8">
        <f ca="1"/>
        <v>4.2675295670983507E-2</v>
      </c>
      <c r="N93" s="7">
        <f ca="1"/>
        <v>787100</v>
      </c>
      <c r="O93" s="11">
        <f ca="1"/>
        <v>331469</v>
      </c>
      <c r="P93" s="10">
        <f ca="1"/>
        <v>5.5278534707981011E-2</v>
      </c>
      <c r="Q93" s="10">
        <f ca="1"/>
        <v>2.327927915273759E-2</v>
      </c>
      <c r="R93" s="10">
        <f ca="1"/>
        <v>6.5954574823721093E-2</v>
      </c>
      <c r="T93" s="10">
        <f ca="1"/>
        <v>0.20628083813344933</v>
      </c>
      <c r="U93" s="10" t="e">
        <f ca="1"/>
        <v>#N/A</v>
      </c>
      <c r="V93" s="10" t="e">
        <f ca="1"/>
        <v>#N/A</v>
      </c>
      <c r="W93" s="10" t="e">
        <f ca="1"/>
        <v>#N/A</v>
      </c>
    </row>
    <row r="94" spans="1:23" x14ac:dyDescent="0.25">
      <c r="A94" s="2" t="s">
        <v>96</v>
      </c>
      <c r="B94" s="3">
        <v>648126</v>
      </c>
      <c r="C94" s="3">
        <v>151384</v>
      </c>
      <c r="D94" s="3">
        <v>188152</v>
      </c>
      <c r="G94" s="5">
        <f ca="1"/>
        <v>43373</v>
      </c>
      <c r="H94" s="7">
        <f ca="1"/>
        <v>648126</v>
      </c>
      <c r="I94" s="7">
        <f ca="1"/>
        <v>151384</v>
      </c>
      <c r="J94" s="7">
        <f ca="1"/>
        <v>188152</v>
      </c>
      <c r="K94" s="7">
        <f ca="1"/>
        <v>339536</v>
      </c>
      <c r="L94" s="7">
        <f ca="1"/>
        <v>14237200</v>
      </c>
      <c r="M94" s="8">
        <f ca="1"/>
        <v>4.5523417525918021E-2</v>
      </c>
      <c r="N94" s="7">
        <f ca="1"/>
        <v>775300</v>
      </c>
      <c r="O94" s="11">
        <f ca="1"/>
        <v>339536</v>
      </c>
      <c r="P94" s="10">
        <f ca="1"/>
        <v>5.4455932346247855E-2</v>
      </c>
      <c r="Q94" s="10">
        <f ca="1"/>
        <v>2.384850953839238E-2</v>
      </c>
      <c r="R94" s="10">
        <f ca="1"/>
        <v>6.9371927064310404E-2</v>
      </c>
      <c r="T94" s="10">
        <f ca="1"/>
        <v>6.3936609036438163E-2</v>
      </c>
      <c r="U94" s="10" t="e">
        <f ca="1"/>
        <v>#N/A</v>
      </c>
      <c r="V94" s="10" t="e">
        <f ca="1"/>
        <v>#N/A</v>
      </c>
      <c r="W94" s="10" t="e">
        <f ca="1"/>
        <v>#N/A</v>
      </c>
    </row>
    <row r="95" spans="1:23" x14ac:dyDescent="0.25">
      <c r="A95" s="2" t="s">
        <v>97</v>
      </c>
      <c r="B95" s="3">
        <v>652395</v>
      </c>
      <c r="C95" s="3">
        <v>148873</v>
      </c>
      <c r="D95" s="3">
        <v>178601</v>
      </c>
      <c r="G95" s="5">
        <f ca="1"/>
        <v>43343</v>
      </c>
      <c r="H95" s="7">
        <f ca="1"/>
        <v>652395</v>
      </c>
      <c r="I95" s="7">
        <f ca="1"/>
        <v>148873</v>
      </c>
      <c r="J95" s="7">
        <f ca="1"/>
        <v>178601</v>
      </c>
      <c r="K95" s="7">
        <f ca="1"/>
        <v>327474</v>
      </c>
      <c r="L95" s="7">
        <f ca="1"/>
        <v>14203200</v>
      </c>
      <c r="M95" s="8">
        <f ca="1"/>
        <v>4.5932958769854683E-2</v>
      </c>
      <c r="N95" s="7">
        <f ca="1"/>
        <v>766200</v>
      </c>
      <c r="O95" s="11">
        <f ca="1"/>
        <v>327474</v>
      </c>
      <c r="P95" s="10">
        <f ca="1"/>
        <v>5.3945589726258875E-2</v>
      </c>
      <c r="Q95" s="10">
        <f ca="1"/>
        <v>2.3056353497803311E-2</v>
      </c>
      <c r="R95" s="10">
        <f ca="1"/>
        <v>6.898931226765799E-2</v>
      </c>
      <c r="T95" s="10">
        <f ca="1"/>
        <v>4.9212137086768193E-2</v>
      </c>
      <c r="U95" s="10" t="e">
        <f ca="1"/>
        <v>#N/A</v>
      </c>
      <c r="V95" s="10" t="e">
        <f ca="1"/>
        <v>#N/A</v>
      </c>
      <c r="W95" s="10" t="e">
        <f ca="1"/>
        <v>#N/A</v>
      </c>
    </row>
    <row r="96" spans="1:23" x14ac:dyDescent="0.25">
      <c r="A96" s="2" t="s">
        <v>98</v>
      </c>
      <c r="B96" s="3">
        <v>652790</v>
      </c>
      <c r="C96" s="3">
        <v>148947</v>
      </c>
      <c r="D96" s="3">
        <v>178299</v>
      </c>
      <c r="G96" s="5">
        <f ca="1"/>
        <v>43312</v>
      </c>
      <c r="H96" s="7">
        <f ca="1"/>
        <v>652790</v>
      </c>
      <c r="I96" s="7">
        <f ca="1"/>
        <v>148947</v>
      </c>
      <c r="J96" s="7">
        <f ca="1"/>
        <v>178299</v>
      </c>
      <c r="K96" s="7">
        <f ca="1"/>
        <v>327246</v>
      </c>
      <c r="L96" s="7">
        <f ca="1"/>
        <v>14148200</v>
      </c>
      <c r="M96" s="8">
        <f ca="1"/>
        <v>4.6139438232425327E-2</v>
      </c>
      <c r="N96" s="7">
        <f ca="1"/>
        <v>754000</v>
      </c>
      <c r="O96" s="11">
        <f ca="1"/>
        <v>327246</v>
      </c>
      <c r="P96" s="10">
        <f ca="1"/>
        <v>5.3292998402623658E-2</v>
      </c>
      <c r="Q96" s="10">
        <f ca="1"/>
        <v>2.3129868110431009E-2</v>
      </c>
      <c r="R96" s="10">
        <f ca="1"/>
        <v>6.9269306342856329E-2</v>
      </c>
      <c r="T96" s="10">
        <f ca="1"/>
        <v>3.4137109459608128E-2</v>
      </c>
      <c r="U96" s="10" t="e">
        <f ca="1"/>
        <v>#N/A</v>
      </c>
      <c r="V96" s="10" t="e">
        <f ca="1"/>
        <v>#N/A</v>
      </c>
      <c r="W96" s="10" t="e">
        <f ca="1"/>
        <v>#N/A</v>
      </c>
    </row>
    <row r="97" spans="1:23" x14ac:dyDescent="0.25">
      <c r="A97" s="2" t="s">
        <v>99</v>
      </c>
      <c r="B97" s="3">
        <v>646931</v>
      </c>
      <c r="C97" s="3">
        <v>157150</v>
      </c>
      <c r="D97" s="3">
        <v>179399</v>
      </c>
      <c r="G97" s="5">
        <f ca="1"/>
        <v>43281</v>
      </c>
      <c r="H97" s="7">
        <f ca="1"/>
        <v>646931</v>
      </c>
      <c r="I97" s="7">
        <f ca="1"/>
        <v>157150</v>
      </c>
      <c r="J97" s="7">
        <f ca="1"/>
        <v>179399</v>
      </c>
      <c r="K97" s="7">
        <f ca="1"/>
        <v>336549</v>
      </c>
      <c r="L97" s="7">
        <f ca="1"/>
        <v>14112700</v>
      </c>
      <c r="M97" s="8">
        <f ca="1"/>
        <v>4.5840342386644653E-2</v>
      </c>
      <c r="N97" s="7">
        <f ca="1"/>
        <v>747600</v>
      </c>
      <c r="O97" s="11">
        <f ca="1"/>
        <v>336549</v>
      </c>
      <c r="P97" s="10">
        <f ca="1"/>
        <v>5.2973562819304598E-2</v>
      </c>
      <c r="Q97" s="10">
        <f ca="1"/>
        <v>2.3847243971741764E-2</v>
      </c>
      <c r="R97" s="10">
        <f ca="1"/>
        <v>6.9687586358386414E-2</v>
      </c>
      <c r="T97" s="10">
        <f ca="1"/>
        <v>-4.921331533234985E-2</v>
      </c>
      <c r="U97" s="10" t="e">
        <f ca="1"/>
        <v>#N/A</v>
      </c>
      <c r="V97" s="10" t="e">
        <f ca="1"/>
        <v>#N/A</v>
      </c>
      <c r="W97" s="10" t="e">
        <f ca="1"/>
        <v>#N/A</v>
      </c>
    </row>
    <row r="98" spans="1:23" x14ac:dyDescent="0.25">
      <c r="A98" s="2" t="s">
        <v>100</v>
      </c>
      <c r="B98" s="3">
        <v>668940</v>
      </c>
      <c r="C98" s="3">
        <v>155344</v>
      </c>
      <c r="D98" s="3">
        <v>181890</v>
      </c>
      <c r="G98" s="5">
        <f ca="1"/>
        <v>43251</v>
      </c>
      <c r="H98" s="7">
        <f ca="1"/>
        <v>668940</v>
      </c>
      <c r="I98" s="7">
        <f ca="1"/>
        <v>155344</v>
      </c>
      <c r="J98" s="7">
        <f ca="1"/>
        <v>181890</v>
      </c>
      <c r="K98" s="7">
        <f ca="1"/>
        <v>337234</v>
      </c>
      <c r="L98" s="7">
        <f ca="1"/>
        <v>14017400</v>
      </c>
      <c r="M98" s="8">
        <f ca="1"/>
        <v>4.7722116797694294E-2</v>
      </c>
      <c r="N98" s="7">
        <f ca="1"/>
        <v>743100</v>
      </c>
      <c r="O98" s="11">
        <f ca="1"/>
        <v>337234</v>
      </c>
      <c r="P98" s="10">
        <f ca="1"/>
        <v>5.3012684235307549E-2</v>
      </c>
      <c r="Q98" s="10">
        <f ca="1"/>
        <v>2.4058241899353662E-2</v>
      </c>
      <c r="R98" s="10">
        <f ca="1"/>
        <v>7.1780358697047963E-2</v>
      </c>
      <c r="T98" s="10">
        <f ca="1"/>
        <v>9.2024086320404264E-2</v>
      </c>
      <c r="U98" s="10" t="e">
        <f ca="1"/>
        <v>#N/A</v>
      </c>
      <c r="V98" s="10" t="e">
        <f ca="1"/>
        <v>#N/A</v>
      </c>
      <c r="W98" s="10" t="e">
        <f ca="1"/>
        <v>#N/A</v>
      </c>
    </row>
    <row r="99" spans="1:23" x14ac:dyDescent="0.25">
      <c r="A99" s="2" t="s">
        <v>101</v>
      </c>
      <c r="B99" s="3">
        <v>652303</v>
      </c>
      <c r="C99" s="3">
        <v>155989</v>
      </c>
      <c r="D99" s="3">
        <v>179410</v>
      </c>
      <c r="G99" s="5">
        <f ca="1"/>
        <v>43220</v>
      </c>
      <c r="H99" s="7">
        <f ca="1"/>
        <v>652303</v>
      </c>
      <c r="I99" s="7">
        <f ca="1"/>
        <v>155989</v>
      </c>
      <c r="J99" s="7">
        <f ca="1"/>
        <v>179410</v>
      </c>
      <c r="K99" s="7">
        <f ca="1"/>
        <v>335399</v>
      </c>
      <c r="L99" s="7">
        <f ca="1"/>
        <v>14105800</v>
      </c>
      <c r="M99" s="8">
        <f ca="1"/>
        <v>4.6243601922613391E-2</v>
      </c>
      <c r="N99" s="7">
        <f ca="1"/>
        <v>729500</v>
      </c>
      <c r="O99" s="11">
        <f ca="1"/>
        <v>335399</v>
      </c>
      <c r="P99" s="10">
        <f ca="1"/>
        <v>5.1716315274567909E-2</v>
      </c>
      <c r="Q99" s="10">
        <f ca="1"/>
        <v>2.3777382353358193E-2</v>
      </c>
      <c r="R99" s="10">
        <f ca="1"/>
        <v>7.0020984275971587E-2</v>
      </c>
      <c r="T99" s="10">
        <f ca="1"/>
        <v>0.21807367685655477</v>
      </c>
      <c r="U99" s="10" t="e">
        <f ca="1"/>
        <v>#N/A</v>
      </c>
      <c r="V99" s="10" t="e">
        <f ca="1"/>
        <v>#N/A</v>
      </c>
      <c r="W99" s="10" t="e">
        <f ca="1"/>
        <v>#N/A</v>
      </c>
    </row>
    <row r="100" spans="1:23" x14ac:dyDescent="0.25">
      <c r="A100" s="2" t="s">
        <v>102</v>
      </c>
      <c r="B100" s="3">
        <v>645235</v>
      </c>
      <c r="C100" s="3">
        <v>166148</v>
      </c>
      <c r="D100" s="3">
        <v>180751</v>
      </c>
      <c r="G100" s="5">
        <f ca="1"/>
        <v>43190</v>
      </c>
      <c r="H100" s="7">
        <f ca="1"/>
        <v>645235</v>
      </c>
      <c r="I100" s="7">
        <f ca="1"/>
        <v>166148</v>
      </c>
      <c r="J100" s="7">
        <f ca="1"/>
        <v>180751</v>
      </c>
      <c r="K100" s="7">
        <f ca="1"/>
        <v>346899</v>
      </c>
      <c r="L100" s="7">
        <f ca="1"/>
        <v>14067100</v>
      </c>
      <c r="M100" s="8">
        <f ca="1"/>
        <v>4.586837372308436E-2</v>
      </c>
      <c r="N100" s="7">
        <f ca="1"/>
        <v>745600</v>
      </c>
      <c r="O100" s="11">
        <f ca="1"/>
        <v>346899</v>
      </c>
      <c r="P100" s="10">
        <f ca="1"/>
        <v>5.3003106539372007E-2</v>
      </c>
      <c r="Q100" s="10">
        <f ca="1"/>
        <v>2.4660306673017184E-2</v>
      </c>
      <c r="R100" s="10">
        <f ca="1"/>
        <v>7.0528680396101551E-2</v>
      </c>
      <c r="T100" s="10">
        <f ca="1"/>
        <v>0.22337714465308789</v>
      </c>
      <c r="U100" s="10" t="e">
        <f ca="1"/>
        <v>#N/A</v>
      </c>
      <c r="V100" s="10" t="e">
        <f ca="1"/>
        <v>#N/A</v>
      </c>
      <c r="W100" s="10" t="e">
        <f ca="1"/>
        <v>#N/A</v>
      </c>
    </row>
    <row r="101" spans="1:23" x14ac:dyDescent="0.25">
      <c r="A101" s="2" t="s">
        <v>103</v>
      </c>
      <c r="B101" s="3">
        <v>645064</v>
      </c>
      <c r="C101" s="3">
        <v>164657</v>
      </c>
      <c r="D101" s="3">
        <v>183267</v>
      </c>
      <c r="G101" s="5">
        <f ca="1"/>
        <v>43159</v>
      </c>
      <c r="H101" s="7">
        <f ca="1"/>
        <v>645064</v>
      </c>
      <c r="I101" s="7">
        <f ca="1"/>
        <v>164657</v>
      </c>
      <c r="J101" s="7">
        <f ca="1"/>
        <v>183267</v>
      </c>
      <c r="K101" s="7">
        <f ca="1"/>
        <v>347924</v>
      </c>
      <c r="L101" s="7">
        <f ca="1"/>
        <v>13884300</v>
      </c>
      <c r="M101" s="8">
        <f ca="1"/>
        <v>4.6459958370245531E-2</v>
      </c>
      <c r="N101" s="7">
        <f ca="1"/>
        <v>745600</v>
      </c>
      <c r="O101" s="11">
        <f ca="1"/>
        <v>347924</v>
      </c>
      <c r="P101" s="10">
        <f ca="1"/>
        <v>5.3700942791498313E-2</v>
      </c>
      <c r="Q101" s="10">
        <f ca="1"/>
        <v>2.5058807429974864E-2</v>
      </c>
      <c r="R101" s="10">
        <f ca="1"/>
        <v>7.1518765800220402E-2</v>
      </c>
      <c r="T101" s="10">
        <f ca="1"/>
        <v>0.15739747883986843</v>
      </c>
      <c r="U101" s="10" t="e">
        <f ca="1"/>
        <v>#N/A</v>
      </c>
      <c r="V101" s="10" t="e">
        <f ca="1"/>
        <v>#N/A</v>
      </c>
      <c r="W101" s="10" t="e">
        <f ca="1"/>
        <v>#N/A</v>
      </c>
    </row>
    <row r="102" spans="1:23" x14ac:dyDescent="0.25">
      <c r="A102" s="2" t="s">
        <v>104</v>
      </c>
      <c r="B102" s="3">
        <v>665716</v>
      </c>
      <c r="C102" s="3">
        <v>168450</v>
      </c>
      <c r="D102" s="3">
        <v>181763</v>
      </c>
      <c r="G102" s="5">
        <f ca="1"/>
        <v>43131</v>
      </c>
      <c r="H102" s="7">
        <f ca="1"/>
        <v>665716</v>
      </c>
      <c r="I102" s="7">
        <f ca="1"/>
        <v>168450</v>
      </c>
      <c r="J102" s="7">
        <f ca="1"/>
        <v>181763</v>
      </c>
      <c r="K102" s="7">
        <f ca="1"/>
        <v>350213</v>
      </c>
      <c r="L102" s="7">
        <f ca="1"/>
        <v>13897500</v>
      </c>
      <c r="M102" s="8">
        <f ca="1"/>
        <v>4.7901852851232239E-2</v>
      </c>
      <c r="N102" s="7">
        <f ca="1"/>
        <v>731400</v>
      </c>
      <c r="O102" s="11">
        <f ca="1"/>
        <v>350213</v>
      </c>
      <c r="P102" s="10">
        <f ca="1"/>
        <v>5.2628170534268756E-2</v>
      </c>
      <c r="Q102" s="10">
        <f ca="1"/>
        <v>2.5199712178449362E-2</v>
      </c>
      <c r="R102" s="10">
        <f ca="1"/>
        <v>7.3101565029681598E-2</v>
      </c>
      <c r="T102" s="10">
        <f ca="1"/>
        <v>7.5695602749476842E-2</v>
      </c>
      <c r="U102" s="10" t="e">
        <f ca="1"/>
        <v>#N/A</v>
      </c>
      <c r="V102" s="10" t="e">
        <f ca="1"/>
        <v>#N/A</v>
      </c>
      <c r="W102" s="10" t="e">
        <f ca="1"/>
        <v>#N/A</v>
      </c>
    </row>
    <row r="103" spans="1:23" x14ac:dyDescent="0.25">
      <c r="A103" s="2" t="s">
        <v>105</v>
      </c>
      <c r="B103" s="3">
        <v>642798</v>
      </c>
      <c r="C103" s="3">
        <v>172999</v>
      </c>
      <c r="D103" s="3">
        <v>182773</v>
      </c>
      <c r="G103" s="5">
        <f ca="1"/>
        <v>43100</v>
      </c>
      <c r="H103" s="7">
        <f ca="1"/>
        <v>642798</v>
      </c>
      <c r="I103" s="7">
        <f ca="1"/>
        <v>172999</v>
      </c>
      <c r="J103" s="7">
        <f ca="1"/>
        <v>182773</v>
      </c>
      <c r="K103" s="7">
        <f ca="1"/>
        <v>355772</v>
      </c>
      <c r="L103" s="7">
        <f ca="1"/>
        <v>13978900</v>
      </c>
      <c r="M103" s="8">
        <f ca="1"/>
        <v>4.5983446480052079E-2</v>
      </c>
      <c r="N103" s="7">
        <f ca="1"/>
        <v>732200</v>
      </c>
      <c r="O103" s="11">
        <f ca="1"/>
        <v>355772</v>
      </c>
      <c r="P103" s="10">
        <f ca="1"/>
        <v>5.2378942549127616E-2</v>
      </c>
      <c r="Q103" s="10">
        <f ca="1"/>
        <v>2.5450643469800915E-2</v>
      </c>
      <c r="R103" s="10">
        <f ca="1"/>
        <v>7.1434089949852994E-2</v>
      </c>
      <c r="T103" s="10">
        <f ca="1"/>
        <v>0.11337854062484798</v>
      </c>
      <c r="U103" s="10" t="e">
        <f ca="1"/>
        <v>#N/A</v>
      </c>
      <c r="V103" s="10" t="e">
        <f ca="1"/>
        <v>#N/A</v>
      </c>
      <c r="W103" s="10" t="e">
        <f ca="1"/>
        <v>#N/A</v>
      </c>
    </row>
    <row r="104" spans="1:23" x14ac:dyDescent="0.25">
      <c r="A104" s="2" t="s">
        <v>106</v>
      </c>
      <c r="B104" s="3">
        <v>627422</v>
      </c>
      <c r="C104" s="3">
        <v>170948</v>
      </c>
      <c r="D104" s="3">
        <v>185312</v>
      </c>
      <c r="G104" s="5">
        <f ca="1"/>
        <v>43069</v>
      </c>
      <c r="H104" s="7">
        <f ca="1"/>
        <v>627422</v>
      </c>
      <c r="I104" s="7">
        <f ca="1"/>
        <v>170948</v>
      </c>
      <c r="J104" s="7">
        <f ca="1"/>
        <v>185312</v>
      </c>
      <c r="K104" s="7">
        <f ca="1"/>
        <v>356260</v>
      </c>
      <c r="L104" s="7">
        <f ca="1"/>
        <v>13853200</v>
      </c>
      <c r="M104" s="8">
        <f ca="1"/>
        <v>4.5290763144977333E-2</v>
      </c>
      <c r="N104" s="7">
        <f ca="1"/>
        <v>716500</v>
      </c>
      <c r="O104" s="11">
        <f ca="1"/>
        <v>356260</v>
      </c>
      <c r="P104" s="10">
        <f ca="1"/>
        <v>5.1720902029855916E-2</v>
      </c>
      <c r="Q104" s="10">
        <f ca="1"/>
        <v>2.5716801894147202E-2</v>
      </c>
      <c r="R104" s="10">
        <f ca="1"/>
        <v>7.1007565039124532E-2</v>
      </c>
      <c r="T104" s="10">
        <f ca="1"/>
        <v>0.10533392758670179</v>
      </c>
      <c r="U104" s="10" t="e">
        <f ca="1"/>
        <v>#N/A</v>
      </c>
      <c r="V104" s="10" t="e">
        <f ca="1"/>
        <v>#N/A</v>
      </c>
      <c r="W104" s="10" t="e">
        <f ca="1"/>
        <v>#N/A</v>
      </c>
    </row>
    <row r="105" spans="1:23" x14ac:dyDescent="0.25">
      <c r="A105" s="2" t="s">
        <v>107</v>
      </c>
      <c r="B105" s="3">
        <v>607838</v>
      </c>
      <c r="C105" s="3">
        <v>169368</v>
      </c>
      <c r="D105" s="3">
        <v>184047</v>
      </c>
      <c r="G105" s="5">
        <f ca="1"/>
        <v>43039</v>
      </c>
      <c r="H105" s="7">
        <f ca="1"/>
        <v>607838</v>
      </c>
      <c r="I105" s="7">
        <f ca="1"/>
        <v>169368</v>
      </c>
      <c r="J105" s="7">
        <f ca="1"/>
        <v>184047</v>
      </c>
      <c r="K105" s="7">
        <f ca="1"/>
        <v>353415</v>
      </c>
      <c r="L105" s="7">
        <f ca="1"/>
        <v>13783500</v>
      </c>
      <c r="M105" s="8">
        <f ca="1"/>
        <v>4.4098958900134218E-2</v>
      </c>
      <c r="N105" s="7">
        <f ca="1"/>
        <v>707100</v>
      </c>
      <c r="O105" s="11">
        <f ca="1"/>
        <v>353415</v>
      </c>
      <c r="P105" s="10">
        <f ca="1"/>
        <v>5.1300467950810752E-2</v>
      </c>
      <c r="Q105" s="10">
        <f ca="1"/>
        <v>2.5640439656110566E-2</v>
      </c>
      <c r="R105" s="10">
        <f ca="1"/>
        <v>6.973939855624478E-2</v>
      </c>
      <c r="T105" s="10">
        <f ca="1"/>
        <v>0.15731227138230697</v>
      </c>
      <c r="U105" s="10" t="e">
        <f ca="1"/>
        <v>#N/A</v>
      </c>
      <c r="V105" s="10" t="e">
        <f ca="1"/>
        <v>#N/A</v>
      </c>
      <c r="W105" s="10" t="e">
        <f ca="1"/>
        <v>#N/A</v>
      </c>
    </row>
    <row r="106" spans="1:23" x14ac:dyDescent="0.25">
      <c r="A106" s="2" t="s">
        <v>108</v>
      </c>
      <c r="B106" s="3">
        <v>606334</v>
      </c>
      <c r="C106" s="3">
        <v>172872</v>
      </c>
      <c r="D106" s="3">
        <v>183599</v>
      </c>
      <c r="G106" s="5">
        <f ca="1"/>
        <v>43008</v>
      </c>
      <c r="H106" s="7">
        <f ca="1"/>
        <v>606334</v>
      </c>
      <c r="I106" s="7">
        <f ca="1"/>
        <v>172872</v>
      </c>
      <c r="J106" s="7">
        <f ca="1"/>
        <v>183599</v>
      </c>
      <c r="K106" s="7">
        <f ca="1"/>
        <v>356471</v>
      </c>
      <c r="L106" s="7">
        <f ca="1"/>
        <v>13737500</v>
      </c>
      <c r="M106" s="8">
        <f ca="1"/>
        <v>4.4137142857142854E-2</v>
      </c>
      <c r="N106" s="7">
        <f ca="1"/>
        <v>709400</v>
      </c>
      <c r="O106" s="11">
        <f ca="1"/>
        <v>356471</v>
      </c>
      <c r="P106" s="10">
        <f ca="1"/>
        <v>5.1639672429481344E-2</v>
      </c>
      <c r="Q106" s="10">
        <f ca="1"/>
        <v>2.5948753412192903E-2</v>
      </c>
      <c r="R106" s="10">
        <f ca="1"/>
        <v>7.0085896269335757E-2</v>
      </c>
      <c r="T106" s="10">
        <f ca="1"/>
        <v>0.16766162835005716</v>
      </c>
      <c r="U106" s="10" t="e">
        <f ca="1"/>
        <v>#N/A</v>
      </c>
      <c r="V106" s="10" t="e">
        <f ca="1"/>
        <v>#N/A</v>
      </c>
      <c r="W106" s="10" t="e">
        <f ca="1"/>
        <v>#N/A</v>
      </c>
    </row>
    <row r="107" spans="1:23" x14ac:dyDescent="0.25">
      <c r="A107" s="2" t="s">
        <v>109</v>
      </c>
      <c r="B107" s="3">
        <v>596567</v>
      </c>
      <c r="C107" s="3">
        <v>170524</v>
      </c>
      <c r="D107" s="3">
        <v>183744</v>
      </c>
      <c r="G107" s="5">
        <f ca="1"/>
        <v>42978</v>
      </c>
      <c r="H107" s="7">
        <f ca="1"/>
        <v>596567</v>
      </c>
      <c r="I107" s="7">
        <f ca="1"/>
        <v>170524</v>
      </c>
      <c r="J107" s="7">
        <f ca="1"/>
        <v>183744</v>
      </c>
      <c r="K107" s="7">
        <f ca="1"/>
        <v>354268</v>
      </c>
      <c r="L107" s="7">
        <f ca="1"/>
        <v>13685000</v>
      </c>
      <c r="M107" s="8">
        <f ca="1"/>
        <v>4.3592765801972966E-2</v>
      </c>
      <c r="N107" s="7">
        <f ca="1"/>
        <v>705700</v>
      </c>
      <c r="O107" s="11">
        <f ca="1"/>
        <v>354268</v>
      </c>
      <c r="P107" s="10">
        <f ca="1"/>
        <v>5.1567409572524661E-2</v>
      </c>
      <c r="Q107" s="10">
        <f ca="1"/>
        <v>2.588732188527585E-2</v>
      </c>
      <c r="R107" s="10">
        <f ca="1"/>
        <v>6.9480087687248809E-2</v>
      </c>
      <c r="T107" s="10">
        <f ca="1"/>
        <v>0.11345052899884678</v>
      </c>
      <c r="U107" s="10" t="e">
        <f ca="1"/>
        <v>#N/A</v>
      </c>
      <c r="V107" s="10" t="e">
        <f ca="1"/>
        <v>#N/A</v>
      </c>
      <c r="W107" s="10" t="e">
        <f ca="1"/>
        <v>#N/A</v>
      </c>
    </row>
    <row r="108" spans="1:23" x14ac:dyDescent="0.25">
      <c r="A108" s="2" t="s">
        <v>110</v>
      </c>
      <c r="B108" s="3">
        <v>594414</v>
      </c>
      <c r="C108" s="3">
        <v>173195</v>
      </c>
      <c r="D108" s="3">
        <v>184246</v>
      </c>
      <c r="G108" s="5">
        <f ca="1"/>
        <v>42947</v>
      </c>
      <c r="H108" s="7">
        <f ca="1"/>
        <v>594414</v>
      </c>
      <c r="I108" s="7">
        <f ca="1"/>
        <v>173195</v>
      </c>
      <c r="J108" s="7">
        <f ca="1"/>
        <v>184246</v>
      </c>
      <c r="K108" s="7">
        <f ca="1"/>
        <v>357441</v>
      </c>
      <c r="L108" s="7">
        <f ca="1"/>
        <v>13614900</v>
      </c>
      <c r="M108" s="8">
        <f ca="1"/>
        <v>4.3659079390961371E-2</v>
      </c>
      <c r="N108" s="7">
        <f ca="1"/>
        <v>692900</v>
      </c>
      <c r="O108" s="11">
        <f ca="1"/>
        <v>357441</v>
      </c>
      <c r="P108" s="10">
        <f ca="1"/>
        <v>5.0892771889620929E-2</v>
      </c>
      <c r="Q108" s="10">
        <f ca="1"/>
        <v>2.6253663265980654E-2</v>
      </c>
      <c r="R108" s="10">
        <f ca="1"/>
        <v>6.9912742656942028E-2</v>
      </c>
      <c r="T108" s="10">
        <f ca="1"/>
        <v>0.19249888677488558</v>
      </c>
      <c r="U108" s="10" t="e">
        <f ca="1"/>
        <v>#N/A</v>
      </c>
      <c r="V108" s="10" t="e">
        <f ca="1"/>
        <v>#N/A</v>
      </c>
      <c r="W108" s="10" t="e">
        <f ca="1"/>
        <v>#N/A</v>
      </c>
    </row>
    <row r="109" spans="1:23" x14ac:dyDescent="0.25">
      <c r="A109" s="2" t="s">
        <v>111</v>
      </c>
      <c r="B109" s="3">
        <v>584258</v>
      </c>
      <c r="C109" s="3">
        <v>176707</v>
      </c>
      <c r="D109" s="3">
        <v>187500</v>
      </c>
      <c r="G109" s="5">
        <f ca="1"/>
        <v>42916</v>
      </c>
      <c r="H109" s="7">
        <f ca="1"/>
        <v>584258</v>
      </c>
      <c r="I109" s="7">
        <f ca="1"/>
        <v>176707</v>
      </c>
      <c r="J109" s="7">
        <f ca="1"/>
        <v>187500</v>
      </c>
      <c r="K109" s="7">
        <f ca="1"/>
        <v>364207</v>
      </c>
      <c r="L109" s="7">
        <f ca="1"/>
        <v>13551600</v>
      </c>
      <c r="M109" s="8">
        <f ca="1"/>
        <v>4.3113580684199654E-2</v>
      </c>
      <c r="N109" s="7">
        <f ca="1"/>
        <v>692700</v>
      </c>
      <c r="O109" s="11">
        <f ca="1"/>
        <v>364207</v>
      </c>
      <c r="P109" s="10">
        <f ca="1"/>
        <v>5.1115735411316747E-2</v>
      </c>
      <c r="Q109" s="10">
        <f ca="1"/>
        <v>2.6875571888190324E-2</v>
      </c>
      <c r="R109" s="10">
        <f ca="1"/>
        <v>6.9989152572389982E-2</v>
      </c>
      <c r="T109" s="10">
        <f ca="1"/>
        <v>0.16959160851857513</v>
      </c>
      <c r="U109" s="10" t="e">
        <f ca="1"/>
        <v>#N/A</v>
      </c>
      <c r="V109" s="10" t="e">
        <f ca="1"/>
        <v>#N/A</v>
      </c>
      <c r="W109" s="10" t="e">
        <f ca="1"/>
        <v>#N/A</v>
      </c>
    </row>
    <row r="110" spans="1:23" x14ac:dyDescent="0.25">
      <c r="A110" s="2" t="s">
        <v>112</v>
      </c>
      <c r="B110" s="3">
        <v>582764</v>
      </c>
      <c r="C110" s="3">
        <v>176970</v>
      </c>
      <c r="D110" s="3">
        <v>185463</v>
      </c>
      <c r="G110" s="5">
        <f ca="1"/>
        <v>42886</v>
      </c>
      <c r="H110" s="7">
        <f ca="1"/>
        <v>582764</v>
      </c>
      <c r="I110" s="7">
        <f ca="1"/>
        <v>176970</v>
      </c>
      <c r="J110" s="7">
        <f ca="1"/>
        <v>185463</v>
      </c>
      <c r="K110" s="7">
        <f ca="1"/>
        <v>362433</v>
      </c>
      <c r="L110" s="7">
        <f ca="1"/>
        <v>13502600</v>
      </c>
      <c r="M110" s="8">
        <f ca="1"/>
        <v>4.3159391524595261E-2</v>
      </c>
      <c r="N110" s="7">
        <f ca="1"/>
        <v>695900</v>
      </c>
      <c r="O110" s="11">
        <f ca="1"/>
        <v>362433</v>
      </c>
      <c r="P110" s="10">
        <f ca="1"/>
        <v>5.1538222268303881E-2</v>
      </c>
      <c r="Q110" s="10">
        <f ca="1"/>
        <v>2.6841719372565284E-2</v>
      </c>
      <c r="R110" s="10">
        <f ca="1"/>
        <v>7.0001110897160546E-2</v>
      </c>
      <c r="T110" s="10">
        <f ca="1"/>
        <v>0.15452773861845914</v>
      </c>
      <c r="U110" s="10" t="e">
        <f ca="1"/>
        <v>#N/A</v>
      </c>
      <c r="V110" s="10" t="e">
        <f ca="1"/>
        <v>#N/A</v>
      </c>
      <c r="W110" s="10" t="e">
        <f ca="1"/>
        <v>#N/A</v>
      </c>
    </row>
    <row r="111" spans="1:23" x14ac:dyDescent="0.25">
      <c r="A111" s="2" t="s">
        <v>113</v>
      </c>
      <c r="B111" s="3">
        <v>590797</v>
      </c>
      <c r="C111" s="3">
        <v>180908</v>
      </c>
      <c r="D111" s="3">
        <v>184930</v>
      </c>
      <c r="G111" s="5">
        <f ca="1"/>
        <v>42855</v>
      </c>
      <c r="H111" s="7">
        <f ca="1"/>
        <v>590797</v>
      </c>
      <c r="I111" s="7">
        <f ca="1"/>
        <v>180908</v>
      </c>
      <c r="J111" s="7">
        <f ca="1"/>
        <v>184930</v>
      </c>
      <c r="K111" s="7">
        <f ca="1"/>
        <v>365838</v>
      </c>
      <c r="L111" s="7">
        <f ca="1"/>
        <v>13592800</v>
      </c>
      <c r="M111" s="8">
        <f ca="1"/>
        <v>4.3463966217409215E-2</v>
      </c>
      <c r="N111" s="7">
        <f ca="1"/>
        <v>703900</v>
      </c>
      <c r="O111" s="11">
        <f ca="1"/>
        <v>365838</v>
      </c>
      <c r="P111" s="10">
        <f ca="1"/>
        <v>5.17847684068036E-2</v>
      </c>
      <c r="Q111" s="10">
        <f ca="1"/>
        <v>2.6914101583191102E-2</v>
      </c>
      <c r="R111" s="10">
        <f ca="1"/>
        <v>7.0378067800600325E-2</v>
      </c>
      <c r="T111" s="10">
        <f ca="1"/>
        <v>0.13417498532002359</v>
      </c>
      <c r="U111" s="10" t="e">
        <f ca="1"/>
        <v>#N/A</v>
      </c>
      <c r="V111" s="10" t="e">
        <f ca="1"/>
        <v>#N/A</v>
      </c>
      <c r="W111" s="10" t="e">
        <f ca="1"/>
        <v>#N/A</v>
      </c>
    </row>
    <row r="112" spans="1:23" x14ac:dyDescent="0.25">
      <c r="A112" s="2" t="s">
        <v>114</v>
      </c>
      <c r="B112" s="3">
        <v>577674</v>
      </c>
      <c r="C112" s="3">
        <v>186892</v>
      </c>
      <c r="D112" s="3">
        <v>184977</v>
      </c>
      <c r="G112" s="5">
        <f ca="1"/>
        <v>42825</v>
      </c>
      <c r="H112" s="7">
        <f ca="1"/>
        <v>577674</v>
      </c>
      <c r="I112" s="7">
        <f ca="1"/>
        <v>186892</v>
      </c>
      <c r="J112" s="7">
        <f ca="1"/>
        <v>184977</v>
      </c>
      <c r="K112" s="7">
        <f ca="1"/>
        <v>371869</v>
      </c>
      <c r="L112" s="7">
        <f ca="1"/>
        <v>13519100</v>
      </c>
      <c r="M112" s="8">
        <f ca="1"/>
        <v>4.2730211330635919E-2</v>
      </c>
      <c r="N112" s="7">
        <f ca="1"/>
        <v>711500</v>
      </c>
      <c r="O112" s="11">
        <f ca="1"/>
        <v>371869</v>
      </c>
      <c r="P112" s="10">
        <f ca="1"/>
        <v>5.2629243070914482E-2</v>
      </c>
      <c r="Q112" s="10">
        <f ca="1"/>
        <v>2.7506934633222627E-2</v>
      </c>
      <c r="R112" s="10">
        <f ca="1"/>
        <v>7.0237145963858549E-2</v>
      </c>
      <c r="T112" s="10">
        <f ca="1"/>
        <v>6.1001726823322278E-2</v>
      </c>
      <c r="U112" s="10" t="e">
        <f ca="1"/>
        <v>#N/A</v>
      </c>
      <c r="V112" s="10" t="e">
        <f ca="1"/>
        <v>#N/A</v>
      </c>
      <c r="W112" s="10" t="e">
        <f ca="1"/>
        <v>#N/A</v>
      </c>
    </row>
    <row r="113" spans="1:23" x14ac:dyDescent="0.25">
      <c r="A113" s="2" t="s">
        <v>115</v>
      </c>
      <c r="B113" s="3">
        <v>568637</v>
      </c>
      <c r="C113" s="3">
        <v>185720</v>
      </c>
      <c r="D113" s="3">
        <v>184598</v>
      </c>
      <c r="G113" s="5">
        <f ca="1"/>
        <v>42794</v>
      </c>
      <c r="H113" s="7">
        <f ca="1"/>
        <v>568637</v>
      </c>
      <c r="I113" s="7">
        <f ca="1"/>
        <v>185720</v>
      </c>
      <c r="J113" s="7">
        <f ca="1"/>
        <v>184598</v>
      </c>
      <c r="K113" s="7">
        <f ca="1"/>
        <v>370318</v>
      </c>
      <c r="L113" s="7">
        <f ca="1"/>
        <v>13332500</v>
      </c>
      <c r="M113" s="8">
        <f ca="1"/>
        <v>4.2650440652540783E-2</v>
      </c>
      <c r="N113" s="7">
        <f ca="1"/>
        <v>705800</v>
      </c>
      <c r="O113" s="11">
        <f ca="1"/>
        <v>370318</v>
      </c>
      <c r="P113" s="10">
        <f ca="1"/>
        <v>5.293830864429027E-2</v>
      </c>
      <c r="Q113" s="10">
        <f ca="1"/>
        <v>2.7775585974123381E-2</v>
      </c>
      <c r="R113" s="10">
        <f ca="1"/>
        <v>7.0426026626664168E-2</v>
      </c>
      <c r="T113" s="10">
        <f ca="1"/>
        <v>0.16776243421163972</v>
      </c>
      <c r="U113" s="10" t="e">
        <f ca="1"/>
        <v>#N/A</v>
      </c>
      <c r="V113" s="10" t="e">
        <f ca="1"/>
        <v>#N/A</v>
      </c>
      <c r="W113" s="10" t="e">
        <f ca="1"/>
        <v>#N/A</v>
      </c>
    </row>
    <row r="114" spans="1:23" x14ac:dyDescent="0.25">
      <c r="A114" s="2" t="s">
        <v>116</v>
      </c>
      <c r="B114" s="3">
        <v>553557</v>
      </c>
      <c r="C114" s="3">
        <v>186301</v>
      </c>
      <c r="D114" s="3">
        <v>186029</v>
      </c>
      <c r="G114" s="5">
        <f ca="1"/>
        <v>42766</v>
      </c>
      <c r="H114" s="7">
        <f ca="1"/>
        <v>553557</v>
      </c>
      <c r="I114" s="7">
        <f ca="1"/>
        <v>186301</v>
      </c>
      <c r="J114" s="7">
        <f ca="1"/>
        <v>186029</v>
      </c>
      <c r="K114" s="7">
        <f ca="1"/>
        <v>372330</v>
      </c>
      <c r="L114" s="7">
        <f ca="1"/>
        <v>13308000</v>
      </c>
      <c r="M114" s="8">
        <f ca="1"/>
        <v>4.1595807033363394E-2</v>
      </c>
      <c r="N114" s="7">
        <f ca="1"/>
        <v>705300</v>
      </c>
      <c r="O114" s="11">
        <f ca="1"/>
        <v>372330</v>
      </c>
      <c r="P114" s="10">
        <f ca="1"/>
        <v>5.2998196573489628E-2</v>
      </c>
      <c r="Q114" s="10">
        <f ca="1"/>
        <v>2.797790802524797E-2</v>
      </c>
      <c r="R114" s="10">
        <f ca="1"/>
        <v>6.957371505861136E-2</v>
      </c>
      <c r="T114" s="10">
        <f ca="1"/>
        <v>0.18994940474884481</v>
      </c>
      <c r="U114" s="10" t="e">
        <f ca="1"/>
        <v>#N/A</v>
      </c>
      <c r="V114" s="10" t="e">
        <f ca="1"/>
        <v>#N/A</v>
      </c>
      <c r="W114" s="10" t="e">
        <f ca="1"/>
        <v>#N/A</v>
      </c>
    </row>
    <row r="115" spans="1:23" x14ac:dyDescent="0.25">
      <c r="A115" s="2" t="s">
        <v>117</v>
      </c>
      <c r="B115" s="3">
        <v>529372</v>
      </c>
      <c r="C115" s="3">
        <v>188062</v>
      </c>
      <c r="D115" s="3">
        <v>189979</v>
      </c>
      <c r="G115" s="5">
        <f ca="1"/>
        <v>42735</v>
      </c>
      <c r="H115" s="7">
        <f ca="1"/>
        <v>529372</v>
      </c>
      <c r="I115" s="7">
        <f ca="1"/>
        <v>188062</v>
      </c>
      <c r="J115" s="7">
        <f ca="1"/>
        <v>189979</v>
      </c>
      <c r="K115" s="7">
        <f ca="1"/>
        <v>378041</v>
      </c>
      <c r="L115" s="7">
        <f ca="1"/>
        <v>13326000</v>
      </c>
      <c r="M115" s="8">
        <f ca="1"/>
        <v>3.9724748611736457E-2</v>
      </c>
      <c r="N115" s="7">
        <f ca="1"/>
        <v>709800</v>
      </c>
      <c r="O115" s="11">
        <f ca="1"/>
        <v>378041</v>
      </c>
      <c r="P115" s="10">
        <f ca="1"/>
        <v>5.3264295362449345E-2</v>
      </c>
      <c r="Q115" s="10">
        <f ca="1"/>
        <v>2.8368677772775026E-2</v>
      </c>
      <c r="R115" s="10">
        <f ca="1"/>
        <v>6.8093426384511491E-2</v>
      </c>
      <c r="T115" s="10">
        <f ca="1"/>
        <v>0.30156376321560829</v>
      </c>
      <c r="U115" s="10" t="e">
        <f ca="1"/>
        <v>#N/A</v>
      </c>
      <c r="V115" s="10" t="e">
        <f ca="1"/>
        <v>#N/A</v>
      </c>
      <c r="W115" s="10" t="e">
        <f ca="1"/>
        <v>#N/A</v>
      </c>
    </row>
    <row r="116" spans="1:23" x14ac:dyDescent="0.25">
      <c r="A116" s="2" t="s">
        <v>118</v>
      </c>
      <c r="B116" s="3">
        <v>539972</v>
      </c>
      <c r="C116" s="3">
        <v>179598</v>
      </c>
      <c r="D116" s="3">
        <v>187085</v>
      </c>
      <c r="G116" s="5">
        <f ca="1"/>
        <v>42704</v>
      </c>
      <c r="H116" s="7">
        <f ca="1"/>
        <v>539972</v>
      </c>
      <c r="I116" s="7">
        <f ca="1"/>
        <v>179598</v>
      </c>
      <c r="J116" s="7">
        <f ca="1"/>
        <v>187085</v>
      </c>
      <c r="K116" s="7">
        <f ca="1"/>
        <v>366683</v>
      </c>
      <c r="L116" s="7">
        <f ca="1"/>
        <v>13217400</v>
      </c>
      <c r="M116" s="8">
        <f ca="1"/>
        <v>4.0853117859790879E-2</v>
      </c>
      <c r="N116" s="7">
        <f ca="1"/>
        <v>703500</v>
      </c>
      <c r="O116" s="11">
        <f ca="1"/>
        <v>366683</v>
      </c>
      <c r="P116" s="10">
        <f ca="1"/>
        <v>5.3225293930727675E-2</v>
      </c>
      <c r="Q116" s="10">
        <f ca="1"/>
        <v>2.774244556418055E-2</v>
      </c>
      <c r="R116" s="10">
        <f ca="1"/>
        <v>6.8595563423971426E-2</v>
      </c>
      <c r="T116" s="10">
        <f ca="1"/>
        <v>0.31958650360877017</v>
      </c>
      <c r="U116" s="10" t="e">
        <f ca="1"/>
        <v>#N/A</v>
      </c>
      <c r="V116" s="10" t="e">
        <f ca="1"/>
        <v>#N/A</v>
      </c>
      <c r="W116" s="10" t="e">
        <f ca="1"/>
        <v>#N/A</v>
      </c>
    </row>
    <row r="117" spans="1:23" x14ac:dyDescent="0.25">
      <c r="A117" s="2" t="s">
        <v>119</v>
      </c>
      <c r="B117" s="3">
        <v>523760</v>
      </c>
      <c r="C117" s="3">
        <v>182051</v>
      </c>
      <c r="D117" s="3">
        <v>182986</v>
      </c>
      <c r="G117" s="5">
        <f ca="1"/>
        <v>42674</v>
      </c>
      <c r="H117" s="7">
        <f ca="1"/>
        <v>523760</v>
      </c>
      <c r="I117" s="7">
        <f ca="1"/>
        <v>182051</v>
      </c>
      <c r="J117" s="7">
        <f ca="1"/>
        <v>182986</v>
      </c>
      <c r="K117" s="7">
        <f ca="1"/>
        <v>365037</v>
      </c>
      <c r="L117" s="7">
        <f ca="1"/>
        <v>13105600</v>
      </c>
      <c r="M117" s="8">
        <f ca="1"/>
        <v>3.9964595287510681E-2</v>
      </c>
      <c r="N117" s="7">
        <f ca="1"/>
        <v>679600</v>
      </c>
      <c r="O117" s="11">
        <f ca="1"/>
        <v>365037</v>
      </c>
      <c r="P117" s="10">
        <f ca="1"/>
        <v>5.1855695275302163E-2</v>
      </c>
      <c r="Q117" s="10">
        <f ca="1"/>
        <v>2.7853513002075447E-2</v>
      </c>
      <c r="R117" s="10">
        <f ca="1"/>
        <v>6.7818108289586121E-2</v>
      </c>
      <c r="T117" s="10">
        <f ca="1"/>
        <v>0.32459610093361224</v>
      </c>
      <c r="U117" s="10" t="e">
        <f ca="1"/>
        <v>#N/A</v>
      </c>
      <c r="V117" s="10" t="e">
        <f ca="1"/>
        <v>#N/A</v>
      </c>
      <c r="W117" s="10" t="e">
        <f ca="1"/>
        <v>#N/A</v>
      </c>
    </row>
    <row r="118" spans="1:23" x14ac:dyDescent="0.25">
      <c r="A118" s="2" t="s">
        <v>120</v>
      </c>
      <c r="B118" s="3">
        <v>540615</v>
      </c>
      <c r="C118" s="3">
        <v>184757</v>
      </c>
      <c r="D118" s="3">
        <v>182833</v>
      </c>
      <c r="G118" s="5">
        <f ca="1"/>
        <v>42643</v>
      </c>
      <c r="H118" s="7">
        <f ca="1"/>
        <v>540615</v>
      </c>
      <c r="I118" s="7">
        <f ca="1"/>
        <v>184757</v>
      </c>
      <c r="J118" s="7">
        <f ca="1"/>
        <v>182833</v>
      </c>
      <c r="K118" s="7">
        <f ca="1"/>
        <v>367590</v>
      </c>
      <c r="L118" s="7">
        <f ca="1"/>
        <v>13047100</v>
      </c>
      <c r="M118" s="8">
        <f ca="1"/>
        <v>4.1435644702654227E-2</v>
      </c>
      <c r="N118" s="7">
        <f ca="1"/>
        <v>673400</v>
      </c>
      <c r="O118" s="11">
        <f ca="1"/>
        <v>367590</v>
      </c>
      <c r="P118" s="10">
        <f ca="1"/>
        <v>5.1613002123077158E-2</v>
      </c>
      <c r="Q118" s="10">
        <f ca="1"/>
        <v>2.817407699795357E-2</v>
      </c>
      <c r="R118" s="10">
        <f ca="1"/>
        <v>6.9609721700607793E-2</v>
      </c>
      <c r="T118" s="10">
        <f ca="1"/>
        <v>0.25370456631323579</v>
      </c>
      <c r="U118" s="10" t="e">
        <f ca="1"/>
        <v>#N/A</v>
      </c>
      <c r="V118" s="10" t="e">
        <f ca="1"/>
        <v>#N/A</v>
      </c>
      <c r="W118" s="10" t="e">
        <f ca="1"/>
        <v>#N/A</v>
      </c>
    </row>
    <row r="119" spans="1:23" x14ac:dyDescent="0.25">
      <c r="A119" s="2" t="s">
        <v>121</v>
      </c>
      <c r="B119" s="3">
        <v>510157</v>
      </c>
      <c r="C119" s="3">
        <v>177764</v>
      </c>
      <c r="D119" s="3">
        <v>185695</v>
      </c>
      <c r="G119" s="5">
        <f ca="1"/>
        <v>42613</v>
      </c>
      <c r="H119" s="7">
        <f ca="1"/>
        <v>510157</v>
      </c>
      <c r="I119" s="7">
        <f ca="1"/>
        <v>177764</v>
      </c>
      <c r="J119" s="7">
        <f ca="1"/>
        <v>185695</v>
      </c>
      <c r="K119" s="7">
        <f ca="1"/>
        <v>363459</v>
      </c>
      <c r="L119" s="7">
        <f ca="1"/>
        <v>12981300</v>
      </c>
      <c r="M119" s="8">
        <f ca="1"/>
        <v>3.9299376795852499E-2</v>
      </c>
      <c r="N119" s="7">
        <f ca="1"/>
        <v>686200</v>
      </c>
      <c r="O119" s="11">
        <f ca="1"/>
        <v>363459</v>
      </c>
      <c r="P119" s="10">
        <f ca="1"/>
        <v>5.2860653401431291E-2</v>
      </c>
      <c r="Q119" s="10">
        <f ca="1"/>
        <v>2.7998659610362599E-2</v>
      </c>
      <c r="R119" s="10">
        <f ca="1"/>
        <v>6.7298036406215095E-2</v>
      </c>
      <c r="T119" s="10">
        <f ca="1"/>
        <v>0.2461226651926578</v>
      </c>
      <c r="U119" s="10" t="e">
        <f ca="1"/>
        <v>#N/A</v>
      </c>
      <c r="V119" s="10" t="e">
        <f ca="1"/>
        <v>#N/A</v>
      </c>
      <c r="W119" s="10" t="e">
        <f ca="1"/>
        <v>#N/A</v>
      </c>
    </row>
    <row r="120" spans="1:23" x14ac:dyDescent="0.25">
      <c r="A120" s="2" t="s">
        <v>122</v>
      </c>
      <c r="B120" s="3">
        <v>513221</v>
      </c>
      <c r="C120" s="3">
        <v>183435</v>
      </c>
      <c r="D120" s="3">
        <v>188155</v>
      </c>
      <c r="G120" s="5">
        <f ca="1"/>
        <v>42582</v>
      </c>
      <c r="H120" s="7">
        <f ca="1"/>
        <v>513221</v>
      </c>
      <c r="I120" s="7">
        <f ca="1"/>
        <v>183435</v>
      </c>
      <c r="J120" s="7">
        <f ca="1"/>
        <v>188155</v>
      </c>
      <c r="K120" s="7">
        <f ca="1"/>
        <v>371590</v>
      </c>
      <c r="L120" s="7">
        <f ca="1"/>
        <v>12884200</v>
      </c>
      <c r="M120" s="8">
        <f ca="1"/>
        <v>3.983336179196225E-2</v>
      </c>
      <c r="N120" s="7">
        <f ca="1"/>
        <v>715900</v>
      </c>
      <c r="O120" s="11">
        <f ca="1"/>
        <v>371590</v>
      </c>
      <c r="P120" s="10">
        <f ca="1"/>
        <v>5.5564179382499496E-2</v>
      </c>
      <c r="Q120" s="10">
        <f ca="1"/>
        <v>2.8840750686887816E-2</v>
      </c>
      <c r="R120" s="10">
        <f ca="1"/>
        <v>6.8674112478850066E-2</v>
      </c>
      <c r="T120" s="10">
        <f ca="1"/>
        <v>0.21827843209422171</v>
      </c>
      <c r="U120" s="10" t="e">
        <f ca="1"/>
        <v>#N/A</v>
      </c>
      <c r="V120" s="10" t="e">
        <f ca="1"/>
        <v>#N/A</v>
      </c>
      <c r="W120" s="10" t="e">
        <f ca="1"/>
        <v>#N/A</v>
      </c>
    </row>
    <row r="121" spans="1:23" x14ac:dyDescent="0.25">
      <c r="A121" s="2" t="s">
        <v>123</v>
      </c>
      <c r="B121" s="3">
        <v>487636</v>
      </c>
      <c r="C121" s="3">
        <v>186233</v>
      </c>
      <c r="D121" s="3">
        <v>189585</v>
      </c>
      <c r="G121" s="5">
        <f ca="1"/>
        <v>42551</v>
      </c>
      <c r="H121" s="7">
        <f ca="1"/>
        <v>487636</v>
      </c>
      <c r="I121" s="7">
        <f ca="1"/>
        <v>186233</v>
      </c>
      <c r="J121" s="7">
        <f ca="1"/>
        <v>189585</v>
      </c>
      <c r="K121" s="7">
        <f ca="1"/>
        <v>375818</v>
      </c>
      <c r="L121" s="7">
        <f ca="1"/>
        <v>12822600</v>
      </c>
      <c r="M121" s="8">
        <f ca="1"/>
        <v>3.8029416810943177E-2</v>
      </c>
      <c r="N121" s="7">
        <f ca="1"/>
        <v>716900</v>
      </c>
      <c r="O121" s="11">
        <f ca="1"/>
        <v>375818</v>
      </c>
      <c r="P121" s="10">
        <f ca="1"/>
        <v>5.5909097998845789E-2</v>
      </c>
      <c r="Q121" s="10">
        <f ca="1"/>
        <v>2.9309032489510708E-2</v>
      </c>
      <c r="R121" s="10">
        <f ca="1"/>
        <v>6.7338449300453879E-2</v>
      </c>
      <c r="T121" s="10">
        <f ca="1"/>
        <v>0.25824018753037348</v>
      </c>
      <c r="U121" s="10" t="e">
        <f ca="1"/>
        <v>#N/A</v>
      </c>
      <c r="V121" s="10" t="e">
        <f ca="1"/>
        <v>#N/A</v>
      </c>
      <c r="W121" s="10" t="e">
        <f ca="1"/>
        <v>#N/A</v>
      </c>
    </row>
    <row r="122" spans="1:23" x14ac:dyDescent="0.25">
      <c r="A122" s="2" t="s">
        <v>124</v>
      </c>
      <c r="B122" s="3">
        <v>489867</v>
      </c>
      <c r="C122" s="3">
        <v>177161</v>
      </c>
      <c r="D122" s="3">
        <v>187495</v>
      </c>
      <c r="G122" s="5">
        <f ca="1"/>
        <v>42521</v>
      </c>
      <c r="H122" s="7">
        <f ca="1"/>
        <v>489867</v>
      </c>
      <c r="I122" s="7">
        <f ca="1"/>
        <v>177161</v>
      </c>
      <c r="J122" s="7">
        <f ca="1"/>
        <v>187495</v>
      </c>
      <c r="K122" s="7">
        <f ca="1"/>
        <v>364656</v>
      </c>
      <c r="L122" s="7">
        <f ca="1"/>
        <v>12742200</v>
      </c>
      <c r="M122" s="8">
        <f ca="1"/>
        <v>3.8444460140321136E-2</v>
      </c>
      <c r="N122" s="7">
        <f ca="1"/>
        <v>731700</v>
      </c>
      <c r="O122" s="11">
        <f ca="1"/>
        <v>364656</v>
      </c>
      <c r="P122" s="10">
        <f ca="1"/>
        <v>5.742336488204549E-2</v>
      </c>
      <c r="Q122" s="10">
        <f ca="1"/>
        <v>2.8617978057164383E-2</v>
      </c>
      <c r="R122" s="10">
        <f ca="1"/>
        <v>6.7062438197485516E-2</v>
      </c>
      <c r="T122" s="10">
        <f ca="1"/>
        <v>0.29417967199616601</v>
      </c>
      <c r="U122" s="10" t="e">
        <f ca="1"/>
        <v>#N/A</v>
      </c>
      <c r="V122" s="10" t="e">
        <f ca="1"/>
        <v>#N/A</v>
      </c>
      <c r="W122" s="10" t="e">
        <f ca="1"/>
        <v>#N/A</v>
      </c>
    </row>
    <row r="123" spans="1:23" x14ac:dyDescent="0.25">
      <c r="A123" s="2" t="s">
        <v>125</v>
      </c>
      <c r="B123" s="3">
        <v>495178</v>
      </c>
      <c r="C123" s="3">
        <v>176016</v>
      </c>
      <c r="D123" s="3">
        <v>187000</v>
      </c>
      <c r="G123" s="5">
        <f ca="1"/>
        <v>42490</v>
      </c>
      <c r="H123" s="7">
        <f ca="1"/>
        <v>495178</v>
      </c>
      <c r="I123" s="7">
        <f ca="1"/>
        <v>176016</v>
      </c>
      <c r="J123" s="7">
        <f ca="1"/>
        <v>187000</v>
      </c>
      <c r="K123" s="7">
        <f ca="1"/>
        <v>363016</v>
      </c>
      <c r="L123" s="7">
        <f ca="1"/>
        <v>12810500</v>
      </c>
      <c r="M123" s="8">
        <f ca="1"/>
        <v>3.8654072830880917E-2</v>
      </c>
      <c r="N123" s="7">
        <f ca="1"/>
        <v>740500</v>
      </c>
      <c r="O123" s="11">
        <f ca="1"/>
        <v>363016</v>
      </c>
      <c r="P123" s="10">
        <f ca="1"/>
        <v>5.7804145037274109E-2</v>
      </c>
      <c r="Q123" s="10">
        <f ca="1"/>
        <v>2.8337379493384333E-2</v>
      </c>
      <c r="R123" s="10">
        <f ca="1"/>
        <v>6.6991452324265247E-2</v>
      </c>
      <c r="T123" s="10">
        <f ca="1"/>
        <v>0.36726380343731124</v>
      </c>
      <c r="U123" s="10" t="e">
        <f ca="1"/>
        <v>#N/A</v>
      </c>
      <c r="V123" s="10" t="e">
        <f ca="1"/>
        <v>#N/A</v>
      </c>
      <c r="W123" s="10" t="e">
        <f ca="1"/>
        <v>#N/A</v>
      </c>
    </row>
    <row r="124" spans="1:23" x14ac:dyDescent="0.25">
      <c r="A124" s="2" t="s">
        <v>126</v>
      </c>
      <c r="B124" s="3">
        <v>483909</v>
      </c>
      <c r="C124" s="3">
        <v>182673</v>
      </c>
      <c r="D124" s="3">
        <v>172525</v>
      </c>
      <c r="G124" s="5">
        <f ca="1"/>
        <v>42460</v>
      </c>
      <c r="H124" s="7">
        <f ca="1"/>
        <v>483909</v>
      </c>
      <c r="I124" s="7">
        <f ca="1"/>
        <v>182673</v>
      </c>
      <c r="J124" s="7">
        <f ca="1"/>
        <v>172525</v>
      </c>
      <c r="K124" s="7">
        <f ca="1"/>
        <v>355198</v>
      </c>
      <c r="L124" s="7">
        <f ca="1"/>
        <v>12716600</v>
      </c>
      <c r="M124" s="8">
        <f ca="1"/>
        <v>3.8053331865435733E-2</v>
      </c>
      <c r="N124" s="7">
        <f ca="1"/>
        <v>753200</v>
      </c>
      <c r="O124" s="11">
        <f ca="1"/>
        <v>355198</v>
      </c>
      <c r="P124" s="10">
        <f ca="1"/>
        <v>5.9229668307566485E-2</v>
      </c>
      <c r="Q124" s="10">
        <f ca="1"/>
        <v>2.793183712627589E-2</v>
      </c>
      <c r="R124" s="10">
        <f ca="1"/>
        <v>6.5985168991711626E-2</v>
      </c>
      <c r="T124" s="10">
        <f ca="1"/>
        <v>0.2980327675707104</v>
      </c>
      <c r="U124" s="10" t="e">
        <f ca="1"/>
        <v>#N/A</v>
      </c>
      <c r="V124" s="10" t="e">
        <f ca="1"/>
        <v>#N/A</v>
      </c>
      <c r="W124" s="10" t="e">
        <f ca="1"/>
        <v>#N/A</v>
      </c>
    </row>
    <row r="125" spans="1:23" x14ac:dyDescent="0.25">
      <c r="A125" s="2" t="s">
        <v>127</v>
      </c>
      <c r="B125" s="3">
        <v>474156</v>
      </c>
      <c r="C125" s="3">
        <v>178989</v>
      </c>
      <c r="D125" s="3">
        <v>168308</v>
      </c>
      <c r="G125" s="5">
        <f ca="1"/>
        <v>42429</v>
      </c>
      <c r="H125" s="7">
        <f ca="1"/>
        <v>474156</v>
      </c>
      <c r="I125" s="7">
        <f ca="1"/>
        <v>178989</v>
      </c>
      <c r="J125" s="7">
        <f ca="1"/>
        <v>168308</v>
      </c>
      <c r="K125" s="7">
        <f ca="1"/>
        <v>347297</v>
      </c>
      <c r="L125" s="7">
        <f ca="1"/>
        <v>12548600</v>
      </c>
      <c r="M125" s="8">
        <f ca="1"/>
        <v>3.7785569704987011E-2</v>
      </c>
      <c r="N125" s="7">
        <f ca="1"/>
        <v>775100</v>
      </c>
      <c r="O125" s="11">
        <f ca="1"/>
        <v>347297</v>
      </c>
      <c r="P125" s="10">
        <f ca="1"/>
        <v>6.17678466123711E-2</v>
      </c>
      <c r="Q125" s="10">
        <f ca="1"/>
        <v>2.7676155108936455E-2</v>
      </c>
      <c r="R125" s="10">
        <f ca="1"/>
        <v>6.5461724813923469E-2</v>
      </c>
      <c r="T125" s="10">
        <f ca="1"/>
        <v>0.37021991520787267</v>
      </c>
      <c r="U125" s="10" t="e">
        <f ca="1"/>
        <v>#N/A</v>
      </c>
      <c r="V125" s="10" t="e">
        <f ca="1"/>
        <v>#N/A</v>
      </c>
      <c r="W125" s="10" t="e">
        <f ca="1"/>
        <v>#N/A</v>
      </c>
    </row>
    <row r="126" spans="1:23" x14ac:dyDescent="0.25">
      <c r="A126" s="2" t="s">
        <v>128</v>
      </c>
      <c r="B126" s="3">
        <v>487200</v>
      </c>
      <c r="C126" s="3">
        <v>180616</v>
      </c>
      <c r="D126" s="3">
        <v>162825</v>
      </c>
      <c r="G126" s="5">
        <f ca="1"/>
        <v>42400</v>
      </c>
      <c r="H126" s="7">
        <f ca="1"/>
        <v>487200</v>
      </c>
      <c r="I126" s="7">
        <f ca="1"/>
        <v>180616</v>
      </c>
      <c r="J126" s="7">
        <f ca="1"/>
        <v>162825</v>
      </c>
      <c r="K126" s="7">
        <f ca="1"/>
        <v>343441</v>
      </c>
      <c r="L126" s="7">
        <f ca="1"/>
        <v>12509600</v>
      </c>
      <c r="M126" s="8">
        <f ca="1"/>
        <v>3.8946089403338234E-2</v>
      </c>
      <c r="N126" s="7">
        <f ca="1"/>
        <v>781400</v>
      </c>
      <c r="O126" s="11">
        <f ca="1"/>
        <v>343441</v>
      </c>
      <c r="P126" s="10">
        <f ca="1"/>
        <v>6.2464027626782631E-2</v>
      </c>
      <c r="Q126" s="10">
        <f ca="1"/>
        <v>2.7454195178103217E-2</v>
      </c>
      <c r="R126" s="10">
        <f ca="1"/>
        <v>6.6400284581441454E-2</v>
      </c>
      <c r="T126" s="10">
        <f ca="1"/>
        <v>0.32728941417649593</v>
      </c>
      <c r="U126" s="10" t="e">
        <f ca="1"/>
        <v>#N/A</v>
      </c>
      <c r="V126" s="10" t="e">
        <f ca="1"/>
        <v>#N/A</v>
      </c>
      <c r="W126" s="10" t="e">
        <f ca="1"/>
        <v>#N/A</v>
      </c>
    </row>
    <row r="127" spans="1:23" x14ac:dyDescent="0.25">
      <c r="A127" s="2" t="s">
        <v>129</v>
      </c>
      <c r="B127" s="3">
        <v>503444</v>
      </c>
      <c r="C127" s="3">
        <v>181812</v>
      </c>
      <c r="D127" s="3">
        <v>159677</v>
      </c>
      <c r="G127" s="5">
        <f ca="1"/>
        <v>42369</v>
      </c>
      <c r="H127" s="7">
        <f ca="1"/>
        <v>503444</v>
      </c>
      <c r="I127" s="7">
        <f ca="1"/>
        <v>181812</v>
      </c>
      <c r="J127" s="7">
        <f ca="1"/>
        <v>159677</v>
      </c>
      <c r="K127" s="7">
        <f ca="1"/>
        <v>341489</v>
      </c>
      <c r="L127" s="7">
        <f ca="1"/>
        <v>12458000</v>
      </c>
      <c r="M127" s="8">
        <f ca="1"/>
        <v>4.0411301974634772E-2</v>
      </c>
      <c r="N127" s="7">
        <f ca="1"/>
        <v>702500</v>
      </c>
      <c r="O127" s="11">
        <f ca="1"/>
        <v>341489</v>
      </c>
      <c r="P127" s="10">
        <f ca="1"/>
        <v>5.6389468614544871E-2</v>
      </c>
      <c r="Q127" s="10">
        <f ca="1"/>
        <v>2.7411221704928559E-2</v>
      </c>
      <c r="R127" s="10">
        <f ca="1"/>
        <v>6.7822523679563332E-2</v>
      </c>
      <c r="T127" s="10">
        <f ca="1"/>
        <v>0.23259981810750108</v>
      </c>
      <c r="U127" s="10" t="e">
        <f ca="1"/>
        <v>#N/A</v>
      </c>
      <c r="V127" s="10" t="e">
        <f ca="1"/>
        <v>#N/A</v>
      </c>
      <c r="W127" s="10" t="e">
        <f ca="1"/>
        <v>#N/A</v>
      </c>
    </row>
    <row r="128" spans="1:23" x14ac:dyDescent="0.25">
      <c r="A128" s="2" t="s">
        <v>130</v>
      </c>
      <c r="B128" s="3">
        <v>515410</v>
      </c>
      <c r="C128" s="3">
        <v>174607</v>
      </c>
      <c r="D128" s="3">
        <v>165584</v>
      </c>
      <c r="G128" s="5">
        <f ca="1"/>
        <v>42338</v>
      </c>
      <c r="H128" s="7">
        <f ca="1"/>
        <v>515410</v>
      </c>
      <c r="I128" s="7">
        <f ca="1"/>
        <v>174607</v>
      </c>
      <c r="J128" s="7">
        <f ca="1"/>
        <v>165584</v>
      </c>
      <c r="K128" s="7">
        <f ca="1"/>
        <v>340191</v>
      </c>
      <c r="L128" s="7">
        <f ca="1"/>
        <v>12328400</v>
      </c>
      <c r="M128" s="8">
        <f ca="1"/>
        <v>4.1806722689075627E-2</v>
      </c>
      <c r="N128" s="7">
        <f ca="1"/>
        <v>661600</v>
      </c>
      <c r="O128" s="11">
        <f ca="1"/>
        <v>340191</v>
      </c>
      <c r="P128" s="10">
        <f ca="1"/>
        <v>5.3664709126894E-2</v>
      </c>
      <c r="Q128" s="10">
        <f ca="1"/>
        <v>2.7594091690730346E-2</v>
      </c>
      <c r="R128" s="10">
        <f ca="1"/>
        <v>6.940081437980597E-2</v>
      </c>
      <c r="T128" s="10">
        <f ca="1"/>
        <v>0.18805913469905167</v>
      </c>
      <c r="U128" s="10" t="e">
        <f ca="1"/>
        <v>#N/A</v>
      </c>
      <c r="V128" s="10" t="e">
        <f ca="1"/>
        <v>#N/A</v>
      </c>
      <c r="W128" s="10" t="e">
        <f ca="1"/>
        <v>#N/A</v>
      </c>
    </row>
    <row r="129" spans="1:23" x14ac:dyDescent="0.25">
      <c r="A129" s="2" t="s">
        <v>131</v>
      </c>
      <c r="B129" s="3">
        <v>513941</v>
      </c>
      <c r="C129" s="3">
        <v>174437</v>
      </c>
      <c r="D129" s="3">
        <v>163210</v>
      </c>
      <c r="G129" s="5">
        <f ca="1"/>
        <v>42308</v>
      </c>
      <c r="H129" s="7">
        <f ca="1"/>
        <v>513941</v>
      </c>
      <c r="I129" s="7">
        <f ca="1"/>
        <v>174437</v>
      </c>
      <c r="J129" s="7">
        <f ca="1"/>
        <v>163210</v>
      </c>
      <c r="K129" s="7">
        <f ca="1"/>
        <v>337647</v>
      </c>
      <c r="L129" s="7">
        <f ca="1"/>
        <v>12201000</v>
      </c>
      <c r="M129" s="8">
        <f ca="1"/>
        <v>4.2122858782067042E-2</v>
      </c>
      <c r="N129" s="7">
        <f ca="1"/>
        <v>653000</v>
      </c>
      <c r="O129" s="11">
        <f ca="1"/>
        <v>337647</v>
      </c>
      <c r="P129" s="10">
        <f ca="1"/>
        <v>5.35202032620277E-2</v>
      </c>
      <c r="Q129" s="10">
        <f ca="1"/>
        <v>2.7673715269240225E-2</v>
      </c>
      <c r="R129" s="10">
        <f ca="1"/>
        <v>6.9796574051307264E-2</v>
      </c>
      <c r="T129" s="10">
        <f ca="1"/>
        <v>0.18800971086380591</v>
      </c>
      <c r="U129" s="10" t="e">
        <f ca="1"/>
        <v>#N/A</v>
      </c>
      <c r="V129" s="10" t="e">
        <f ca="1"/>
        <v>#N/A</v>
      </c>
      <c r="W129" s="10" t="e">
        <f ca="1"/>
        <v>#N/A</v>
      </c>
    </row>
    <row r="130" spans="1:23" x14ac:dyDescent="0.25">
      <c r="A130" s="2" t="s">
        <v>132</v>
      </c>
      <c r="B130" s="3">
        <v>497279</v>
      </c>
      <c r="C130" s="3">
        <v>173760</v>
      </c>
      <c r="D130" s="3">
        <v>167132</v>
      </c>
      <c r="G130" s="5">
        <f ca="1"/>
        <v>42277</v>
      </c>
      <c r="H130" s="7">
        <f ca="1"/>
        <v>497279</v>
      </c>
      <c r="I130" s="7">
        <f ca="1"/>
        <v>173760</v>
      </c>
      <c r="J130" s="7">
        <f ca="1"/>
        <v>167132</v>
      </c>
      <c r="K130" s="7">
        <f ca="1"/>
        <v>340892</v>
      </c>
      <c r="L130" s="7">
        <f ca="1"/>
        <v>12166600</v>
      </c>
      <c r="M130" s="8">
        <f ca="1"/>
        <v>4.0872470534085117E-2</v>
      </c>
      <c r="N130" s="7">
        <f ca="1"/>
        <v>653100</v>
      </c>
      <c r="O130" s="11">
        <f ca="1"/>
        <v>340892</v>
      </c>
      <c r="P130" s="10">
        <f ca="1"/>
        <v>5.3679746190390086E-2</v>
      </c>
      <c r="Q130" s="10">
        <f ca="1"/>
        <v>2.8018674074926437E-2</v>
      </c>
      <c r="R130" s="10">
        <f ca="1"/>
        <v>6.8891144609011551E-2</v>
      </c>
      <c r="T130" s="10">
        <f ca="1"/>
        <v>0.2621729676214799</v>
      </c>
      <c r="U130" s="10" t="e">
        <f ca="1"/>
        <v>#N/A</v>
      </c>
      <c r="V130" s="10" t="e">
        <f ca="1"/>
        <v>#N/A</v>
      </c>
      <c r="W130" s="10" t="e">
        <f ca="1"/>
        <v>#N/A</v>
      </c>
    </row>
    <row r="131" spans="1:23" x14ac:dyDescent="0.25">
      <c r="A131" s="2" t="s">
        <v>133</v>
      </c>
      <c r="B131" s="3">
        <v>515960</v>
      </c>
      <c r="C131" s="3">
        <v>175647</v>
      </c>
      <c r="D131" s="3">
        <v>168692</v>
      </c>
      <c r="G131" s="5">
        <f ca="1"/>
        <v>42247</v>
      </c>
      <c r="H131" s="7">
        <f ca="1"/>
        <v>515960</v>
      </c>
      <c r="I131" s="7">
        <f ca="1"/>
        <v>175647</v>
      </c>
      <c r="J131" s="7">
        <f ca="1"/>
        <v>168692</v>
      </c>
      <c r="K131" s="7">
        <f ca="1"/>
        <v>344339</v>
      </c>
      <c r="L131" s="7">
        <f ca="1"/>
        <v>12099400</v>
      </c>
      <c r="M131" s="8">
        <f ca="1"/>
        <v>4.2643436864637917E-2</v>
      </c>
      <c r="N131" s="7">
        <f ca="1"/>
        <v>649500</v>
      </c>
      <c r="O131" s="11">
        <f ca="1"/>
        <v>344339</v>
      </c>
      <c r="P131" s="10">
        <f ca="1"/>
        <v>5.3680347785840618E-2</v>
      </c>
      <c r="Q131" s="10">
        <f ca="1"/>
        <v>2.8459179794039374E-2</v>
      </c>
      <c r="R131" s="10">
        <f ca="1"/>
        <v>7.1102616658677287E-2</v>
      </c>
      <c r="T131" s="10">
        <f ca="1"/>
        <v>0.22291065436031166</v>
      </c>
      <c r="U131" s="10" t="e">
        <f ca="1"/>
        <v>#N/A</v>
      </c>
      <c r="V131" s="10" t="e">
        <f ca="1"/>
        <v>#N/A</v>
      </c>
      <c r="W131" s="10" t="e">
        <f ca="1"/>
        <v>#N/A</v>
      </c>
    </row>
    <row r="132" spans="1:23" x14ac:dyDescent="0.25">
      <c r="A132" s="2" t="s">
        <v>134</v>
      </c>
      <c r="B132" s="3">
        <v>530744</v>
      </c>
      <c r="C132" s="3">
        <v>168659</v>
      </c>
      <c r="D132" s="3">
        <v>169132</v>
      </c>
      <c r="G132" s="5">
        <f ca="1"/>
        <v>42216</v>
      </c>
      <c r="H132" s="7">
        <f ca="1"/>
        <v>530744</v>
      </c>
      <c r="I132" s="7">
        <f ca="1"/>
        <v>168659</v>
      </c>
      <c r="J132" s="7">
        <f ca="1"/>
        <v>169132</v>
      </c>
      <c r="K132" s="7">
        <f ca="1"/>
        <v>337791</v>
      </c>
      <c r="L132" s="7">
        <f ca="1"/>
        <v>12041900</v>
      </c>
      <c r="M132" s="8">
        <f ca="1"/>
        <v>4.4074772253548028E-2</v>
      </c>
      <c r="N132" s="7">
        <f ca="1"/>
        <v>637900</v>
      </c>
      <c r="O132" s="11">
        <f ca="1"/>
        <v>337791</v>
      </c>
      <c r="P132" s="10">
        <f ca="1"/>
        <v>5.2973367990101231E-2</v>
      </c>
      <c r="Q132" s="10">
        <f ca="1"/>
        <v>2.8051304196181667E-2</v>
      </c>
      <c r="R132" s="10">
        <f ca="1"/>
        <v>7.2126076449729695E-2</v>
      </c>
      <c r="T132" s="10">
        <f ca="1"/>
        <v>0.13326103714968096</v>
      </c>
      <c r="U132" s="10" t="e">
        <f ca="1"/>
        <v>#N/A</v>
      </c>
      <c r="V132" s="10" t="e">
        <f ca="1"/>
        <v>#N/A</v>
      </c>
      <c r="W132" s="10" t="e">
        <f ca="1"/>
        <v>#N/A</v>
      </c>
    </row>
    <row r="133" spans="1:23" x14ac:dyDescent="0.25">
      <c r="A133" s="2" t="s">
        <v>135</v>
      </c>
      <c r="B133" s="3">
        <v>547957</v>
      </c>
      <c r="C133" s="3">
        <v>170614</v>
      </c>
      <c r="D133" s="3">
        <v>168441</v>
      </c>
      <c r="G133" s="5">
        <f ca="1"/>
        <v>42185</v>
      </c>
      <c r="H133" s="7">
        <f ca="1"/>
        <v>547957</v>
      </c>
      <c r="I133" s="7">
        <f ca="1"/>
        <v>170614</v>
      </c>
      <c r="J133" s="7">
        <f ca="1"/>
        <v>168441</v>
      </c>
      <c r="K133" s="7">
        <f ca="1"/>
        <v>339055</v>
      </c>
      <c r="L133" s="7">
        <f ca="1"/>
        <v>11990600</v>
      </c>
      <c r="M133" s="8">
        <f ca="1"/>
        <v>4.5698880789952129E-2</v>
      </c>
      <c r="N133" s="7">
        <f ca="1"/>
        <v>635200</v>
      </c>
      <c r="O133" s="11">
        <f ca="1"/>
        <v>339055</v>
      </c>
      <c r="P133" s="10">
        <f ca="1"/>
        <v>5.2974830283722248E-2</v>
      </c>
      <c r="Q133" s="10">
        <f ca="1"/>
        <v>2.8276733441195603E-2</v>
      </c>
      <c r="R133" s="10">
        <f ca="1"/>
        <v>7.3975614231147735E-2</v>
      </c>
      <c r="T133" s="10">
        <f ca="1"/>
        <v>0.14522244426038933</v>
      </c>
      <c r="U133" s="10" t="e">
        <f ca="1"/>
        <v>#N/A</v>
      </c>
      <c r="V133" s="10" t="e">
        <f ca="1"/>
        <v>#N/A</v>
      </c>
      <c r="W133" s="10" t="e">
        <f ca="1"/>
        <v>#N/A</v>
      </c>
    </row>
    <row r="134" spans="1:23" x14ac:dyDescent="0.25">
      <c r="A134" s="2" t="s">
        <v>136</v>
      </c>
      <c r="B134" s="3">
        <v>541671</v>
      </c>
      <c r="C134" s="3">
        <v>166334</v>
      </c>
      <c r="D134" s="3">
        <v>169076</v>
      </c>
      <c r="G134" s="5">
        <f ca="1"/>
        <v>42155</v>
      </c>
      <c r="H134" s="7">
        <f ca="1"/>
        <v>541671</v>
      </c>
      <c r="I134" s="7">
        <f ca="1"/>
        <v>166334</v>
      </c>
      <c r="J134" s="7">
        <f ca="1"/>
        <v>169076</v>
      </c>
      <c r="K134" s="7">
        <f ca="1"/>
        <v>335410</v>
      </c>
      <c r="L134" s="7">
        <f ca="1"/>
        <v>11934700</v>
      </c>
      <c r="M134" s="8">
        <f ca="1"/>
        <v>4.5386226717051954E-2</v>
      </c>
      <c r="N134" s="7">
        <f ca="1"/>
        <v>632700</v>
      </c>
      <c r="O134" s="11">
        <f ca="1"/>
        <v>335410</v>
      </c>
      <c r="P134" s="10">
        <f ca="1"/>
        <v>5.3013481696230318E-2</v>
      </c>
      <c r="Q134" s="10">
        <f ca="1"/>
        <v>2.8103764652651513E-2</v>
      </c>
      <c r="R134" s="10">
        <f ca="1"/>
        <v>7.3489991369703467E-2</v>
      </c>
      <c r="T134" s="10">
        <f ca="1"/>
        <v>0.12159596490632829</v>
      </c>
      <c r="U134" s="10" t="e">
        <f ca="1"/>
        <v>#N/A</v>
      </c>
      <c r="V134" s="10" t="e">
        <f ca="1"/>
        <v>#N/A</v>
      </c>
      <c r="W134" s="10" t="e">
        <f ca="1"/>
        <v>#N/A</v>
      </c>
    </row>
    <row r="135" spans="1:23" x14ac:dyDescent="0.25">
      <c r="A135" s="2" t="s">
        <v>137</v>
      </c>
      <c r="B135" s="3">
        <v>549964</v>
      </c>
      <c r="C135" s="3">
        <v>168430</v>
      </c>
      <c r="D135" s="3">
        <v>167073</v>
      </c>
      <c r="G135" s="5">
        <f ca="1"/>
        <v>42124</v>
      </c>
      <c r="H135" s="7">
        <f ca="1"/>
        <v>549964</v>
      </c>
      <c r="I135" s="7">
        <f ca="1"/>
        <v>168430</v>
      </c>
      <c r="J135" s="7">
        <f ca="1"/>
        <v>167073</v>
      </c>
      <c r="K135" s="7">
        <f ca="1"/>
        <v>335503</v>
      </c>
      <c r="L135" s="7">
        <f ca="1"/>
        <v>12031300</v>
      </c>
      <c r="M135" s="8">
        <f ca="1"/>
        <v>4.5711103538271007E-2</v>
      </c>
      <c r="N135" s="7">
        <f ca="1"/>
        <v>635700</v>
      </c>
      <c r="O135" s="11">
        <f ca="1"/>
        <v>335503</v>
      </c>
      <c r="P135" s="10">
        <f ca="1"/>
        <v>5.2837183014304359E-2</v>
      </c>
      <c r="Q135" s="10">
        <f ca="1"/>
        <v>2.7885847747126245E-2</v>
      </c>
      <c r="R135" s="10">
        <f ca="1"/>
        <v>7.3596951285397255E-2</v>
      </c>
      <c r="T135" s="10">
        <f ca="1"/>
        <v>9.2715925279164946E-2</v>
      </c>
      <c r="U135" s="10" t="e">
        <f ca="1"/>
        <v>#N/A</v>
      </c>
      <c r="V135" s="10" t="e">
        <f ca="1"/>
        <v>#N/A</v>
      </c>
      <c r="W135" s="10" t="e">
        <f ca="1"/>
        <v>#N/A</v>
      </c>
    </row>
    <row r="136" spans="1:23" x14ac:dyDescent="0.25">
      <c r="A136" s="2" t="s">
        <v>138</v>
      </c>
      <c r="B136" s="3">
        <v>518055</v>
      </c>
      <c r="C136" s="3">
        <v>171625</v>
      </c>
      <c r="D136" s="3">
        <v>170074</v>
      </c>
      <c r="G136" s="5">
        <f ca="1"/>
        <v>42094</v>
      </c>
      <c r="H136" s="7">
        <f ca="1"/>
        <v>518055</v>
      </c>
      <c r="I136" s="7">
        <f ca="1"/>
        <v>171625</v>
      </c>
      <c r="J136" s="7">
        <f ca="1"/>
        <v>170074</v>
      </c>
      <c r="K136" s="7">
        <f ca="1"/>
        <v>341699</v>
      </c>
      <c r="L136" s="7">
        <f ca="1"/>
        <v>11983000</v>
      </c>
      <c r="M136" s="8">
        <f ca="1"/>
        <v>4.3232496036051074E-2</v>
      </c>
      <c r="N136" s="7">
        <f ca="1"/>
        <v>653800</v>
      </c>
      <c r="O136" s="11">
        <f ca="1"/>
        <v>341699</v>
      </c>
      <c r="P136" s="10">
        <f ca="1"/>
        <v>5.4560627555703914E-2</v>
      </c>
      <c r="Q136" s="10">
        <f ca="1"/>
        <v>2.8515313360594177E-2</v>
      </c>
      <c r="R136" s="10">
        <f ca="1"/>
        <v>7.1747809396645254E-2</v>
      </c>
      <c r="T136" s="10">
        <f ca="1"/>
        <v>8.266402772962067E-2</v>
      </c>
      <c r="U136" s="10" t="e">
        <f ca="1"/>
        <v>#N/A</v>
      </c>
      <c r="V136" s="10" t="e">
        <f ca="1"/>
        <v>#N/A</v>
      </c>
      <c r="W136" s="10" t="e">
        <f ca="1"/>
        <v>#N/A</v>
      </c>
    </row>
    <row r="137" spans="1:23" x14ac:dyDescent="0.25">
      <c r="A137" s="2" t="s">
        <v>139</v>
      </c>
      <c r="B137" s="3">
        <v>504923</v>
      </c>
      <c r="C137" s="3">
        <v>168371</v>
      </c>
      <c r="D137" s="3">
        <v>170930</v>
      </c>
      <c r="G137" s="5">
        <f ca="1"/>
        <v>42063</v>
      </c>
      <c r="H137" s="7">
        <f ca="1"/>
        <v>504923</v>
      </c>
      <c r="I137" s="7">
        <f ca="1"/>
        <v>168371</v>
      </c>
      <c r="J137" s="7">
        <f ca="1"/>
        <v>170930</v>
      </c>
      <c r="K137" s="7">
        <f ca="1"/>
        <v>339301</v>
      </c>
      <c r="L137" s="7">
        <f ca="1"/>
        <v>11873500</v>
      </c>
      <c r="M137" s="8">
        <f ca="1"/>
        <v>4.2525203183560026E-2</v>
      </c>
      <c r="N137" s="7">
        <f ca="1"/>
        <v>658700</v>
      </c>
      <c r="O137" s="11">
        <f ca="1"/>
        <v>339301</v>
      </c>
      <c r="P137" s="10">
        <f ca="1"/>
        <v>5.5476481239735545E-2</v>
      </c>
      <c r="Q137" s="10">
        <f ca="1"/>
        <v>2.8576325430580706E-2</v>
      </c>
      <c r="R137" s="10">
        <f ca="1"/>
        <v>7.1101528614140735E-2</v>
      </c>
      <c r="T137" s="10">
        <f ca="1"/>
        <v>4.4813494891898342E-2</v>
      </c>
      <c r="U137" s="10" t="e">
        <f ca="1"/>
        <v>#N/A</v>
      </c>
      <c r="V137" s="10" t="e">
        <f ca="1"/>
        <v>#N/A</v>
      </c>
      <c r="W137" s="10" t="e">
        <f ca="1"/>
        <v>#N/A</v>
      </c>
    </row>
    <row r="138" spans="1:23" x14ac:dyDescent="0.25">
      <c r="A138" s="2" t="s">
        <v>140</v>
      </c>
      <c r="B138" s="3">
        <v>485872</v>
      </c>
      <c r="C138" s="3">
        <v>163599</v>
      </c>
      <c r="D138" s="3">
        <v>178259</v>
      </c>
      <c r="G138" s="5">
        <f ca="1"/>
        <v>42035</v>
      </c>
      <c r="H138" s="7">
        <f ca="1"/>
        <v>485872</v>
      </c>
      <c r="I138" s="7">
        <f ca="1"/>
        <v>163599</v>
      </c>
      <c r="J138" s="7">
        <f ca="1"/>
        <v>178259</v>
      </c>
      <c r="K138" s="7">
        <f ca="1"/>
        <v>341858</v>
      </c>
      <c r="L138" s="7">
        <f ca="1"/>
        <v>11785200</v>
      </c>
      <c r="M138" s="8">
        <f ca="1"/>
        <v>4.1227302039846585E-2</v>
      </c>
      <c r="N138" s="7">
        <f ca="1"/>
        <v>665300</v>
      </c>
      <c r="O138" s="11">
        <f ca="1"/>
        <v>341858</v>
      </c>
      <c r="P138" s="10">
        <f ca="1"/>
        <v>5.645216033669348E-2</v>
      </c>
      <c r="Q138" s="10">
        <f ca="1"/>
        <v>2.9007399110749076E-2</v>
      </c>
      <c r="R138" s="10">
        <f ca="1"/>
        <v>7.0234701150595658E-2</v>
      </c>
      <c r="T138" s="10">
        <f ca="1"/>
        <v>6.5744695666473341E-2</v>
      </c>
      <c r="U138" s="10" t="e">
        <f ca="1"/>
        <v>#N/A</v>
      </c>
      <c r="V138" s="10" t="e">
        <f ca="1"/>
        <v>#N/A</v>
      </c>
      <c r="W138" s="10" t="e">
        <f ca="1"/>
        <v>#N/A</v>
      </c>
    </row>
    <row r="139" spans="1:23" x14ac:dyDescent="0.25">
      <c r="A139" s="2" t="s">
        <v>141</v>
      </c>
      <c r="B139" s="3">
        <v>495756</v>
      </c>
      <c r="C139" s="3">
        <v>169295</v>
      </c>
      <c r="D139" s="3">
        <v>181223</v>
      </c>
      <c r="G139" s="5">
        <f ca="1"/>
        <v>42004</v>
      </c>
      <c r="H139" s="7">
        <f ca="1"/>
        <v>495756</v>
      </c>
      <c r="I139" s="7">
        <f ca="1"/>
        <v>169295</v>
      </c>
      <c r="J139" s="7">
        <f ca="1"/>
        <v>181223</v>
      </c>
      <c r="K139" s="7">
        <f ca="1"/>
        <v>350518</v>
      </c>
      <c r="L139" s="7">
        <f ca="1"/>
        <v>11786100</v>
      </c>
      <c r="M139" s="8">
        <f ca="1"/>
        <v>4.2062768854837479E-2</v>
      </c>
      <c r="N139" s="7">
        <f ca="1"/>
        <v>664200</v>
      </c>
      <c r="O139" s="11">
        <f ca="1"/>
        <v>350518</v>
      </c>
      <c r="P139" s="10">
        <f ca="1"/>
        <v>5.6354519306640871E-2</v>
      </c>
      <c r="Q139" s="10">
        <f ca="1"/>
        <v>2.9739947904735237E-2</v>
      </c>
      <c r="R139" s="10">
        <f ca="1"/>
        <v>7.1802716759572713E-2</v>
      </c>
      <c r="T139" s="10">
        <f ca="1"/>
        <v>5.3120648328628617E-2</v>
      </c>
      <c r="U139" s="10" t="e">
        <f ca="1"/>
        <v>#N/A</v>
      </c>
      <c r="V139" s="10" t="e">
        <f ca="1"/>
        <v>#N/A</v>
      </c>
      <c r="W139" s="10" t="e">
        <f ca="1"/>
        <v>#N/A</v>
      </c>
    </row>
    <row r="140" spans="1:23" x14ac:dyDescent="0.25">
      <c r="A140" s="2" t="s">
        <v>142</v>
      </c>
      <c r="B140" s="3">
        <v>496341</v>
      </c>
      <c r="C140" s="3">
        <v>158420</v>
      </c>
      <c r="D140" s="3">
        <v>184227</v>
      </c>
      <c r="G140" s="5">
        <f ca="1"/>
        <v>41973</v>
      </c>
      <c r="H140" s="7">
        <f ca="1"/>
        <v>496341</v>
      </c>
      <c r="I140" s="7">
        <f ca="1"/>
        <v>158420</v>
      </c>
      <c r="J140" s="7">
        <f ca="1"/>
        <v>184227</v>
      </c>
      <c r="K140" s="7">
        <f ca="1"/>
        <v>342647</v>
      </c>
      <c r="L140" s="7">
        <f ca="1"/>
        <v>11640100</v>
      </c>
      <c r="M140" s="8">
        <f ca="1"/>
        <v>4.2640613053152462E-2</v>
      </c>
      <c r="N140" s="7">
        <f ca="1"/>
        <v>654800</v>
      </c>
      <c r="O140" s="11">
        <f ca="1"/>
        <v>342647</v>
      </c>
      <c r="P140" s="10">
        <f ca="1"/>
        <v>5.6253812252472057E-2</v>
      </c>
      <c r="Q140" s="10">
        <f ca="1"/>
        <v>2.9436774598156374E-2</v>
      </c>
      <c r="R140" s="10">
        <f ca="1"/>
        <v>7.2077387651308833E-2</v>
      </c>
      <c r="T140" s="10">
        <f ca="1"/>
        <v>5.0005774186105301E-2</v>
      </c>
      <c r="U140" s="10" t="e">
        <f ca="1"/>
        <v>#N/A</v>
      </c>
      <c r="V140" s="10" t="e">
        <f ca="1"/>
        <v>#N/A</v>
      </c>
      <c r="W140" s="10" t="e">
        <f ca="1"/>
        <v>#N/A</v>
      </c>
    </row>
    <row r="141" spans="1:23" x14ac:dyDescent="0.25">
      <c r="A141" s="2" t="s">
        <v>143</v>
      </c>
      <c r="B141" s="3">
        <v>492888</v>
      </c>
      <c r="C141" s="3">
        <v>158624</v>
      </c>
      <c r="D141" s="3">
        <v>185193</v>
      </c>
      <c r="G141" s="5">
        <f ca="1"/>
        <v>41943</v>
      </c>
      <c r="H141" s="7">
        <f ca="1"/>
        <v>492888</v>
      </c>
      <c r="I141" s="7">
        <f ca="1"/>
        <v>158624</v>
      </c>
      <c r="J141" s="7">
        <f ca="1"/>
        <v>185193</v>
      </c>
      <c r="K141" s="7">
        <f ca="1"/>
        <v>343817</v>
      </c>
      <c r="L141" s="7">
        <f ca="1"/>
        <v>11563400</v>
      </c>
      <c r="M141" s="8">
        <f ca="1"/>
        <v>4.2624833526471451E-2</v>
      </c>
      <c r="N141" s="7">
        <f ca="1"/>
        <v>667500</v>
      </c>
      <c r="O141" s="11">
        <f ca="1"/>
        <v>343817</v>
      </c>
      <c r="P141" s="10">
        <f ca="1"/>
        <v>5.7725236522130172E-2</v>
      </c>
      <c r="Q141" s="10">
        <f ca="1"/>
        <v>2.9733209955549407E-2</v>
      </c>
      <c r="R141" s="10">
        <f ca="1"/>
        <v>7.2358043482020851E-2</v>
      </c>
      <c r="T141" s="10">
        <f ca="1"/>
        <v>7.7079332726265992E-2</v>
      </c>
      <c r="U141" s="10" t="e">
        <f ca="1"/>
        <v>#N/A</v>
      </c>
      <c r="V141" s="10" t="e">
        <f ca="1"/>
        <v>#N/A</v>
      </c>
      <c r="W141" s="10" t="e">
        <f ca="1"/>
        <v>#N/A</v>
      </c>
    </row>
    <row r="142" spans="1:23" x14ac:dyDescent="0.25">
      <c r="A142" s="2" t="s">
        <v>144</v>
      </c>
      <c r="B142" s="3">
        <v>503901</v>
      </c>
      <c r="C142" s="3">
        <v>161621</v>
      </c>
      <c r="D142" s="3">
        <v>183243</v>
      </c>
      <c r="G142" s="5">
        <f ca="1"/>
        <v>41912</v>
      </c>
      <c r="H142" s="7">
        <f ca="1"/>
        <v>503901</v>
      </c>
      <c r="I142" s="7">
        <f ca="1"/>
        <v>161621</v>
      </c>
      <c r="J142" s="7">
        <f ca="1"/>
        <v>183243</v>
      </c>
      <c r="K142" s="7">
        <f ca="1"/>
        <v>344864</v>
      </c>
      <c r="L142" s="7">
        <f ca="1"/>
        <v>11495800</v>
      </c>
      <c r="M142" s="8">
        <f ca="1"/>
        <v>4.3833487012648095E-2</v>
      </c>
      <c r="N142" s="7">
        <f ca="1"/>
        <v>654800</v>
      </c>
      <c r="O142" s="11">
        <f ca="1"/>
        <v>344864</v>
      </c>
      <c r="P142" s="10">
        <f ca="1"/>
        <v>5.6959933192992224E-2</v>
      </c>
      <c r="Q142" s="10">
        <f ca="1"/>
        <v>2.9999130117086239E-2</v>
      </c>
      <c r="R142" s="10">
        <f ca="1"/>
        <v>7.3832617129734338E-2</v>
      </c>
      <c r="T142" s="10">
        <f ca="1"/>
        <v>6.4174111530606037E-2</v>
      </c>
      <c r="U142" s="10" t="e">
        <f ca="1"/>
        <v>#N/A</v>
      </c>
      <c r="V142" s="10" t="e">
        <f ca="1"/>
        <v>#N/A</v>
      </c>
      <c r="W142" s="10" t="e">
        <f ca="1"/>
        <v>#N/A</v>
      </c>
    </row>
    <row r="143" spans="1:23" x14ac:dyDescent="0.25">
      <c r="A143" s="2" t="s">
        <v>145</v>
      </c>
      <c r="B143" s="3">
        <v>501000</v>
      </c>
      <c r="C143" s="3">
        <v>155245</v>
      </c>
      <c r="D143" s="3">
        <v>180820</v>
      </c>
      <c r="G143" s="5">
        <f ca="1"/>
        <v>41882</v>
      </c>
      <c r="H143" s="7">
        <f ca="1"/>
        <v>501000</v>
      </c>
      <c r="I143" s="7">
        <f ca="1"/>
        <v>155245</v>
      </c>
      <c r="J143" s="7">
        <f ca="1"/>
        <v>180820</v>
      </c>
      <c r="K143" s="7">
        <f ca="1"/>
        <v>336065</v>
      </c>
      <c r="L143" s="7">
        <f ca="1"/>
        <v>11448100</v>
      </c>
      <c r="M143" s="8">
        <f ca="1"/>
        <v>4.3762720451428622E-2</v>
      </c>
      <c r="N143" s="7">
        <f ca="1"/>
        <v>660600</v>
      </c>
      <c r="O143" s="11">
        <f ca="1"/>
        <v>336065</v>
      </c>
      <c r="P143" s="10">
        <f ca="1"/>
        <v>5.7703898463500491E-2</v>
      </c>
      <c r="Q143" s="10">
        <f ca="1"/>
        <v>2.935552624452966E-2</v>
      </c>
      <c r="R143" s="10">
        <f ca="1"/>
        <v>7.3118246695958289E-2</v>
      </c>
      <c r="T143" s="10">
        <f ca="1"/>
        <v>4.6711269652022436E-2</v>
      </c>
      <c r="U143" s="10" t="e">
        <f ca="1"/>
        <v>#N/A</v>
      </c>
      <c r="V143" s="10" t="e">
        <f ca="1"/>
        <v>#N/A</v>
      </c>
      <c r="W143" s="10" t="e">
        <f ca="1"/>
        <v>#N/A</v>
      </c>
    </row>
    <row r="144" spans="1:23" x14ac:dyDescent="0.25">
      <c r="A144" s="2" t="s">
        <v>146</v>
      </c>
      <c r="B144" s="3">
        <v>498671</v>
      </c>
      <c r="C144" s="3">
        <v>155931</v>
      </c>
      <c r="D144" s="3">
        <v>177981</v>
      </c>
      <c r="G144" s="5">
        <f ca="1"/>
        <v>41851</v>
      </c>
      <c r="H144" s="7">
        <f ca="1"/>
        <v>498671</v>
      </c>
      <c r="I144" s="7">
        <f ca="1"/>
        <v>155931</v>
      </c>
      <c r="J144" s="7">
        <f ca="1"/>
        <v>177981</v>
      </c>
      <c r="K144" s="7">
        <f ca="1"/>
        <v>333912</v>
      </c>
      <c r="L144" s="7">
        <f ca="1"/>
        <v>11417400</v>
      </c>
      <c r="M144" s="8">
        <f ca="1"/>
        <v>4.3676406187047837E-2</v>
      </c>
      <c r="N144" s="7">
        <f ca="1"/>
        <v>655000</v>
      </c>
      <c r="O144" s="11">
        <f ca="1"/>
        <v>333912</v>
      </c>
      <c r="P144" s="10">
        <f ca="1"/>
        <v>5.736857778478463E-2</v>
      </c>
      <c r="Q144" s="10">
        <f ca="1"/>
        <v>2.9245887855378634E-2</v>
      </c>
      <c r="R144" s="10">
        <f ca="1"/>
        <v>7.2922294042426478E-2</v>
      </c>
      <c r="T144" s="10">
        <f ca="1"/>
        <v>6.9732270050502532E-2</v>
      </c>
      <c r="U144" s="10" t="e">
        <f ca="1"/>
        <v>#N/A</v>
      </c>
      <c r="V144" s="10" t="e">
        <f ca="1"/>
        <v>#N/A</v>
      </c>
      <c r="W144" s="10" t="e">
        <f ca="1"/>
        <v>#N/A</v>
      </c>
    </row>
    <row r="145" spans="1:23" x14ac:dyDescent="0.25">
      <c r="A145" s="2" t="s">
        <v>147</v>
      </c>
      <c r="B145" s="3">
        <v>502270</v>
      </c>
      <c r="C145" s="3">
        <v>160293</v>
      </c>
      <c r="D145" s="3">
        <v>184723</v>
      </c>
      <c r="G145" s="5">
        <f ca="1"/>
        <v>41820</v>
      </c>
      <c r="H145" s="7">
        <f ca="1"/>
        <v>502270</v>
      </c>
      <c r="I145" s="7">
        <f ca="1"/>
        <v>160293</v>
      </c>
      <c r="J145" s="7">
        <f ca="1"/>
        <v>184723</v>
      </c>
      <c r="K145" s="7">
        <f ca="1"/>
        <v>345016</v>
      </c>
      <c r="L145" s="7">
        <f ca="1"/>
        <v>11361300</v>
      </c>
      <c r="M145" s="8">
        <f ca="1"/>
        <v>4.4208849339424185E-2</v>
      </c>
      <c r="N145" s="7">
        <f ca="1"/>
        <v>652300</v>
      </c>
      <c r="O145" s="11">
        <f ca="1"/>
        <v>345016</v>
      </c>
      <c r="P145" s="10">
        <f ca="1"/>
        <v>5.7414204360416499E-2</v>
      </c>
      <c r="Q145" s="10">
        <f ca="1"/>
        <v>3.0367651589166732E-2</v>
      </c>
      <c r="R145" s="10">
        <f ca="1"/>
        <v>7.4576500928590916E-2</v>
      </c>
      <c r="T145" s="10">
        <f ca="1"/>
        <v>5.0764456598013208E-2</v>
      </c>
      <c r="U145" s="10" t="e">
        <f ca="1"/>
        <v>#N/A</v>
      </c>
      <c r="V145" s="10" t="e">
        <f ca="1"/>
        <v>#N/A</v>
      </c>
      <c r="W145" s="10" t="e">
        <f ca="1"/>
        <v>#N/A</v>
      </c>
    </row>
    <row r="146" spans="1:23" x14ac:dyDescent="0.25">
      <c r="A146" s="2" t="s">
        <v>148</v>
      </c>
      <c r="B146" s="3">
        <v>475362</v>
      </c>
      <c r="C146" s="3">
        <v>150474</v>
      </c>
      <c r="D146" s="3">
        <v>188551</v>
      </c>
      <c r="G146" s="5">
        <f ca="1"/>
        <v>41790</v>
      </c>
      <c r="H146" s="7">
        <f ca="1"/>
        <v>475362</v>
      </c>
      <c r="I146" s="7">
        <f ca="1"/>
        <v>150474</v>
      </c>
      <c r="J146" s="7">
        <f ca="1"/>
        <v>188551</v>
      </c>
      <c r="K146" s="7">
        <f ca="1"/>
        <v>339025</v>
      </c>
      <c r="L146" s="7">
        <f ca="1"/>
        <v>11299400</v>
      </c>
      <c r="M146" s="8">
        <f ca="1"/>
        <v>4.2069667415968987E-2</v>
      </c>
      <c r="N146" s="7">
        <f ca="1"/>
        <v>662800</v>
      </c>
      <c r="O146" s="11">
        <f ca="1"/>
        <v>339025</v>
      </c>
      <c r="P146" s="10">
        <f ca="1"/>
        <v>5.8657981839743703E-2</v>
      </c>
      <c r="Q146" s="10">
        <f ca="1"/>
        <v>3.0003805511797085E-2</v>
      </c>
      <c r="R146" s="10">
        <f ca="1"/>
        <v>7.2073472927766072E-2</v>
      </c>
      <c r="T146" s="10">
        <f ca="1"/>
        <v>4.502063570080761E-3</v>
      </c>
      <c r="U146" s="10" t="e">
        <f ca="1"/>
        <v>#N/A</v>
      </c>
      <c r="V146" s="10" t="e">
        <f ca="1"/>
        <v>#N/A</v>
      </c>
      <c r="W146" s="10" t="e">
        <f ca="1"/>
        <v>#N/A</v>
      </c>
    </row>
    <row r="147" spans="1:23" x14ac:dyDescent="0.25">
      <c r="A147" s="2" t="s">
        <v>149</v>
      </c>
      <c r="B147" s="3">
        <v>475195</v>
      </c>
      <c r="C147" s="3">
        <v>149801</v>
      </c>
      <c r="D147" s="3">
        <v>194679</v>
      </c>
      <c r="G147" s="5">
        <f ca="1"/>
        <v>41759</v>
      </c>
      <c r="H147" s="7">
        <f ca="1"/>
        <v>475195</v>
      </c>
      <c r="I147" s="7">
        <f ca="1"/>
        <v>149801</v>
      </c>
      <c r="J147" s="7">
        <f ca="1"/>
        <v>194679</v>
      </c>
      <c r="K147" s="7">
        <f ca="1"/>
        <v>344480</v>
      </c>
      <c r="L147" s="7">
        <f ca="1"/>
        <v>11356400</v>
      </c>
      <c r="M147" s="8">
        <f ca="1"/>
        <v>4.1843806135747244E-2</v>
      </c>
      <c r="N147" s="7">
        <f ca="1"/>
        <v>663700</v>
      </c>
      <c r="O147" s="11">
        <f ca="1"/>
        <v>344480</v>
      </c>
      <c r="P147" s="10">
        <f ca="1"/>
        <v>5.8442816385474272E-2</v>
      </c>
      <c r="Q147" s="10">
        <f ca="1"/>
        <v>3.0333556408721072E-2</v>
      </c>
      <c r="R147" s="10">
        <f ca="1"/>
        <v>7.2177362544468313E-2</v>
      </c>
      <c r="T147" s="10">
        <f ca="1"/>
        <v>2.9878733788806677E-2</v>
      </c>
      <c r="U147" s="10" t="e">
        <f ca="1"/>
        <v>#N/A</v>
      </c>
      <c r="V147" s="10" t="e">
        <f ca="1"/>
        <v>#N/A</v>
      </c>
      <c r="W147" s="10" t="e">
        <f ca="1"/>
        <v>#N/A</v>
      </c>
    </row>
    <row r="148" spans="1:23" x14ac:dyDescent="0.25">
      <c r="A148" s="2" t="s">
        <v>150</v>
      </c>
      <c r="B148" s="3">
        <v>487932</v>
      </c>
      <c r="C148" s="3">
        <v>156083</v>
      </c>
      <c r="D148" s="3">
        <v>194461</v>
      </c>
      <c r="G148" s="5">
        <f ca="1"/>
        <v>41729</v>
      </c>
      <c r="H148" s="7">
        <f ca="1"/>
        <v>487932</v>
      </c>
      <c r="I148" s="7">
        <f ca="1"/>
        <v>156083</v>
      </c>
      <c r="J148" s="7">
        <f ca="1"/>
        <v>194461</v>
      </c>
      <c r="K148" s="7">
        <f ca="1"/>
        <v>350544</v>
      </c>
      <c r="L148" s="7">
        <f ca="1"/>
        <v>11303200</v>
      </c>
      <c r="M148" s="8">
        <f ca="1"/>
        <v>4.3167598556161084E-2</v>
      </c>
      <c r="N148" s="7">
        <f ca="1"/>
        <v>677200</v>
      </c>
      <c r="O148" s="11">
        <f ca="1"/>
        <v>350544</v>
      </c>
      <c r="P148" s="10">
        <f ca="1"/>
        <v>5.9912237242550785E-2</v>
      </c>
      <c r="Q148" s="10">
        <f ca="1"/>
        <v>3.1012810531530894E-2</v>
      </c>
      <c r="R148" s="10">
        <f ca="1"/>
        <v>7.4180409087691981E-2</v>
      </c>
      <c r="T148" s="10">
        <f ca="1"/>
        <v>9.16500094632966E-2</v>
      </c>
      <c r="U148" s="10" t="e">
        <f ca="1"/>
        <v>#N/A</v>
      </c>
      <c r="V148" s="10" t="e">
        <f ca="1"/>
        <v>#N/A</v>
      </c>
      <c r="W148" s="10" t="e">
        <f ca="1"/>
        <v>#N/A</v>
      </c>
    </row>
    <row r="149" spans="1:23" x14ac:dyDescent="0.25">
      <c r="A149" s="2" t="s">
        <v>151</v>
      </c>
      <c r="B149" s="3">
        <v>502093</v>
      </c>
      <c r="C149" s="3">
        <v>154049</v>
      </c>
      <c r="D149" s="3">
        <v>190312</v>
      </c>
      <c r="G149" s="5">
        <f ca="1"/>
        <v>41698</v>
      </c>
      <c r="H149" s="7">
        <f ca="1"/>
        <v>502093</v>
      </c>
      <c r="I149" s="7">
        <f ca="1"/>
        <v>154049</v>
      </c>
      <c r="J149" s="7">
        <f ca="1"/>
        <v>190312</v>
      </c>
      <c r="K149" s="7">
        <f ca="1"/>
        <v>344361</v>
      </c>
      <c r="L149" s="7">
        <f ca="1"/>
        <v>11179000</v>
      </c>
      <c r="M149" s="8">
        <f ca="1"/>
        <v>4.4913945791215673E-2</v>
      </c>
      <c r="N149" s="7">
        <f ca="1"/>
        <v>682400</v>
      </c>
      <c r="O149" s="11">
        <f ca="1"/>
        <v>344361</v>
      </c>
      <c r="P149" s="10">
        <f ca="1"/>
        <v>6.1043027104392161E-2</v>
      </c>
      <c r="Q149" s="10">
        <f ca="1"/>
        <v>3.0804275874407372E-2</v>
      </c>
      <c r="R149" s="10">
        <f ca="1"/>
        <v>7.5718221665623045E-2</v>
      </c>
      <c r="T149" s="10">
        <f ca="1"/>
        <v>0.11883081918835425</v>
      </c>
      <c r="U149" s="10" t="e">
        <f ca="1"/>
        <v>#N/A</v>
      </c>
      <c r="V149" s="10" t="e">
        <f ca="1"/>
        <v>#N/A</v>
      </c>
      <c r="W149" s="10" t="e">
        <f ca="1"/>
        <v>#N/A</v>
      </c>
    </row>
    <row r="150" spans="1:23" x14ac:dyDescent="0.25">
      <c r="A150" s="2" t="s">
        <v>152</v>
      </c>
      <c r="B150" s="3">
        <v>487549</v>
      </c>
      <c r="C150" s="3">
        <v>151878</v>
      </c>
      <c r="D150" s="3">
        <v>195863</v>
      </c>
      <c r="G150" s="5">
        <f ca="1"/>
        <v>41670</v>
      </c>
      <c r="H150" s="7">
        <f ca="1"/>
        <v>487549</v>
      </c>
      <c r="I150" s="7">
        <f ca="1"/>
        <v>151878</v>
      </c>
      <c r="J150" s="7">
        <f ca="1"/>
        <v>195863</v>
      </c>
      <c r="K150" s="7">
        <f ca="1"/>
        <v>347741</v>
      </c>
      <c r="L150" s="7">
        <f ca="1"/>
        <v>11126700</v>
      </c>
      <c r="M150" s="8">
        <f ca="1"/>
        <v>4.3817933439384546E-2</v>
      </c>
      <c r="N150" s="7">
        <f ca="1"/>
        <v>683100</v>
      </c>
      <c r="O150" s="11">
        <f ca="1"/>
        <v>347741</v>
      </c>
      <c r="P150" s="10">
        <f ca="1"/>
        <v>6.1392865809269594E-2</v>
      </c>
      <c r="Q150" s="10">
        <f ca="1"/>
        <v>3.1252842262305985E-2</v>
      </c>
      <c r="R150" s="10">
        <f ca="1"/>
        <v>7.5070775701690531E-2</v>
      </c>
      <c r="T150" s="10">
        <f ca="1"/>
        <v>0.16648256037108489</v>
      </c>
      <c r="U150" s="10" t="e">
        <f ca="1"/>
        <v>#N/A</v>
      </c>
      <c r="V150" s="10" t="e">
        <f ca="1"/>
        <v>#N/A</v>
      </c>
      <c r="W150" s="10" t="e">
        <f ca="1"/>
        <v>#N/A</v>
      </c>
    </row>
    <row r="151" spans="1:23" x14ac:dyDescent="0.25">
      <c r="A151" s="2" t="s">
        <v>153</v>
      </c>
      <c r="B151" s="3">
        <v>478502</v>
      </c>
      <c r="C151" s="3">
        <v>157000</v>
      </c>
      <c r="D151" s="3">
        <v>197521</v>
      </c>
      <c r="G151" s="5">
        <f ca="1"/>
        <v>41639</v>
      </c>
      <c r="H151" s="7">
        <f ca="1"/>
        <v>478502</v>
      </c>
      <c r="I151" s="7">
        <f ca="1"/>
        <v>157000</v>
      </c>
      <c r="J151" s="7">
        <f ca="1"/>
        <v>197521</v>
      </c>
      <c r="K151" s="7">
        <f ca="1"/>
        <v>354521</v>
      </c>
      <c r="L151" s="7">
        <f ca="1"/>
        <v>11130000</v>
      </c>
      <c r="M151" s="8">
        <f ca="1"/>
        <v>4.2992093441150042E-2</v>
      </c>
      <c r="N151" s="7">
        <f ca="1"/>
        <v>687100</v>
      </c>
      <c r="O151" s="11">
        <f ca="1"/>
        <v>354521</v>
      </c>
      <c r="P151" s="10">
        <f ca="1"/>
        <v>6.1734052111410601E-2</v>
      </c>
      <c r="Q151" s="10">
        <f ca="1"/>
        <v>3.1852740341419584E-2</v>
      </c>
      <c r="R151" s="10">
        <f ca="1"/>
        <v>7.484483378256962E-2</v>
      </c>
      <c r="T151" s="10">
        <f ca="1"/>
        <v>3.8774938060395447E-2</v>
      </c>
      <c r="U151" s="10" t="e">
        <f ca="1"/>
        <v>#N/A</v>
      </c>
      <c r="V151" s="10" t="e">
        <f ca="1"/>
        <v>#N/A</v>
      </c>
      <c r="W151" s="10" t="e">
        <f ca="1"/>
        <v>#N/A</v>
      </c>
    </row>
    <row r="152" spans="1:23" x14ac:dyDescent="0.25">
      <c r="A152" s="2" t="s">
        <v>154</v>
      </c>
      <c r="B152" s="3">
        <v>456378</v>
      </c>
      <c r="C152" s="3">
        <v>150214</v>
      </c>
      <c r="D152" s="3">
        <v>199153</v>
      </c>
      <c r="G152" s="5">
        <f ca="1"/>
        <v>41608</v>
      </c>
      <c r="H152" s="7">
        <f ca="1"/>
        <v>456378</v>
      </c>
      <c r="I152" s="7">
        <f ca="1"/>
        <v>150214</v>
      </c>
      <c r="J152" s="7">
        <f ca="1"/>
        <v>199153</v>
      </c>
      <c r="K152" s="7">
        <f ca="1"/>
        <v>349367</v>
      </c>
      <c r="L152" s="7">
        <f ca="1"/>
        <v>11002800</v>
      </c>
      <c r="M152" s="8">
        <f ca="1"/>
        <v>4.1478350965208854E-2</v>
      </c>
      <c r="N152" s="7">
        <f ca="1"/>
        <v>677200</v>
      </c>
      <c r="O152" s="11">
        <f ca="1"/>
        <v>349367</v>
      </c>
      <c r="P152" s="10">
        <f ca="1"/>
        <v>6.154796960773621E-2</v>
      </c>
      <c r="Q152" s="10">
        <f ca="1"/>
        <v>3.1752553895372085E-2</v>
      </c>
      <c r="R152" s="10">
        <f ca="1"/>
        <v>7.3230904860580939E-2</v>
      </c>
      <c r="T152" s="10">
        <f ca="1"/>
        <v>9.2130395622421313E-2</v>
      </c>
      <c r="U152" s="10" t="e">
        <f ca="1"/>
        <v>#N/A</v>
      </c>
      <c r="V152" s="10" t="e">
        <f ca="1"/>
        <v>#N/A</v>
      </c>
      <c r="W152" s="10" t="e">
        <f ca="1"/>
        <v>#N/A</v>
      </c>
    </row>
    <row r="153" spans="1:23" x14ac:dyDescent="0.25">
      <c r="A153" s="2" t="s">
        <v>155</v>
      </c>
      <c r="B153" s="3">
        <v>445022</v>
      </c>
      <c r="C153" s="3">
        <v>151494</v>
      </c>
      <c r="D153" s="3">
        <v>199889</v>
      </c>
      <c r="G153" s="5">
        <f ca="1"/>
        <v>41578</v>
      </c>
      <c r="H153" s="7">
        <f ca="1"/>
        <v>445022</v>
      </c>
      <c r="I153" s="7">
        <f ca="1"/>
        <v>151494</v>
      </c>
      <c r="J153" s="7">
        <f ca="1"/>
        <v>199889</v>
      </c>
      <c r="K153" s="7">
        <f ca="1"/>
        <v>351383</v>
      </c>
      <c r="L153" s="7">
        <f ca="1"/>
        <v>10957800</v>
      </c>
      <c r="M153" s="8">
        <f ca="1"/>
        <v>4.0612349194181316E-2</v>
      </c>
      <c r="N153" s="7">
        <f ca="1"/>
        <v>683900</v>
      </c>
      <c r="O153" s="11">
        <f ca="1"/>
        <v>351383</v>
      </c>
      <c r="P153" s="10">
        <f ca="1"/>
        <v>6.2412163025424815E-2</v>
      </c>
      <c r="Q153" s="10">
        <f ca="1"/>
        <v>3.2066929493146434E-2</v>
      </c>
      <c r="R153" s="10">
        <f ca="1"/>
        <v>7.267927868732775E-2</v>
      </c>
      <c r="T153" s="10">
        <f ca="1"/>
        <v>0.19771826494400946</v>
      </c>
      <c r="U153" s="10" t="e">
        <f ca="1"/>
        <v>#N/A</v>
      </c>
      <c r="V153" s="10" t="e">
        <f ca="1"/>
        <v>#N/A</v>
      </c>
      <c r="W153" s="10" t="e">
        <f ca="1"/>
        <v>#N/A</v>
      </c>
    </row>
    <row r="154" spans="1:23" x14ac:dyDescent="0.25">
      <c r="A154" s="2" t="s">
        <v>156</v>
      </c>
      <c r="B154" s="3">
        <v>432852</v>
      </c>
      <c r="C154" s="3">
        <v>149895</v>
      </c>
      <c r="D154" s="3">
        <v>197780</v>
      </c>
      <c r="G154" s="5">
        <f ca="1"/>
        <v>41547</v>
      </c>
      <c r="H154" s="7">
        <f ca="1"/>
        <v>432852</v>
      </c>
      <c r="I154" s="7">
        <f ca="1"/>
        <v>149895</v>
      </c>
      <c r="J154" s="7">
        <f ca="1"/>
        <v>197780</v>
      </c>
      <c r="K154" s="7">
        <f ca="1"/>
        <v>347675</v>
      </c>
      <c r="L154" s="7">
        <f ca="1"/>
        <v>10830600</v>
      </c>
      <c r="M154" s="8">
        <f ca="1"/>
        <v>3.9965652872417039E-2</v>
      </c>
      <c r="N154" s="7">
        <f ca="1"/>
        <v>685700</v>
      </c>
      <c r="O154" s="11">
        <f ca="1"/>
        <v>347675</v>
      </c>
      <c r="P154" s="10">
        <f ca="1"/>
        <v>6.3311358558159295E-2</v>
      </c>
      <c r="Q154" s="10">
        <f ca="1"/>
        <v>3.2101176296788728E-2</v>
      </c>
      <c r="R154" s="10">
        <f ca="1"/>
        <v>7.2066829169205759E-2</v>
      </c>
      <c r="T154" s="10">
        <f ca="1"/>
        <v>0.22690972466723247</v>
      </c>
      <c r="U154" s="10" t="e">
        <f ca="1"/>
        <v>#N/A</v>
      </c>
      <c r="V154" s="10" t="e">
        <f ca="1"/>
        <v>#N/A</v>
      </c>
      <c r="W154" s="10" t="e">
        <f ca="1"/>
        <v>#N/A</v>
      </c>
    </row>
    <row r="155" spans="1:23" x14ac:dyDescent="0.25">
      <c r="A155" s="2" t="s">
        <v>157</v>
      </c>
      <c r="B155" s="3">
        <v>414442</v>
      </c>
      <c r="C155" s="3">
        <v>143808</v>
      </c>
      <c r="D155" s="3">
        <v>195181</v>
      </c>
      <c r="G155" s="5">
        <f ca="1"/>
        <v>41517</v>
      </c>
      <c r="H155" s="7">
        <f ca="1"/>
        <v>414442</v>
      </c>
      <c r="I155" s="7">
        <f ca="1"/>
        <v>143808</v>
      </c>
      <c r="J155" s="7">
        <f ca="1"/>
        <v>195181</v>
      </c>
      <c r="K155" s="7">
        <f ca="1"/>
        <v>338989</v>
      </c>
      <c r="L155" s="7">
        <f ca="1"/>
        <v>10762400</v>
      </c>
      <c r="M155" s="8">
        <f ca="1"/>
        <v>3.8508325280606555E-2</v>
      </c>
      <c r="N155" s="7">
        <f ca="1"/>
        <v>687500</v>
      </c>
      <c r="O155" s="11">
        <f ca="1"/>
        <v>338989</v>
      </c>
      <c r="P155" s="10">
        <f ca="1"/>
        <v>6.3879803761242845E-2</v>
      </c>
      <c r="Q155" s="10">
        <f ca="1"/>
        <v>3.1497528432319927E-2</v>
      </c>
      <c r="R155" s="10">
        <f ca="1"/>
        <v>7.0005853712926475E-2</v>
      </c>
      <c r="T155" s="10">
        <f ca="1"/>
        <v>0.29052580903905145</v>
      </c>
      <c r="U155" s="10" t="e">
        <f ca="1"/>
        <v>#N/A</v>
      </c>
      <c r="V155" s="10" t="e">
        <f ca="1"/>
        <v>#N/A</v>
      </c>
      <c r="W155" s="10" t="e">
        <f ca="1"/>
        <v>#N/A</v>
      </c>
    </row>
    <row r="156" spans="1:23" x14ac:dyDescent="0.25">
      <c r="A156" s="2" t="s">
        <v>158</v>
      </c>
      <c r="B156" s="3">
        <v>412101</v>
      </c>
      <c r="C156" s="3">
        <v>144495</v>
      </c>
      <c r="D156" s="3">
        <v>194790</v>
      </c>
      <c r="G156" s="5">
        <f ca="1"/>
        <v>41486</v>
      </c>
      <c r="H156" s="7">
        <f ca="1"/>
        <v>412101</v>
      </c>
      <c r="I156" s="7">
        <f ca="1"/>
        <v>144495</v>
      </c>
      <c r="J156" s="7">
        <f ca="1"/>
        <v>194790</v>
      </c>
      <c r="K156" s="7">
        <f ca="1"/>
        <v>339285</v>
      </c>
      <c r="L156" s="7">
        <f ca="1"/>
        <v>10706500</v>
      </c>
      <c r="M156" s="8">
        <f ca="1"/>
        <v>3.84907299304161E-2</v>
      </c>
      <c r="N156" s="7">
        <f ca="1"/>
        <v>679500</v>
      </c>
      <c r="O156" s="11">
        <f ca="1"/>
        <v>339285</v>
      </c>
      <c r="P156" s="10">
        <f ca="1"/>
        <v>6.3466118712931396E-2</v>
      </c>
      <c r="Q156" s="10">
        <f ca="1"/>
        <v>3.168962779619857E-2</v>
      </c>
      <c r="R156" s="10">
        <f ca="1"/>
        <v>7.018035772661467E-2</v>
      </c>
      <c r="T156" s="10">
        <f ca="1"/>
        <v>0.23715543647488757</v>
      </c>
      <c r="U156" s="10" t="e">
        <f ca="1"/>
        <v>#N/A</v>
      </c>
      <c r="V156" s="10" t="e">
        <f ca="1"/>
        <v>#N/A</v>
      </c>
      <c r="W156" s="10" t="e">
        <f ca="1"/>
        <v>#N/A</v>
      </c>
    </row>
    <row r="157" spans="1:23" x14ac:dyDescent="0.25">
      <c r="A157" s="2" t="s">
        <v>159</v>
      </c>
      <c r="B157" s="3">
        <v>407681</v>
      </c>
      <c r="C157" s="3">
        <v>150093</v>
      </c>
      <c r="D157" s="3">
        <v>200308</v>
      </c>
      <c r="G157" s="5">
        <f ca="1"/>
        <v>41455</v>
      </c>
      <c r="H157" s="7">
        <f ca="1"/>
        <v>407681</v>
      </c>
      <c r="I157" s="7">
        <f ca="1"/>
        <v>150093</v>
      </c>
      <c r="J157" s="7">
        <f ca="1"/>
        <v>200308</v>
      </c>
      <c r="K157" s="7">
        <f ca="1"/>
        <v>350401</v>
      </c>
      <c r="L157" s="7">
        <f ca="1"/>
        <v>10667700</v>
      </c>
      <c r="M157" s="8">
        <f ca="1"/>
        <v>3.8216391537069849E-2</v>
      </c>
      <c r="N157" s="7">
        <f ca="1"/>
        <v>681600</v>
      </c>
      <c r="O157" s="11">
        <f ca="1"/>
        <v>350401</v>
      </c>
      <c r="P157" s="10">
        <f ca="1"/>
        <v>6.3893810287128441E-2</v>
      </c>
      <c r="Q157" s="10">
        <f ca="1"/>
        <v>3.2846911705428535E-2</v>
      </c>
      <c r="R157" s="10">
        <f ca="1"/>
        <v>7.1063303242498377E-2</v>
      </c>
      <c r="T157" s="10">
        <f ca="1"/>
        <v>0.28737819985429391</v>
      </c>
      <c r="U157" s="10" t="e">
        <f ca="1"/>
        <v>#N/A</v>
      </c>
      <c r="V157" s="10" t="e">
        <f ca="1"/>
        <v>#N/A</v>
      </c>
      <c r="W157" s="10" t="e">
        <f ca="1"/>
        <v>#N/A</v>
      </c>
    </row>
    <row r="158" spans="1:23" x14ac:dyDescent="0.25">
      <c r="A158" s="2" t="s">
        <v>160</v>
      </c>
      <c r="B158" s="3">
        <v>401606</v>
      </c>
      <c r="C158" s="3">
        <v>146765</v>
      </c>
      <c r="D158" s="3">
        <v>199756</v>
      </c>
      <c r="G158" s="5">
        <f ca="1"/>
        <v>41425</v>
      </c>
      <c r="H158" s="7">
        <f ca="1"/>
        <v>401606</v>
      </c>
      <c r="I158" s="7">
        <f ca="1"/>
        <v>146765</v>
      </c>
      <c r="J158" s="7">
        <f ca="1"/>
        <v>199756</v>
      </c>
      <c r="K158" s="7">
        <f ca="1"/>
        <v>346521</v>
      </c>
      <c r="L158" s="7">
        <f ca="1"/>
        <v>10603500</v>
      </c>
      <c r="M158" s="8">
        <f ca="1"/>
        <v>3.7874852642995234E-2</v>
      </c>
      <c r="N158" s="7">
        <f ca="1"/>
        <v>662800</v>
      </c>
      <c r="O158" s="11">
        <f ca="1"/>
        <v>346521</v>
      </c>
      <c r="P158" s="10">
        <f ca="1"/>
        <v>6.2507662564247654E-2</v>
      </c>
      <c r="Q158" s="10">
        <f ca="1"/>
        <v>3.2679869854293393E-2</v>
      </c>
      <c r="R158" s="10">
        <f ca="1"/>
        <v>7.0554722497288627E-2</v>
      </c>
      <c r="T158" s="10">
        <f ca="1"/>
        <v>0.29051842268093786</v>
      </c>
      <c r="U158" s="10" t="e">
        <f ca="1"/>
        <v>#N/A</v>
      </c>
      <c r="V158" s="10" t="e">
        <f ca="1"/>
        <v>#N/A</v>
      </c>
      <c r="W158" s="10" t="e">
        <f ca="1"/>
        <v>#N/A</v>
      </c>
    </row>
    <row r="159" spans="1:23" x14ac:dyDescent="0.25">
      <c r="A159" s="2" t="s">
        <v>161</v>
      </c>
      <c r="B159" s="3">
        <v>408677</v>
      </c>
      <c r="C159" s="3">
        <v>140706</v>
      </c>
      <c r="D159" s="3">
        <v>191719</v>
      </c>
      <c r="G159" s="5">
        <f ca="1"/>
        <v>41394</v>
      </c>
      <c r="H159" s="7">
        <f ca="1"/>
        <v>408677</v>
      </c>
      <c r="I159" s="7">
        <f ca="1"/>
        <v>140706</v>
      </c>
      <c r="J159" s="7">
        <f ca="1"/>
        <v>191719</v>
      </c>
      <c r="K159" s="7">
        <f ca="1"/>
        <v>332425</v>
      </c>
      <c r="L159" s="7">
        <f ca="1"/>
        <v>10681000</v>
      </c>
      <c r="M159" s="8">
        <f ca="1"/>
        <v>3.8262054114783263E-2</v>
      </c>
      <c r="N159" s="7">
        <f ca="1"/>
        <v>671800</v>
      </c>
      <c r="O159" s="11">
        <f ca="1"/>
        <v>332425</v>
      </c>
      <c r="P159" s="10">
        <f ca="1"/>
        <v>6.2896732515682049E-2</v>
      </c>
      <c r="Q159" s="10">
        <f ca="1"/>
        <v>3.1123022188933619E-2</v>
      </c>
      <c r="R159" s="10">
        <f ca="1"/>
        <v>6.9385076303716875E-2</v>
      </c>
      <c r="T159" s="10">
        <f ca="1"/>
        <v>0.24876534818927531</v>
      </c>
      <c r="U159" s="10" t="e">
        <f ca="1"/>
        <v>#N/A</v>
      </c>
      <c r="V159" s="10" t="e">
        <f ca="1"/>
        <v>#N/A</v>
      </c>
      <c r="W159" s="10" t="e">
        <f ca="1"/>
        <v>#N/A</v>
      </c>
    </row>
    <row r="160" spans="1:23" x14ac:dyDescent="0.25">
      <c r="A160" s="2" t="s">
        <v>162</v>
      </c>
      <c r="B160" s="3">
        <v>403933</v>
      </c>
      <c r="C160" s="3">
        <v>144530</v>
      </c>
      <c r="D160" s="3">
        <v>197887</v>
      </c>
      <c r="G160" s="5">
        <f ca="1"/>
        <v>41364</v>
      </c>
      <c r="H160" s="7">
        <f ca="1"/>
        <v>403933</v>
      </c>
      <c r="I160" s="7">
        <f ca="1"/>
        <v>144530</v>
      </c>
      <c r="J160" s="7">
        <f ca="1"/>
        <v>197887</v>
      </c>
      <c r="K160" s="7">
        <f ca="1"/>
        <v>342417</v>
      </c>
      <c r="L160" s="7">
        <f ca="1"/>
        <v>10652700</v>
      </c>
      <c r="M160" s="8">
        <f ca="1"/>
        <v>3.7918368113248287E-2</v>
      </c>
      <c r="N160" s="7">
        <f ca="1"/>
        <v>690600</v>
      </c>
      <c r="O160" s="11">
        <f ca="1"/>
        <v>342417</v>
      </c>
      <c r="P160" s="10">
        <f ca="1"/>
        <v>6.48286349939452E-2</v>
      </c>
      <c r="Q160" s="10">
        <f ca="1"/>
        <v>3.2143681883466162E-2</v>
      </c>
      <c r="R160" s="10">
        <f ca="1"/>
        <v>7.0062049996714448E-2</v>
      </c>
      <c r="T160" s="10">
        <f ca="1"/>
        <v>0.31207819271301229</v>
      </c>
      <c r="U160" s="10" t="e">
        <f ca="1"/>
        <v>#N/A</v>
      </c>
      <c r="V160" s="10" t="e">
        <f ca="1"/>
        <v>#N/A</v>
      </c>
      <c r="W160" s="10" t="e">
        <f ca="1"/>
        <v>#N/A</v>
      </c>
    </row>
    <row r="161" spans="1:23" x14ac:dyDescent="0.25">
      <c r="A161" s="2" t="s">
        <v>163</v>
      </c>
      <c r="B161" s="3">
        <v>390351</v>
      </c>
      <c r="C161" s="3">
        <v>142123</v>
      </c>
      <c r="D161" s="3">
        <v>208682</v>
      </c>
      <c r="G161" s="5">
        <f ca="1"/>
        <v>41333</v>
      </c>
      <c r="H161" s="7">
        <f ca="1"/>
        <v>390351</v>
      </c>
      <c r="I161" s="7">
        <f ca="1"/>
        <v>142123</v>
      </c>
      <c r="J161" s="7">
        <f ca="1"/>
        <v>208682</v>
      </c>
      <c r="K161" s="7">
        <f ca="1"/>
        <v>350805</v>
      </c>
      <c r="L161" s="7">
        <f ca="1"/>
        <v>10506200</v>
      </c>
      <c r="M161" s="8">
        <f ca="1"/>
        <v>3.7154346957034894E-2</v>
      </c>
      <c r="N161" s="7">
        <f ca="1"/>
        <v>688400</v>
      </c>
      <c r="O161" s="11">
        <f ca="1"/>
        <v>350805</v>
      </c>
      <c r="P161" s="10">
        <f ca="1"/>
        <v>6.5523214863604351E-2</v>
      </c>
      <c r="Q161" s="10">
        <f ca="1"/>
        <v>3.3390283832403722E-2</v>
      </c>
      <c r="R161" s="10">
        <f ca="1"/>
        <v>7.0544630789438623E-2</v>
      </c>
      <c r="T161" s="10">
        <f ca="1"/>
        <v>0.36501438275909392</v>
      </c>
      <c r="U161" s="10" t="e">
        <f ca="1"/>
        <v>#N/A</v>
      </c>
      <c r="V161" s="10" t="e">
        <f ca="1"/>
        <v>#N/A</v>
      </c>
      <c r="W161" s="10" t="e">
        <f ca="1"/>
        <v>#N/A</v>
      </c>
    </row>
    <row r="162" spans="1:23" x14ac:dyDescent="0.25">
      <c r="A162" s="2" t="s">
        <v>164</v>
      </c>
      <c r="B162" s="3">
        <v>388123</v>
      </c>
      <c r="C162" s="3">
        <v>142856</v>
      </c>
      <c r="D162" s="3">
        <v>199709</v>
      </c>
      <c r="G162" s="5">
        <f ca="1"/>
        <v>41305</v>
      </c>
      <c r="H162" s="7">
        <f ca="1"/>
        <v>388123</v>
      </c>
      <c r="I162" s="7">
        <f ca="1"/>
        <v>142856</v>
      </c>
      <c r="J162" s="7">
        <f ca="1"/>
        <v>199709</v>
      </c>
      <c r="K162" s="7">
        <f ca="1"/>
        <v>342565</v>
      </c>
      <c r="L162" s="7">
        <f ca="1"/>
        <v>10532200</v>
      </c>
      <c r="M162" s="8">
        <f ca="1"/>
        <v>3.6851085243348965E-2</v>
      </c>
      <c r="N162" s="7">
        <f ca="1"/>
        <v>698800</v>
      </c>
      <c r="O162" s="11">
        <f ca="1"/>
        <v>342565</v>
      </c>
      <c r="P162" s="10">
        <f ca="1"/>
        <v>6.6348910958774043E-2</v>
      </c>
      <c r="Q162" s="10">
        <f ca="1"/>
        <v>3.2525493249273653E-2</v>
      </c>
      <c r="R162" s="10">
        <f ca="1"/>
        <v>6.9376578492622618E-2</v>
      </c>
      <c r="T162" s="10">
        <f ca="1"/>
        <v>0.34706401303008882</v>
      </c>
      <c r="U162" s="10" t="e">
        <f ca="1"/>
        <v>#N/A</v>
      </c>
      <c r="V162" s="10" t="e">
        <f ca="1"/>
        <v>#N/A</v>
      </c>
      <c r="W162" s="10" t="e">
        <f ca="1"/>
        <v>#N/A</v>
      </c>
    </row>
    <row r="163" spans="1:23" x14ac:dyDescent="0.25">
      <c r="A163" s="2" t="s">
        <v>165</v>
      </c>
      <c r="B163" s="3">
        <v>355009</v>
      </c>
      <c r="C163" s="3">
        <v>162206</v>
      </c>
      <c r="D163" s="3">
        <v>211576</v>
      </c>
      <c r="G163" s="5">
        <f ca="1"/>
        <v>41274</v>
      </c>
      <c r="H163" s="7">
        <f ca="1"/>
        <v>355009</v>
      </c>
      <c r="I163" s="7">
        <f ca="1"/>
        <v>162206</v>
      </c>
      <c r="J163" s="7">
        <f ca="1"/>
        <v>211576</v>
      </c>
      <c r="K163" s="7">
        <f ca="1"/>
        <v>373782</v>
      </c>
      <c r="L163" s="7">
        <f ca="1"/>
        <v>10556400</v>
      </c>
      <c r="M163" s="8">
        <f ca="1"/>
        <v>3.3629741199651397E-2</v>
      </c>
      <c r="N163" s="7">
        <f ca="1"/>
        <v>701700</v>
      </c>
      <c r="O163" s="11">
        <f ca="1"/>
        <v>373782</v>
      </c>
      <c r="P163" s="10">
        <f ca="1"/>
        <v>6.6471524383312497E-2</v>
      </c>
      <c r="Q163" s="10">
        <f ca="1"/>
        <v>3.540809366829601E-2</v>
      </c>
      <c r="R163" s="10">
        <f ca="1"/>
        <v>6.9037834867947401E-2</v>
      </c>
      <c r="T163" s="10">
        <f ca="1"/>
        <v>0.38290839235465723</v>
      </c>
      <c r="U163" s="10" t="e">
        <f ca="1"/>
        <v>#N/A</v>
      </c>
      <c r="V163" s="10" t="e">
        <f ca="1"/>
        <v>#N/A</v>
      </c>
      <c r="W163" s="10" t="e">
        <f ca="1"/>
        <v>#N/A</v>
      </c>
    </row>
    <row r="164" spans="1:23" x14ac:dyDescent="0.25">
      <c r="A164" s="2" t="s">
        <v>166</v>
      </c>
      <c r="B164" s="3">
        <v>351441</v>
      </c>
      <c r="C164" s="3">
        <v>135650</v>
      </c>
      <c r="D164" s="3">
        <v>202425</v>
      </c>
      <c r="G164" s="5">
        <f ca="1"/>
        <v>41243</v>
      </c>
      <c r="H164" s="7">
        <f ca="1"/>
        <v>351441</v>
      </c>
      <c r="I164" s="7">
        <f ca="1"/>
        <v>135650</v>
      </c>
      <c r="J164" s="7">
        <f ca="1"/>
        <v>202425</v>
      </c>
      <c r="K164" s="7">
        <f ca="1"/>
        <v>338075</v>
      </c>
      <c r="L164" s="7">
        <f ca="1"/>
        <v>10367100</v>
      </c>
      <c r="M164" s="8">
        <f ca="1"/>
        <v>3.3899644066325202E-2</v>
      </c>
      <c r="N164" s="7">
        <f ca="1"/>
        <v>675800</v>
      </c>
      <c r="O164" s="11">
        <f ca="1"/>
        <v>338075</v>
      </c>
      <c r="P164" s="10">
        <f ca="1"/>
        <v>6.5186985753007104E-2</v>
      </c>
      <c r="Q164" s="10">
        <f ca="1"/>
        <v>3.2610373199834092E-2</v>
      </c>
      <c r="R164" s="10">
        <f ca="1"/>
        <v>6.6510017266159294E-2</v>
      </c>
      <c r="T164" s="10">
        <f ca="1"/>
        <v>0.41462943915047035</v>
      </c>
      <c r="U164" s="10" t="e">
        <f ca="1"/>
        <v>#N/A</v>
      </c>
      <c r="V164" s="10" t="e">
        <f ca="1"/>
        <v>#N/A</v>
      </c>
      <c r="W164" s="10" t="e">
        <f ca="1"/>
        <v>#N/A</v>
      </c>
    </row>
    <row r="165" spans="1:23" x14ac:dyDescent="0.25">
      <c r="A165" s="2" t="s">
        <v>167</v>
      </c>
      <c r="B165" s="3">
        <v>342325</v>
      </c>
      <c r="C165" s="3">
        <v>124800</v>
      </c>
      <c r="D165" s="3">
        <v>200406</v>
      </c>
      <c r="G165" s="5">
        <f ca="1"/>
        <v>41213</v>
      </c>
      <c r="H165" s="7">
        <f ca="1"/>
        <v>342325</v>
      </c>
      <c r="I165" s="7">
        <f ca="1"/>
        <v>124800</v>
      </c>
      <c r="J165" s="7">
        <f ca="1"/>
        <v>200406</v>
      </c>
      <c r="K165" s="7">
        <f ca="1"/>
        <v>325206</v>
      </c>
      <c r="L165" s="7">
        <f ca="1"/>
        <v>10270900</v>
      </c>
      <c r="M165" s="8">
        <f ca="1"/>
        <v>3.3329601106037443E-2</v>
      </c>
      <c r="N165" s="7">
        <f ca="1"/>
        <v>661100</v>
      </c>
      <c r="O165" s="11">
        <f ca="1"/>
        <v>325206</v>
      </c>
      <c r="P165" s="10">
        <f ca="1"/>
        <v>6.4366316486383857E-2</v>
      </c>
      <c r="Q165" s="10">
        <f ca="1"/>
        <v>3.1662853303994778E-2</v>
      </c>
      <c r="R165" s="10">
        <f ca="1"/>
        <v>6.4992454410032222E-2</v>
      </c>
      <c r="T165" s="10">
        <f ca="1"/>
        <v>0.36717510566486</v>
      </c>
      <c r="U165" s="10" t="e">
        <f ca="1"/>
        <v>#N/A</v>
      </c>
      <c r="V165" s="10" t="e">
        <f ca="1"/>
        <v>#N/A</v>
      </c>
      <c r="W165" s="10" t="e">
        <f ca="1"/>
        <v>#N/A</v>
      </c>
    </row>
    <row r="166" spans="1:23" x14ac:dyDescent="0.25">
      <c r="A166" s="2" t="s">
        <v>168</v>
      </c>
      <c r="B166" s="3">
        <v>339159</v>
      </c>
      <c r="C166" s="3">
        <v>129389</v>
      </c>
      <c r="D166" s="3">
        <v>205176</v>
      </c>
      <c r="G166" s="5">
        <f ca="1"/>
        <v>41182</v>
      </c>
      <c r="H166" s="7">
        <f ca="1"/>
        <v>339159</v>
      </c>
      <c r="I166" s="7">
        <f ca="1"/>
        <v>129389</v>
      </c>
      <c r="J166" s="7">
        <f ca="1"/>
        <v>205176</v>
      </c>
      <c r="K166" s="7">
        <f ca="1"/>
        <v>334565</v>
      </c>
      <c r="L166" s="7">
        <f ca="1"/>
        <v>10190200</v>
      </c>
      <c r="M166" s="8">
        <f ca="1"/>
        <v>3.3282860002747737E-2</v>
      </c>
      <c r="N166" s="7">
        <f ca="1"/>
        <v>667600</v>
      </c>
      <c r="O166" s="11">
        <f ca="1"/>
        <v>334565</v>
      </c>
      <c r="P166" s="10">
        <f ca="1"/>
        <v>6.5513925143765583E-2</v>
      </c>
      <c r="Q166" s="10">
        <f ca="1"/>
        <v>3.283203470000589E-2</v>
      </c>
      <c r="R166" s="10">
        <f ca="1"/>
        <v>6.6114894702753627E-2</v>
      </c>
      <c r="T166" s="10">
        <f ca="1"/>
        <v>0.36063770375943438</v>
      </c>
      <c r="U166" s="10" t="e">
        <f ca="1"/>
        <v>#N/A</v>
      </c>
      <c r="V166" s="10" t="e">
        <f ca="1"/>
        <v>#N/A</v>
      </c>
      <c r="W166" s="10" t="e">
        <f ca="1"/>
        <v>#N/A</v>
      </c>
    </row>
    <row r="167" spans="1:23" x14ac:dyDescent="0.25">
      <c r="A167" s="2" t="s">
        <v>169</v>
      </c>
      <c r="B167" s="3">
        <v>320395</v>
      </c>
      <c r="C167" s="3">
        <v>124276</v>
      </c>
      <c r="D167" s="3">
        <v>196786</v>
      </c>
      <c r="G167" s="5">
        <f ca="1"/>
        <v>41152</v>
      </c>
      <c r="H167" s="7">
        <f ca="1"/>
        <v>320395</v>
      </c>
      <c r="I167" s="7">
        <f ca="1"/>
        <v>124276</v>
      </c>
      <c r="J167" s="7">
        <f ca="1"/>
        <v>196786</v>
      </c>
      <c r="K167" s="7">
        <f ca="1"/>
        <v>321062</v>
      </c>
      <c r="L167" s="7">
        <f ca="1"/>
        <v>10093000</v>
      </c>
      <c r="M167" s="8">
        <f ca="1"/>
        <v>3.1744278212622608E-2</v>
      </c>
      <c r="N167" s="7">
        <f ca="1"/>
        <v>667000</v>
      </c>
      <c r="O167" s="11">
        <f ca="1"/>
        <v>321062</v>
      </c>
      <c r="P167" s="10">
        <f ca="1"/>
        <v>6.6085405726741306E-2</v>
      </c>
      <c r="Q167" s="10">
        <f ca="1"/>
        <v>3.1810363618349352E-2</v>
      </c>
      <c r="R167" s="10">
        <f ca="1"/>
        <v>6.3554641830971953E-2</v>
      </c>
      <c r="T167" s="10">
        <f ca="1"/>
        <v>0.36755108588670127</v>
      </c>
      <c r="U167" s="10" t="e">
        <f ca="1"/>
        <v>#N/A</v>
      </c>
      <c r="V167" s="10" t="e">
        <f ca="1"/>
        <v>#N/A</v>
      </c>
      <c r="W167" s="10" t="e">
        <f ca="1"/>
        <v>#N/A</v>
      </c>
    </row>
    <row r="168" spans="1:23" x14ac:dyDescent="0.25">
      <c r="A168" s="2" t="s">
        <v>170</v>
      </c>
      <c r="B168" s="3">
        <v>313525</v>
      </c>
      <c r="C168" s="3">
        <v>124330</v>
      </c>
      <c r="D168" s="3">
        <v>194741</v>
      </c>
      <c r="G168" s="5">
        <f ca="1"/>
        <v>41121</v>
      </c>
      <c r="H168" s="7">
        <f ca="1"/>
        <v>313525</v>
      </c>
      <c r="I168" s="7">
        <f ca="1"/>
        <v>124330</v>
      </c>
      <c r="J168" s="7">
        <f ca="1"/>
        <v>194741</v>
      </c>
      <c r="K168" s="7">
        <f ca="1"/>
        <v>319071</v>
      </c>
      <c r="L168" s="7">
        <f ca="1"/>
        <v>10028500</v>
      </c>
      <c r="M168" s="8">
        <f ca="1"/>
        <v>3.1263399311960913E-2</v>
      </c>
      <c r="N168" s="7">
        <f ca="1"/>
        <v>662100</v>
      </c>
      <c r="O168" s="11">
        <f ca="1"/>
        <v>319071</v>
      </c>
      <c r="P168" s="10">
        <f ca="1"/>
        <v>6.6021837762377231E-2</v>
      </c>
      <c r="Q168" s="10">
        <f ca="1"/>
        <v>3.1816423193897395E-2</v>
      </c>
      <c r="R168" s="10">
        <f ca="1"/>
        <v>6.3079822505858307E-2</v>
      </c>
      <c r="T168" s="10">
        <f ca="1"/>
        <v>0.36585420680711755</v>
      </c>
      <c r="U168" s="10" t="e">
        <f ca="1"/>
        <v>#N/A</v>
      </c>
      <c r="V168" s="10" t="e">
        <f ca="1"/>
        <v>#N/A</v>
      </c>
      <c r="W168" s="10" t="e">
        <f ca="1"/>
        <v>#N/A</v>
      </c>
    </row>
    <row r="169" spans="1:23" x14ac:dyDescent="0.25">
      <c r="A169" s="2" t="s">
        <v>171</v>
      </c>
      <c r="B169" s="3">
        <v>320952</v>
      </c>
      <c r="C169" s="3">
        <v>138937</v>
      </c>
      <c r="D169" s="3">
        <v>192149</v>
      </c>
      <c r="G169" s="5">
        <f ca="1"/>
        <v>41090</v>
      </c>
      <c r="H169" s="7">
        <f ca="1"/>
        <v>320952</v>
      </c>
      <c r="I169" s="7">
        <f ca="1"/>
        <v>138937</v>
      </c>
      <c r="J169" s="7">
        <f ca="1"/>
        <v>192149</v>
      </c>
      <c r="K169" s="7">
        <f ca="1"/>
        <v>331086</v>
      </c>
      <c r="L169" s="7">
        <f ca="1"/>
        <v>9982800</v>
      </c>
      <c r="M169" s="8">
        <f ca="1"/>
        <v>3.2150498858035823E-2</v>
      </c>
      <c r="N169" s="7">
        <f ca="1"/>
        <v>669600</v>
      </c>
      <c r="O169" s="11">
        <f ca="1"/>
        <v>331086</v>
      </c>
      <c r="P169" s="10">
        <f ca="1"/>
        <v>6.7075369635773527E-2</v>
      </c>
      <c r="Q169" s="10">
        <f ca="1"/>
        <v>3.3165644909243897E-2</v>
      </c>
      <c r="R169" s="10">
        <f ca="1"/>
        <v>6.5316143767279719E-2</v>
      </c>
      <c r="T169" s="10">
        <f ca="1"/>
        <v>0.3745374396833312</v>
      </c>
      <c r="U169" s="10" t="e">
        <f ca="1"/>
        <v>#N/A</v>
      </c>
      <c r="V169" s="10" t="e">
        <f ca="1"/>
        <v>#N/A</v>
      </c>
      <c r="W169" s="10" t="e">
        <f ca="1"/>
        <v>#N/A</v>
      </c>
    </row>
    <row r="170" spans="1:23" x14ac:dyDescent="0.25">
      <c r="A170" s="2" t="s">
        <v>172</v>
      </c>
      <c r="B170" s="3">
        <v>315147</v>
      </c>
      <c r="C170" s="3">
        <v>139111</v>
      </c>
      <c r="D170" s="3">
        <v>187938</v>
      </c>
      <c r="G170" s="5">
        <f ca="1"/>
        <v>41060</v>
      </c>
      <c r="H170" s="7">
        <f ca="1"/>
        <v>315147</v>
      </c>
      <c r="I170" s="7">
        <f ca="1"/>
        <v>139111</v>
      </c>
      <c r="J170" s="7">
        <f ca="1"/>
        <v>187938</v>
      </c>
      <c r="K170" s="7">
        <f ca="1"/>
        <v>327049</v>
      </c>
      <c r="L170" s="7">
        <f ca="1"/>
        <v>9905600</v>
      </c>
      <c r="M170" s="8">
        <f ca="1"/>
        <v>3.1815033920206751E-2</v>
      </c>
      <c r="N170" s="7">
        <f ca="1"/>
        <v>671800</v>
      </c>
      <c r="O170" s="11">
        <f ca="1"/>
        <v>327049</v>
      </c>
      <c r="P170" s="10">
        <f ca="1"/>
        <v>6.7820222904215799E-2</v>
      </c>
      <c r="Q170" s="10">
        <f ca="1"/>
        <v>3.3016576481989988E-2</v>
      </c>
      <c r="R170" s="10">
        <f ca="1"/>
        <v>6.4831610402196732E-2</v>
      </c>
      <c r="T170" s="10">
        <f ca="1"/>
        <v>0.4190700155940501</v>
      </c>
      <c r="U170" s="10" t="e">
        <f ca="1"/>
        <v>#N/A</v>
      </c>
      <c r="V170" s="10" t="e">
        <f ca="1"/>
        <v>#N/A</v>
      </c>
      <c r="W170" s="10" t="e">
        <f ca="1"/>
        <v>#N/A</v>
      </c>
    </row>
    <row r="171" spans="1:23" x14ac:dyDescent="0.25">
      <c r="A171" s="2" t="s">
        <v>173</v>
      </c>
      <c r="B171" s="3">
        <v>335154</v>
      </c>
      <c r="C171" s="3">
        <v>138909</v>
      </c>
      <c r="D171" s="3">
        <v>182021</v>
      </c>
      <c r="G171" s="5">
        <f ca="1"/>
        <v>41029</v>
      </c>
      <c r="H171" s="7">
        <f ca="1"/>
        <v>335154</v>
      </c>
      <c r="I171" s="7">
        <f ca="1"/>
        <v>138909</v>
      </c>
      <c r="J171" s="7">
        <f ca="1"/>
        <v>182021</v>
      </c>
      <c r="K171" s="7">
        <f ca="1"/>
        <v>320930</v>
      </c>
      <c r="L171" s="7">
        <f ca="1"/>
        <v>9972100</v>
      </c>
      <c r="M171" s="8">
        <f ca="1"/>
        <v>3.360916958313695E-2</v>
      </c>
      <c r="N171" s="7">
        <f ca="1"/>
        <v>674200</v>
      </c>
      <c r="O171" s="11">
        <f ca="1"/>
        <v>320930</v>
      </c>
      <c r="P171" s="10">
        <f ca="1"/>
        <v>6.7608628072321778E-2</v>
      </c>
      <c r="Q171" s="10">
        <f ca="1"/>
        <v>3.2182789984055514E-2</v>
      </c>
      <c r="R171" s="10">
        <f ca="1"/>
        <v>6.5791959567192471E-2</v>
      </c>
      <c r="T171" s="10">
        <f ca="1"/>
        <v>0.2751821807090431</v>
      </c>
      <c r="U171" s="10" t="e">
        <f ca="1"/>
        <v>#N/A</v>
      </c>
      <c r="V171" s="10" t="e">
        <f ca="1"/>
        <v>#N/A</v>
      </c>
      <c r="W171" s="10" t="e">
        <f ca="1"/>
        <v>#N/A</v>
      </c>
    </row>
    <row r="172" spans="1:23" x14ac:dyDescent="0.25">
      <c r="A172" s="2" t="s">
        <v>174</v>
      </c>
      <c r="B172" s="3">
        <v>330815</v>
      </c>
      <c r="C172" s="3">
        <v>142297</v>
      </c>
      <c r="D172" s="3">
        <v>182814</v>
      </c>
      <c r="G172" s="5">
        <f ca="1"/>
        <v>40999</v>
      </c>
      <c r="H172" s="7">
        <f ca="1"/>
        <v>330815</v>
      </c>
      <c r="I172" s="7">
        <f ca="1"/>
        <v>142297</v>
      </c>
      <c r="J172" s="7">
        <f ca="1"/>
        <v>182814</v>
      </c>
      <c r="K172" s="7">
        <f ca="1"/>
        <v>325111</v>
      </c>
      <c r="L172" s="7">
        <f ca="1"/>
        <v>9926600</v>
      </c>
      <c r="M172" s="8">
        <f ca="1"/>
        <v>3.3326113674369877E-2</v>
      </c>
      <c r="N172" s="7">
        <f ca="1"/>
        <v>696500</v>
      </c>
      <c r="O172" s="11">
        <f ca="1"/>
        <v>325111</v>
      </c>
      <c r="P172" s="10">
        <f ca="1"/>
        <v>7.0165011182076437E-2</v>
      </c>
      <c r="Q172" s="10">
        <f ca="1"/>
        <v>3.2751495980496849E-2</v>
      </c>
      <c r="R172" s="10">
        <f ca="1"/>
        <v>6.6077609654866726E-2</v>
      </c>
      <c r="T172" s="10">
        <f ca="1"/>
        <v>0.31231763814520175</v>
      </c>
      <c r="U172" s="10" t="e">
        <f ca="1"/>
        <v>#N/A</v>
      </c>
      <c r="V172" s="10" t="e">
        <f ca="1"/>
        <v>#N/A</v>
      </c>
      <c r="W172" s="10" t="e">
        <f ca="1"/>
        <v>#N/A</v>
      </c>
    </row>
    <row r="173" spans="1:23" x14ac:dyDescent="0.25">
      <c r="A173" s="2" t="s">
        <v>175</v>
      </c>
      <c r="B173" s="3">
        <v>323021</v>
      </c>
      <c r="C173" s="3">
        <v>139609</v>
      </c>
      <c r="D173" s="3">
        <v>177639</v>
      </c>
      <c r="G173" s="5">
        <f ca="1"/>
        <v>40968</v>
      </c>
      <c r="H173" s="7">
        <f ca="1"/>
        <v>323021</v>
      </c>
      <c r="I173" s="7">
        <f ca="1"/>
        <v>139609</v>
      </c>
      <c r="J173" s="7">
        <f ca="1"/>
        <v>177639</v>
      </c>
      <c r="K173" s="7">
        <f ca="1"/>
        <v>317248</v>
      </c>
      <c r="L173" s="7">
        <f ca="1"/>
        <v>9811100</v>
      </c>
      <c r="M173" s="8">
        <f ca="1"/>
        <v>3.2924035021557219E-2</v>
      </c>
      <c r="N173" s="7">
        <f ca="1"/>
        <v>699500</v>
      </c>
      <c r="O173" s="11">
        <f ca="1"/>
        <v>317248</v>
      </c>
      <c r="P173" s="10">
        <f ca="1"/>
        <v>7.129679648561324E-2</v>
      </c>
      <c r="Q173" s="10">
        <f ca="1"/>
        <v>3.2335619859139138E-2</v>
      </c>
      <c r="R173" s="10">
        <f ca="1"/>
        <v>6.5259654880696349E-2</v>
      </c>
      <c r="T173" s="10">
        <f ca="1"/>
        <v>0.3222790020889974</v>
      </c>
      <c r="U173" s="10" t="e">
        <f ca="1"/>
        <v>#N/A</v>
      </c>
      <c r="V173" s="10" t="e">
        <f ca="1"/>
        <v>#N/A</v>
      </c>
      <c r="W173" s="10" t="e">
        <f ca="1"/>
        <v>#N/A</v>
      </c>
    </row>
    <row r="174" spans="1:23" x14ac:dyDescent="0.25">
      <c r="A174" s="2" t="s">
        <v>176</v>
      </c>
      <c r="B174" s="3">
        <v>309844</v>
      </c>
      <c r="C174" s="3">
        <v>137309</v>
      </c>
      <c r="D174" s="3">
        <v>174889</v>
      </c>
      <c r="G174" s="5">
        <f ca="1"/>
        <v>40939</v>
      </c>
      <c r="H174" s="7">
        <f ca="1"/>
        <v>309844</v>
      </c>
      <c r="I174" s="7">
        <f ca="1"/>
        <v>137309</v>
      </c>
      <c r="J174" s="7">
        <f ca="1"/>
        <v>174889</v>
      </c>
      <c r="K174" s="7">
        <f ca="1"/>
        <v>312198</v>
      </c>
      <c r="L174" s="7">
        <f ca="1"/>
        <v>9786700</v>
      </c>
      <c r="M174" s="8">
        <f ca="1"/>
        <v>3.1659701431534633E-2</v>
      </c>
      <c r="N174" s="7">
        <f ca="1"/>
        <v>707400</v>
      </c>
      <c r="O174" s="11">
        <f ca="1"/>
        <v>312198</v>
      </c>
      <c r="P174" s="10">
        <f ca="1"/>
        <v>7.2281770157458597E-2</v>
      </c>
      <c r="Q174" s="10">
        <f ca="1"/>
        <v>3.1900231947438872E-2</v>
      </c>
      <c r="R174" s="10">
        <f ca="1"/>
        <v>6.3559933378973504E-2</v>
      </c>
      <c r="T174" s="10">
        <f ca="1"/>
        <v>0.33840796192967959</v>
      </c>
      <c r="U174" s="10" t="e">
        <f ca="1"/>
        <v>#N/A</v>
      </c>
      <c r="V174" s="10" t="e">
        <f ca="1"/>
        <v>#N/A</v>
      </c>
      <c r="W174" s="10" t="e">
        <f ca="1"/>
        <v>#N/A</v>
      </c>
    </row>
    <row r="175" spans="1:23" x14ac:dyDescent="0.25">
      <c r="A175" s="2" t="s">
        <v>177</v>
      </c>
      <c r="B175" s="3">
        <v>301616</v>
      </c>
      <c r="C175" s="3">
        <v>142533</v>
      </c>
      <c r="D175" s="3">
        <v>189143</v>
      </c>
      <c r="G175" s="5">
        <f ca="1"/>
        <v>40908</v>
      </c>
      <c r="H175" s="7">
        <f ca="1"/>
        <v>301616</v>
      </c>
      <c r="I175" s="7">
        <f ca="1"/>
        <v>142533</v>
      </c>
      <c r="J175" s="7">
        <f ca="1"/>
        <v>189143</v>
      </c>
      <c r="K175" s="7">
        <f ca="1"/>
        <v>331676</v>
      </c>
      <c r="L175" s="7">
        <f ca="1"/>
        <v>9753500</v>
      </c>
      <c r="M175" s="8">
        <f ca="1"/>
        <v>3.0923873481314399E-2</v>
      </c>
      <c r="N175" s="7">
        <f ca="1"/>
        <v>714200</v>
      </c>
      <c r="O175" s="11">
        <f ca="1"/>
        <v>331676</v>
      </c>
      <c r="P175" s="10">
        <f ca="1"/>
        <v>7.3224996155226332E-2</v>
      </c>
      <c r="Q175" s="10">
        <f ca="1"/>
        <v>3.4005844055979902E-2</v>
      </c>
      <c r="R175" s="10">
        <f ca="1"/>
        <v>6.4929717537294304E-2</v>
      </c>
      <c r="T175" s="10">
        <f ca="1"/>
        <v>0.33711043374078753</v>
      </c>
      <c r="U175" s="10" t="e">
        <f ca="1"/>
        <v>#N/A</v>
      </c>
      <c r="V175" s="10" t="e">
        <f ca="1"/>
        <v>#N/A</v>
      </c>
      <c r="W175" s="10" t="e">
        <f ca="1"/>
        <v>#N/A</v>
      </c>
    </row>
    <row r="176" spans="1:23" x14ac:dyDescent="0.25">
      <c r="A176" s="2" t="s">
        <v>178</v>
      </c>
      <c r="B176" s="3">
        <v>303930</v>
      </c>
      <c r="C176" s="3">
        <v>132934</v>
      </c>
      <c r="D176" s="3">
        <v>188259</v>
      </c>
      <c r="G176" s="5">
        <f ca="1"/>
        <v>40877</v>
      </c>
      <c r="H176" s="7">
        <f ca="1"/>
        <v>303930</v>
      </c>
      <c r="I176" s="7">
        <f ca="1"/>
        <v>132934</v>
      </c>
      <c r="J176" s="7">
        <f ca="1"/>
        <v>188259</v>
      </c>
      <c r="K176" s="7">
        <f ca="1"/>
        <v>321193</v>
      </c>
      <c r="L176" s="7">
        <f ca="1"/>
        <v>9656900</v>
      </c>
      <c r="M176" s="8">
        <f ca="1"/>
        <v>3.1472832896685274E-2</v>
      </c>
      <c r="N176" s="7">
        <f ca="1"/>
        <v>705400</v>
      </c>
      <c r="O176" s="11">
        <f ca="1"/>
        <v>321193</v>
      </c>
      <c r="P176" s="10">
        <f ca="1"/>
        <v>7.3046215659269539E-2</v>
      </c>
      <c r="Q176" s="10">
        <f ca="1"/>
        <v>3.3260466609367392E-2</v>
      </c>
      <c r="R176" s="10">
        <f ca="1"/>
        <v>6.4733299506052666E-2</v>
      </c>
      <c r="T176" s="10">
        <f ca="1"/>
        <v>0.30956086952094819</v>
      </c>
      <c r="U176" s="10" t="e">
        <f ca="1"/>
        <v>#N/A</v>
      </c>
      <c r="V176" s="10" t="e">
        <f ca="1"/>
        <v>#N/A</v>
      </c>
      <c r="W176" s="10" t="e">
        <f ca="1"/>
        <v>#N/A</v>
      </c>
    </row>
    <row r="177" spans="1:23" x14ac:dyDescent="0.25">
      <c r="A177" s="2" t="s">
        <v>179</v>
      </c>
      <c r="B177" s="3">
        <v>317028</v>
      </c>
      <c r="C177" s="3">
        <v>133639</v>
      </c>
      <c r="D177" s="3">
        <v>188141</v>
      </c>
      <c r="G177" s="5">
        <f ca="1"/>
        <v>40847</v>
      </c>
      <c r="H177" s="7">
        <f ca="1"/>
        <v>317028</v>
      </c>
      <c r="I177" s="7">
        <f ca="1"/>
        <v>133639</v>
      </c>
      <c r="J177" s="7">
        <f ca="1"/>
        <v>188141</v>
      </c>
      <c r="K177" s="7">
        <f ca="1"/>
        <v>321780</v>
      </c>
      <c r="L177" s="7">
        <f ca="1"/>
        <v>9572500</v>
      </c>
      <c r="M177" s="8">
        <f ca="1"/>
        <v>3.3118621049882474E-2</v>
      </c>
      <c r="N177" s="7">
        <f ca="1"/>
        <v>708200</v>
      </c>
      <c r="O177" s="11">
        <f ca="1"/>
        <v>321780</v>
      </c>
      <c r="P177" s="10">
        <f ca="1"/>
        <v>7.3982763123530942E-2</v>
      </c>
      <c r="Q177" s="10">
        <f ca="1"/>
        <v>3.3615043092191176E-2</v>
      </c>
      <c r="R177" s="10">
        <f ca="1"/>
        <v>6.6733664142073656E-2</v>
      </c>
      <c r="T177" s="10">
        <f ca="1"/>
        <v>0.34503304459691631</v>
      </c>
      <c r="U177" s="10" t="e">
        <f ca="1"/>
        <v>#N/A</v>
      </c>
      <c r="V177" s="10" t="e">
        <f ca="1"/>
        <v>#N/A</v>
      </c>
      <c r="W177" s="10" t="e">
        <f ca="1"/>
        <v>#N/A</v>
      </c>
    </row>
    <row r="178" spans="1:23" x14ac:dyDescent="0.25">
      <c r="A178" s="2" t="s">
        <v>180</v>
      </c>
      <c r="B178" s="3">
        <v>298277</v>
      </c>
      <c r="C178" s="3">
        <v>141806</v>
      </c>
      <c r="D178" s="3">
        <v>204307</v>
      </c>
      <c r="G178" s="5">
        <f ca="1"/>
        <v>40816</v>
      </c>
      <c r="H178" s="7">
        <f ca="1"/>
        <v>298277</v>
      </c>
      <c r="I178" s="7">
        <f ca="1"/>
        <v>141806</v>
      </c>
      <c r="J178" s="7">
        <f ca="1"/>
        <v>204307</v>
      </c>
      <c r="K178" s="7">
        <f ca="1"/>
        <v>346113</v>
      </c>
      <c r="L178" s="7">
        <f ca="1"/>
        <v>9523300</v>
      </c>
      <c r="M178" s="8">
        <f ca="1"/>
        <v>3.1320760660695349E-2</v>
      </c>
      <c r="N178" s="7">
        <f ca="1"/>
        <v>709800</v>
      </c>
      <c r="O178" s="11">
        <f ca="1"/>
        <v>346113</v>
      </c>
      <c r="P178" s="10">
        <f ca="1"/>
        <v>7.4532987514832047E-2</v>
      </c>
      <c r="Q178" s="10">
        <f ca="1"/>
        <v>3.6343809393802572E-2</v>
      </c>
      <c r="R178" s="10">
        <f ca="1"/>
        <v>6.7664570054497913E-2</v>
      </c>
      <c r="T178" s="10">
        <f ca="1"/>
        <v>0.41970264526666234</v>
      </c>
      <c r="U178" s="10" t="e">
        <f ca="1"/>
        <v>#N/A</v>
      </c>
      <c r="V178" s="10" t="e">
        <f ca="1"/>
        <v>#N/A</v>
      </c>
      <c r="W178" s="10" t="e">
        <f ca="1"/>
        <v>#N/A</v>
      </c>
    </row>
    <row r="179" spans="1:23" x14ac:dyDescent="0.25">
      <c r="A179" s="2" t="s">
        <v>181</v>
      </c>
      <c r="B179" s="3">
        <v>308866</v>
      </c>
      <c r="C179" s="3">
        <v>135508</v>
      </c>
      <c r="D179" s="3">
        <v>193533</v>
      </c>
      <c r="G179" s="5">
        <f ca="1"/>
        <v>40786</v>
      </c>
      <c r="H179" s="7">
        <f ca="1"/>
        <v>308866</v>
      </c>
      <c r="I179" s="7">
        <f ca="1"/>
        <v>135508</v>
      </c>
      <c r="J179" s="7">
        <f ca="1"/>
        <v>193533</v>
      </c>
      <c r="K179" s="7">
        <f ca="1"/>
        <v>329041</v>
      </c>
      <c r="L179" s="7">
        <f ca="1"/>
        <v>9485100</v>
      </c>
      <c r="M179" s="8">
        <f ca="1"/>
        <v>3.2563283465646117E-2</v>
      </c>
      <c r="N179" s="7">
        <f ca="1"/>
        <v>716800</v>
      </c>
      <c r="O179" s="11">
        <f ca="1"/>
        <v>329041</v>
      </c>
      <c r="P179" s="10">
        <f ca="1"/>
        <v>7.5571158975656555E-2</v>
      </c>
      <c r="Q179" s="10">
        <f ca="1"/>
        <v>3.46903037395494E-2</v>
      </c>
      <c r="R179" s="10">
        <f ca="1"/>
        <v>6.7253587205195517E-2</v>
      </c>
      <c r="T179" s="10">
        <f ca="1"/>
        <v>0.33788936707692074</v>
      </c>
      <c r="U179" s="10" t="e">
        <f ca="1"/>
        <v>#N/A</v>
      </c>
      <c r="V179" s="10" t="e">
        <f ca="1"/>
        <v>#N/A</v>
      </c>
      <c r="W179" s="10" t="e">
        <f ca="1"/>
        <v>#N/A</v>
      </c>
    </row>
    <row r="180" spans="1:23" x14ac:dyDescent="0.25">
      <c r="A180" s="2" t="s">
        <v>182</v>
      </c>
      <c r="B180" s="3">
        <v>344572</v>
      </c>
      <c r="C180" s="3">
        <v>138316</v>
      </c>
      <c r="D180" s="3">
        <v>182957</v>
      </c>
      <c r="G180" s="5">
        <f ca="1"/>
        <v>40755</v>
      </c>
      <c r="H180" s="7">
        <f ca="1"/>
        <v>344572</v>
      </c>
      <c r="I180" s="7">
        <f ca="1"/>
        <v>138316</v>
      </c>
      <c r="J180" s="7">
        <f ca="1"/>
        <v>182957</v>
      </c>
      <c r="K180" s="7">
        <f ca="1"/>
        <v>321273</v>
      </c>
      <c r="L180" s="7">
        <f ca="1"/>
        <v>9293900</v>
      </c>
      <c r="M180" s="8">
        <f ca="1"/>
        <v>3.7075070745327579E-2</v>
      </c>
      <c r="N180" s="7">
        <f ca="1"/>
        <v>702400</v>
      </c>
      <c r="O180" s="11">
        <f ca="1"/>
        <v>321273</v>
      </c>
      <c r="P180" s="10">
        <f ca="1"/>
        <v>7.5576453372642266E-2</v>
      </c>
      <c r="Q180" s="10">
        <f ca="1"/>
        <v>3.4568157608754126E-2</v>
      </c>
      <c r="R180" s="10">
        <f ca="1"/>
        <v>7.1643228354081712E-2</v>
      </c>
      <c r="T180" s="10">
        <f ca="1"/>
        <v>0.23624130224954887</v>
      </c>
      <c r="U180" s="10" t="e">
        <f ca="1"/>
        <v>#N/A</v>
      </c>
      <c r="V180" s="10" t="e">
        <f ca="1"/>
        <v>#N/A</v>
      </c>
      <c r="W180" s="10" t="e">
        <f ca="1"/>
        <v>#N/A</v>
      </c>
    </row>
    <row r="181" spans="1:23" x14ac:dyDescent="0.25">
      <c r="A181" s="2" t="s">
        <v>183</v>
      </c>
      <c r="B181" s="3">
        <v>345273</v>
      </c>
      <c r="C181" s="3">
        <v>139575</v>
      </c>
      <c r="D181" s="3">
        <v>183547</v>
      </c>
      <c r="G181" s="5">
        <f ca="1"/>
        <v>40724</v>
      </c>
      <c r="H181" s="7">
        <f ca="1"/>
        <v>345273</v>
      </c>
      <c r="I181" s="7">
        <f ca="1"/>
        <v>139575</v>
      </c>
      <c r="J181" s="7">
        <f ca="1"/>
        <v>183547</v>
      </c>
      <c r="K181" s="7">
        <f ca="1"/>
        <v>323122</v>
      </c>
      <c r="L181" s="7">
        <f ca="1"/>
        <v>9144600</v>
      </c>
      <c r="M181" s="8">
        <f ca="1"/>
        <v>3.7757036939833344E-2</v>
      </c>
      <c r="N181" s="7">
        <f ca="1"/>
        <v>711400</v>
      </c>
      <c r="O181" s="11">
        <f ca="1"/>
        <v>323122</v>
      </c>
      <c r="P181" s="10">
        <f ca="1"/>
        <v>7.7794545414780314E-2</v>
      </c>
      <c r="Q181" s="10">
        <f ca="1"/>
        <v>3.5334733066509194E-2</v>
      </c>
      <c r="R181" s="10">
        <f ca="1"/>
        <v>7.3091770006342538E-2</v>
      </c>
      <c r="T181" s="10">
        <f ca="1"/>
        <v>0.18820414647512784</v>
      </c>
      <c r="U181" s="10" t="e">
        <f ca="1"/>
        <v>#N/A</v>
      </c>
      <c r="V181" s="10" t="e">
        <f ca="1"/>
        <v>#N/A</v>
      </c>
      <c r="W181" s="10" t="e">
        <f ca="1"/>
        <v>#N/A</v>
      </c>
    </row>
    <row r="182" spans="1:23" x14ac:dyDescent="0.25">
      <c r="A182" s="2" t="s">
        <v>184</v>
      </c>
      <c r="B182" s="3">
        <v>355736</v>
      </c>
      <c r="C182" s="3">
        <v>133727</v>
      </c>
      <c r="D182" s="3">
        <v>175508</v>
      </c>
      <c r="G182" s="5">
        <f ca="1"/>
        <v>40694</v>
      </c>
      <c r="H182" s="7">
        <f ca="1"/>
        <v>355736</v>
      </c>
      <c r="I182" s="7">
        <f ca="1"/>
        <v>133727</v>
      </c>
      <c r="J182" s="7">
        <f ca="1"/>
        <v>175508</v>
      </c>
      <c r="K182" s="7">
        <f ca="1"/>
        <v>309235</v>
      </c>
      <c r="L182" s="7">
        <f ca="1"/>
        <v>9057400</v>
      </c>
      <c r="M182" s="8">
        <f ca="1"/>
        <v>3.9275730342040766E-2</v>
      </c>
      <c r="N182" s="7">
        <f ca="1"/>
        <v>706700</v>
      </c>
      <c r="O182" s="11">
        <f ca="1"/>
        <v>309235</v>
      </c>
      <c r="P182" s="10">
        <f ca="1"/>
        <v>7.8024598670700204E-2</v>
      </c>
      <c r="Q182" s="10">
        <f ca="1"/>
        <v>3.4141696292534281E-2</v>
      </c>
      <c r="R182" s="10">
        <f ca="1"/>
        <v>7.3417426634575039E-2</v>
      </c>
      <c r="T182" s="10">
        <f ca="1"/>
        <v>0.12598878136400193</v>
      </c>
      <c r="U182" s="10" t="e">
        <f ca="1"/>
        <v>#N/A</v>
      </c>
      <c r="V182" s="10" t="e">
        <f ca="1"/>
        <v>#N/A</v>
      </c>
      <c r="W182" s="10" t="e">
        <f ca="1"/>
        <v>#N/A</v>
      </c>
    </row>
    <row r="183" spans="1:23" x14ac:dyDescent="0.25">
      <c r="A183" s="2" t="s">
        <v>185</v>
      </c>
      <c r="B183" s="3">
        <v>360883</v>
      </c>
      <c r="C183" s="3">
        <v>133131</v>
      </c>
      <c r="D183" s="3">
        <v>175399</v>
      </c>
      <c r="G183" s="5">
        <f ca="1"/>
        <v>40663</v>
      </c>
      <c r="H183" s="7">
        <f ca="1"/>
        <v>360883</v>
      </c>
      <c r="I183" s="7">
        <f ca="1"/>
        <v>133131</v>
      </c>
      <c r="J183" s="7">
        <f ca="1"/>
        <v>175399</v>
      </c>
      <c r="K183" s="7">
        <f ca="1"/>
        <v>308530</v>
      </c>
      <c r="L183" s="7">
        <f ca="1"/>
        <v>9085800</v>
      </c>
      <c r="M183" s="8">
        <f ca="1"/>
        <v>3.9719452332210706E-2</v>
      </c>
      <c r="N183" s="7">
        <f ca="1"/>
        <v>714200</v>
      </c>
      <c r="O183" s="11">
        <f ca="1"/>
        <v>308530</v>
      </c>
      <c r="P183" s="10">
        <f ca="1"/>
        <v>7.860617667128926E-2</v>
      </c>
      <c r="Q183" s="10">
        <f ca="1"/>
        <v>3.395738404983601E-2</v>
      </c>
      <c r="R183" s="10">
        <f ca="1"/>
        <v>7.3676836382046723E-2</v>
      </c>
      <c r="T183" s="10">
        <f ca="1"/>
        <v>9.8635241340891078E-2</v>
      </c>
      <c r="U183" s="10" t="e">
        <f ca="1"/>
        <v>#N/A</v>
      </c>
      <c r="V183" s="10" t="e">
        <f ca="1"/>
        <v>#N/A</v>
      </c>
      <c r="W183" s="10" t="e">
        <f ca="1"/>
        <v>#N/A</v>
      </c>
    </row>
    <row r="184" spans="1:23" x14ac:dyDescent="0.25">
      <c r="A184" s="2" t="s">
        <v>186</v>
      </c>
      <c r="B184" s="3">
        <v>355413</v>
      </c>
      <c r="C184" s="3">
        <v>133386</v>
      </c>
      <c r="D184" s="3">
        <v>170139</v>
      </c>
      <c r="G184" s="5">
        <f ca="1"/>
        <v>40633</v>
      </c>
      <c r="H184" s="7">
        <f ca="1"/>
        <v>355413</v>
      </c>
      <c r="I184" s="7">
        <f ca="1"/>
        <v>133386</v>
      </c>
      <c r="J184" s="7">
        <f ca="1"/>
        <v>170139</v>
      </c>
      <c r="K184" s="7">
        <f ca="1"/>
        <v>303525</v>
      </c>
      <c r="L184" s="7">
        <f ca="1"/>
        <v>9028900</v>
      </c>
      <c r="M184" s="8">
        <f ca="1"/>
        <v>3.9363931375915116E-2</v>
      </c>
      <c r="N184" s="7">
        <f ca="1"/>
        <v>728300</v>
      </c>
      <c r="O184" s="11">
        <f ca="1"/>
        <v>303525</v>
      </c>
      <c r="P184" s="10">
        <f ca="1"/>
        <v>8.0663203712523127E-2</v>
      </c>
      <c r="Q184" s="10">
        <f ca="1"/>
        <v>3.3617051911085515E-2</v>
      </c>
      <c r="R184" s="10">
        <f ca="1"/>
        <v>7.2980983287000631E-2</v>
      </c>
      <c r="T184" s="10">
        <f ca="1"/>
        <v>7.5695970582987826E-2</v>
      </c>
      <c r="U184" s="10" t="e">
        <f ca="1"/>
        <v>#N/A</v>
      </c>
      <c r="V184" s="10" t="e">
        <f ca="1"/>
        <v>#N/A</v>
      </c>
      <c r="W184" s="10" t="e">
        <f ca="1"/>
        <v>#N/A</v>
      </c>
    </row>
    <row r="185" spans="1:23" x14ac:dyDescent="0.25">
      <c r="A185" s="2" t="s">
        <v>187</v>
      </c>
      <c r="B185" s="3">
        <v>348979</v>
      </c>
      <c r="C185" s="3">
        <v>135760</v>
      </c>
      <c r="D185" s="3">
        <v>179102</v>
      </c>
      <c r="G185" s="5">
        <f ca="1"/>
        <v>40602</v>
      </c>
      <c r="H185" s="7">
        <f ca="1"/>
        <v>348979</v>
      </c>
      <c r="I185" s="7">
        <f ca="1"/>
        <v>135760</v>
      </c>
      <c r="J185" s="7">
        <f ca="1"/>
        <v>179102</v>
      </c>
      <c r="K185" s="7">
        <f ca="1"/>
        <v>314862</v>
      </c>
      <c r="L185" s="7">
        <f ca="1"/>
        <v>8913700</v>
      </c>
      <c r="M185" s="8">
        <f ca="1"/>
        <v>3.9150857668532706E-2</v>
      </c>
      <c r="N185" s="7">
        <f ca="1"/>
        <v>722800</v>
      </c>
      <c r="O185" s="11">
        <f ca="1"/>
        <v>314862</v>
      </c>
      <c r="P185" s="10">
        <f ca="1"/>
        <v>8.1088661274218335E-2</v>
      </c>
      <c r="Q185" s="10">
        <f ca="1"/>
        <v>3.5323378619428518E-2</v>
      </c>
      <c r="R185" s="10">
        <f ca="1"/>
        <v>7.4474236287961224E-2</v>
      </c>
      <c r="T185" s="10">
        <f ca="1"/>
        <v>6.7027384285584413E-2</v>
      </c>
      <c r="U185" s="10" t="e">
        <f ca="1"/>
        <v>#N/A</v>
      </c>
      <c r="V185" s="10" t="e">
        <f ca="1"/>
        <v>#N/A</v>
      </c>
      <c r="W185" s="10" t="e">
        <f ca="1"/>
        <v>#N/A</v>
      </c>
    </row>
    <row r="186" spans="1:23" x14ac:dyDescent="0.25">
      <c r="A186" s="2" t="s">
        <v>188</v>
      </c>
      <c r="B186" s="3">
        <v>326868</v>
      </c>
      <c r="C186" s="3">
        <v>130894</v>
      </c>
      <c r="D186" s="3">
        <v>173545</v>
      </c>
      <c r="G186" s="5">
        <f ca="1"/>
        <v>40574</v>
      </c>
      <c r="H186" s="7">
        <f ca="1"/>
        <v>326868</v>
      </c>
      <c r="I186" s="7">
        <f ca="1"/>
        <v>130894</v>
      </c>
      <c r="J186" s="7">
        <f ca="1"/>
        <v>173545</v>
      </c>
      <c r="K186" s="7">
        <f ca="1"/>
        <v>304439</v>
      </c>
      <c r="L186" s="7">
        <f ca="1"/>
        <v>8876500</v>
      </c>
      <c r="M186" s="8">
        <f ca="1"/>
        <v>3.6823973412944293E-2</v>
      </c>
      <c r="N186" s="7">
        <f ca="1"/>
        <v>727100</v>
      </c>
      <c r="O186" s="11">
        <f ca="1"/>
        <v>304439</v>
      </c>
      <c r="P186" s="10">
        <f ca="1"/>
        <v>8.1912916126851795E-2</v>
      </c>
      <c r="Q186" s="10">
        <f ca="1"/>
        <v>3.4297189207457897E-2</v>
      </c>
      <c r="R186" s="10">
        <f ca="1"/>
        <v>7.112116262040219E-2</v>
      </c>
      <c r="T186" s="10">
        <f ca="1"/>
        <v>9.8000217352203878E-2</v>
      </c>
      <c r="U186" s="10" t="e">
        <f ca="1"/>
        <v>#N/A</v>
      </c>
      <c r="V186" s="10" t="e">
        <f ca="1"/>
        <v>#N/A</v>
      </c>
      <c r="W186" s="10" t="e">
        <f ca="1"/>
        <v>#N/A</v>
      </c>
    </row>
    <row r="187" spans="1:23" x14ac:dyDescent="0.25">
      <c r="A187" s="2" t="s">
        <v>189</v>
      </c>
      <c r="B187" s="3">
        <v>313678</v>
      </c>
      <c r="C187" s="3">
        <v>126098</v>
      </c>
      <c r="D187" s="3">
        <v>182426</v>
      </c>
      <c r="G187" s="5">
        <f ca="1"/>
        <v>40543</v>
      </c>
      <c r="H187" s="7">
        <f ca="1"/>
        <v>313678</v>
      </c>
      <c r="I187" s="7">
        <f ca="1"/>
        <v>126098</v>
      </c>
      <c r="J187" s="7">
        <f ca="1"/>
        <v>182426</v>
      </c>
      <c r="K187" s="7">
        <f ca="1"/>
        <v>308524</v>
      </c>
      <c r="L187" s="7">
        <f ca="1"/>
        <v>8879200</v>
      </c>
      <c r="M187" s="8">
        <f ca="1"/>
        <v>3.532728173709343E-2</v>
      </c>
      <c r="N187" s="7">
        <f ca="1"/>
        <v>731300</v>
      </c>
      <c r="O187" s="11">
        <f ca="1"/>
        <v>308524</v>
      </c>
      <c r="P187" s="10">
        <f ca="1"/>
        <v>8.2361023515632042E-2</v>
      </c>
      <c r="Q187" s="10">
        <f ca="1"/>
        <v>3.4746824038201639E-2</v>
      </c>
      <c r="R187" s="10">
        <f ca="1"/>
        <v>7.0074105775295076E-2</v>
      </c>
      <c r="T187" s="10">
        <f ca="1"/>
        <v>0.14553451477769186</v>
      </c>
      <c r="U187" s="10" t="e">
        <f ca="1"/>
        <v>#N/A</v>
      </c>
      <c r="V187" s="10" t="e">
        <f ca="1"/>
        <v>#N/A</v>
      </c>
      <c r="W187" s="10" t="e">
        <f ca="1"/>
        <v>#N/A</v>
      </c>
    </row>
    <row r="188" spans="1:23" x14ac:dyDescent="0.25">
      <c r="A188" s="2" t="s">
        <v>190</v>
      </c>
      <c r="B188" s="3">
        <v>309340</v>
      </c>
      <c r="C188" s="3">
        <v>119305</v>
      </c>
      <c r="D188" s="3">
        <v>176805</v>
      </c>
      <c r="G188" s="5">
        <f ca="1"/>
        <v>40512</v>
      </c>
      <c r="H188" s="7">
        <f ca="1"/>
        <v>309340</v>
      </c>
      <c r="I188" s="7">
        <f ca="1"/>
        <v>119305</v>
      </c>
      <c r="J188" s="7">
        <f ca="1"/>
        <v>176805</v>
      </c>
      <c r="K188" s="7">
        <f ca="1"/>
        <v>296110</v>
      </c>
      <c r="L188" s="7">
        <f ca="1"/>
        <v>8794400</v>
      </c>
      <c r="M188" s="8">
        <f ca="1"/>
        <v>3.5174656599654325E-2</v>
      </c>
      <c r="N188" s="7">
        <f ca="1"/>
        <v>723300</v>
      </c>
      <c r="O188" s="11">
        <f ca="1"/>
        <v>296110</v>
      </c>
      <c r="P188" s="10">
        <f ca="1"/>
        <v>8.2245519876284909E-2</v>
      </c>
      <c r="Q188" s="10">
        <f ca="1"/>
        <v>3.3670290184662964E-2</v>
      </c>
      <c r="R188" s="10">
        <f ca="1"/>
        <v>6.8844946784317296E-2</v>
      </c>
      <c r="T188" s="10">
        <f ca="1"/>
        <v>0.19146152037428643</v>
      </c>
      <c r="U188" s="10" t="e">
        <f ca="1"/>
        <v>#N/A</v>
      </c>
      <c r="V188" s="10" t="e">
        <f ca="1"/>
        <v>#N/A</v>
      </c>
      <c r="W188" s="10" t="e">
        <f ca="1"/>
        <v>#N/A</v>
      </c>
    </row>
    <row r="189" spans="1:23" x14ac:dyDescent="0.25">
      <c r="A189" s="2" t="s">
        <v>191</v>
      </c>
      <c r="B189" s="3">
        <v>303428</v>
      </c>
      <c r="C189" s="3">
        <v>114784</v>
      </c>
      <c r="D189" s="3">
        <v>176588</v>
      </c>
      <c r="G189" s="5">
        <f ca="1"/>
        <v>40482</v>
      </c>
      <c r="H189" s="7">
        <f ca="1"/>
        <v>303428</v>
      </c>
      <c r="I189" s="7">
        <f ca="1"/>
        <v>114784</v>
      </c>
      <c r="J189" s="7">
        <f ca="1"/>
        <v>176588</v>
      </c>
      <c r="K189" s="7">
        <f ca="1"/>
        <v>291372</v>
      </c>
      <c r="L189" s="7">
        <f ca="1"/>
        <v>8729300</v>
      </c>
      <c r="M189" s="8">
        <f ca="1"/>
        <v>3.4759717274008228E-2</v>
      </c>
      <c r="N189" s="7">
        <f ca="1"/>
        <v>724300</v>
      </c>
      <c r="O189" s="11">
        <f ca="1"/>
        <v>291372</v>
      </c>
      <c r="P189" s="10">
        <f ca="1"/>
        <v>8.297343429599166E-2</v>
      </c>
      <c r="Q189" s="10">
        <f ca="1"/>
        <v>3.3378621424398291E-2</v>
      </c>
      <c r="R189" s="10">
        <f ca="1"/>
        <v>6.813833869840652E-2</v>
      </c>
      <c r="T189" s="10">
        <f ca="1"/>
        <v>0.16569472043788203</v>
      </c>
      <c r="U189" s="10" t="e">
        <f ca="1"/>
        <v>#N/A</v>
      </c>
      <c r="V189" s="10" t="e">
        <f ca="1"/>
        <v>#N/A</v>
      </c>
      <c r="W189" s="10" t="e">
        <f ca="1"/>
        <v>#N/A</v>
      </c>
    </row>
    <row r="190" spans="1:23" x14ac:dyDescent="0.25">
      <c r="A190" s="2" t="s">
        <v>192</v>
      </c>
      <c r="B190" s="3">
        <v>288540</v>
      </c>
      <c r="C190" s="3">
        <v>114321</v>
      </c>
      <c r="D190" s="3">
        <v>173544</v>
      </c>
      <c r="G190" s="5">
        <f ca="1"/>
        <v>40451</v>
      </c>
      <c r="H190" s="7">
        <f ca="1"/>
        <v>288540</v>
      </c>
      <c r="I190" s="7">
        <f ca="1"/>
        <v>114321</v>
      </c>
      <c r="J190" s="7">
        <f ca="1"/>
        <v>173544</v>
      </c>
      <c r="K190" s="7">
        <f ca="1"/>
        <v>287865</v>
      </c>
      <c r="L190" s="7">
        <f ca="1"/>
        <v>8668000</v>
      </c>
      <c r="M190" s="8">
        <f ca="1"/>
        <v>3.3287955699123212E-2</v>
      </c>
      <c r="N190" s="7">
        <f ca="1"/>
        <v>732500</v>
      </c>
      <c r="O190" s="11">
        <f ca="1"/>
        <v>287865</v>
      </c>
      <c r="P190" s="10">
        <f ca="1"/>
        <v>8.4506229810798333E-2</v>
      </c>
      <c r="Q190" s="10">
        <f ca="1"/>
        <v>3.3210083064143976E-2</v>
      </c>
      <c r="R190" s="10">
        <f ca="1"/>
        <v>6.6498038763267181E-2</v>
      </c>
      <c r="T190" s="10">
        <f ca="1"/>
        <v>0.19362083110931572</v>
      </c>
      <c r="U190" s="10" t="e">
        <f ca="1"/>
        <v>#N/A</v>
      </c>
      <c r="V190" s="10" t="e">
        <f ca="1"/>
        <v>#N/A</v>
      </c>
      <c r="W190" s="10" t="e">
        <f ca="1"/>
        <v>#N/A</v>
      </c>
    </row>
    <row r="191" spans="1:23" x14ac:dyDescent="0.25">
      <c r="A191" s="2" t="s">
        <v>193</v>
      </c>
      <c r="B191" s="3">
        <v>268371</v>
      </c>
      <c r="C191" s="3">
        <v>106870</v>
      </c>
      <c r="D191" s="3">
        <v>174209</v>
      </c>
      <c r="G191" s="5">
        <f ca="1"/>
        <v>40421</v>
      </c>
      <c r="H191" s="7">
        <f ca="1"/>
        <v>268371</v>
      </c>
      <c r="I191" s="7">
        <f ca="1"/>
        <v>106870</v>
      </c>
      <c r="J191" s="7">
        <f ca="1"/>
        <v>174209</v>
      </c>
      <c r="K191" s="7">
        <f ca="1"/>
        <v>281079</v>
      </c>
      <c r="L191" s="7">
        <f ca="1"/>
        <v>8626300</v>
      </c>
      <c r="M191" s="8">
        <f ca="1"/>
        <v>3.1110789098454727E-2</v>
      </c>
      <c r="N191" s="7">
        <f ca="1"/>
        <v>738500</v>
      </c>
      <c r="O191" s="11">
        <f ca="1"/>
        <v>281079</v>
      </c>
      <c r="P191" s="10">
        <f ca="1"/>
        <v>8.5610284826634825E-2</v>
      </c>
      <c r="Q191" s="10">
        <f ca="1"/>
        <v>3.2583958359899377E-2</v>
      </c>
      <c r="R191" s="10">
        <f ca="1"/>
        <v>6.3694747458354101E-2</v>
      </c>
      <c r="T191" s="10">
        <f ca="1"/>
        <v>0.24873015250733665</v>
      </c>
      <c r="U191" s="10" t="e">
        <f ca="1"/>
        <v>#N/A</v>
      </c>
      <c r="V191" s="10" t="e">
        <f ca="1"/>
        <v>#N/A</v>
      </c>
      <c r="W191" s="10" t="e">
        <f ca="1"/>
        <v>#N/A</v>
      </c>
    </row>
    <row r="192" spans="1:23" x14ac:dyDescent="0.25">
      <c r="A192" s="2" t="s">
        <v>194</v>
      </c>
      <c r="B192" s="3">
        <v>267468</v>
      </c>
      <c r="C192" s="3">
        <v>106290</v>
      </c>
      <c r="D192" s="3">
        <v>172179</v>
      </c>
      <c r="G192" s="5">
        <f ca="1"/>
        <v>40390</v>
      </c>
      <c r="H192" s="7">
        <f ca="1"/>
        <v>267468</v>
      </c>
      <c r="I192" s="7">
        <f ca="1"/>
        <v>106290</v>
      </c>
      <c r="J192" s="7">
        <f ca="1"/>
        <v>172179</v>
      </c>
      <c r="K192" s="7">
        <f ca="1"/>
        <v>278469</v>
      </c>
      <c r="L192" s="7">
        <f ca="1"/>
        <v>8597400</v>
      </c>
      <c r="M192" s="8">
        <f ca="1"/>
        <v>3.1110335682880869E-2</v>
      </c>
      <c r="N192" s="7">
        <f ca="1"/>
        <v>750700</v>
      </c>
      <c r="O192" s="11">
        <f ca="1"/>
        <v>278469</v>
      </c>
      <c r="P192" s="10">
        <f ca="1"/>
        <v>8.7317095866192102E-2</v>
      </c>
      <c r="Q192" s="10">
        <f ca="1"/>
        <v>3.2389908577011656E-2</v>
      </c>
      <c r="R192" s="10">
        <f ca="1"/>
        <v>6.3500244259892522E-2</v>
      </c>
      <c r="T192" s="10">
        <f ca="1"/>
        <v>0.26898154063242696</v>
      </c>
      <c r="U192" s="10" t="e">
        <f ca="1"/>
        <v>#N/A</v>
      </c>
      <c r="V192" s="10" t="e">
        <f ca="1"/>
        <v>#N/A</v>
      </c>
      <c r="W192" s="10" t="e">
        <f ca="1"/>
        <v>#N/A</v>
      </c>
    </row>
    <row r="193" spans="1:23" x14ac:dyDescent="0.25">
      <c r="A193" s="2" t="s">
        <v>195</v>
      </c>
      <c r="B193" s="3">
        <v>263202</v>
      </c>
      <c r="C193" s="3">
        <v>114265</v>
      </c>
      <c r="D193" s="3">
        <v>172908</v>
      </c>
      <c r="G193" s="5">
        <f ca="1"/>
        <v>40359</v>
      </c>
      <c r="H193" s="7">
        <f ca="1"/>
        <v>263202</v>
      </c>
      <c r="I193" s="7">
        <f ca="1"/>
        <v>114265</v>
      </c>
      <c r="J193" s="7">
        <f ca="1"/>
        <v>172908</v>
      </c>
      <c r="K193" s="7">
        <f ca="1"/>
        <v>287173</v>
      </c>
      <c r="L193" s="7">
        <f ca="1"/>
        <v>8625300</v>
      </c>
      <c r="M193" s="8">
        <f ca="1"/>
        <v>3.0515112517825467E-2</v>
      </c>
      <c r="N193" s="7">
        <f ca="1"/>
        <v>753000</v>
      </c>
      <c r="O193" s="11">
        <f ca="1"/>
        <v>287173</v>
      </c>
      <c r="P193" s="10">
        <f ca="1"/>
        <v>8.7301311258738828E-2</v>
      </c>
      <c r="Q193" s="10">
        <f ca="1"/>
        <v>3.3294262228560169E-2</v>
      </c>
      <c r="R193" s="10">
        <f ca="1"/>
        <v>6.3809374746385636E-2</v>
      </c>
      <c r="T193" s="10">
        <f ca="1"/>
        <v>0.3665046657956248</v>
      </c>
      <c r="U193" s="10" t="e">
        <f ca="1"/>
        <v>#N/A</v>
      </c>
      <c r="V193" s="10" t="e">
        <f ca="1"/>
        <v>#N/A</v>
      </c>
      <c r="W193" s="10" t="e">
        <f ca="1"/>
        <v>#N/A</v>
      </c>
    </row>
    <row r="194" spans="1:23" x14ac:dyDescent="0.25">
      <c r="A194" s="2" t="s">
        <v>196</v>
      </c>
      <c r="B194" s="3">
        <v>268566</v>
      </c>
      <c r="C194" s="3">
        <v>114051</v>
      </c>
      <c r="D194" s="3">
        <v>166706</v>
      </c>
      <c r="G194" s="5">
        <f ca="1"/>
        <v>40329</v>
      </c>
      <c r="H194" s="7">
        <f ca="1"/>
        <v>268566</v>
      </c>
      <c r="I194" s="7">
        <f ca="1"/>
        <v>114051</v>
      </c>
      <c r="J194" s="7">
        <f ca="1"/>
        <v>166706</v>
      </c>
      <c r="K194" s="7">
        <f ca="1"/>
        <v>280757</v>
      </c>
      <c r="L194" s="7">
        <f ca="1"/>
        <v>8603000</v>
      </c>
      <c r="M194" s="8">
        <f ca="1"/>
        <v>3.1217714750668372E-2</v>
      </c>
      <c r="N194" s="7">
        <f ca="1"/>
        <v>761200</v>
      </c>
      <c r="O194" s="11">
        <f ca="1"/>
        <v>280757</v>
      </c>
      <c r="P194" s="10">
        <f ca="1"/>
        <v>8.848076252470069E-2</v>
      </c>
      <c r="Q194" s="10">
        <f ca="1"/>
        <v>3.2634778565616647E-2</v>
      </c>
      <c r="R194" s="10">
        <f ca="1"/>
        <v>6.3852493316285022E-2</v>
      </c>
      <c r="T194" s="10">
        <f ca="1"/>
        <v>0.25359599311867664</v>
      </c>
      <c r="U194" s="10" t="e">
        <f ca="1"/>
        <v>#N/A</v>
      </c>
      <c r="V194" s="10" t="e">
        <f ca="1"/>
        <v>#N/A</v>
      </c>
      <c r="W194" s="10" t="e">
        <f ca="1"/>
        <v>#N/A</v>
      </c>
    </row>
    <row r="195" spans="1:23" x14ac:dyDescent="0.25">
      <c r="A195" s="2" t="s">
        <v>197</v>
      </c>
      <c r="B195" s="3">
        <v>295550</v>
      </c>
      <c r="C195" s="3">
        <v>111217</v>
      </c>
      <c r="D195" s="3">
        <v>160630</v>
      </c>
      <c r="G195" s="5">
        <f ca="1"/>
        <v>40298</v>
      </c>
      <c r="H195" s="7">
        <f ca="1"/>
        <v>295550</v>
      </c>
      <c r="I195" s="7">
        <f ca="1"/>
        <v>111217</v>
      </c>
      <c r="J195" s="7">
        <f ca="1"/>
        <v>160630</v>
      </c>
      <c r="K195" s="7">
        <f ca="1"/>
        <v>271847</v>
      </c>
      <c r="L195" s="7">
        <f ca="1"/>
        <v>8621600</v>
      </c>
      <c r="M195" s="8">
        <f ca="1"/>
        <v>3.428018001299063E-2</v>
      </c>
      <c r="N195" s="7">
        <f ca="1"/>
        <v>760500</v>
      </c>
      <c r="O195" s="11">
        <f ca="1"/>
        <v>271847</v>
      </c>
      <c r="P195" s="10">
        <f ca="1"/>
        <v>8.82086851628468E-2</v>
      </c>
      <c r="Q195" s="10">
        <f ca="1"/>
        <v>3.1530922334601467E-2</v>
      </c>
      <c r="R195" s="10">
        <f ca="1"/>
        <v>6.5811102347592104E-2</v>
      </c>
      <c r="T195" s="10">
        <f ca="1"/>
        <v>0.10594182050996337</v>
      </c>
      <c r="U195" s="10" t="e">
        <f ca="1"/>
        <v>#N/A</v>
      </c>
      <c r="V195" s="10" t="e">
        <f ca="1"/>
        <v>#N/A</v>
      </c>
      <c r="W195" s="10" t="e">
        <f ca="1"/>
        <v>#N/A</v>
      </c>
    </row>
    <row r="196" spans="1:23" x14ac:dyDescent="0.25">
      <c r="A196" s="2" t="s">
        <v>198</v>
      </c>
      <c r="B196" s="3">
        <v>277798</v>
      </c>
      <c r="C196" s="3">
        <v>108908</v>
      </c>
      <c r="D196" s="3">
        <v>162169</v>
      </c>
      <c r="G196" s="5">
        <f ca="1"/>
        <v>40268</v>
      </c>
      <c r="H196" s="7">
        <f ca="1"/>
        <v>277798</v>
      </c>
      <c r="I196" s="7">
        <f ca="1"/>
        <v>108908</v>
      </c>
      <c r="J196" s="7">
        <f ca="1"/>
        <v>162169</v>
      </c>
      <c r="K196" s="7">
        <f ca="1"/>
        <v>271077</v>
      </c>
      <c r="L196" s="7">
        <f ca="1"/>
        <v>8596000</v>
      </c>
      <c r="M196" s="8">
        <f ca="1"/>
        <v>3.2317124243834344E-2</v>
      </c>
      <c r="N196" s="7">
        <f ca="1"/>
        <v>783000</v>
      </c>
      <c r="O196" s="11">
        <f ca="1"/>
        <v>271077</v>
      </c>
      <c r="P196" s="10">
        <f ca="1"/>
        <v>9.1088878548161931E-2</v>
      </c>
      <c r="Q196" s="10">
        <f ca="1"/>
        <v>3.1535248953001395E-2</v>
      </c>
      <c r="R196" s="10">
        <f ca="1"/>
        <v>6.3852373196835732E-2</v>
      </c>
      <c r="T196" s="10">
        <f ca="1"/>
        <v>7.539563533125504E-2</v>
      </c>
      <c r="U196" s="10" t="e">
        <f ca="1"/>
        <v>#N/A</v>
      </c>
      <c r="V196" s="10" t="e">
        <f ca="1"/>
        <v>#N/A</v>
      </c>
      <c r="W196" s="10" t="e">
        <f ca="1"/>
        <v>#N/A</v>
      </c>
    </row>
    <row r="197" spans="1:23" x14ac:dyDescent="0.25">
      <c r="A197" s="2" t="s">
        <v>199</v>
      </c>
      <c r="B197" s="3">
        <v>263657</v>
      </c>
      <c r="C197" s="3">
        <v>106131</v>
      </c>
      <c r="D197" s="3">
        <v>164624</v>
      </c>
      <c r="G197" s="5">
        <f ca="1"/>
        <v>40237</v>
      </c>
      <c r="H197" s="7">
        <f ca="1"/>
        <v>263657</v>
      </c>
      <c r="I197" s="7">
        <f ca="1"/>
        <v>106131</v>
      </c>
      <c r="J197" s="7">
        <f ca="1"/>
        <v>164624</v>
      </c>
      <c r="K197" s="7">
        <f ca="1"/>
        <v>270755</v>
      </c>
      <c r="L197" s="7">
        <f ca="1"/>
        <v>8528700</v>
      </c>
      <c r="M197" s="8">
        <f ca="1"/>
        <v>3.0914090072343969E-2</v>
      </c>
      <c r="N197" s="7">
        <f ca="1"/>
        <v>809700</v>
      </c>
      <c r="O197" s="11">
        <f ca="1"/>
        <v>270755</v>
      </c>
      <c r="P197" s="10">
        <f ca="1"/>
        <v>9.4938267262302575E-2</v>
      </c>
      <c r="Q197" s="10">
        <f ca="1"/>
        <v>3.1746338832412908E-2</v>
      </c>
      <c r="R197" s="10">
        <f ca="1"/>
        <v>6.2660428904756871E-2</v>
      </c>
      <c r="T197" s="10">
        <f ca="1"/>
        <v>0.12899163592500007</v>
      </c>
      <c r="U197" s="10" t="e">
        <f ca="1"/>
        <v>#N/A</v>
      </c>
      <c r="V197" s="10" t="e">
        <f ca="1"/>
        <v>#N/A</v>
      </c>
      <c r="W197" s="10" t="e">
        <f ca="1"/>
        <v>#N/A</v>
      </c>
    </row>
    <row r="198" spans="1:23" x14ac:dyDescent="0.25">
      <c r="A198" s="2" t="s">
        <v>200</v>
      </c>
      <c r="B198" s="3">
        <v>266455</v>
      </c>
      <c r="C198" s="3">
        <v>281035</v>
      </c>
      <c r="G198" s="5">
        <f ca="1"/>
        <v>40209</v>
      </c>
      <c r="H198" s="7">
        <f ca="1"/>
        <v>266455</v>
      </c>
      <c r="I198" s="7">
        <f ca="1"/>
        <v>281035</v>
      </c>
      <c r="J198" s="7">
        <f ca="1"/>
        <v>0</v>
      </c>
      <c r="K198" s="7">
        <f ca="1"/>
        <v>281035</v>
      </c>
      <c r="L198" s="7">
        <f ca="1"/>
        <v>8484200</v>
      </c>
      <c r="M198" s="8">
        <f ca="1"/>
        <v>3.1406025317649279E-2</v>
      </c>
      <c r="N198" s="7">
        <f ca="1"/>
        <v>813400</v>
      </c>
      <c r="O198" s="11">
        <f ca="1"/>
        <v>281035</v>
      </c>
      <c r="P198" s="10">
        <f ca="1"/>
        <v>9.5872327385021563E-2</v>
      </c>
      <c r="Q198" s="10">
        <f ca="1"/>
        <v>3.3124513802126304E-2</v>
      </c>
      <c r="R198" s="10">
        <f ca="1"/>
        <v>6.4530539119775576E-2</v>
      </c>
      <c r="T198" s="10">
        <f ca="1"/>
        <v>0.1670873145974705</v>
      </c>
      <c r="U198" s="10" t="e">
        <f ca="1"/>
        <v>#N/A</v>
      </c>
      <c r="V198" s="10" t="e">
        <f ca="1"/>
        <v>#N/A</v>
      </c>
      <c r="W198" s="10" t="e">
        <f ca="1"/>
        <v>#N/A</v>
      </c>
    </row>
    <row r="199" spans="1:23" x14ac:dyDescent="0.25">
      <c r="A199" s="2" t="s">
        <v>201</v>
      </c>
      <c r="B199" s="3">
        <v>262399</v>
      </c>
      <c r="C199" s="3">
        <v>281043</v>
      </c>
      <c r="G199" s="5">
        <f ca="1"/>
        <v>40178</v>
      </c>
      <c r="H199" s="7">
        <f ca="1"/>
        <v>262399</v>
      </c>
      <c r="I199" s="7">
        <f ca="1"/>
        <v>281043</v>
      </c>
      <c r="J199" s="7">
        <f ca="1"/>
        <v>0</v>
      </c>
      <c r="K199" s="7">
        <f ca="1"/>
        <v>281043</v>
      </c>
      <c r="L199" s="7">
        <f ca="1"/>
        <v>8560000</v>
      </c>
      <c r="M199" s="8">
        <f ca="1"/>
        <v>3.0654088785046728E-2</v>
      </c>
      <c r="N199" s="7">
        <f ca="1"/>
        <v>823000</v>
      </c>
      <c r="O199" s="11">
        <f ca="1"/>
        <v>281043</v>
      </c>
      <c r="P199" s="10">
        <f ca="1"/>
        <v>9.6144859813084113E-2</v>
      </c>
      <c r="Q199" s="10">
        <f ca="1"/>
        <v>3.2832126168224299E-2</v>
      </c>
      <c r="R199" s="10">
        <f ca="1"/>
        <v>6.3486214953271031E-2</v>
      </c>
      <c r="T199" s="10">
        <f ca="1"/>
        <v>1.4635520327040075E-2</v>
      </c>
      <c r="U199" s="10" t="e">
        <f ca="1"/>
        <v>#N/A</v>
      </c>
      <c r="V199" s="10" t="e">
        <f ca="1"/>
        <v>#N/A</v>
      </c>
      <c r="W199" s="10" t="e">
        <f ca="1"/>
        <v>#N/A</v>
      </c>
    </row>
    <row r="200" spans="1:23" x14ac:dyDescent="0.25">
      <c r="A200" s="2" t="s">
        <v>202</v>
      </c>
      <c r="B200" s="3">
        <v>250988</v>
      </c>
      <c r="C200" s="3">
        <v>284071</v>
      </c>
      <c r="G200" s="5">
        <f ca="1"/>
        <v>40147</v>
      </c>
      <c r="H200" s="7">
        <f ca="1"/>
        <v>250988</v>
      </c>
      <c r="I200" s="7">
        <f ca="1"/>
        <v>284071</v>
      </c>
      <c r="J200" s="7">
        <f ca="1"/>
        <v>0</v>
      </c>
      <c r="K200" s="7">
        <f ca="1"/>
        <v>284071</v>
      </c>
      <c r="L200" s="7">
        <f ca="1"/>
        <v>8517300</v>
      </c>
      <c r="M200" s="8">
        <f ca="1"/>
        <v>2.9468023904288917E-2</v>
      </c>
      <c r="N200" s="7">
        <f ca="1"/>
        <v>831300</v>
      </c>
      <c r="O200" s="11">
        <f ca="1"/>
        <v>284071</v>
      </c>
      <c r="P200" s="10">
        <f ca="1"/>
        <v>9.76013525412983E-2</v>
      </c>
      <c r="Q200" s="10">
        <f ca="1"/>
        <v>3.3352236037241849E-2</v>
      </c>
      <c r="R200" s="10">
        <f ca="1"/>
        <v>6.2820259941530759E-2</v>
      </c>
      <c r="T200" s="10">
        <f ca="1"/>
        <v>0.11250149157681566</v>
      </c>
      <c r="U200" s="10" t="e">
        <f ca="1"/>
        <v>#N/A</v>
      </c>
      <c r="V200" s="10" t="e">
        <f ca="1"/>
        <v>#N/A</v>
      </c>
      <c r="W200" s="10" t="e">
        <f ca="1"/>
        <v>#N/A</v>
      </c>
    </row>
    <row r="201" spans="1:23" x14ac:dyDescent="0.25">
      <c r="A201" s="2" t="s">
        <v>203</v>
      </c>
      <c r="B201" s="3">
        <v>265404</v>
      </c>
      <c r="C201" s="3">
        <v>299858</v>
      </c>
      <c r="G201" s="5">
        <f ca="1"/>
        <v>40117</v>
      </c>
      <c r="H201" s="7">
        <f ca="1"/>
        <v>265404</v>
      </c>
      <c r="I201" s="7">
        <f ca="1"/>
        <v>299858</v>
      </c>
      <c r="J201" s="7">
        <f ca="1"/>
        <v>0</v>
      </c>
      <c r="K201" s="7">
        <f ca="1"/>
        <v>299858</v>
      </c>
      <c r="L201" s="7">
        <f ca="1"/>
        <v>8443000</v>
      </c>
      <c r="M201" s="8">
        <f ca="1"/>
        <v>3.1434798057562476E-2</v>
      </c>
      <c r="N201" s="7">
        <f ca="1"/>
        <v>849100</v>
      </c>
      <c r="O201" s="11">
        <f ca="1"/>
        <v>299858</v>
      </c>
      <c r="P201" s="10">
        <f ca="1"/>
        <v>0.10056851829918276</v>
      </c>
      <c r="Q201" s="10">
        <f ca="1"/>
        <v>3.5515575032571363E-2</v>
      </c>
      <c r="R201" s="10">
        <f ca="1"/>
        <v>6.6950373090133838E-2</v>
      </c>
      <c r="T201" s="10">
        <f ca="1"/>
        <v>0.24714589252148222</v>
      </c>
      <c r="U201" s="10" t="e">
        <f ca="1"/>
        <v>#N/A</v>
      </c>
      <c r="V201" s="10" t="e">
        <f ca="1"/>
        <v>#N/A</v>
      </c>
      <c r="W201" s="10" t="e">
        <f ca="1"/>
        <v>#N/A</v>
      </c>
    </row>
    <row r="202" spans="1:23" x14ac:dyDescent="0.25">
      <c r="A202" s="2" t="s">
        <v>204</v>
      </c>
      <c r="B202" s="3">
        <v>254107</v>
      </c>
      <c r="C202" s="3">
        <v>287196</v>
      </c>
      <c r="G202" s="5">
        <f ca="1"/>
        <v>40086</v>
      </c>
      <c r="H202" s="7">
        <f ca="1"/>
        <v>254107</v>
      </c>
      <c r="I202" s="7">
        <f ca="1"/>
        <v>287196</v>
      </c>
      <c r="J202" s="7">
        <f ca="1"/>
        <v>0</v>
      </c>
      <c r="K202" s="7">
        <f ca="1"/>
        <v>287196</v>
      </c>
      <c r="L202" s="7">
        <f ca="1"/>
        <v>8412200</v>
      </c>
      <c r="M202" s="8">
        <f ca="1"/>
        <v>3.0206961318085639E-2</v>
      </c>
      <c r="N202" s="7">
        <f ca="1"/>
        <v>878700</v>
      </c>
      <c r="O202" s="11">
        <f ca="1"/>
        <v>287196</v>
      </c>
      <c r="P202" s="10">
        <f ca="1"/>
        <v>0.10445543377475572</v>
      </c>
      <c r="Q202" s="10">
        <f ca="1"/>
        <v>3.4140415111385845E-2</v>
      </c>
      <c r="R202" s="10">
        <f ca="1"/>
        <v>6.4347376429471484E-2</v>
      </c>
      <c r="T202" s="10">
        <f ca="1"/>
        <v>0.24932840423673142</v>
      </c>
      <c r="U202" s="10" t="e">
        <f ca="1"/>
        <v>#N/A</v>
      </c>
      <c r="V202" s="10" t="e">
        <f ca="1"/>
        <v>#N/A</v>
      </c>
      <c r="W202" s="10" t="e">
        <f ca="1"/>
        <v>#N/A</v>
      </c>
    </row>
    <row r="203" spans="1:23" x14ac:dyDescent="0.25">
      <c r="A203" s="2" t="s">
        <v>205</v>
      </c>
      <c r="B203" s="3">
        <v>236251</v>
      </c>
      <c r="C203" s="3">
        <v>281989</v>
      </c>
      <c r="G203" s="5">
        <f ca="1"/>
        <v>40056</v>
      </c>
      <c r="H203" s="7">
        <f ca="1"/>
        <v>236251</v>
      </c>
      <c r="I203" s="7">
        <f ca="1"/>
        <v>281989</v>
      </c>
      <c r="J203" s="7">
        <f ca="1"/>
        <v>0</v>
      </c>
      <c r="K203" s="7">
        <f ca="1"/>
        <v>281989</v>
      </c>
      <c r="L203" s="7">
        <f ca="1"/>
        <v>8404600</v>
      </c>
      <c r="M203" s="8">
        <f ca="1"/>
        <v>2.8109725626442664E-2</v>
      </c>
      <c r="N203" s="7">
        <f ca="1"/>
        <v>905500</v>
      </c>
      <c r="O203" s="11">
        <f ca="1"/>
        <v>281989</v>
      </c>
      <c r="P203" s="10">
        <f ca="1"/>
        <v>0.10773861932751112</v>
      </c>
      <c r="Q203" s="10">
        <f ca="1"/>
        <v>3.3551745472717324E-2</v>
      </c>
      <c r="R203" s="10">
        <f ca="1"/>
        <v>6.1661471099159988E-2</v>
      </c>
      <c r="T203" s="10">
        <f ca="1"/>
        <v>0.31802233701821692</v>
      </c>
      <c r="U203" s="10" t="e">
        <f ca="1"/>
        <v>#N/A</v>
      </c>
      <c r="V203" s="10" t="e">
        <f ca="1"/>
        <v>#N/A</v>
      </c>
      <c r="W203" s="10" t="e">
        <f ca="1"/>
        <v>#N/A</v>
      </c>
    </row>
    <row r="204" spans="1:23" x14ac:dyDescent="0.25">
      <c r="A204" s="2" t="s">
        <v>206</v>
      </c>
      <c r="B204" s="3">
        <v>228734</v>
      </c>
      <c r="C204" s="3">
        <v>277082</v>
      </c>
      <c r="G204" s="5">
        <f ca="1"/>
        <v>40025</v>
      </c>
      <c r="H204" s="7">
        <f ca="1"/>
        <v>228734</v>
      </c>
      <c r="I204" s="7">
        <f ca="1"/>
        <v>277082</v>
      </c>
      <c r="J204" s="7">
        <f ca="1"/>
        <v>0</v>
      </c>
      <c r="K204" s="7">
        <f ca="1"/>
        <v>277082</v>
      </c>
      <c r="L204" s="7">
        <f ca="1"/>
        <v>8425800</v>
      </c>
      <c r="M204" s="8">
        <f ca="1"/>
        <v>2.7146858458543997E-2</v>
      </c>
      <c r="N204" s="7">
        <f ca="1"/>
        <v>934500</v>
      </c>
      <c r="O204" s="11">
        <f ca="1"/>
        <v>277082</v>
      </c>
      <c r="P204" s="10">
        <f ca="1"/>
        <v>0.11090934985401979</v>
      </c>
      <c r="Q204" s="10">
        <f ca="1"/>
        <v>3.2884948610220989E-2</v>
      </c>
      <c r="R204" s="10">
        <f ca="1"/>
        <v>6.0031807068764986E-2</v>
      </c>
      <c r="T204" s="10">
        <f ca="1"/>
        <v>0.38089886612614032</v>
      </c>
      <c r="U204" s="10" t="e">
        <f ca="1"/>
        <v>#N/A</v>
      </c>
      <c r="V204" s="10" t="e">
        <f ca="1"/>
        <v>#N/A</v>
      </c>
      <c r="W204" s="10" t="e">
        <f ca="1"/>
        <v>#N/A</v>
      </c>
    </row>
    <row r="205" spans="1:23" x14ac:dyDescent="0.25">
      <c r="A205" s="2" t="s">
        <v>207</v>
      </c>
      <c r="B205" s="3">
        <v>217140</v>
      </c>
      <c r="C205" s="3">
        <v>283874</v>
      </c>
      <c r="G205" s="5">
        <f ca="1"/>
        <v>39994</v>
      </c>
      <c r="H205" s="7">
        <f ca="1"/>
        <v>217140</v>
      </c>
      <c r="I205" s="7">
        <f ca="1"/>
        <v>283874</v>
      </c>
      <c r="J205" s="7">
        <f ca="1"/>
        <v>0</v>
      </c>
      <c r="K205" s="7">
        <f ca="1"/>
        <v>283874</v>
      </c>
      <c r="L205" s="7">
        <f ca="1"/>
        <v>8459900</v>
      </c>
      <c r="M205" s="8">
        <f ca="1"/>
        <v>2.566697005874774E-2</v>
      </c>
      <c r="N205" s="7">
        <f ca="1"/>
        <v>955300</v>
      </c>
      <c r="O205" s="11">
        <f ca="1"/>
        <v>283874</v>
      </c>
      <c r="P205" s="10">
        <f ca="1"/>
        <v>0.11292095651248833</v>
      </c>
      <c r="Q205" s="10">
        <f ca="1"/>
        <v>3.3555242969775058E-2</v>
      </c>
      <c r="R205" s="10">
        <f ca="1"/>
        <v>5.9222213028522798E-2</v>
      </c>
      <c r="T205" s="10">
        <f ca="1"/>
        <v>0.44218546914220047</v>
      </c>
      <c r="U205" s="10" t="e">
        <f ca="1"/>
        <v>#N/A</v>
      </c>
      <c r="V205" s="10" t="e">
        <f ca="1"/>
        <v>#N/A</v>
      </c>
      <c r="W205" s="10" t="e">
        <f ca="1"/>
        <v>#N/A</v>
      </c>
    </row>
    <row r="206" spans="1:23" x14ac:dyDescent="0.25">
      <c r="A206" s="2" t="s">
        <v>208</v>
      </c>
      <c r="B206" s="3">
        <v>214401</v>
      </c>
      <c r="C206" s="3">
        <v>275313</v>
      </c>
      <c r="G206" s="5">
        <f ca="1"/>
        <v>39964</v>
      </c>
      <c r="H206" s="7">
        <f ca="1"/>
        <v>214401</v>
      </c>
      <c r="I206" s="7">
        <f ca="1"/>
        <v>275313</v>
      </c>
      <c r="J206" s="7">
        <f ca="1"/>
        <v>0</v>
      </c>
      <c r="K206" s="7">
        <f ca="1"/>
        <v>275313</v>
      </c>
      <c r="L206" s="7">
        <f ca="1"/>
        <v>8446900</v>
      </c>
      <c r="M206" s="8">
        <f ca="1"/>
        <v>2.5382211225419976E-2</v>
      </c>
      <c r="N206" s="7">
        <f ca="1"/>
        <v>990500</v>
      </c>
      <c r="O206" s="11">
        <f ca="1"/>
        <v>275313</v>
      </c>
      <c r="P206" s="10">
        <f ca="1"/>
        <v>0.11726195408966603</v>
      </c>
      <c r="Q206" s="10">
        <f ca="1"/>
        <v>3.259337745208301E-2</v>
      </c>
      <c r="R206" s="10">
        <f ca="1"/>
        <v>5.7975588677502986E-2</v>
      </c>
      <c r="T206" s="10">
        <f ca="1"/>
        <v>0.44398018751339929</v>
      </c>
      <c r="U206" s="10" t="e">
        <f ca="1"/>
        <v>#N/A</v>
      </c>
      <c r="V206" s="10" t="e">
        <f ca="1"/>
        <v>#N/A</v>
      </c>
      <c r="W206" s="10" t="e">
        <f ca="1"/>
        <v>#N/A</v>
      </c>
    </row>
    <row r="207" spans="1:23" x14ac:dyDescent="0.25">
      <c r="A207" s="2" t="s">
        <v>209</v>
      </c>
      <c r="B207" s="3">
        <v>208010</v>
      </c>
      <c r="C207" s="3">
        <v>285658</v>
      </c>
      <c r="G207" s="5">
        <f ca="1"/>
        <v>39933</v>
      </c>
      <c r="H207" s="7">
        <f ca="1"/>
        <v>208010</v>
      </c>
      <c r="I207" s="7">
        <f ca="1"/>
        <v>285658</v>
      </c>
      <c r="J207" s="7">
        <f ca="1"/>
        <v>0</v>
      </c>
      <c r="K207" s="7">
        <f ca="1"/>
        <v>285658</v>
      </c>
      <c r="L207" s="7">
        <f ca="1"/>
        <v>8459800</v>
      </c>
      <c r="M207" s="8">
        <f ca="1"/>
        <v>2.4588051726991182E-2</v>
      </c>
      <c r="N207" s="7">
        <f ca="1"/>
        <v>1017800</v>
      </c>
      <c r="O207" s="11">
        <f ca="1"/>
        <v>285658</v>
      </c>
      <c r="P207" s="10">
        <f ca="1"/>
        <v>0.12031017281732428</v>
      </c>
      <c r="Q207" s="10">
        <f ca="1"/>
        <v>3.3766519303056811E-2</v>
      </c>
      <c r="R207" s="10">
        <f ca="1"/>
        <v>5.8354571030047993E-2</v>
      </c>
      <c r="T207" s="10">
        <f ca="1"/>
        <v>0.47353948593015449</v>
      </c>
      <c r="U207" s="10" t="e">
        <f ca="1"/>
        <v>#N/A</v>
      </c>
      <c r="V207" s="10" t="e">
        <f ca="1"/>
        <v>#N/A</v>
      </c>
      <c r="W207" s="10" t="e">
        <f ca="1"/>
        <v>#N/A</v>
      </c>
    </row>
    <row r="208" spans="1:23" x14ac:dyDescent="0.25">
      <c r="A208" s="2" t="s">
        <v>210</v>
      </c>
      <c r="B208" s="3">
        <v>203967</v>
      </c>
      <c r="C208" s="3">
        <v>291927</v>
      </c>
      <c r="G208" s="5">
        <f ca="1"/>
        <v>39903</v>
      </c>
      <c r="H208" s="7">
        <f ca="1"/>
        <v>203967</v>
      </c>
      <c r="I208" s="7">
        <f ca="1"/>
        <v>291927</v>
      </c>
      <c r="J208" s="7">
        <f ca="1"/>
        <v>0</v>
      </c>
      <c r="K208" s="7">
        <f ca="1"/>
        <v>291927</v>
      </c>
      <c r="L208" s="7">
        <f ca="1"/>
        <v>8458600</v>
      </c>
      <c r="M208" s="8">
        <f ca="1"/>
        <v>2.4113564892535407E-2</v>
      </c>
      <c r="N208" s="7">
        <f ca="1"/>
        <v>1052400</v>
      </c>
      <c r="O208" s="11">
        <f ca="1"/>
        <v>291927</v>
      </c>
      <c r="P208" s="10">
        <f ca="1"/>
        <v>0.12441775234672404</v>
      </c>
      <c r="Q208" s="10">
        <f ca="1"/>
        <v>3.4512448868607097E-2</v>
      </c>
      <c r="R208" s="10">
        <f ca="1"/>
        <v>5.8626013761142501E-2</v>
      </c>
      <c r="T208" s="10">
        <f ca="1"/>
        <v>0.57624678499624848</v>
      </c>
      <c r="U208" s="10" t="e">
        <f ca="1"/>
        <v>#N/A</v>
      </c>
      <c r="V208" s="10" t="e">
        <f ca="1"/>
        <v>#N/A</v>
      </c>
      <c r="W208" s="10" t="e">
        <f ca="1"/>
        <v>#N/A</v>
      </c>
    </row>
    <row r="209" spans="1:23" x14ac:dyDescent="0.25">
      <c r="A209" s="2" t="s">
        <v>211</v>
      </c>
      <c r="B209" s="3">
        <v>199655</v>
      </c>
      <c r="C209" s="3">
        <v>310503</v>
      </c>
      <c r="G209" s="5">
        <f ca="1"/>
        <v>39872</v>
      </c>
      <c r="H209" s="7">
        <f ca="1"/>
        <v>199655</v>
      </c>
      <c r="I209" s="7">
        <f ca="1"/>
        <v>310503</v>
      </c>
      <c r="J209" s="7">
        <f ca="1"/>
        <v>0</v>
      </c>
      <c r="K209" s="7">
        <f ca="1"/>
        <v>310503</v>
      </c>
      <c r="L209" s="7">
        <f ca="1"/>
        <v>8321600</v>
      </c>
      <c r="M209" s="8">
        <f ca="1"/>
        <v>2.3992381272832149E-2</v>
      </c>
      <c r="N209" s="7">
        <f ca="1"/>
        <v>1049900</v>
      </c>
      <c r="O209" s="11">
        <f ca="1"/>
        <v>310503</v>
      </c>
      <c r="P209" s="10">
        <f ca="1"/>
        <v>0.12616564122284177</v>
      </c>
      <c r="Q209" s="10">
        <f ca="1"/>
        <v>3.731289655835416E-2</v>
      </c>
      <c r="R209" s="10">
        <f ca="1"/>
        <v>6.1305277831186306E-2</v>
      </c>
      <c r="T209" s="10">
        <f ca="1"/>
        <v>0.60599383163748999</v>
      </c>
      <c r="U209" s="10" t="e">
        <f ca="1"/>
        <v>#N/A</v>
      </c>
      <c r="V209" s="10" t="e">
        <f ca="1"/>
        <v>#N/A</v>
      </c>
      <c r="W209" s="10" t="e">
        <f ca="1"/>
        <v>#N/A</v>
      </c>
    </row>
    <row r="210" spans="1:23" x14ac:dyDescent="0.25">
      <c r="A210" s="2" t="s">
        <v>212</v>
      </c>
      <c r="B210" s="3">
        <v>205007</v>
      </c>
      <c r="C210" s="3">
        <v>316763</v>
      </c>
      <c r="G210" s="5">
        <f ca="1"/>
        <v>39844</v>
      </c>
      <c r="H210" s="7">
        <f ca="1"/>
        <v>205007</v>
      </c>
      <c r="I210" s="7">
        <f ca="1"/>
        <v>316763</v>
      </c>
      <c r="J210" s="7">
        <f ca="1"/>
        <v>0</v>
      </c>
      <c r="K210" s="7">
        <f ca="1"/>
        <v>316763</v>
      </c>
      <c r="L210" s="7">
        <f ca="1"/>
        <v>8292000</v>
      </c>
      <c r="M210" s="8">
        <f ca="1"/>
        <v>2.4723468403280269E-2</v>
      </c>
      <c r="N210" s="7">
        <f ca="1"/>
        <v>1067100</v>
      </c>
      <c r="O210" s="11">
        <f ca="1"/>
        <v>316763</v>
      </c>
      <c r="P210" s="10">
        <f ca="1"/>
        <v>0.12869030390738062</v>
      </c>
      <c r="Q210" s="10">
        <f ca="1"/>
        <v>3.8201037144235409E-2</v>
      </c>
      <c r="R210" s="10">
        <f ca="1"/>
        <v>6.2924505547515677E-2</v>
      </c>
      <c r="T210" s="10">
        <f ca="1"/>
        <v>0.43272630741740525</v>
      </c>
      <c r="U210" s="10" t="e">
        <f ca="1"/>
        <v>#N/A</v>
      </c>
      <c r="V210" s="10" t="e">
        <f ca="1"/>
        <v>#N/A</v>
      </c>
      <c r="W210" s="10" t="e">
        <f ca="1"/>
        <v>#N/A</v>
      </c>
    </row>
    <row r="211" spans="1:23" x14ac:dyDescent="0.25">
      <c r="A211" s="2" t="s">
        <v>213</v>
      </c>
      <c r="B211" s="3">
        <v>210185</v>
      </c>
      <c r="C211" s="3">
        <v>345713</v>
      </c>
      <c r="G211" s="5">
        <f ca="1"/>
        <v>39813</v>
      </c>
      <c r="H211" s="7">
        <f ca="1"/>
        <v>210185</v>
      </c>
      <c r="I211" s="7">
        <f ca="1"/>
        <v>345713</v>
      </c>
      <c r="J211" s="7">
        <f ca="1"/>
        <v>0</v>
      </c>
      <c r="K211" s="7">
        <f ca="1"/>
        <v>345713</v>
      </c>
      <c r="L211" s="7">
        <f ca="1"/>
        <v>8244100</v>
      </c>
      <c r="M211" s="8">
        <f ca="1"/>
        <v>2.5495202629759465E-2</v>
      </c>
      <c r="N211" s="7">
        <f ca="1"/>
        <v>1059900</v>
      </c>
      <c r="O211" s="11">
        <f ca="1"/>
        <v>345713</v>
      </c>
      <c r="P211" s="10">
        <f ca="1"/>
        <v>0.12856467049162432</v>
      </c>
      <c r="Q211" s="10">
        <f ca="1"/>
        <v>4.1934595650222582E-2</v>
      </c>
      <c r="R211" s="10">
        <f ca="1"/>
        <v>6.7429798279982051E-2</v>
      </c>
      <c r="T211" s="10">
        <f ca="1"/>
        <v>0.26343753243496271</v>
      </c>
      <c r="U211" s="10" t="e">
        <f ca="1"/>
        <v>#N/A</v>
      </c>
      <c r="V211" s="10" t="e">
        <f ca="1"/>
        <v>#N/A</v>
      </c>
      <c r="W211" s="10" t="e">
        <f ca="1"/>
        <v>#N/A</v>
      </c>
    </row>
    <row r="212" spans="1:23" x14ac:dyDescent="0.25">
      <c r="A212" s="2" t="s">
        <v>214</v>
      </c>
      <c r="B212" s="3">
        <v>227334</v>
      </c>
      <c r="C212" s="3">
        <v>364232</v>
      </c>
      <c r="G212" s="5">
        <f ca="1"/>
        <v>39782</v>
      </c>
      <c r="H212" s="7">
        <f ca="1"/>
        <v>227334</v>
      </c>
      <c r="I212" s="7">
        <f ca="1"/>
        <v>364232</v>
      </c>
      <c r="J212" s="7">
        <f ca="1"/>
        <v>0</v>
      </c>
      <c r="K212" s="7">
        <f ca="1"/>
        <v>364232</v>
      </c>
      <c r="L212" s="7">
        <f ca="1"/>
        <v>8023600</v>
      </c>
      <c r="M212" s="8">
        <f ca="1"/>
        <v>2.8333167156887183E-2</v>
      </c>
      <c r="N212" s="7">
        <f ca="1"/>
        <v>1043200</v>
      </c>
      <c r="O212" s="11">
        <f ca="1"/>
        <v>364232</v>
      </c>
      <c r="P212" s="10">
        <f ca="1"/>
        <v>0.1300164514681689</v>
      </c>
      <c r="Q212" s="10">
        <f ca="1"/>
        <v>4.5395084500722868E-2</v>
      </c>
      <c r="R212" s="10">
        <f ca="1"/>
        <v>7.3728251657610044E-2</v>
      </c>
      <c r="T212" s="10">
        <f ca="1"/>
        <v>0.17081358507589095</v>
      </c>
      <c r="U212" s="10" t="e">
        <f ca="1"/>
        <v>#N/A</v>
      </c>
      <c r="V212" s="10" t="e">
        <f ca="1"/>
        <v>#N/A</v>
      </c>
      <c r="W212" s="10" t="e">
        <f ca="1"/>
        <v>#N/A</v>
      </c>
    </row>
    <row r="213" spans="1:23" x14ac:dyDescent="0.25">
      <c r="A213" s="2" t="s">
        <v>215</v>
      </c>
      <c r="B213" s="3">
        <v>277568</v>
      </c>
      <c r="C213" s="3">
        <v>383429</v>
      </c>
      <c r="G213" s="5">
        <f ca="1"/>
        <v>39752</v>
      </c>
      <c r="H213" s="7">
        <f ca="1"/>
        <v>277568</v>
      </c>
      <c r="I213" s="7">
        <f ca="1"/>
        <v>383429</v>
      </c>
      <c r="J213" s="7">
        <f ca="1"/>
        <v>0</v>
      </c>
      <c r="K213" s="7">
        <f ca="1"/>
        <v>383429</v>
      </c>
      <c r="L213" s="7">
        <f ca="1"/>
        <v>7931600</v>
      </c>
      <c r="M213" s="8">
        <f ca="1"/>
        <v>3.4995209037268646E-2</v>
      </c>
      <c r="N213" s="7">
        <f ca="1"/>
        <v>1057300</v>
      </c>
      <c r="O213" s="11">
        <f ca="1"/>
        <v>383429</v>
      </c>
      <c r="P213" s="10">
        <f ca="1"/>
        <v>0.13330223410156841</v>
      </c>
      <c r="Q213" s="10">
        <f ca="1"/>
        <v>4.8341948661051994E-2</v>
      </c>
      <c r="R213" s="10">
        <f ca="1"/>
        <v>8.3337157698320646E-2</v>
      </c>
      <c r="T213" s="10">
        <f ca="1"/>
        <v>0.13713545866935739</v>
      </c>
      <c r="U213" s="10" t="e">
        <f ca="1"/>
        <v>#N/A</v>
      </c>
      <c r="V213" s="10" t="e">
        <f ca="1"/>
        <v>#N/A</v>
      </c>
      <c r="W213" s="10" t="e">
        <f ca="1"/>
        <v>#N/A</v>
      </c>
    </row>
    <row r="214" spans="1:23" x14ac:dyDescent="0.25">
      <c r="A214" s="2" t="s">
        <v>216</v>
      </c>
      <c r="B214" s="3">
        <v>345745</v>
      </c>
      <c r="C214" s="3">
        <v>381702</v>
      </c>
      <c r="G214" s="5">
        <f ca="1"/>
        <v>39721</v>
      </c>
      <c r="H214" s="7">
        <f ca="1"/>
        <v>345745</v>
      </c>
      <c r="I214" s="7">
        <f ca="1"/>
        <v>381702</v>
      </c>
      <c r="J214" s="7">
        <f ca="1"/>
        <v>0</v>
      </c>
      <c r="K214" s="7">
        <f ca="1"/>
        <v>381702</v>
      </c>
      <c r="L214" s="7">
        <f ca="1"/>
        <v>7828500</v>
      </c>
      <c r="M214" s="8">
        <f ca="1"/>
        <v>4.4164910263779777E-2</v>
      </c>
      <c r="N214" s="7">
        <f ca="1"/>
        <v>1021700</v>
      </c>
      <c r="O214" s="11">
        <f ca="1"/>
        <v>381702</v>
      </c>
      <c r="P214" s="10">
        <f ca="1"/>
        <v>0.13051031487513573</v>
      </c>
      <c r="Q214" s="10">
        <f ca="1"/>
        <v>4.8757999616784828E-2</v>
      </c>
      <c r="R214" s="10">
        <f ca="1"/>
        <v>9.2922909880564605E-2</v>
      </c>
      <c r="T214" s="10">
        <f ca="1"/>
        <v>-0.11630202177518367</v>
      </c>
      <c r="U214" s="10" t="e">
        <f ca="1"/>
        <v>#N/A</v>
      </c>
      <c r="V214" s="10" t="e">
        <f ca="1"/>
        <v>#N/A</v>
      </c>
      <c r="W214" s="10" t="e">
        <f ca="1"/>
        <v>#N/A</v>
      </c>
    </row>
    <row r="215" spans="1:23" x14ac:dyDescent="0.25">
      <c r="A215" s="2" t="s">
        <v>217</v>
      </c>
      <c r="B215" s="3">
        <v>324814</v>
      </c>
      <c r="C215" s="3">
        <v>530042</v>
      </c>
      <c r="G215" s="5">
        <f ca="1"/>
        <v>39691</v>
      </c>
      <c r="H215" s="7">
        <f ca="1"/>
        <v>324814</v>
      </c>
      <c r="I215" s="7">
        <f ca="1"/>
        <v>530042</v>
      </c>
      <c r="J215" s="7">
        <f ca="1"/>
        <v>0</v>
      </c>
      <c r="K215" s="7">
        <f ca="1"/>
        <v>530042</v>
      </c>
      <c r="L215" s="7">
        <f ca="1"/>
        <v>7758200</v>
      </c>
      <c r="M215" s="8">
        <f ca="1"/>
        <v>4.186718568740172E-2</v>
      </c>
      <c r="N215" s="7">
        <f ca="1"/>
        <v>1035000</v>
      </c>
      <c r="O215" s="11">
        <f ca="1"/>
        <v>530042</v>
      </c>
      <c r="P215" s="10">
        <f ca="1"/>
        <v>0.13340723363666829</v>
      </c>
      <c r="Q215" s="10">
        <f ca="1"/>
        <v>6.8320228919079171E-2</v>
      </c>
      <c r="R215" s="10">
        <f ca="1"/>
        <v>0.11018741460648089</v>
      </c>
      <c r="T215" s="10">
        <f ca="1"/>
        <v>-0.15077596291082718</v>
      </c>
      <c r="U215" s="10" t="e">
        <f ca="1"/>
        <v>#N/A</v>
      </c>
      <c r="V215" s="10" t="e">
        <f ca="1"/>
        <v>#N/A</v>
      </c>
      <c r="W215" s="10" t="e">
        <f ca="1"/>
        <v>#N/A</v>
      </c>
    </row>
    <row r="216" spans="1:23" x14ac:dyDescent="0.25">
      <c r="A216" s="2" t="s">
        <v>218</v>
      </c>
      <c r="B216" s="3">
        <v>343297</v>
      </c>
      <c r="C216" s="3">
        <v>519226</v>
      </c>
      <c r="G216" s="5">
        <f ca="1"/>
        <v>39660</v>
      </c>
      <c r="H216" s="7">
        <f ca="1"/>
        <v>343297</v>
      </c>
      <c r="I216" s="7">
        <f ca="1"/>
        <v>519226</v>
      </c>
      <c r="J216" s="7">
        <f ca="1"/>
        <v>0</v>
      </c>
      <c r="K216" s="7">
        <f ca="1"/>
        <v>519226</v>
      </c>
      <c r="L216" s="7">
        <f ca="1"/>
        <v>7760600</v>
      </c>
      <c r="M216" s="8">
        <f ca="1"/>
        <v>4.4235883823415714E-2</v>
      </c>
      <c r="N216" s="7">
        <f ca="1"/>
        <v>1045800</v>
      </c>
      <c r="O216" s="11">
        <f ca="1"/>
        <v>519226</v>
      </c>
      <c r="P216" s="10">
        <f ca="1"/>
        <v>0.1347576218333634</v>
      </c>
      <c r="Q216" s="10">
        <f ca="1"/>
        <v>6.6905393912841796E-2</v>
      </c>
      <c r="R216" s="10">
        <f ca="1"/>
        <v>0.11114127773625751</v>
      </c>
      <c r="T216" s="10">
        <f ca="1"/>
        <v>-6.3666826970353751E-2</v>
      </c>
      <c r="U216" s="10" t="e">
        <f ca="1"/>
        <v>#N/A</v>
      </c>
      <c r="V216" s="10" t="e">
        <f ca="1"/>
        <v>#N/A</v>
      </c>
      <c r="W216" s="10" t="e">
        <f ca="1"/>
        <v>#N/A</v>
      </c>
    </row>
    <row r="217" spans="1:23" x14ac:dyDescent="0.25">
      <c r="A217" s="2" t="s">
        <v>219</v>
      </c>
      <c r="B217" s="3">
        <v>346892</v>
      </c>
      <c r="C217" s="3">
        <v>499634</v>
      </c>
      <c r="G217" s="5">
        <f ca="1"/>
        <v>39629</v>
      </c>
      <c r="H217" s="7">
        <f ca="1"/>
        <v>346892</v>
      </c>
      <c r="I217" s="7">
        <f ca="1"/>
        <v>499634</v>
      </c>
      <c r="J217" s="7">
        <f ca="1"/>
        <v>0</v>
      </c>
      <c r="K217" s="7">
        <f ca="1"/>
        <v>499634</v>
      </c>
      <c r="L217" s="7">
        <f ca="1"/>
        <v>7746500</v>
      </c>
      <c r="M217" s="8">
        <f ca="1"/>
        <v>4.4780481507777706E-2</v>
      </c>
      <c r="N217" s="7">
        <f ca="1"/>
        <v>1025700</v>
      </c>
      <c r="O217" s="11">
        <f ca="1"/>
        <v>499634</v>
      </c>
      <c r="P217" s="10">
        <f ca="1"/>
        <v>0.13240818434131543</v>
      </c>
      <c r="Q217" s="10">
        <f ca="1"/>
        <v>6.4498031369005351E-2</v>
      </c>
      <c r="R217" s="10">
        <f ca="1"/>
        <v>0.10927851287678306</v>
      </c>
      <c r="T217" s="10">
        <f ca="1"/>
        <v>-8.6382770538328102E-2</v>
      </c>
      <c r="U217" s="10" t="e">
        <f ca="1"/>
        <v>#N/A</v>
      </c>
      <c r="V217" s="10" t="e">
        <f ca="1"/>
        <v>#N/A</v>
      </c>
      <c r="W217" s="10" t="e">
        <f ca="1"/>
        <v>#N/A</v>
      </c>
    </row>
    <row r="218" spans="1:23" x14ac:dyDescent="0.25">
      <c r="A218" s="2" t="s">
        <v>220</v>
      </c>
      <c r="B218" s="3">
        <v>341610</v>
      </c>
      <c r="C218" s="3">
        <v>470188</v>
      </c>
      <c r="G218" s="5">
        <f ca="1"/>
        <v>39599</v>
      </c>
      <c r="H218" s="7">
        <f ca="1"/>
        <v>341610</v>
      </c>
      <c r="I218" s="7">
        <f ca="1"/>
        <v>470188</v>
      </c>
      <c r="J218" s="7">
        <f ca="1"/>
        <v>0</v>
      </c>
      <c r="K218" s="7">
        <f ca="1"/>
        <v>470188</v>
      </c>
      <c r="L218" s="7">
        <f ca="1"/>
        <v>7723000</v>
      </c>
      <c r="M218" s="8">
        <f ca="1"/>
        <v>4.4232811083775733E-2</v>
      </c>
      <c r="N218" s="7">
        <f ca="1"/>
        <v>1039900.0000000001</v>
      </c>
      <c r="O218" s="11">
        <f ca="1"/>
        <v>470188</v>
      </c>
      <c r="P218" s="10">
        <f ca="1"/>
        <v>0.13464974750744532</v>
      </c>
      <c r="Q218" s="10">
        <f ca="1"/>
        <v>6.0881522724329923E-2</v>
      </c>
      <c r="R218" s="10">
        <f ca="1"/>
        <v>0.10511433380810566</v>
      </c>
      <c r="T218" s="10">
        <f ca="1"/>
        <v>-0.21129265886168613</v>
      </c>
      <c r="U218" s="10" t="e">
        <f ca="1"/>
        <v>#N/A</v>
      </c>
      <c r="V218" s="10" t="e">
        <f ca="1"/>
        <v>#N/A</v>
      </c>
      <c r="W218" s="10" t="e">
        <f ca="1"/>
        <v>#N/A</v>
      </c>
    </row>
    <row r="219" spans="1:23" x14ac:dyDescent="0.25">
      <c r="A219" s="2" t="s">
        <v>221</v>
      </c>
      <c r="B219" s="3">
        <v>332303</v>
      </c>
      <c r="C219" s="3">
        <v>472371</v>
      </c>
      <c r="G219" s="5">
        <f ca="1"/>
        <v>39568</v>
      </c>
      <c r="H219" s="7">
        <f ca="1"/>
        <v>332303</v>
      </c>
      <c r="I219" s="7">
        <f ca="1"/>
        <v>472371</v>
      </c>
      <c r="J219" s="7">
        <f ca="1"/>
        <v>0</v>
      </c>
      <c r="K219" s="7">
        <f ca="1"/>
        <v>472371</v>
      </c>
      <c r="L219" s="7">
        <f ca="1"/>
        <v>7780900</v>
      </c>
      <c r="M219" s="8">
        <f ca="1"/>
        <v>4.2707527406855246E-2</v>
      </c>
      <c r="N219" s="7">
        <f ca="1"/>
        <v>1060600</v>
      </c>
      <c r="O219" s="11">
        <f ca="1"/>
        <v>472371</v>
      </c>
      <c r="P219" s="10">
        <f ca="1"/>
        <v>0.13630813916127954</v>
      </c>
      <c r="Q219" s="10">
        <f ca="1"/>
        <v>6.0709043940932281E-2</v>
      </c>
      <c r="R219" s="10">
        <f ca="1"/>
        <v>0.10341657134778753</v>
      </c>
      <c r="T219" s="10">
        <f ca="1"/>
        <v>-0.22497273969400655</v>
      </c>
      <c r="U219" s="10" t="e">
        <f ca="1"/>
        <v>#N/A</v>
      </c>
      <c r="V219" s="10" t="e">
        <f ca="1"/>
        <v>#N/A</v>
      </c>
      <c r="W219" s="10" t="e">
        <f ca="1"/>
        <v>#N/A</v>
      </c>
    </row>
    <row r="220" spans="1:23" x14ac:dyDescent="0.25">
      <c r="A220" s="2" t="s">
        <v>222</v>
      </c>
      <c r="B220" s="3">
        <v>349419</v>
      </c>
      <c r="C220" s="3">
        <v>488831</v>
      </c>
      <c r="G220" s="5">
        <f ca="1"/>
        <v>39538</v>
      </c>
      <c r="H220" s="7">
        <f ca="1"/>
        <v>349419</v>
      </c>
      <c r="I220" s="7">
        <f ca="1"/>
        <v>488831</v>
      </c>
      <c r="J220" s="7">
        <f ca="1"/>
        <v>0</v>
      </c>
      <c r="K220" s="7">
        <f ca="1"/>
        <v>488831</v>
      </c>
      <c r="L220" s="7">
        <f ca="1"/>
        <v>7733300</v>
      </c>
      <c r="M220" s="8">
        <f ca="1"/>
        <v>4.5183686136578173E-2</v>
      </c>
      <c r="N220" s="7">
        <f ca="1"/>
        <v>1071500</v>
      </c>
      <c r="O220" s="11">
        <f ca="1"/>
        <v>488831</v>
      </c>
      <c r="P220" s="10">
        <f ca="1"/>
        <v>0.13855663170961943</v>
      </c>
      <c r="Q220" s="10">
        <f ca="1"/>
        <v>6.3211177634386356E-2</v>
      </c>
      <c r="R220" s="10">
        <f ca="1"/>
        <v>0.10839486377096452</v>
      </c>
      <c r="T220" s="10">
        <f ca="1"/>
        <v>-0.15695167706176405</v>
      </c>
      <c r="U220" s="10" t="e">
        <f ca="1"/>
        <v>#N/A</v>
      </c>
      <c r="V220" s="10" t="e">
        <f ca="1"/>
        <v>#N/A</v>
      </c>
      <c r="W220" s="10" t="e">
        <f ca="1"/>
        <v>#N/A</v>
      </c>
    </row>
    <row r="221" spans="1:23" x14ac:dyDescent="0.25">
      <c r="A221" s="2" t="s">
        <v>223</v>
      </c>
      <c r="B221" s="3">
        <v>377088</v>
      </c>
      <c r="C221" s="3">
        <v>454785</v>
      </c>
      <c r="G221" s="5">
        <f ca="1"/>
        <v>39507</v>
      </c>
      <c r="H221" s="7">
        <f ca="1"/>
        <v>377088</v>
      </c>
      <c r="I221" s="7">
        <f ca="1"/>
        <v>454785</v>
      </c>
      <c r="J221" s="7">
        <f ca="1"/>
        <v>0</v>
      </c>
      <c r="K221" s="7">
        <f ca="1"/>
        <v>454785</v>
      </c>
      <c r="L221" s="7">
        <f ca="1"/>
        <v>7598700</v>
      </c>
      <c r="M221" s="8">
        <f ca="1"/>
        <v>4.962533064866359E-2</v>
      </c>
      <c r="N221" s="7">
        <f ca="1"/>
        <v>1046700</v>
      </c>
      <c r="O221" s="11">
        <f ca="1"/>
        <v>454785</v>
      </c>
      <c r="P221" s="10">
        <f ca="1"/>
        <v>0.13774724623948834</v>
      </c>
      <c r="Q221" s="10">
        <f ca="1"/>
        <v>5.9850369142090097E-2</v>
      </c>
      <c r="R221" s="10">
        <f ca="1"/>
        <v>0.10947569979075369</v>
      </c>
      <c r="T221" s="10">
        <f ca="1"/>
        <v>-0.17660807221966768</v>
      </c>
      <c r="U221" s="10" t="e">
        <f ca="1"/>
        <v>#N/A</v>
      </c>
      <c r="V221" s="10" t="e">
        <f ca="1"/>
        <v>#N/A</v>
      </c>
      <c r="W221" s="10" t="e">
        <f ca="1"/>
        <v>#N/A</v>
      </c>
    </row>
    <row r="222" spans="1:23" x14ac:dyDescent="0.25">
      <c r="A222" s="2" t="s">
        <v>224</v>
      </c>
      <c r="B222" s="3">
        <v>365592</v>
      </c>
      <c r="C222" s="3">
        <v>474496</v>
      </c>
      <c r="G222" s="5">
        <f ca="1"/>
        <v>39478</v>
      </c>
      <c r="H222" s="7">
        <f ca="1"/>
        <v>365592</v>
      </c>
      <c r="I222" s="7">
        <f ca="1"/>
        <v>474496</v>
      </c>
      <c r="J222" s="7">
        <f ca="1"/>
        <v>0</v>
      </c>
      <c r="K222" s="7">
        <f ca="1"/>
        <v>474496</v>
      </c>
      <c r="L222" s="7">
        <f ca="1"/>
        <v>7514700</v>
      </c>
      <c r="M222" s="8">
        <f ca="1"/>
        <v>4.8650245518783185E-2</v>
      </c>
      <c r="N222" s="7">
        <f ca="1"/>
        <v>1012800</v>
      </c>
      <c r="O222" s="11">
        <f ca="1"/>
        <v>474496</v>
      </c>
      <c r="P222" s="10">
        <f ca="1"/>
        <v>0.13477583935486448</v>
      </c>
      <c r="Q222" s="10">
        <f ca="1"/>
        <v>6.3142374279745034E-2</v>
      </c>
      <c r="R222" s="10">
        <f ca="1"/>
        <v>0.11179261979852823</v>
      </c>
      <c r="T222" s="10">
        <f ca="1"/>
        <v>-0.2483479709082046</v>
      </c>
      <c r="U222" s="10" t="e">
        <f ca="1"/>
        <v>#N/A</v>
      </c>
      <c r="V222" s="10" t="e">
        <f ca="1"/>
        <v>#N/A</v>
      </c>
      <c r="W222" s="10" t="e">
        <f ca="1"/>
        <v>#N/A</v>
      </c>
    </row>
    <row r="223" spans="1:23" x14ac:dyDescent="0.25">
      <c r="A223" s="2" t="s">
        <v>225</v>
      </c>
      <c r="B223" s="3">
        <v>355292</v>
      </c>
      <c r="C223" s="3">
        <v>456353</v>
      </c>
      <c r="G223" s="5">
        <f ca="1"/>
        <v>39447</v>
      </c>
      <c r="H223" s="7">
        <f ca="1"/>
        <v>355292</v>
      </c>
      <c r="I223" s="7">
        <f ca="1"/>
        <v>456353</v>
      </c>
      <c r="J223" s="7">
        <f ca="1"/>
        <v>0</v>
      </c>
      <c r="K223" s="7">
        <f ca="1"/>
        <v>456353</v>
      </c>
      <c r="L223" s="7">
        <f ca="1"/>
        <v>7516500</v>
      </c>
      <c r="M223" s="8">
        <f ca="1"/>
        <v>4.7268276458458061E-2</v>
      </c>
      <c r="N223" s="7">
        <f ca="1"/>
        <v>979600</v>
      </c>
      <c r="O223" s="11">
        <f ca="1"/>
        <v>456353</v>
      </c>
      <c r="P223" s="10">
        <f ca="1"/>
        <v>0.13032661478081553</v>
      </c>
      <c r="Q223" s="10">
        <f ca="1"/>
        <v>6.071349697332535E-2</v>
      </c>
      <c r="R223" s="10">
        <f ca="1"/>
        <v>0.10798177343178342</v>
      </c>
      <c r="T223" s="10">
        <f ca="1"/>
        <v>-0.28009482238675953</v>
      </c>
      <c r="U223" s="10" t="e">
        <f ca="1"/>
        <v>#N/A</v>
      </c>
      <c r="V223" s="10" t="e">
        <f ca="1"/>
        <v>#N/A</v>
      </c>
      <c r="W223" s="10" t="e">
        <f ca="1"/>
        <v>#N/A</v>
      </c>
    </row>
    <row r="224" spans="1:23" x14ac:dyDescent="0.25">
      <c r="A224" s="2" t="s">
        <v>226</v>
      </c>
      <c r="B224" s="3">
        <v>379593</v>
      </c>
      <c r="C224" s="3">
        <v>426721</v>
      </c>
      <c r="G224" s="5">
        <f ca="1"/>
        <v>39416</v>
      </c>
      <c r="H224" s="7">
        <f ca="1"/>
        <v>379593</v>
      </c>
      <c r="I224" s="7">
        <f ca="1"/>
        <v>426721</v>
      </c>
      <c r="J224" s="7">
        <f ca="1"/>
        <v>0</v>
      </c>
      <c r="K224" s="7">
        <f ca="1"/>
        <v>426721</v>
      </c>
      <c r="L224" s="7">
        <f ca="1"/>
        <v>7448500</v>
      </c>
      <c r="M224" s="8">
        <f ca="1"/>
        <v>5.0962341411022356E-2</v>
      </c>
      <c r="N224" s="7">
        <f ca="1"/>
        <v>953800</v>
      </c>
      <c r="O224" s="11">
        <f ca="1"/>
        <v>426721</v>
      </c>
      <c r="P224" s="10">
        <f ca="1"/>
        <v>0.12805262804591527</v>
      </c>
      <c r="Q224" s="10">
        <f ca="1"/>
        <v>5.7289521380143656E-2</v>
      </c>
      <c r="R224" s="10">
        <f ca="1"/>
        <v>0.10825186279116601</v>
      </c>
      <c r="T224" s="10">
        <f ca="1"/>
        <v>-0.31092267778651428</v>
      </c>
      <c r="U224" s="10" t="e">
        <f ca="1"/>
        <v>#N/A</v>
      </c>
      <c r="V224" s="10" t="e">
        <f ca="1"/>
        <v>#N/A</v>
      </c>
      <c r="W224" s="10" t="e">
        <f ca="1"/>
        <v>#N/A</v>
      </c>
    </row>
    <row r="225" spans="1:23" x14ac:dyDescent="0.25">
      <c r="A225" s="2" t="s">
        <v>227</v>
      </c>
      <c r="B225" s="3">
        <v>376979</v>
      </c>
      <c r="C225" s="3">
        <v>392543</v>
      </c>
      <c r="G225" s="5">
        <f ca="1"/>
        <v>39386</v>
      </c>
      <c r="H225" s="7">
        <f ca="1"/>
        <v>376979</v>
      </c>
      <c r="I225" s="7">
        <f ca="1"/>
        <v>392543</v>
      </c>
      <c r="J225" s="7">
        <f ca="1"/>
        <v>0</v>
      </c>
      <c r="K225" s="7">
        <f ca="1"/>
        <v>392543</v>
      </c>
      <c r="L225" s="7">
        <f ca="1"/>
        <v>7389400</v>
      </c>
      <c r="M225" s="8">
        <f ca="1"/>
        <v>5.1016185346577529E-2</v>
      </c>
      <c r="N225" s="7">
        <f ca="1"/>
        <v>922800</v>
      </c>
      <c r="O225" s="11">
        <f ca="1"/>
        <v>392543</v>
      </c>
      <c r="P225" s="10">
        <f ca="1"/>
        <v>0.12488158713833329</v>
      </c>
      <c r="Q225" s="10">
        <f ca="1"/>
        <v>5.3122445665412618E-2</v>
      </c>
      <c r="R225" s="10">
        <f ca="1"/>
        <v>0.10413863101199014</v>
      </c>
      <c r="T225" s="10">
        <f ca="1"/>
        <v>-0.36266120812405878</v>
      </c>
      <c r="U225" s="10" t="e">
        <f ca="1"/>
        <v>#N/A</v>
      </c>
      <c r="V225" s="10" t="e">
        <f ca="1"/>
        <v>#N/A</v>
      </c>
      <c r="W225" s="10" t="e">
        <f ca="1"/>
        <v>#N/A</v>
      </c>
    </row>
    <row r="226" spans="1:23" x14ac:dyDescent="0.25">
      <c r="A226" s="2" t="s">
        <v>228</v>
      </c>
      <c r="B226" s="3">
        <v>359104</v>
      </c>
      <c r="C226" s="3">
        <v>377364</v>
      </c>
      <c r="G226" s="5">
        <f ca="1"/>
        <v>39355</v>
      </c>
      <c r="H226" s="7">
        <f ca="1"/>
        <v>359104</v>
      </c>
      <c r="I226" s="7">
        <f ca="1"/>
        <v>377364</v>
      </c>
      <c r="J226" s="7">
        <f ca="1"/>
        <v>0</v>
      </c>
      <c r="K226" s="7">
        <f ca="1"/>
        <v>377364</v>
      </c>
      <c r="L226" s="7">
        <f ca="1"/>
        <v>7377400</v>
      </c>
      <c r="M226" s="8">
        <f ca="1"/>
        <v>4.8676227397186002E-2</v>
      </c>
      <c r="N226" s="7">
        <f ca="1"/>
        <v>913900</v>
      </c>
      <c r="O226" s="11">
        <f ca="1"/>
        <v>377364</v>
      </c>
      <c r="P226" s="10">
        <f ca="1"/>
        <v>0.12387833111936454</v>
      </c>
      <c r="Q226" s="10">
        <f ca="1"/>
        <v>5.115135413560333E-2</v>
      </c>
      <c r="R226" s="10">
        <f ca="1"/>
        <v>9.9827581532789339E-2</v>
      </c>
      <c r="T226" s="10">
        <f ca="1"/>
        <v>-0.39785819071608386</v>
      </c>
      <c r="U226" s="10" t="e">
        <f ca="1"/>
        <v>#N/A</v>
      </c>
      <c r="V226" s="10" t="e">
        <f ca="1"/>
        <v>#N/A</v>
      </c>
      <c r="W226" s="10" t="e">
        <f ca="1"/>
        <v>#N/A</v>
      </c>
    </row>
    <row r="227" spans="1:23" x14ac:dyDescent="0.25">
      <c r="A227" s="2" t="s">
        <v>229</v>
      </c>
      <c r="B227" s="3">
        <v>362475</v>
      </c>
      <c r="C227" s="3">
        <v>381550</v>
      </c>
      <c r="G227" s="5">
        <f ca="1"/>
        <v>39325</v>
      </c>
      <c r="H227" s="7">
        <f ca="1"/>
        <v>362475</v>
      </c>
      <c r="I227" s="7">
        <f ca="1"/>
        <v>381550</v>
      </c>
      <c r="J227" s="7">
        <f ca="1"/>
        <v>0</v>
      </c>
      <c r="K227" s="7">
        <f ca="1"/>
        <v>381550</v>
      </c>
      <c r="L227" s="7">
        <f ca="1"/>
        <v>7356800</v>
      </c>
      <c r="M227" s="8">
        <f ca="1"/>
        <v>4.9270742714223575E-2</v>
      </c>
      <c r="N227" s="7">
        <f ca="1"/>
        <v>926400</v>
      </c>
      <c r="O227" s="11">
        <f ca="1"/>
        <v>381550</v>
      </c>
      <c r="P227" s="10">
        <f ca="1"/>
        <v>0.12592431491953024</v>
      </c>
      <c r="Q227" s="10">
        <f ca="1"/>
        <v>5.1863581992170511E-2</v>
      </c>
      <c r="R227" s="10">
        <f ca="1"/>
        <v>0.10113432470639408</v>
      </c>
      <c r="T227" s="10">
        <f ca="1"/>
        <v>-0.37642723441949222</v>
      </c>
      <c r="U227" s="10" t="e">
        <f ca="1"/>
        <v>#N/A</v>
      </c>
      <c r="V227" s="10" t="e">
        <f ca="1"/>
        <v>#N/A</v>
      </c>
      <c r="W227" s="10" t="e">
        <f ca="1"/>
        <v>#N/A</v>
      </c>
    </row>
    <row r="228" spans="1:23" x14ac:dyDescent="0.25">
      <c r="A228" s="2" t="s">
        <v>230</v>
      </c>
      <c r="B228" s="3">
        <v>416403</v>
      </c>
      <c r="C228" s="3">
        <v>380971</v>
      </c>
      <c r="G228" s="5">
        <f ca="1"/>
        <v>39294</v>
      </c>
      <c r="H228" s="7">
        <f ca="1"/>
        <v>416403</v>
      </c>
      <c r="I228" s="7">
        <f ca="1"/>
        <v>380971</v>
      </c>
      <c r="J228" s="7">
        <f ca="1"/>
        <v>0</v>
      </c>
      <c r="K228" s="7">
        <f ca="1"/>
        <v>380971</v>
      </c>
      <c r="L228" s="7">
        <f ca="1"/>
        <v>7297600</v>
      </c>
      <c r="M228" s="8">
        <f ca="1"/>
        <v>5.7060266388949794E-2</v>
      </c>
      <c r="N228" s="7">
        <f ca="1"/>
        <v>881200</v>
      </c>
      <c r="O228" s="11">
        <f ca="1"/>
        <v>380971</v>
      </c>
      <c r="P228" s="10">
        <f ca="1"/>
        <v>0.12075202806402105</v>
      </c>
      <c r="Q228" s="10">
        <f ca="1"/>
        <v>5.2204971497478624E-2</v>
      </c>
      <c r="R228" s="10">
        <f ca="1"/>
        <v>0.10926523788642842</v>
      </c>
      <c r="T228" s="10">
        <f ca="1"/>
        <v>-0.40024188924078119</v>
      </c>
      <c r="U228" s="10" t="e">
        <f ca="1"/>
        <v>#N/A</v>
      </c>
      <c r="V228" s="10" t="e">
        <f ca="1"/>
        <v>#N/A</v>
      </c>
      <c r="W228" s="10" t="e">
        <f ca="1"/>
        <v>#N/A</v>
      </c>
    </row>
    <row r="229" spans="1:23" x14ac:dyDescent="0.25">
      <c r="A229" s="2" t="s">
        <v>231</v>
      </c>
      <c r="B229" s="3">
        <v>408444</v>
      </c>
      <c r="C229" s="3">
        <v>347617</v>
      </c>
      <c r="G229" s="5">
        <f ca="1"/>
        <v>39263</v>
      </c>
      <c r="H229" s="7">
        <f ca="1"/>
        <v>408444</v>
      </c>
      <c r="I229" s="7">
        <f ca="1"/>
        <v>347617</v>
      </c>
      <c r="J229" s="7">
        <f ca="1"/>
        <v>0</v>
      </c>
      <c r="K229" s="7">
        <f ca="1"/>
        <v>347617</v>
      </c>
      <c r="L229" s="7">
        <f ca="1"/>
        <v>7294200</v>
      </c>
      <c r="M229" s="8">
        <f ca="1"/>
        <v>5.5995722628938059E-2</v>
      </c>
      <c r="N229" s="7">
        <f ca="1"/>
        <v>871200</v>
      </c>
      <c r="O229" s="11">
        <f ca="1"/>
        <v>347617</v>
      </c>
      <c r="P229" s="10">
        <f ca="1"/>
        <v>0.11943736119108332</v>
      </c>
      <c r="Q229" s="10">
        <f ca="1"/>
        <v>4.7656631296098269E-2</v>
      </c>
      <c r="R229" s="10">
        <f ca="1"/>
        <v>0.10365235392503633</v>
      </c>
      <c r="T229" s="10">
        <f ca="1"/>
        <v>-0.46927195391996923</v>
      </c>
      <c r="U229" s="10" t="e">
        <f ca="1"/>
        <v>#N/A</v>
      </c>
      <c r="V229" s="10" t="e">
        <f ca="1"/>
        <v>#N/A</v>
      </c>
      <c r="W229" s="10" t="e">
        <f ca="1"/>
        <v>#N/A</v>
      </c>
    </row>
    <row r="230" spans="1:23" x14ac:dyDescent="0.25">
      <c r="A230" s="2" t="s">
        <v>232</v>
      </c>
      <c r="B230" s="3">
        <v>382312</v>
      </c>
      <c r="C230" s="3">
        <v>334359</v>
      </c>
      <c r="G230" s="5">
        <f ca="1"/>
        <v>39233</v>
      </c>
      <c r="H230" s="7">
        <f ca="1"/>
        <v>382312</v>
      </c>
      <c r="I230" s="7">
        <f ca="1"/>
        <v>334359</v>
      </c>
      <c r="J230" s="7">
        <f ca="1"/>
        <v>0</v>
      </c>
      <c r="K230" s="7">
        <f ca="1"/>
        <v>334359</v>
      </c>
      <c r="L230" s="7">
        <f ca="1"/>
        <v>7250200</v>
      </c>
      <c r="M230" s="8">
        <f ca="1"/>
        <v>5.2731235000413781E-2</v>
      </c>
      <c r="N230" s="7">
        <f ca="1"/>
        <v>861000</v>
      </c>
      <c r="O230" s="11">
        <f ca="1"/>
        <v>334359</v>
      </c>
      <c r="P230" s="10">
        <f ca="1"/>
        <v>0.11875534468014676</v>
      </c>
      <c r="Q230" s="10">
        <f ca="1"/>
        <v>4.6117210559708695E-2</v>
      </c>
      <c r="R230" s="10">
        <f ca="1"/>
        <v>9.8848445560122483E-2</v>
      </c>
      <c r="T230" s="10">
        <f ca="1"/>
        <v>-0.51974361422138116</v>
      </c>
      <c r="U230" s="10" t="e">
        <f ca="1"/>
        <v>#N/A</v>
      </c>
      <c r="V230" s="10" t="e">
        <f ca="1"/>
        <v>#N/A</v>
      </c>
      <c r="W230" s="10" t="e">
        <f ca="1"/>
        <v>#N/A</v>
      </c>
    </row>
    <row r="231" spans="1:23" x14ac:dyDescent="0.25">
      <c r="A231" s="2" t="s">
        <v>233</v>
      </c>
      <c r="B231" s="3">
        <v>342084</v>
      </c>
      <c r="C231" s="3">
        <v>314744</v>
      </c>
      <c r="G231" s="5">
        <f ca="1"/>
        <v>39202</v>
      </c>
      <c r="H231" s="7">
        <f ca="1"/>
        <v>342084</v>
      </c>
      <c r="I231" s="7">
        <f ca="1"/>
        <v>314744</v>
      </c>
      <c r="J231" s="7">
        <f ca="1"/>
        <v>0</v>
      </c>
      <c r="K231" s="7">
        <f ca="1"/>
        <v>314744</v>
      </c>
      <c r="L231" s="7">
        <f ca="1"/>
        <v>7305900</v>
      </c>
      <c r="M231" s="8">
        <f ca="1"/>
        <v>4.6822978688457272E-2</v>
      </c>
      <c r="N231" s="7">
        <f ca="1"/>
        <v>848400</v>
      </c>
      <c r="O231" s="11">
        <f ca="1"/>
        <v>314744</v>
      </c>
      <c r="P231" s="10">
        <f ca="1"/>
        <v>0.11612532336878413</v>
      </c>
      <c r="Q231" s="10">
        <f ca="1"/>
        <v>4.3080797711438704E-2</v>
      </c>
      <c r="R231" s="10">
        <f ca="1"/>
        <v>8.9903776399895968E-2</v>
      </c>
      <c r="T231" s="10">
        <f ca="1"/>
        <v>-0.4428651365022257</v>
      </c>
      <c r="U231" s="10" t="e">
        <f ca="1"/>
        <v>#N/A</v>
      </c>
      <c r="V231" s="10" t="e">
        <f ca="1"/>
        <v>#N/A</v>
      </c>
      <c r="W231" s="10" t="e">
        <f ca="1"/>
        <v>#N/A</v>
      </c>
    </row>
    <row r="232" spans="1:23" x14ac:dyDescent="0.25">
      <c r="A232" s="2" t="s">
        <v>234</v>
      </c>
      <c r="B232" s="3">
        <v>317737</v>
      </c>
      <c r="C232" s="3">
        <v>305479</v>
      </c>
      <c r="G232" s="5">
        <f ca="1"/>
        <v>39172</v>
      </c>
      <c r="H232" s="7">
        <f ca="1"/>
        <v>317737</v>
      </c>
      <c r="I232" s="7">
        <f ca="1"/>
        <v>305479</v>
      </c>
      <c r="J232" s="7">
        <f ca="1"/>
        <v>0</v>
      </c>
      <c r="K232" s="7">
        <f ca="1"/>
        <v>305479</v>
      </c>
      <c r="L232" s="7">
        <f ca="1"/>
        <v>7216800</v>
      </c>
      <c r="M232" s="8">
        <f ca="1"/>
        <v>4.4027408269593171E-2</v>
      </c>
      <c r="N232" s="7">
        <f ca="1"/>
        <v>862000</v>
      </c>
      <c r="O232" s="11">
        <f ca="1"/>
        <v>305479</v>
      </c>
      <c r="P232" s="10">
        <f ca="1"/>
        <v>0.11944352067398292</v>
      </c>
      <c r="Q232" s="10">
        <f ca="1"/>
        <v>4.2328871522004215E-2</v>
      </c>
      <c r="R232" s="10">
        <f ca="1"/>
        <v>8.6356279791597379E-2</v>
      </c>
      <c r="T232" s="10">
        <f ca="1"/>
        <v>-0.36429344952204346</v>
      </c>
      <c r="U232" s="10" t="e">
        <f ca="1"/>
        <v>#N/A</v>
      </c>
      <c r="V232" s="10" t="e">
        <f ca="1"/>
        <v>#N/A</v>
      </c>
      <c r="W232" s="10" t="e">
        <f ca="1"/>
        <v>#N/A</v>
      </c>
    </row>
    <row r="233" spans="1:23" x14ac:dyDescent="0.25">
      <c r="A233" s="2" t="s">
        <v>235</v>
      </c>
      <c r="B233" s="3">
        <v>321171</v>
      </c>
      <c r="C233" s="3">
        <v>300072</v>
      </c>
      <c r="G233" s="5">
        <f ca="1"/>
        <v>39141</v>
      </c>
      <c r="H233" s="7">
        <f ca="1"/>
        <v>321171</v>
      </c>
      <c r="I233" s="7">
        <f ca="1"/>
        <v>300072</v>
      </c>
      <c r="J233" s="7">
        <f ca="1"/>
        <v>0</v>
      </c>
      <c r="K233" s="7">
        <f ca="1"/>
        <v>300072</v>
      </c>
      <c r="L233" s="7">
        <f ca="1"/>
        <v>7118800</v>
      </c>
      <c r="M233" s="8">
        <f ca="1"/>
        <v>4.5115890318593019E-2</v>
      </c>
      <c r="N233" s="7">
        <f ca="1"/>
        <v>845900</v>
      </c>
      <c r="O233" s="11">
        <f ca="1"/>
        <v>300072</v>
      </c>
      <c r="P233" s="10">
        <f ca="1"/>
        <v>0.1188262066640445</v>
      </c>
      <c r="Q233" s="10">
        <f ca="1"/>
        <v>4.2152048097994041E-2</v>
      </c>
      <c r="R233" s="10">
        <f ca="1"/>
        <v>8.726793841658706E-2</v>
      </c>
      <c r="T233" s="10">
        <f ca="1"/>
        <v>-0.36293198529172399</v>
      </c>
      <c r="U233" s="10" t="e">
        <f ca="1"/>
        <v>#N/A</v>
      </c>
      <c r="V233" s="10" t="e">
        <f ca="1"/>
        <v>#N/A</v>
      </c>
      <c r="W233" s="10" t="e">
        <f ca="1"/>
        <v>#N/A</v>
      </c>
    </row>
    <row r="234" spans="1:23" x14ac:dyDescent="0.25">
      <c r="A234" s="2" t="s">
        <v>236</v>
      </c>
      <c r="B234" s="3">
        <v>311506</v>
      </c>
      <c r="C234" s="3">
        <v>292521</v>
      </c>
      <c r="G234" s="5">
        <f ca="1"/>
        <v>39113</v>
      </c>
      <c r="H234" s="7">
        <f ca="1"/>
        <v>311506</v>
      </c>
      <c r="I234" s="7">
        <f ca="1"/>
        <v>292521</v>
      </c>
      <c r="J234" s="7">
        <f ca="1"/>
        <v>0</v>
      </c>
      <c r="K234" s="7">
        <f ca="1"/>
        <v>292521</v>
      </c>
      <c r="L234" s="7">
        <f ca="1"/>
        <v>7106900</v>
      </c>
      <c r="M234" s="8">
        <f ca="1"/>
        <v>4.3831487709127752E-2</v>
      </c>
      <c r="N234" s="7">
        <f ca="1"/>
        <v>838800</v>
      </c>
      <c r="O234" s="11">
        <f ca="1"/>
        <v>292521</v>
      </c>
      <c r="P234" s="10">
        <f ca="1"/>
        <v>0.11802614360691722</v>
      </c>
      <c r="Q234" s="10">
        <f ca="1"/>
        <v>4.1160140145492408E-2</v>
      </c>
      <c r="R234" s="10">
        <f ca="1"/>
        <v>8.4991627854620166E-2</v>
      </c>
      <c r="T234" s="10">
        <f ca="1"/>
        <v>-0.32643369216695917</v>
      </c>
      <c r="U234" s="10" t="e">
        <f ca="1"/>
        <v>#N/A</v>
      </c>
      <c r="V234" s="10" t="e">
        <f ca="1"/>
        <v>#N/A</v>
      </c>
      <c r="W234" s="10" t="e">
        <f ca="1"/>
        <v>#N/A</v>
      </c>
    </row>
    <row r="235" spans="1:23" x14ac:dyDescent="0.25">
      <c r="A235" s="2" t="s">
        <v>237</v>
      </c>
      <c r="B235" s="3">
        <v>303288</v>
      </c>
      <c r="C235" s="3">
        <v>299023</v>
      </c>
      <c r="G235" s="5">
        <f ca="1"/>
        <v>39082</v>
      </c>
      <c r="H235" s="7">
        <f ca="1"/>
        <v>303288</v>
      </c>
      <c r="I235" s="7">
        <f ca="1"/>
        <v>299023</v>
      </c>
      <c r="J235" s="7">
        <f ca="1"/>
        <v>0</v>
      </c>
      <c r="K235" s="7">
        <f ca="1"/>
        <v>299023</v>
      </c>
      <c r="L235" s="7">
        <f ca="1"/>
        <v>7108600</v>
      </c>
      <c r="M235" s="8">
        <f ca="1"/>
        <v>4.2664941057310862E-2</v>
      </c>
      <c r="N235" s="7">
        <f ca="1"/>
        <v>819900</v>
      </c>
      <c r="O235" s="11">
        <f ca="1"/>
        <v>299023</v>
      </c>
      <c r="P235" s="10">
        <f ca="1"/>
        <v>0.11533916664322089</v>
      </c>
      <c r="Q235" s="10">
        <f ca="1"/>
        <v>4.2064963565258982E-2</v>
      </c>
      <c r="R235" s="10">
        <f ca="1"/>
        <v>8.4729904622569852E-2</v>
      </c>
      <c r="T235" s="10">
        <f ca="1"/>
        <v>-0.17763523570680773</v>
      </c>
      <c r="U235" s="10" t="e">
        <f ca="1"/>
        <v>#N/A</v>
      </c>
      <c r="V235" s="10" t="e">
        <f ca="1"/>
        <v>#N/A</v>
      </c>
      <c r="W235" s="10" t="e">
        <f ca="1"/>
        <v>#N/A</v>
      </c>
    </row>
    <row r="236" spans="1:23" x14ac:dyDescent="0.25">
      <c r="A236" s="2" t="s">
        <v>238</v>
      </c>
      <c r="B236" s="3">
        <v>294899</v>
      </c>
      <c r="C236" s="3">
        <v>290910</v>
      </c>
      <c r="G236" s="5">
        <f ca="1"/>
        <v>39051</v>
      </c>
      <c r="H236" s="7">
        <f ca="1"/>
        <v>294899</v>
      </c>
      <c r="I236" s="7">
        <f ca="1"/>
        <v>290910</v>
      </c>
      <c r="J236" s="7">
        <f ca="1"/>
        <v>0</v>
      </c>
      <c r="K236" s="7">
        <f ca="1"/>
        <v>290910</v>
      </c>
      <c r="L236" s="7">
        <f ca="1"/>
        <v>7033700</v>
      </c>
      <c r="M236" s="8">
        <f ca="1"/>
        <v>4.1926582026529421E-2</v>
      </c>
      <c r="N236" s="7">
        <f ca="1"/>
        <v>809000</v>
      </c>
      <c r="O236" s="11">
        <f ca="1"/>
        <v>290910</v>
      </c>
      <c r="P236" s="10">
        <f ca="1"/>
        <v>0.11501770049902611</v>
      </c>
      <c r="Q236" s="10">
        <f ca="1"/>
        <v>4.1359455194278971E-2</v>
      </c>
      <c r="R236" s="10">
        <f ca="1"/>
        <v>8.3286037220808393E-2</v>
      </c>
      <c r="T236" s="10">
        <f ca="1"/>
        <v>-8.4105044456745159E-2</v>
      </c>
      <c r="U236" s="10" t="e">
        <f ca="1"/>
        <v>#N/A</v>
      </c>
      <c r="V236" s="10" t="e">
        <f ca="1"/>
        <v>#N/A</v>
      </c>
      <c r="W236" s="10" t="e">
        <f ca="1"/>
        <v>#N/A</v>
      </c>
    </row>
    <row r="237" spans="1:23" x14ac:dyDescent="0.25">
      <c r="A237" s="2" t="s">
        <v>239</v>
      </c>
      <c r="B237" s="3">
        <v>267710</v>
      </c>
      <c r="C237" s="3">
        <v>267462</v>
      </c>
      <c r="G237" s="5">
        <f ca="1"/>
        <v>39021</v>
      </c>
      <c r="H237" s="7">
        <f ca="1"/>
        <v>267710</v>
      </c>
      <c r="I237" s="7">
        <f ca="1"/>
        <v>267462</v>
      </c>
      <c r="J237" s="7">
        <f ca="1"/>
        <v>0</v>
      </c>
      <c r="K237" s="7">
        <f ca="1"/>
        <v>267462</v>
      </c>
      <c r="L237" s="7">
        <f ca="1"/>
        <v>6970800</v>
      </c>
      <c r="M237" s="8">
        <f ca="1"/>
        <v>3.8404487289837606E-2</v>
      </c>
      <c r="N237" s="7">
        <f ca="1"/>
        <v>791000</v>
      </c>
      <c r="O237" s="11">
        <f ca="1"/>
        <v>267462</v>
      </c>
      <c r="P237" s="10">
        <f ca="1"/>
        <v>0.11347334595742239</v>
      </c>
      <c r="Q237" s="10">
        <f ca="1"/>
        <v>3.8368910311585472E-2</v>
      </c>
      <c r="R237" s="10">
        <f ca="1"/>
        <v>7.6773397601423071E-2</v>
      </c>
      <c r="T237" s="10">
        <f ca="1"/>
        <v>-8.0235671527605579E-2</v>
      </c>
      <c r="U237" s="10" t="e">
        <f ca="1"/>
        <v>#N/A</v>
      </c>
      <c r="V237" s="10" t="e">
        <f ca="1"/>
        <v>#N/A</v>
      </c>
      <c r="W237" s="10" t="e">
        <f ca="1"/>
        <v>#N/A</v>
      </c>
    </row>
    <row r="238" spans="1:23" x14ac:dyDescent="0.25">
      <c r="A238" s="2" t="s">
        <v>240</v>
      </c>
      <c r="B238" s="3">
        <v>261769</v>
      </c>
      <c r="C238" s="3">
        <v>268612</v>
      </c>
      <c r="G238" s="5">
        <f ca="1"/>
        <v>38990</v>
      </c>
      <c r="H238" s="7">
        <f ca="1"/>
        <v>261769</v>
      </c>
      <c r="I238" s="7">
        <f ca="1"/>
        <v>268612</v>
      </c>
      <c r="J238" s="7">
        <f ca="1"/>
        <v>0</v>
      </c>
      <c r="K238" s="7">
        <f ca="1"/>
        <v>268612</v>
      </c>
      <c r="L238" s="7">
        <f ca="1"/>
        <v>6927800</v>
      </c>
      <c r="M238" s="8">
        <f ca="1"/>
        <v>3.7785299806576404E-2</v>
      </c>
      <c r="N238" s="7">
        <f ca="1"/>
        <v>784400</v>
      </c>
      <c r="O238" s="11">
        <f ca="1"/>
        <v>268612</v>
      </c>
      <c r="P238" s="10">
        <f ca="1"/>
        <v>0.1132249776263749</v>
      </c>
      <c r="Q238" s="10">
        <f ca="1"/>
        <v>3.8773059268454632E-2</v>
      </c>
      <c r="R238" s="10">
        <f ca="1"/>
        <v>7.6558359075031029E-2</v>
      </c>
      <c r="T238" s="10">
        <f ca="1"/>
        <v>-4.180856878141781E-2</v>
      </c>
      <c r="U238" s="10" t="e">
        <f ca="1"/>
        <v>#N/A</v>
      </c>
      <c r="V238" s="10" t="e">
        <f ca="1"/>
        <v>#N/A</v>
      </c>
      <c r="W238" s="10" t="e">
        <f ca="1"/>
        <v>#N/A</v>
      </c>
    </row>
    <row r="239" spans="1:23" x14ac:dyDescent="0.25">
      <c r="A239" s="2" t="s">
        <v>241</v>
      </c>
      <c r="B239" s="3">
        <v>249368</v>
      </c>
      <c r="C239" s="3">
        <v>269423</v>
      </c>
      <c r="G239" s="5">
        <f ca="1"/>
        <v>38960</v>
      </c>
      <c r="H239" s="7">
        <f ca="1"/>
        <v>249368</v>
      </c>
      <c r="I239" s="7">
        <f ca="1"/>
        <v>269423</v>
      </c>
      <c r="J239" s="7">
        <f ca="1"/>
        <v>0</v>
      </c>
      <c r="K239" s="7">
        <f ca="1"/>
        <v>269423</v>
      </c>
      <c r="L239" s="7">
        <f ca="1"/>
        <v>6900200</v>
      </c>
      <c r="M239" s="8">
        <f ca="1"/>
        <v>3.6139242340801715E-2</v>
      </c>
      <c r="N239" s="7">
        <f ca="1"/>
        <v>778600</v>
      </c>
      <c r="O239" s="11">
        <f ca="1"/>
        <v>269423</v>
      </c>
      <c r="P239" s="10">
        <f ca="1"/>
        <v>0.11283730906350541</v>
      </c>
      <c r="Q239" s="10">
        <f ca="1"/>
        <v>3.9045679835367088E-2</v>
      </c>
      <c r="R239" s="10">
        <f ca="1"/>
        <v>7.5184922176168803E-2</v>
      </c>
      <c r="T239" s="10">
        <f ca="1"/>
        <v>7.4059350655418132E-2</v>
      </c>
      <c r="U239" s="10" t="e">
        <f ca="1"/>
        <v>#N/A</v>
      </c>
      <c r="V239" s="10" t="e">
        <f ca="1"/>
        <v>#N/A</v>
      </c>
      <c r="W239" s="10" t="e">
        <f ca="1"/>
        <v>#N/A</v>
      </c>
    </row>
    <row r="240" spans="1:23" x14ac:dyDescent="0.25">
      <c r="A240" s="2" t="s">
        <v>242</v>
      </c>
      <c r="B240" s="3">
        <v>256016</v>
      </c>
      <c r="C240" s="3">
        <v>269376</v>
      </c>
      <c r="G240" s="5">
        <f ca="1"/>
        <v>38929</v>
      </c>
      <c r="H240" s="7">
        <f ca="1"/>
        <v>256016</v>
      </c>
      <c r="I240" s="7">
        <f ca="1"/>
        <v>269376</v>
      </c>
      <c r="J240" s="7">
        <f ca="1"/>
        <v>0</v>
      </c>
      <c r="K240" s="7">
        <f ca="1"/>
        <v>269376</v>
      </c>
      <c r="L240" s="7">
        <f ca="1"/>
        <v>6880900</v>
      </c>
      <c r="M240" s="8">
        <f ca="1"/>
        <v>3.7206760743507393E-2</v>
      </c>
      <c r="N240" s="7">
        <f ca="1"/>
        <v>764300</v>
      </c>
      <c r="O240" s="11">
        <f ca="1"/>
        <v>269376</v>
      </c>
      <c r="P240" s="10">
        <f ca="1"/>
        <v>0.1110755860425235</v>
      </c>
      <c r="Q240" s="10">
        <f ca="1"/>
        <v>3.9148367219404435E-2</v>
      </c>
      <c r="R240" s="10">
        <f ca="1"/>
        <v>7.6355127962911828E-2</v>
      </c>
      <c r="T240" s="10">
        <f ca="1"/>
        <v>8.5324149518483328E-2</v>
      </c>
      <c r="U240" s="10" t="e">
        <f ca="1"/>
        <v>#N/A</v>
      </c>
      <c r="V240" s="10" t="e">
        <f ca="1"/>
        <v>#N/A</v>
      </c>
      <c r="W240" s="10" t="e">
        <f ca="1"/>
        <v>#N/A</v>
      </c>
    </row>
    <row r="241" spans="1:23" x14ac:dyDescent="0.25">
      <c r="A241" s="2" t="s">
        <v>243</v>
      </c>
      <c r="B241" s="3">
        <v>251495</v>
      </c>
      <c r="C241" s="3">
        <v>280275</v>
      </c>
      <c r="G241" s="5">
        <f ca="1"/>
        <v>38898</v>
      </c>
      <c r="H241" s="7">
        <f ca="1"/>
        <v>251495</v>
      </c>
      <c r="I241" s="7">
        <f ca="1"/>
        <v>280275</v>
      </c>
      <c r="J241" s="7">
        <f ca="1"/>
        <v>0</v>
      </c>
      <c r="K241" s="7">
        <f ca="1"/>
        <v>280275</v>
      </c>
      <c r="L241" s="7">
        <f ca="1"/>
        <v>6859000</v>
      </c>
      <c r="M241" s="8">
        <f ca="1"/>
        <v>3.6666423676920835E-2</v>
      </c>
      <c r="N241" s="7">
        <f ca="1"/>
        <v>756500</v>
      </c>
      <c r="O241" s="11">
        <f ca="1"/>
        <v>280275</v>
      </c>
      <c r="P241" s="10">
        <f ca="1"/>
        <v>0.11029304563347427</v>
      </c>
      <c r="Q241" s="10">
        <f ca="1"/>
        <v>4.0862370607960344E-2</v>
      </c>
      <c r="R241" s="10">
        <f ca="1"/>
        <v>7.7528794284881186E-2</v>
      </c>
      <c r="T241" s="10">
        <f ca="1"/>
        <v>4.1332075278040836E-2</v>
      </c>
      <c r="U241" s="10" t="e">
        <f ca="1"/>
        <v>#N/A</v>
      </c>
      <c r="V241" s="10" t="e">
        <f ca="1"/>
        <v>#N/A</v>
      </c>
      <c r="W241" s="10" t="e">
        <f ca="1"/>
        <v>#N/A</v>
      </c>
    </row>
    <row r="242" spans="1:23" x14ac:dyDescent="0.25">
      <c r="A242" s="2" t="s">
        <v>244</v>
      </c>
      <c r="B242" s="3">
        <v>255608</v>
      </c>
      <c r="C242" s="3">
        <v>264307</v>
      </c>
      <c r="G242" s="5">
        <f ca="1"/>
        <v>38868</v>
      </c>
      <c r="H242" s="7">
        <f ca="1"/>
        <v>255608</v>
      </c>
      <c r="I242" s="7">
        <f ca="1"/>
        <v>264307</v>
      </c>
      <c r="J242" s="7">
        <f ca="1"/>
        <v>0</v>
      </c>
      <c r="K242" s="7">
        <f ca="1"/>
        <v>264307</v>
      </c>
      <c r="L242" s="7">
        <f ca="1"/>
        <v>6805200</v>
      </c>
      <c r="M242" s="8">
        <f ca="1"/>
        <v>3.7560688884970314E-2</v>
      </c>
      <c r="N242" s="7">
        <f ca="1"/>
        <v>744100</v>
      </c>
      <c r="O242" s="11">
        <f ca="1"/>
        <v>264307</v>
      </c>
      <c r="P242" s="10">
        <f ca="1"/>
        <v>0.10934285546346911</v>
      </c>
      <c r="Q242" s="10">
        <f ca="1"/>
        <v>3.8838976077117497E-2</v>
      </c>
      <c r="R242" s="10">
        <f ca="1"/>
        <v>7.6399664962087804E-2</v>
      </c>
      <c r="T242" s="10">
        <f ca="1"/>
        <v>4.7665945477648908E-2</v>
      </c>
      <c r="U242" s="10" t="e">
        <f ca="1"/>
        <v>#N/A</v>
      </c>
      <c r="V242" s="10" t="e">
        <f ca="1"/>
        <v>#N/A</v>
      </c>
      <c r="W242" s="10" t="e">
        <f ca="1"/>
        <v>#N/A</v>
      </c>
    </row>
    <row r="243" spans="1:23" x14ac:dyDescent="0.25">
      <c r="A243" s="2" t="s">
        <v>245</v>
      </c>
      <c r="B243" s="3">
        <v>265164</v>
      </c>
      <c r="C243" s="3">
        <v>259342</v>
      </c>
      <c r="G243" s="5">
        <f ca="1"/>
        <v>38837</v>
      </c>
      <c r="H243" s="7">
        <f ca="1"/>
        <v>265164</v>
      </c>
      <c r="I243" s="7">
        <f ca="1"/>
        <v>259342</v>
      </c>
      <c r="J243" s="7">
        <f ca="1"/>
        <v>0</v>
      </c>
      <c r="K243" s="7">
        <f ca="1"/>
        <v>259342</v>
      </c>
      <c r="L243" s="7">
        <f ca="1"/>
        <v>6866800</v>
      </c>
      <c r="M243" s="8">
        <f ca="1"/>
        <v>3.8615366691908896E-2</v>
      </c>
      <c r="N243" s="7">
        <f ca="1"/>
        <v>739700</v>
      </c>
      <c r="O243" s="11">
        <f ca="1"/>
        <v>259342</v>
      </c>
      <c r="P243" s="10">
        <f ca="1"/>
        <v>0.10772120929690686</v>
      </c>
      <c r="Q243" s="10">
        <f ca="1"/>
        <v>3.7767519077299472E-2</v>
      </c>
      <c r="R243" s="10">
        <f ca="1"/>
        <v>7.6382885769208375E-2</v>
      </c>
      <c r="T243" s="10">
        <f ca="1"/>
        <v>5.1838505913973876E-2</v>
      </c>
      <c r="U243" s="10" t="e">
        <f ca="1"/>
        <v>#N/A</v>
      </c>
      <c r="V243" s="10" t="e">
        <f ca="1"/>
        <v>#N/A</v>
      </c>
      <c r="W243" s="10" t="e">
        <f ca="1"/>
        <v>#N/A</v>
      </c>
    </row>
    <row r="244" spans="1:23" x14ac:dyDescent="0.25">
      <c r="A244" s="2" t="s">
        <v>246</v>
      </c>
      <c r="B244" s="3">
        <v>259370</v>
      </c>
      <c r="C244" s="3">
        <v>258928</v>
      </c>
      <c r="G244" s="5">
        <f ca="1"/>
        <v>38807</v>
      </c>
      <c r="H244" s="7">
        <f ca="1"/>
        <v>259370</v>
      </c>
      <c r="I244" s="7">
        <f ca="1"/>
        <v>258928</v>
      </c>
      <c r="J244" s="7">
        <f ca="1"/>
        <v>0</v>
      </c>
      <c r="K244" s="7">
        <f ca="1"/>
        <v>258928</v>
      </c>
      <c r="L244" s="7">
        <f ca="1"/>
        <v>6803200</v>
      </c>
      <c r="M244" s="8">
        <f ca="1"/>
        <v>3.8124706020696141E-2</v>
      </c>
      <c r="N244" s="7">
        <f ca="1"/>
        <v>743000</v>
      </c>
      <c r="O244" s="11">
        <f ca="1"/>
        <v>258928</v>
      </c>
      <c r="P244" s="10">
        <f ca="1"/>
        <v>0.10921331138287864</v>
      </c>
      <c r="Q244" s="10">
        <f ca="1"/>
        <v>3.8059736594543744E-2</v>
      </c>
      <c r="R244" s="10">
        <f ca="1"/>
        <v>7.6184442615239878E-2</v>
      </c>
      <c r="T244" s="10">
        <f ca="1"/>
        <v>0.13398255491947553</v>
      </c>
      <c r="U244" s="10" t="e">
        <f ca="1"/>
        <v>#N/A</v>
      </c>
      <c r="V244" s="10" t="e">
        <f ca="1"/>
        <v>#N/A</v>
      </c>
      <c r="W244" s="10" t="e">
        <f ca="1"/>
        <v>#N/A</v>
      </c>
    </row>
    <row r="245" spans="1:23" x14ac:dyDescent="0.25">
      <c r="A245" s="2" t="s">
        <v>247</v>
      </c>
      <c r="B245" s="3">
        <v>249609</v>
      </c>
      <c r="C245" s="3">
        <v>257573</v>
      </c>
      <c r="G245" s="5">
        <f ca="1"/>
        <v>38776</v>
      </c>
      <c r="H245" s="7">
        <f ca="1"/>
        <v>249609</v>
      </c>
      <c r="I245" s="7">
        <f ca="1"/>
        <v>257573</v>
      </c>
      <c r="J245" s="7">
        <f ca="1"/>
        <v>0</v>
      </c>
      <c r="K245" s="7">
        <f ca="1"/>
        <v>257573</v>
      </c>
      <c r="L245" s="7">
        <f ca="1"/>
        <v>6730400</v>
      </c>
      <c r="M245" s="8">
        <f ca="1"/>
        <v>3.7086800190181859E-2</v>
      </c>
      <c r="N245" s="7">
        <f ca="1"/>
        <v>736600</v>
      </c>
      <c r="O245" s="11">
        <f ca="1"/>
        <v>257573</v>
      </c>
      <c r="P245" s="10">
        <f ca="1"/>
        <v>0.10944371805539047</v>
      </c>
      <c r="Q245" s="10">
        <f ca="1"/>
        <v>3.8270087959110903E-2</v>
      </c>
      <c r="R245" s="10">
        <f ca="1"/>
        <v>7.5356888149292756E-2</v>
      </c>
      <c r="T245" s="10">
        <f ca="1"/>
        <v>0.15654426242571451</v>
      </c>
      <c r="U245" s="10" t="e">
        <f ca="1"/>
        <v>#N/A</v>
      </c>
      <c r="V245" s="10" t="e">
        <f ca="1"/>
        <v>#N/A</v>
      </c>
      <c r="W245" s="10" t="e">
        <f ca="1"/>
        <v>#N/A</v>
      </c>
    </row>
    <row r="246" spans="1:23" x14ac:dyDescent="0.25">
      <c r="A246" s="2" t="s">
        <v>248</v>
      </c>
      <c r="B246" s="3">
        <v>255795</v>
      </c>
      <c r="C246" s="3">
        <v>255819</v>
      </c>
      <c r="G246" s="5">
        <f ca="1"/>
        <v>38748</v>
      </c>
      <c r="H246" s="7">
        <f ca="1"/>
        <v>255795</v>
      </c>
      <c r="I246" s="7">
        <f ca="1"/>
        <v>255819</v>
      </c>
      <c r="J246" s="7">
        <f ca="1"/>
        <v>0</v>
      </c>
      <c r="K246" s="7">
        <f ca="1"/>
        <v>255819</v>
      </c>
      <c r="L246" s="7">
        <f ca="1"/>
        <v>6713000</v>
      </c>
      <c r="M246" s="8">
        <f ca="1"/>
        <v>3.8104424251452405E-2</v>
      </c>
      <c r="N246" s="7">
        <f ca="1"/>
        <v>728700</v>
      </c>
      <c r="O246" s="11">
        <f ca="1"/>
        <v>255819</v>
      </c>
      <c r="P246" s="10">
        <f ca="1"/>
        <v>0.10855057351407717</v>
      </c>
      <c r="Q246" s="10">
        <f ca="1"/>
        <v>3.8107999404141217E-2</v>
      </c>
      <c r="R246" s="10">
        <f ca="1"/>
        <v>7.6212423655593622E-2</v>
      </c>
      <c r="T246" s="10">
        <f ca="1"/>
        <v>0.21037752177459645</v>
      </c>
      <c r="U246" s="10" t="e">
        <f ca="1"/>
        <v>#N/A</v>
      </c>
      <c r="V246" s="10" t="e">
        <f ca="1"/>
        <v>#N/A</v>
      </c>
      <c r="W246" s="10" t="e">
        <f ca="1"/>
        <v>#N/A</v>
      </c>
    </row>
    <row r="247" spans="1:23" x14ac:dyDescent="0.25">
      <c r="A247" s="2" t="s">
        <v>249</v>
      </c>
      <c r="B247" s="3">
        <v>244098</v>
      </c>
      <c r="C247" s="3">
        <v>263205</v>
      </c>
      <c r="G247" s="5">
        <f ca="1"/>
        <v>38717</v>
      </c>
      <c r="H247" s="7">
        <f ca="1"/>
        <v>244098</v>
      </c>
      <c r="I247" s="7">
        <f ca="1"/>
        <v>263205</v>
      </c>
      <c r="J247" s="7">
        <f ca="1"/>
        <v>0</v>
      </c>
      <c r="K247" s="7">
        <f ca="1"/>
        <v>263205</v>
      </c>
      <c r="L247" s="7">
        <f ca="1"/>
        <v>6714900</v>
      </c>
      <c r="M247" s="8">
        <f ca="1"/>
        <v>3.6351695483179201E-2</v>
      </c>
      <c r="N247" s="7">
        <f ca="1"/>
        <v>723600</v>
      </c>
      <c r="O247" s="11">
        <f ca="1"/>
        <v>263205</v>
      </c>
      <c r="P247" s="10">
        <f ca="1"/>
        <v>0.10776035383996783</v>
      </c>
      <c r="Q247" s="10">
        <f ca="1"/>
        <v>3.9197158557834073E-2</v>
      </c>
      <c r="R247" s="10">
        <f ca="1"/>
        <v>7.5548854041013275E-2</v>
      </c>
      <c r="T247" s="10">
        <f ca="1"/>
        <v>0.22307312581507976</v>
      </c>
      <c r="U247" s="10" t="e">
        <f ca="1"/>
        <v>#N/A</v>
      </c>
      <c r="V247" s="10" t="e">
        <f ca="1"/>
        <v>#N/A</v>
      </c>
      <c r="W247" s="10" t="e">
        <f ca="1"/>
        <v>#N/A</v>
      </c>
    </row>
    <row r="248" spans="1:23" x14ac:dyDescent="0.25">
      <c r="A248" s="2" t="s">
        <v>250</v>
      </c>
      <c r="B248" s="3">
        <v>242904</v>
      </c>
      <c r="C248" s="3">
        <v>241695</v>
      </c>
      <c r="G248" s="5">
        <f ca="1"/>
        <v>38686</v>
      </c>
      <c r="H248" s="7">
        <f ca="1"/>
        <v>242904</v>
      </c>
      <c r="I248" s="7">
        <f ca="1"/>
        <v>241695</v>
      </c>
      <c r="J248" s="7">
        <f ca="1"/>
        <v>0</v>
      </c>
      <c r="K248" s="7">
        <f ca="1"/>
        <v>241695</v>
      </c>
      <c r="L248" s="7">
        <f ca="1"/>
        <v>6661300</v>
      </c>
      <c r="M248" s="8">
        <f ca="1"/>
        <v>3.6464954288202005E-2</v>
      </c>
      <c r="N248" s="7">
        <f ca="1"/>
        <v>715500</v>
      </c>
      <c r="O248" s="11">
        <f ca="1"/>
        <v>241695</v>
      </c>
      <c r="P248" s="10">
        <f ca="1"/>
        <v>0.1074114662303154</v>
      </c>
      <c r="Q248" s="10">
        <f ca="1"/>
        <v>3.6283458183837991E-2</v>
      </c>
      <c r="R248" s="10">
        <f ca="1"/>
        <v>7.2748412472040003E-2</v>
      </c>
      <c r="T248" s="10">
        <f ca="1"/>
        <v>0.1796827586476446</v>
      </c>
      <c r="U248" s="10" t="e">
        <f ca="1"/>
        <v>#N/A</v>
      </c>
      <c r="V248" s="10" t="e">
        <f ca="1"/>
        <v>#N/A</v>
      </c>
      <c r="W248" s="10" t="e">
        <f ca="1"/>
        <v>#N/A</v>
      </c>
    </row>
    <row r="249" spans="1:23" x14ac:dyDescent="0.25">
      <c r="A249" s="2" t="s">
        <v>251</v>
      </c>
      <c r="B249" s="3">
        <v>239868</v>
      </c>
      <c r="C249" s="3">
        <v>243174</v>
      </c>
      <c r="G249" s="5">
        <f ca="1"/>
        <v>38656</v>
      </c>
      <c r="H249" s="7">
        <f ca="1"/>
        <v>239868</v>
      </c>
      <c r="I249" s="7">
        <f ca="1"/>
        <v>243174</v>
      </c>
      <c r="J249" s="7">
        <f ca="1"/>
        <v>0</v>
      </c>
      <c r="K249" s="7">
        <f ca="1"/>
        <v>243174</v>
      </c>
      <c r="L249" s="7">
        <f ca="1"/>
        <v>6620300</v>
      </c>
      <c r="M249" s="8">
        <f ca="1"/>
        <v>3.6232194915638262E-2</v>
      </c>
      <c r="N249" s="7">
        <f ca="1"/>
        <v>713000</v>
      </c>
      <c r="O249" s="11">
        <f ca="1"/>
        <v>243174</v>
      </c>
      <c r="P249" s="10">
        <f ca="1"/>
        <v>0.10769904687098772</v>
      </c>
      <c r="Q249" s="10">
        <f ca="1"/>
        <v>3.6731568055828286E-2</v>
      </c>
      <c r="R249" s="10">
        <f ca="1"/>
        <v>7.2963762971466548E-2</v>
      </c>
      <c r="T249" s="10">
        <f ca="1"/>
        <v>0.20568181519375939</v>
      </c>
      <c r="U249" s="10" t="e">
        <f ca="1"/>
        <v>#N/A</v>
      </c>
      <c r="V249" s="10" t="e">
        <f ca="1"/>
        <v>#N/A</v>
      </c>
      <c r="W249" s="10" t="e">
        <f ca="1"/>
        <v>#N/A</v>
      </c>
    </row>
    <row r="250" spans="1:23" x14ac:dyDescent="0.25">
      <c r="A250" s="2" t="s">
        <v>252</v>
      </c>
      <c r="B250" s="3">
        <v>244669</v>
      </c>
      <c r="C250" s="3">
        <v>238929</v>
      </c>
      <c r="G250" s="5">
        <f ca="1"/>
        <v>38625</v>
      </c>
      <c r="H250" s="7">
        <f ca="1"/>
        <v>244669</v>
      </c>
      <c r="I250" s="7">
        <f ca="1"/>
        <v>238929</v>
      </c>
      <c r="J250" s="7">
        <f ca="1"/>
        <v>0</v>
      </c>
      <c r="K250" s="7">
        <f ca="1"/>
        <v>238929</v>
      </c>
      <c r="L250" s="7">
        <f ca="1"/>
        <v>6593400</v>
      </c>
      <c r="M250" s="8">
        <f ca="1"/>
        <v>3.7108168774835443E-2</v>
      </c>
      <c r="N250" s="7">
        <f ca="1"/>
        <v>705700</v>
      </c>
      <c r="O250" s="11">
        <f ca="1"/>
        <v>238929</v>
      </c>
      <c r="P250" s="10">
        <f ca="1"/>
        <v>0.10703127369794037</v>
      </c>
      <c r="Q250" s="10">
        <f ca="1"/>
        <v>3.6237601237601239E-2</v>
      </c>
      <c r="R250" s="10">
        <f ca="1"/>
        <v>7.3345770012436681E-2</v>
      </c>
      <c r="T250" s="10">
        <f ca="1"/>
        <v>0.22341932756179861</v>
      </c>
      <c r="U250" s="10" t="e">
        <f ca="1"/>
        <v>#N/A</v>
      </c>
      <c r="V250" s="10" t="e">
        <f ca="1"/>
        <v>#N/A</v>
      </c>
      <c r="W250" s="10" t="e">
        <f ca="1"/>
        <v>#N/A</v>
      </c>
    </row>
    <row r="251" spans="1:23" x14ac:dyDescent="0.25">
      <c r="A251" s="2" t="s">
        <v>253</v>
      </c>
      <c r="B251" s="3">
        <v>231400</v>
      </c>
      <c r="C251" s="3">
        <v>225410</v>
      </c>
      <c r="G251" s="5">
        <f ca="1"/>
        <v>38595</v>
      </c>
      <c r="H251" s="7">
        <f ca="1"/>
        <v>231400</v>
      </c>
      <c r="I251" s="7">
        <f ca="1"/>
        <v>225410</v>
      </c>
      <c r="J251" s="7">
        <f ca="1"/>
        <v>0</v>
      </c>
      <c r="K251" s="7">
        <f ca="1"/>
        <v>225410</v>
      </c>
      <c r="L251" s="7">
        <f ca="1"/>
        <v>6561100</v>
      </c>
      <c r="M251" s="8">
        <f ca="1"/>
        <v>3.5268476322567861E-2</v>
      </c>
      <c r="N251" s="7">
        <f ca="1"/>
        <v>702800</v>
      </c>
      <c r="O251" s="11">
        <f ca="1"/>
        <v>225410</v>
      </c>
      <c r="P251" s="10">
        <f ca="1"/>
        <v>0.1071161847860877</v>
      </c>
      <c r="Q251" s="10">
        <f ca="1"/>
        <v>3.4355519653716603E-2</v>
      </c>
      <c r="R251" s="10">
        <f ca="1"/>
        <v>6.9623995976284464E-2</v>
      </c>
      <c r="T251" s="10">
        <f ca="1"/>
        <v>0.25426732952263453</v>
      </c>
      <c r="U251" s="10" t="e">
        <f ca="1"/>
        <v>#N/A</v>
      </c>
      <c r="V251" s="10" t="e">
        <f ca="1"/>
        <v>#N/A</v>
      </c>
      <c r="W251" s="10" t="e">
        <f ca="1"/>
        <v>#N/A</v>
      </c>
    </row>
    <row r="252" spans="1:23" x14ac:dyDescent="0.25">
      <c r="A252" s="2" t="s">
        <v>254</v>
      </c>
      <c r="B252" s="3">
        <v>233585</v>
      </c>
      <c r="C252" s="3">
        <v>224242</v>
      </c>
      <c r="G252" s="5">
        <f ca="1"/>
        <v>38564</v>
      </c>
      <c r="H252" s="7">
        <f ca="1"/>
        <v>233585</v>
      </c>
      <c r="I252" s="7">
        <f ca="1"/>
        <v>224242</v>
      </c>
      <c r="J252" s="7">
        <f ca="1"/>
        <v>0</v>
      </c>
      <c r="K252" s="7">
        <f ca="1"/>
        <v>224242</v>
      </c>
      <c r="L252" s="7">
        <f ca="1"/>
        <v>6536800</v>
      </c>
      <c r="M252" s="8">
        <f ca="1"/>
        <v>3.5733845306572025E-2</v>
      </c>
      <c r="N252" s="7">
        <f ca="1"/>
        <v>698600</v>
      </c>
      <c r="O252" s="11">
        <f ca="1"/>
        <v>224242</v>
      </c>
      <c r="P252" s="10">
        <f ca="1"/>
        <v>0.10687186390894628</v>
      </c>
      <c r="Q252" s="10">
        <f ca="1"/>
        <v>3.4304552686329703E-2</v>
      </c>
      <c r="R252" s="10">
        <f ca="1"/>
        <v>7.0038397992901735E-2</v>
      </c>
      <c r="T252" s="10">
        <f ca="1"/>
        <v>0.20109702847651034</v>
      </c>
      <c r="U252" s="10" t="e">
        <f ca="1"/>
        <v>#N/A</v>
      </c>
      <c r="V252" s="10" t="e">
        <f ca="1"/>
        <v>#N/A</v>
      </c>
      <c r="W252" s="10" t="e">
        <f ca="1"/>
        <v>#N/A</v>
      </c>
    </row>
    <row r="253" spans="1:23" x14ac:dyDescent="0.25">
      <c r="A253" s="2" t="s">
        <v>255</v>
      </c>
      <c r="B253" s="3">
        <v>224153</v>
      </c>
      <c r="C253" s="3">
        <v>234352</v>
      </c>
      <c r="G253" s="5">
        <f ca="1"/>
        <v>38533</v>
      </c>
      <c r="H253" s="7">
        <f ca="1"/>
        <v>224153</v>
      </c>
      <c r="I253" s="7">
        <f ca="1"/>
        <v>234352</v>
      </c>
      <c r="J253" s="7">
        <f ca="1"/>
        <v>0</v>
      </c>
      <c r="K253" s="7">
        <f ca="1"/>
        <v>234352</v>
      </c>
      <c r="L253" s="7">
        <f ca="1"/>
        <v>6517600</v>
      </c>
      <c r="M253" s="8">
        <f ca="1"/>
        <v>3.4391954093531359E-2</v>
      </c>
      <c r="N253" s="7">
        <f ca="1"/>
        <v>697600</v>
      </c>
      <c r="O253" s="11">
        <f ca="1"/>
        <v>234352</v>
      </c>
      <c r="P253" s="10">
        <f ca="1"/>
        <v>0.10703326377807781</v>
      </c>
      <c r="Q253" s="10">
        <f ca="1"/>
        <v>3.59567939118694E-2</v>
      </c>
      <c r="R253" s="10">
        <f ca="1"/>
        <v>7.0348748005400752E-2</v>
      </c>
      <c r="T253" s="10">
        <f ca="1"/>
        <v>0.19266705091257941</v>
      </c>
      <c r="U253" s="10" t="e">
        <f ca="1"/>
        <v>#N/A</v>
      </c>
      <c r="V253" s="10" t="e">
        <f ca="1"/>
        <v>#N/A</v>
      </c>
      <c r="W253" s="10" t="e">
        <f ca="1"/>
        <v>#N/A</v>
      </c>
    </row>
    <row r="254" spans="1:23" x14ac:dyDescent="0.25">
      <c r="A254" s="2" t="s">
        <v>256</v>
      </c>
      <c r="B254" s="3">
        <v>219404</v>
      </c>
      <c r="C254" s="3">
        <v>224933</v>
      </c>
      <c r="G254" s="5">
        <f ca="1"/>
        <v>38503</v>
      </c>
      <c r="H254" s="7">
        <f ca="1"/>
        <v>219404</v>
      </c>
      <c r="I254" s="7">
        <f ca="1"/>
        <v>224933</v>
      </c>
      <c r="J254" s="7">
        <f ca="1"/>
        <v>0</v>
      </c>
      <c r="K254" s="7">
        <f ca="1"/>
        <v>224933</v>
      </c>
      <c r="L254" s="7">
        <f ca="1"/>
        <v>6465500</v>
      </c>
      <c r="M254" s="8">
        <f ca="1"/>
        <v>3.3934575825535537E-2</v>
      </c>
      <c r="N254" s="7">
        <f ca="1"/>
        <v>701200</v>
      </c>
      <c r="O254" s="11">
        <f ca="1"/>
        <v>224933</v>
      </c>
      <c r="P254" s="10">
        <f ca="1"/>
        <v>0.10845255587348233</v>
      </c>
      <c r="Q254" s="10">
        <f ca="1"/>
        <v>3.478973010594695E-2</v>
      </c>
      <c r="R254" s="10">
        <f ca="1"/>
        <v>6.8724305931482488E-2</v>
      </c>
      <c r="T254" s="10">
        <f ca="1"/>
        <v>0.18071334140919859</v>
      </c>
      <c r="U254" s="10" t="e">
        <f ca="1"/>
        <v>#N/A</v>
      </c>
      <c r="V254" s="10" t="e">
        <f ca="1"/>
        <v>#N/A</v>
      </c>
      <c r="W254" s="10" t="e">
        <f ca="1"/>
        <v>#N/A</v>
      </c>
    </row>
    <row r="255" spans="1:23" x14ac:dyDescent="0.25">
      <c r="A255" s="2" t="s">
        <v>257</v>
      </c>
      <c r="B255" s="3">
        <v>217447</v>
      </c>
      <c r="C255" s="3">
        <v>223839</v>
      </c>
      <c r="G255" s="5">
        <f ca="1"/>
        <v>38472</v>
      </c>
      <c r="H255" s="7">
        <f ca="1"/>
        <v>217447</v>
      </c>
      <c r="I255" s="7">
        <f ca="1"/>
        <v>223839</v>
      </c>
      <c r="J255" s="7">
        <f ca="1"/>
        <v>0</v>
      </c>
      <c r="K255" s="7">
        <f ca="1"/>
        <v>223839</v>
      </c>
      <c r="L255" s="7">
        <f ca="1"/>
        <v>6514300</v>
      </c>
      <c r="M255" s="8">
        <f ca="1"/>
        <v>3.3379948728182611E-2</v>
      </c>
      <c r="N255" s="7">
        <f ca="1"/>
        <v>710500</v>
      </c>
      <c r="O255" s="11">
        <f ca="1"/>
        <v>223839</v>
      </c>
      <c r="P255" s="10">
        <f ca="1"/>
        <v>0.10906774327249283</v>
      </c>
      <c r="Q255" s="10">
        <f ca="1"/>
        <v>3.4361174646546824E-2</v>
      </c>
      <c r="R255" s="10">
        <f ca="1"/>
        <v>6.7741123374729428E-2</v>
      </c>
      <c r="T255" s="10">
        <f ca="1"/>
        <v>0.24323812126625755</v>
      </c>
      <c r="U255" s="10" t="e">
        <f ca="1"/>
        <v>#N/A</v>
      </c>
      <c r="V255" s="10" t="e">
        <f ca="1"/>
        <v>#N/A</v>
      </c>
      <c r="W255" s="10" t="e">
        <f ca="1"/>
        <v>#N/A</v>
      </c>
    </row>
    <row r="256" spans="1:23" x14ac:dyDescent="0.25">
      <c r="A256" s="2" t="s">
        <v>258</v>
      </c>
      <c r="B256" s="3">
        <v>226876</v>
      </c>
      <c r="C256" s="3">
        <v>234533</v>
      </c>
      <c r="G256" s="5">
        <f ca="1"/>
        <v>38442</v>
      </c>
      <c r="H256" s="7">
        <f ca="1"/>
        <v>226876</v>
      </c>
      <c r="I256" s="7">
        <f ca="1"/>
        <v>234533</v>
      </c>
      <c r="J256" s="7">
        <f ca="1"/>
        <v>0</v>
      </c>
      <c r="K256" s="7">
        <f ca="1"/>
        <v>234533</v>
      </c>
      <c r="L256" s="7">
        <f ca="1"/>
        <v>6471400</v>
      </c>
      <c r="M256" s="8">
        <f ca="1"/>
        <v>3.5058256327842506E-2</v>
      </c>
      <c r="N256" s="7">
        <f ca="1"/>
        <v>712200</v>
      </c>
      <c r="O256" s="11">
        <f ca="1"/>
        <v>234533</v>
      </c>
      <c r="P256" s="10">
        <f ca="1"/>
        <v>0.11005346601971752</v>
      </c>
      <c r="Q256" s="10">
        <f ca="1"/>
        <v>3.6241462434712733E-2</v>
      </c>
      <c r="R256" s="10">
        <f ca="1"/>
        <v>7.1299718762555239E-2</v>
      </c>
      <c r="T256" s="10">
        <f ca="1"/>
        <v>0.20134855444298294</v>
      </c>
      <c r="U256" s="10" t="e">
        <f ca="1"/>
        <v>#N/A</v>
      </c>
      <c r="V256" s="10" t="e">
        <f ca="1"/>
        <v>#N/A</v>
      </c>
      <c r="W256" s="10" t="e">
        <f ca="1"/>
        <v>#N/A</v>
      </c>
    </row>
    <row r="257" spans="1:23" x14ac:dyDescent="0.25">
      <c r="A257" s="2" t="s">
        <v>259</v>
      </c>
      <c r="B257" s="3">
        <v>223155</v>
      </c>
      <c r="C257" s="3">
        <v>224392</v>
      </c>
      <c r="G257" s="5">
        <f ca="1"/>
        <v>38411</v>
      </c>
      <c r="H257" s="7">
        <f ca="1"/>
        <v>223155</v>
      </c>
      <c r="I257" s="7">
        <f ca="1"/>
        <v>224392</v>
      </c>
      <c r="J257" s="7">
        <f ca="1"/>
        <v>0</v>
      </c>
      <c r="K257" s="7">
        <f ca="1"/>
        <v>224392</v>
      </c>
      <c r="L257" s="7">
        <f ca="1"/>
        <v>6411800</v>
      </c>
      <c r="M257" s="8">
        <f ca="1"/>
        <v>3.4803799245141771E-2</v>
      </c>
      <c r="N257" s="7">
        <f ca="1"/>
        <v>713600</v>
      </c>
      <c r="O257" s="11">
        <f ca="1"/>
        <v>224392</v>
      </c>
      <c r="P257" s="10">
        <f ca="1"/>
        <v>0.11129480021210893</v>
      </c>
      <c r="Q257" s="10">
        <f ca="1"/>
        <v>3.4996724788670885E-2</v>
      </c>
      <c r="R257" s="10">
        <f ca="1"/>
        <v>6.980052403381265E-2</v>
      </c>
      <c r="T257" s="10">
        <f ca="1"/>
        <v>0.16370059263332171</v>
      </c>
      <c r="U257" s="10" t="e">
        <f ca="1"/>
        <v>#N/A</v>
      </c>
      <c r="V257" s="10" t="e">
        <f ca="1"/>
        <v>#N/A</v>
      </c>
      <c r="W257" s="10" t="e">
        <f ca="1"/>
        <v>#N/A</v>
      </c>
    </row>
    <row r="258" spans="1:23" x14ac:dyDescent="0.25">
      <c r="A258" s="2" t="s">
        <v>260</v>
      </c>
      <c r="B258" s="3">
        <v>220122</v>
      </c>
      <c r="C258" s="3">
        <v>230624</v>
      </c>
      <c r="G258" s="5">
        <f ca="1"/>
        <v>38383</v>
      </c>
      <c r="H258" s="7">
        <f ca="1"/>
        <v>220122</v>
      </c>
      <c r="I258" s="7">
        <f ca="1"/>
        <v>230624</v>
      </c>
      <c r="J258" s="7">
        <f ca="1"/>
        <v>0</v>
      </c>
      <c r="K258" s="7">
        <f ca="1"/>
        <v>230624</v>
      </c>
      <c r="L258" s="7">
        <f ca="1"/>
        <v>6410500</v>
      </c>
      <c r="M258" s="8">
        <f ca="1"/>
        <v>3.4337727166367675E-2</v>
      </c>
      <c r="N258" s="7">
        <f ca="1"/>
        <v>715400</v>
      </c>
      <c r="O258" s="11">
        <f ca="1"/>
        <v>230624</v>
      </c>
      <c r="P258" s="10">
        <f ca="1"/>
        <v>0.11159815926994775</v>
      </c>
      <c r="Q258" s="10">
        <f ca="1"/>
        <v>3.5975976912877308E-2</v>
      </c>
      <c r="R258" s="10">
        <f ca="1"/>
        <v>7.0313704079244976E-2</v>
      </c>
      <c r="T258" s="10">
        <f ca="1"/>
        <v>0.16649023392047346</v>
      </c>
      <c r="U258" s="10" t="e">
        <f ca="1"/>
        <v>#N/A</v>
      </c>
      <c r="V258" s="10" t="e">
        <f ca="1"/>
        <v>#N/A</v>
      </c>
      <c r="W258" s="10" t="e">
        <f ca="1"/>
        <v>#N/A</v>
      </c>
    </row>
    <row r="259" spans="1:23" x14ac:dyDescent="0.25">
      <c r="A259" s="2" t="s">
        <v>261</v>
      </c>
      <c r="B259" s="3">
        <v>217573</v>
      </c>
      <c r="C259" s="3">
        <v>238192</v>
      </c>
      <c r="G259" s="5">
        <f ca="1"/>
        <v>38352</v>
      </c>
      <c r="H259" s="7">
        <f ca="1"/>
        <v>217573</v>
      </c>
      <c r="I259" s="7">
        <f ca="1"/>
        <v>238192</v>
      </c>
      <c r="J259" s="7">
        <f ca="1"/>
        <v>0</v>
      </c>
      <c r="K259" s="7">
        <f ca="1"/>
        <v>238192</v>
      </c>
      <c r="L259" s="7">
        <f ca="1"/>
        <v>6453700</v>
      </c>
      <c r="M259" s="8">
        <f ca="1"/>
        <v>3.3712908873979271E-2</v>
      </c>
      <c r="N259" s="7">
        <f ca="1"/>
        <v>715900</v>
      </c>
      <c r="O259" s="11">
        <f ca="1"/>
        <v>238192</v>
      </c>
      <c r="P259" s="10">
        <f ca="1"/>
        <v>0.11092861459317911</v>
      </c>
      <c r="Q259" s="10">
        <f ca="1"/>
        <v>3.690782032012644E-2</v>
      </c>
      <c r="R259" s="10">
        <f ca="1"/>
        <v>7.0620729194105711E-2</v>
      </c>
      <c r="T259" s="10">
        <f ca="1"/>
        <v>0.1022591649175022</v>
      </c>
      <c r="U259" s="10" t="e">
        <f ca="1"/>
        <v>#N/A</v>
      </c>
      <c r="V259" s="10" t="e">
        <f ca="1"/>
        <v>#N/A</v>
      </c>
      <c r="W259" s="10" t="e">
        <f ca="1"/>
        <v>#N/A</v>
      </c>
    </row>
    <row r="260" spans="1:23" x14ac:dyDescent="0.25">
      <c r="A260" s="2" t="s">
        <v>262</v>
      </c>
      <c r="B260" s="3">
        <v>211012</v>
      </c>
      <c r="C260" s="3">
        <v>223928</v>
      </c>
      <c r="G260" s="5">
        <f ca="1"/>
        <v>38321</v>
      </c>
      <c r="H260" s="7">
        <f ca="1"/>
        <v>211012</v>
      </c>
      <c r="I260" s="7">
        <f ca="1"/>
        <v>223928</v>
      </c>
      <c r="J260" s="7">
        <f ca="1"/>
        <v>0</v>
      </c>
      <c r="K260" s="7">
        <f ca="1"/>
        <v>223928</v>
      </c>
      <c r="L260" s="7">
        <f ca="1"/>
        <v>6411700</v>
      </c>
      <c r="M260" s="8">
        <f ca="1"/>
        <v>3.2910460564280923E-2</v>
      </c>
      <c r="N260" s="7">
        <f ca="1"/>
        <v>713900</v>
      </c>
      <c r="O260" s="11">
        <f ca="1"/>
        <v>223928</v>
      </c>
      <c r="P260" s="10">
        <f ca="1"/>
        <v>0.1113433254831012</v>
      </c>
      <c r="Q260" s="10">
        <f ca="1"/>
        <v>3.4924902911864251E-2</v>
      </c>
      <c r="R260" s="10">
        <f ca="1"/>
        <v>6.7835363476145175E-2</v>
      </c>
      <c r="T260" s="10">
        <f ca="1"/>
        <v>0.1107495237331626</v>
      </c>
      <c r="U260" s="10" t="e">
        <f ca="1"/>
        <v>#N/A</v>
      </c>
      <c r="V260" s="10" t="e">
        <f ca="1"/>
        <v>#N/A</v>
      </c>
      <c r="W260" s="10" t="e">
        <f ca="1"/>
        <v>#N/A</v>
      </c>
    </row>
    <row r="261" spans="1:23" x14ac:dyDescent="0.25">
      <c r="A261" s="2" t="s">
        <v>263</v>
      </c>
      <c r="B261" s="3">
        <v>197999</v>
      </c>
      <c r="C261" s="3">
        <v>218090</v>
      </c>
      <c r="G261" s="5">
        <f ca="1"/>
        <v>38291</v>
      </c>
      <c r="H261" s="7">
        <f ca="1"/>
        <v>197999</v>
      </c>
      <c r="I261" s="7">
        <f ca="1"/>
        <v>218090</v>
      </c>
      <c r="J261" s="7">
        <f ca="1"/>
        <v>0</v>
      </c>
      <c r="K261" s="7">
        <f ca="1"/>
        <v>218090</v>
      </c>
      <c r="L261" s="7">
        <f ca="1"/>
        <v>6362100</v>
      </c>
      <c r="M261" s="8">
        <f ca="1"/>
        <v>3.1121642225051475E-2</v>
      </c>
      <c r="N261" s="7">
        <f ca="1"/>
        <v>715800</v>
      </c>
      <c r="O261" s="11">
        <f ca="1"/>
        <v>218090</v>
      </c>
      <c r="P261" s="10">
        <f ca="1"/>
        <v>0.11251002027632385</v>
      </c>
      <c r="Q261" s="10">
        <f ca="1"/>
        <v>3.4279561779915438E-2</v>
      </c>
      <c r="R261" s="10">
        <f ca="1"/>
        <v>6.5401204004966906E-2</v>
      </c>
      <c r="T261" s="10">
        <f ca="1"/>
        <v>0.12958776263965399</v>
      </c>
      <c r="U261" s="10" t="e">
        <f ca="1"/>
        <v>#N/A</v>
      </c>
      <c r="V261" s="10" t="e">
        <f ca="1"/>
        <v>#N/A</v>
      </c>
      <c r="W261" s="10" t="e">
        <f ca="1"/>
        <v>#N/A</v>
      </c>
    </row>
    <row r="262" spans="1:23" x14ac:dyDescent="0.25">
      <c r="A262" s="2" t="s">
        <v>264</v>
      </c>
      <c r="B262" s="3">
        <v>193668</v>
      </c>
      <c r="C262" s="3">
        <v>220860</v>
      </c>
      <c r="G262" s="5">
        <f ca="1"/>
        <v>38260</v>
      </c>
      <c r="H262" s="7">
        <f ca="1"/>
        <v>193668</v>
      </c>
      <c r="I262" s="7">
        <f ca="1"/>
        <v>220860</v>
      </c>
      <c r="J262" s="7">
        <f ca="1"/>
        <v>0</v>
      </c>
      <c r="K262" s="7">
        <f ca="1"/>
        <v>220860</v>
      </c>
      <c r="L262" s="7">
        <f ca="1"/>
        <v>6340900</v>
      </c>
      <c r="M262" s="8">
        <f ca="1"/>
        <v>3.0542667444684507E-2</v>
      </c>
      <c r="N262" s="7">
        <f ca="1"/>
        <v>721900</v>
      </c>
      <c r="O262" s="11">
        <f ca="1"/>
        <v>220860</v>
      </c>
      <c r="P262" s="10">
        <f ca="1"/>
        <v>0.11384819189704931</v>
      </c>
      <c r="Q262" s="10">
        <f ca="1"/>
        <v>3.483101767887839E-2</v>
      </c>
      <c r="R262" s="10">
        <f ca="1"/>
        <v>6.5373685123562897E-2</v>
      </c>
      <c r="T262" s="10">
        <f ca="1"/>
        <v>0.139622100928535</v>
      </c>
      <c r="U262" s="10" t="e">
        <f ca="1"/>
        <v>#N/A</v>
      </c>
      <c r="V262" s="10" t="e">
        <f ca="1"/>
        <v>#N/A</v>
      </c>
      <c r="W262" s="10" t="e">
        <f ca="1"/>
        <v>#N/A</v>
      </c>
    </row>
    <row r="263" spans="1:23" x14ac:dyDescent="0.25">
      <c r="A263" s="2" t="s">
        <v>265</v>
      </c>
      <c r="B263" s="3">
        <v>187828</v>
      </c>
      <c r="C263" s="3">
        <v>217945</v>
      </c>
      <c r="G263" s="5">
        <f ca="1"/>
        <v>38230</v>
      </c>
      <c r="H263" s="7">
        <f ca="1"/>
        <v>187828</v>
      </c>
      <c r="I263" s="7">
        <f ca="1"/>
        <v>217945</v>
      </c>
      <c r="J263" s="7">
        <f ca="1"/>
        <v>0</v>
      </c>
      <c r="K263" s="7">
        <f ca="1"/>
        <v>217945</v>
      </c>
      <c r="L263" s="7">
        <f ca="1"/>
        <v>6308100</v>
      </c>
      <c r="M263" s="8">
        <f ca="1"/>
        <v>2.977568523010098E-2</v>
      </c>
      <c r="N263" s="7">
        <f ca="1"/>
        <v>730100</v>
      </c>
      <c r="O263" s="11">
        <f ca="1"/>
        <v>217945</v>
      </c>
      <c r="P263" s="10">
        <f ca="1"/>
        <v>0.11574008021432761</v>
      </c>
      <c r="Q263" s="10">
        <f ca="1"/>
        <v>3.4550022986319179E-2</v>
      </c>
      <c r="R263" s="10">
        <f ca="1"/>
        <v>6.4325708216420155E-2</v>
      </c>
      <c r="T263" s="10">
        <f ca="1"/>
        <v>0.15019377766850073</v>
      </c>
      <c r="U263" s="10" t="e">
        <f ca="1"/>
        <v>#N/A</v>
      </c>
      <c r="V263" s="10" t="e">
        <f ca="1"/>
        <v>#N/A</v>
      </c>
      <c r="W263" s="10" t="e">
        <f ca="1"/>
        <v>#N/A</v>
      </c>
    </row>
    <row r="264" spans="1:23" x14ac:dyDescent="0.25">
      <c r="A264" s="2" t="s">
        <v>266</v>
      </c>
      <c r="B264" s="3">
        <v>187844</v>
      </c>
      <c r="C264" s="3">
        <v>220196</v>
      </c>
      <c r="G264" s="5">
        <f ca="1"/>
        <v>38199</v>
      </c>
      <c r="H264" s="7">
        <f ca="1"/>
        <v>187844</v>
      </c>
      <c r="I264" s="7">
        <f ca="1"/>
        <v>220196</v>
      </c>
      <c r="J264" s="7">
        <f ca="1"/>
        <v>0</v>
      </c>
      <c r="K264" s="7">
        <f ca="1"/>
        <v>220196</v>
      </c>
      <c r="L264" s="7">
        <f ca="1"/>
        <v>6285800</v>
      </c>
      <c r="M264" s="8">
        <f ca="1"/>
        <v>2.9883865220019727E-2</v>
      </c>
      <c r="N264" s="7">
        <f ca="1"/>
        <v>731000</v>
      </c>
      <c r="O264" s="11">
        <f ca="1"/>
        <v>220196</v>
      </c>
      <c r="P264" s="10">
        <f ca="1"/>
        <v>0.11629386871997201</v>
      </c>
      <c r="Q264" s="10">
        <f ca="1"/>
        <v>3.5030704126761909E-2</v>
      </c>
      <c r="R264" s="10">
        <f ca="1"/>
        <v>6.4914569346781636E-2</v>
      </c>
      <c r="T264" s="10">
        <f ca="1"/>
        <v>0.18960354736524021</v>
      </c>
      <c r="U264" s="10" t="e">
        <f ca="1"/>
        <v>#N/A</v>
      </c>
      <c r="V264" s="10" t="e">
        <f ca="1"/>
        <v>#N/A</v>
      </c>
      <c r="W264" s="10" t="e">
        <f ca="1"/>
        <v>#N/A</v>
      </c>
    </row>
    <row r="265" spans="1:23" x14ac:dyDescent="0.25">
      <c r="A265" s="2" t="s">
        <v>267</v>
      </c>
      <c r="B265" s="3">
        <v>193993</v>
      </c>
      <c r="C265" s="3">
        <v>220781</v>
      </c>
      <c r="G265" s="5">
        <f ca="1"/>
        <v>38168</v>
      </c>
      <c r="H265" s="7">
        <f ca="1"/>
        <v>193993</v>
      </c>
      <c r="I265" s="7">
        <f ca="1"/>
        <v>220781</v>
      </c>
      <c r="J265" s="7">
        <f ca="1"/>
        <v>0</v>
      </c>
      <c r="K265" s="7">
        <f ca="1"/>
        <v>220781</v>
      </c>
      <c r="L265" s="7">
        <f ca="1"/>
        <v>6280200</v>
      </c>
      <c r="M265" s="8">
        <f ca="1"/>
        <v>3.0889621349638546E-2</v>
      </c>
      <c r="N265" s="7">
        <f ca="1"/>
        <v>738600</v>
      </c>
      <c r="O265" s="11">
        <f ca="1"/>
        <v>220781</v>
      </c>
      <c r="P265" s="10">
        <f ca="1"/>
        <v>0.117607719499379</v>
      </c>
      <c r="Q265" s="10">
        <f ca="1"/>
        <v>3.5155090602210122E-2</v>
      </c>
      <c r="R265" s="10">
        <f ca="1"/>
        <v>6.6044711951848661E-2</v>
      </c>
      <c r="T265" s="10">
        <f ca="1"/>
        <v>0.13501458040710057</v>
      </c>
      <c r="U265" s="10" t="e">
        <f ca="1"/>
        <v>#N/A</v>
      </c>
      <c r="V265" s="10" t="e">
        <f ca="1"/>
        <v>#N/A</v>
      </c>
      <c r="W265" s="10" t="e">
        <f ca="1"/>
        <v>#N/A</v>
      </c>
    </row>
    <row r="266" spans="1:23" x14ac:dyDescent="0.25">
      <c r="A266" s="2" t="s">
        <v>268</v>
      </c>
      <c r="B266" s="3">
        <v>193843</v>
      </c>
      <c r="C266" s="3">
        <v>219640</v>
      </c>
      <c r="G266" s="5">
        <f ca="1"/>
        <v>38138</v>
      </c>
      <c r="H266" s="7">
        <f ca="1"/>
        <v>193843</v>
      </c>
      <c r="I266" s="7">
        <f ca="1"/>
        <v>219640</v>
      </c>
      <c r="J266" s="7">
        <f ca="1"/>
        <v>0</v>
      </c>
      <c r="K266" s="7">
        <f ca="1"/>
        <v>219640</v>
      </c>
      <c r="L266" s="7">
        <f ca="1"/>
        <v>6257100</v>
      </c>
      <c r="M266" s="8">
        <f ca="1"/>
        <v>3.0979687075482251E-2</v>
      </c>
      <c r="N266" s="7">
        <f ca="1"/>
        <v>748200</v>
      </c>
      <c r="O266" s="11">
        <f ca="1"/>
        <v>219640</v>
      </c>
      <c r="P266" s="10">
        <f ca="1"/>
        <v>0.11957616148055808</v>
      </c>
      <c r="Q266" s="10">
        <f ca="1"/>
        <v>3.5102523533266212E-2</v>
      </c>
      <c r="R266" s="10">
        <f ca="1"/>
        <v>6.6082210608748471E-2</v>
      </c>
      <c r="T266" s="10">
        <f ca="1"/>
        <v>0.14275259021431119</v>
      </c>
      <c r="U266" s="10" t="e">
        <f ca="1"/>
        <v>#N/A</v>
      </c>
      <c r="V266" s="10" t="e">
        <f ca="1"/>
        <v>#N/A</v>
      </c>
      <c r="W266" s="10" t="e">
        <f ca="1"/>
        <v>#N/A</v>
      </c>
    </row>
    <row r="267" spans="1:23" x14ac:dyDescent="0.25">
      <c r="A267" s="2" t="s">
        <v>269</v>
      </c>
      <c r="B267" s="3">
        <v>198778</v>
      </c>
      <c r="C267" s="3">
        <v>217992</v>
      </c>
      <c r="G267" s="5">
        <f ca="1"/>
        <v>38107</v>
      </c>
      <c r="H267" s="7">
        <f ca="1"/>
        <v>198778</v>
      </c>
      <c r="I267" s="7">
        <f ca="1"/>
        <v>217992</v>
      </c>
      <c r="J267" s="7">
        <f ca="1"/>
        <v>0</v>
      </c>
      <c r="K267" s="7">
        <f ca="1"/>
        <v>217992</v>
      </c>
      <c r="L267" s="7">
        <f ca="1"/>
        <v>6243600</v>
      </c>
      <c r="M267" s="8">
        <f ca="1"/>
        <v>3.1837081171119226E-2</v>
      </c>
      <c r="N267" s="7">
        <f ca="1"/>
        <v>751900</v>
      </c>
      <c r="O267" s="11">
        <f ca="1"/>
        <v>217992</v>
      </c>
      <c r="P267" s="10">
        <f ca="1"/>
        <v>0.12042731757319496</v>
      </c>
      <c r="Q267" s="10">
        <f ca="1"/>
        <v>3.4914472419757835E-2</v>
      </c>
      <c r="R267" s="10">
        <f ca="1"/>
        <v>6.6751553590877061E-2</v>
      </c>
      <c r="T267" s="10">
        <f ca="1"/>
        <v>0.15603711695797973</v>
      </c>
      <c r="U267" s="10" t="e">
        <f ca="1"/>
        <v>#N/A</v>
      </c>
      <c r="V267" s="10" t="e">
        <f ca="1"/>
        <v>#N/A</v>
      </c>
      <c r="W267" s="10" t="e">
        <f ca="1"/>
        <v>#N/A</v>
      </c>
    </row>
    <row r="268" spans="1:23" x14ac:dyDescent="0.25">
      <c r="A268" s="2" t="s">
        <v>270</v>
      </c>
      <c r="B268" s="3">
        <v>191451</v>
      </c>
      <c r="C268" s="3">
        <v>203953</v>
      </c>
      <c r="G268" s="5">
        <f ca="1"/>
        <v>38077</v>
      </c>
      <c r="H268" s="7">
        <f ca="1"/>
        <v>191451</v>
      </c>
      <c r="I268" s="7">
        <f ca="1"/>
        <v>203953</v>
      </c>
      <c r="J268" s="7">
        <f ca="1"/>
        <v>0</v>
      </c>
      <c r="K268" s="7">
        <f ca="1"/>
        <v>203953</v>
      </c>
      <c r="L268" s="7">
        <f ca="1"/>
        <v>6176500</v>
      </c>
      <c r="M268" s="8">
        <f ca="1"/>
        <v>3.0996680968185867E-2</v>
      </c>
      <c r="N268" s="7">
        <f ca="1"/>
        <v>767100</v>
      </c>
      <c r="O268" s="11">
        <f ca="1"/>
        <v>203953</v>
      </c>
      <c r="P268" s="10">
        <f ca="1"/>
        <v>0.12419655144499311</v>
      </c>
      <c r="Q268" s="10">
        <f ca="1"/>
        <v>3.3020804662834941E-2</v>
      </c>
      <c r="R268" s="10">
        <f ca="1"/>
        <v>6.4017485631020804E-2</v>
      </c>
      <c r="T268" s="10">
        <f ca="1"/>
        <v>0.10839903957462416</v>
      </c>
      <c r="U268" s="10" t="e">
        <f ca="1"/>
        <v>#N/A</v>
      </c>
      <c r="V268" s="10" t="e">
        <f ca="1"/>
        <v>#N/A</v>
      </c>
      <c r="W268" s="10" t="e">
        <f ca="1"/>
        <v>#N/A</v>
      </c>
    </row>
    <row r="269" spans="1:23" x14ac:dyDescent="0.25">
      <c r="A269" s="2" t="s">
        <v>271</v>
      </c>
      <c r="B269" s="3">
        <v>190448</v>
      </c>
      <c r="C269" s="3">
        <v>200323</v>
      </c>
      <c r="G269" s="5">
        <f ca="1"/>
        <v>38046</v>
      </c>
      <c r="H269" s="7">
        <f ca="1"/>
        <v>190448</v>
      </c>
      <c r="I269" s="7">
        <f ca="1"/>
        <v>200323</v>
      </c>
      <c r="J269" s="7">
        <f ca="1"/>
        <v>0</v>
      </c>
      <c r="K269" s="7">
        <f ca="1"/>
        <v>200323</v>
      </c>
      <c r="L269" s="7">
        <f ca="1"/>
        <v>6096500</v>
      </c>
      <c r="M269" s="8">
        <f ca="1"/>
        <v>3.1238907569917165E-2</v>
      </c>
      <c r="N269" s="7">
        <f ca="1"/>
        <v>773100</v>
      </c>
      <c r="O269" s="11">
        <f ca="1"/>
        <v>200323</v>
      </c>
      <c r="P269" s="10">
        <f ca="1"/>
        <v>0.12681046502091364</v>
      </c>
      <c r="Q269" s="10">
        <f ca="1"/>
        <v>3.285868941195768E-2</v>
      </c>
      <c r="R269" s="10">
        <f ca="1"/>
        <v>6.4097596981874838E-2</v>
      </c>
      <c r="T269" s="10">
        <f ca="1"/>
        <v>9.1306133432728975E-2</v>
      </c>
      <c r="U269" s="10" t="e">
        <f ca="1"/>
        <v>#N/A</v>
      </c>
      <c r="V269" s="10" t="e">
        <f ca="1"/>
        <v>#N/A</v>
      </c>
      <c r="W269" s="10" t="e">
        <f ca="1"/>
        <v>#N/A</v>
      </c>
    </row>
    <row r="270" spans="1:23" x14ac:dyDescent="0.25">
      <c r="A270" s="2" t="s">
        <v>272</v>
      </c>
      <c r="B270" s="3">
        <v>189429</v>
      </c>
      <c r="C270" s="3">
        <v>198628</v>
      </c>
      <c r="G270" s="5">
        <f ca="1"/>
        <v>38017</v>
      </c>
      <c r="H270" s="7">
        <f ca="1"/>
        <v>189429</v>
      </c>
      <c r="I270" s="7">
        <f ca="1"/>
        <v>198628</v>
      </c>
      <c r="J270" s="7">
        <f ca="1"/>
        <v>0</v>
      </c>
      <c r="K270" s="7">
        <f ca="1"/>
        <v>198628</v>
      </c>
      <c r="L270" s="7">
        <f ca="1"/>
        <v>6065500</v>
      </c>
      <c r="M270" s="8">
        <f ca="1"/>
        <v>3.1230566317698459E-2</v>
      </c>
      <c r="N270" s="7">
        <f ca="1"/>
        <v>777400</v>
      </c>
      <c r="O270" s="11">
        <f ca="1"/>
        <v>198628</v>
      </c>
      <c r="P270" s="10">
        <f ca="1"/>
        <v>0.1281675047399225</v>
      </c>
      <c r="Q270" s="10">
        <f ca="1"/>
        <v>3.2747176654851211E-2</v>
      </c>
      <c r="R270" s="10">
        <f ca="1"/>
        <v>6.397774297254967E-2</v>
      </c>
      <c r="T270" s="10">
        <f ca="1"/>
        <v>6.7083363145929109E-2</v>
      </c>
      <c r="U270" s="10" t="e">
        <f ca="1"/>
        <v>#N/A</v>
      </c>
      <c r="V270" s="10" t="e">
        <f ca="1"/>
        <v>#N/A</v>
      </c>
      <c r="W270" s="10" t="e">
        <f ca="1"/>
        <v>#N/A</v>
      </c>
    </row>
    <row r="271" spans="1:23" x14ac:dyDescent="0.25">
      <c r="A271" s="2" t="s">
        <v>273</v>
      </c>
      <c r="B271" s="3">
        <v>181459</v>
      </c>
      <c r="C271" s="3">
        <v>199297</v>
      </c>
      <c r="G271" s="5">
        <f ca="1"/>
        <v>37986</v>
      </c>
      <c r="H271" s="7">
        <f ca="1"/>
        <v>181459</v>
      </c>
      <c r="I271" s="7">
        <f ca="1"/>
        <v>199297</v>
      </c>
      <c r="J271" s="7">
        <f ca="1"/>
        <v>0</v>
      </c>
      <c r="K271" s="7">
        <f ca="1"/>
        <v>199297</v>
      </c>
      <c r="L271" s="7">
        <f ca="1"/>
        <v>6105100</v>
      </c>
      <c r="M271" s="8">
        <f ca="1"/>
        <v>2.9722527067533703E-2</v>
      </c>
      <c r="N271" s="7">
        <f ca="1"/>
        <v>786700</v>
      </c>
      <c r="O271" s="11">
        <f ca="1"/>
        <v>199297</v>
      </c>
      <c r="P271" s="10">
        <f ca="1"/>
        <v>0.1288594781412262</v>
      </c>
      <c r="Q271" s="10">
        <f ca="1"/>
        <v>3.2644346529950366E-2</v>
      </c>
      <c r="R271" s="10">
        <f ca="1"/>
        <v>6.2366873597484065E-2</v>
      </c>
      <c r="T271" s="10">
        <f ca="1"/>
        <v>0.10512447840556183</v>
      </c>
      <c r="U271" s="10" t="e">
        <f ca="1"/>
        <v>#N/A</v>
      </c>
      <c r="V271" s="10" t="e">
        <f ca="1"/>
        <v>#N/A</v>
      </c>
      <c r="W271" s="10" t="e">
        <f ca="1"/>
        <v>#N/A</v>
      </c>
    </row>
    <row r="272" spans="1:23" x14ac:dyDescent="0.25">
      <c r="A272" s="2" t="s">
        <v>274</v>
      </c>
      <c r="B272" s="3">
        <v>182587</v>
      </c>
      <c r="C272" s="3">
        <v>184899</v>
      </c>
      <c r="G272" s="5">
        <f ca="1"/>
        <v>37955</v>
      </c>
      <c r="H272" s="7">
        <f ca="1"/>
        <v>182587</v>
      </c>
      <c r="I272" s="7">
        <f ca="1"/>
        <v>184899</v>
      </c>
      <c r="J272" s="7">
        <f ca="1"/>
        <v>0</v>
      </c>
      <c r="K272" s="7">
        <f ca="1"/>
        <v>184899</v>
      </c>
      <c r="L272" s="7">
        <f ca="1"/>
        <v>6083500</v>
      </c>
      <c r="M272" s="8">
        <f ca="1"/>
        <v>3.0013479082764857E-2</v>
      </c>
      <c r="N272" s="7">
        <f ca="1"/>
        <v>804100</v>
      </c>
      <c r="O272" s="11">
        <f ca="1"/>
        <v>184899</v>
      </c>
      <c r="P272" s="10">
        <f ca="1"/>
        <v>0.13217720062464042</v>
      </c>
      <c r="Q272" s="10">
        <f ca="1"/>
        <v>3.0393523465110546E-2</v>
      </c>
      <c r="R272" s="10">
        <f ca="1"/>
        <v>6.0407002547875399E-2</v>
      </c>
      <c r="T272" s="10">
        <f ca="1"/>
        <v>0.15321301489691308</v>
      </c>
      <c r="U272" s="10" t="e">
        <f ca="1"/>
        <v>#N/A</v>
      </c>
      <c r="V272" s="10" t="e">
        <f ca="1"/>
        <v>#N/A</v>
      </c>
      <c r="W272" s="10" t="e">
        <f ca="1"/>
        <v>#N/A</v>
      </c>
    </row>
    <row r="273" spans="1:23" x14ac:dyDescent="0.25">
      <c r="A273" s="2" t="s">
        <v>275</v>
      </c>
      <c r="B273" s="3">
        <v>175428</v>
      </c>
      <c r="C273" s="3">
        <v>191554</v>
      </c>
      <c r="G273" s="5">
        <f ca="1"/>
        <v>37925</v>
      </c>
      <c r="H273" s="7">
        <f ca="1"/>
        <v>175428</v>
      </c>
      <c r="I273" s="7">
        <f ca="1"/>
        <v>191554</v>
      </c>
      <c r="J273" s="7">
        <f ca="1"/>
        <v>0</v>
      </c>
      <c r="K273" s="7">
        <f ca="1"/>
        <v>191554</v>
      </c>
      <c r="L273" s="7">
        <f ca="1"/>
        <v>6054700</v>
      </c>
      <c r="M273" s="8">
        <f ca="1"/>
        <v>2.8973855021718665E-2</v>
      </c>
      <c r="N273" s="7">
        <f ca="1"/>
        <v>810000</v>
      </c>
      <c r="O273" s="11">
        <f ca="1"/>
        <v>191554</v>
      </c>
      <c r="P273" s="10">
        <f ca="1"/>
        <v>0.13378036896956083</v>
      </c>
      <c r="Q273" s="10">
        <f ca="1"/>
        <v>3.1637240490858344E-2</v>
      </c>
      <c r="R273" s="10">
        <f ca="1"/>
        <v>6.0611095512577012E-2</v>
      </c>
      <c r="T273" s="10">
        <f ca="1"/>
        <v>0.17461535494508684</v>
      </c>
      <c r="U273" s="10" t="e">
        <f ca="1"/>
        <v>#N/A</v>
      </c>
      <c r="V273" s="10" t="e">
        <f ca="1"/>
        <v>#N/A</v>
      </c>
      <c r="W273" s="10" t="e">
        <f ca="1"/>
        <v>#N/A</v>
      </c>
    </row>
    <row r="274" spans="1:23" x14ac:dyDescent="0.25">
      <c r="A274" s="2" t="s">
        <v>276</v>
      </c>
      <c r="B274" s="3">
        <v>171194</v>
      </c>
      <c r="C274" s="3">
        <v>189826</v>
      </c>
      <c r="G274" s="5">
        <f ca="1"/>
        <v>37894</v>
      </c>
      <c r="H274" s="7">
        <f ca="1"/>
        <v>171194</v>
      </c>
      <c r="I274" s="7">
        <f ca="1"/>
        <v>189826</v>
      </c>
      <c r="J274" s="7">
        <f ca="1"/>
        <v>0</v>
      </c>
      <c r="K274" s="7">
        <f ca="1"/>
        <v>189826</v>
      </c>
      <c r="L274" s="7">
        <f ca="1"/>
        <v>6070700</v>
      </c>
      <c r="M274" s="8">
        <f ca="1"/>
        <v>2.820004282866885E-2</v>
      </c>
      <c r="N274" s="7">
        <f ca="1"/>
        <v>827900</v>
      </c>
      <c r="O274" s="11">
        <f ca="1"/>
        <v>189826</v>
      </c>
      <c r="P274" s="10">
        <f ca="1"/>
        <v>0.13637636516381965</v>
      </c>
      <c r="Q274" s="10">
        <f ca="1"/>
        <v>3.1269211128864875E-2</v>
      </c>
      <c r="R274" s="10">
        <f ca="1"/>
        <v>5.9469253957533726E-2</v>
      </c>
      <c r="T274" s="10">
        <f ca="1"/>
        <v>0.19615047752257708</v>
      </c>
      <c r="U274" s="10" t="e">
        <f ca="1"/>
        <v>#N/A</v>
      </c>
      <c r="V274" s="10" t="e">
        <f ca="1"/>
        <v>#N/A</v>
      </c>
      <c r="W274" s="10" t="e">
        <f ca="1"/>
        <v>#N/A</v>
      </c>
    </row>
    <row r="275" spans="1:23" x14ac:dyDescent="0.25">
      <c r="A275" s="2" t="s">
        <v>277</v>
      </c>
      <c r="B275" s="3">
        <v>167200</v>
      </c>
      <c r="C275" s="3">
        <v>188112</v>
      </c>
      <c r="G275" s="5">
        <f ca="1"/>
        <v>37864</v>
      </c>
      <c r="H275" s="7">
        <f ca="1"/>
        <v>167200</v>
      </c>
      <c r="I275" s="7">
        <f ca="1"/>
        <v>188112</v>
      </c>
      <c r="J275" s="7">
        <f ca="1"/>
        <v>0</v>
      </c>
      <c r="K275" s="7">
        <f ca="1"/>
        <v>188112</v>
      </c>
      <c r="L275" s="7">
        <f ca="1"/>
        <v>6098200</v>
      </c>
      <c r="M275" s="8">
        <f ca="1"/>
        <v>2.7417926601292185E-2</v>
      </c>
      <c r="N275" s="7">
        <f ca="1"/>
        <v>852400</v>
      </c>
      <c r="O275" s="11">
        <f ca="1"/>
        <v>188112</v>
      </c>
      <c r="P275" s="10">
        <f ca="1"/>
        <v>0.13977895116591782</v>
      </c>
      <c r="Q275" s="10">
        <f ca="1"/>
        <v>3.084713522022892E-2</v>
      </c>
      <c r="R275" s="10">
        <f ca="1"/>
        <v>5.8265061821521108E-2</v>
      </c>
      <c r="T275" s="10">
        <f ca="1"/>
        <v>0.18203191283491793</v>
      </c>
      <c r="U275" s="10" t="e">
        <f ca="1"/>
        <v>#N/A</v>
      </c>
      <c r="V275" s="10" t="e">
        <f ca="1"/>
        <v>#N/A</v>
      </c>
      <c r="W275" s="10" t="e">
        <f ca="1"/>
        <v>#N/A</v>
      </c>
    </row>
    <row r="276" spans="1:23" x14ac:dyDescent="0.25">
      <c r="A276" s="2" t="s">
        <v>278</v>
      </c>
      <c r="B276" s="3">
        <v>174427</v>
      </c>
      <c r="C276" s="3">
        <v>199973</v>
      </c>
      <c r="G276" s="5">
        <f ca="1"/>
        <v>37833</v>
      </c>
      <c r="H276" s="7">
        <f ca="1"/>
        <v>174427</v>
      </c>
      <c r="I276" s="7">
        <f ca="1"/>
        <v>199973</v>
      </c>
      <c r="J276" s="7">
        <f ca="1"/>
        <v>0</v>
      </c>
      <c r="K276" s="7">
        <f ca="1"/>
        <v>199973</v>
      </c>
      <c r="L276" s="7">
        <f ca="1"/>
        <v>6041700</v>
      </c>
      <c r="M276" s="8">
        <f ca="1"/>
        <v>2.8870516576460267E-2</v>
      </c>
      <c r="N276" s="7">
        <f ca="1"/>
        <v>845300</v>
      </c>
      <c r="O276" s="11">
        <f ca="1"/>
        <v>199973</v>
      </c>
      <c r="P276" s="10">
        <f ca="1"/>
        <v>0.13991095221543606</v>
      </c>
      <c r="Q276" s="10">
        <f ca="1"/>
        <v>3.3098796696294092E-2</v>
      </c>
      <c r="R276" s="10">
        <f ca="1"/>
        <v>6.1969313272754359E-2</v>
      </c>
      <c r="T276" s="10">
        <f ca="1"/>
        <v>0.16816954129304573</v>
      </c>
      <c r="U276" s="10" t="e">
        <f ca="1"/>
        <v>#N/A</v>
      </c>
      <c r="V276" s="10" t="e">
        <f ca="1"/>
        <v>#N/A</v>
      </c>
      <c r="W276" s="10" t="e">
        <f ca="1"/>
        <v>#N/A</v>
      </c>
    </row>
    <row r="277" spans="1:23" x14ac:dyDescent="0.25">
      <c r="A277" s="2" t="s">
        <v>279</v>
      </c>
      <c r="B277" s="3">
        <v>168281</v>
      </c>
      <c r="C277" s="3">
        <v>190026</v>
      </c>
      <c r="G277" s="5">
        <f ca="1"/>
        <v>37802</v>
      </c>
      <c r="H277" s="7">
        <f ca="1"/>
        <v>168281</v>
      </c>
      <c r="I277" s="7">
        <f ca="1"/>
        <v>190026</v>
      </c>
      <c r="J277" s="7">
        <f ca="1"/>
        <v>0</v>
      </c>
      <c r="K277" s="7">
        <f ca="1"/>
        <v>190026</v>
      </c>
      <c r="L277" s="7">
        <f ca="1"/>
        <v>5998500</v>
      </c>
      <c r="M277" s="8">
        <f ca="1"/>
        <v>2.8053846795032093E-2</v>
      </c>
      <c r="N277" s="7">
        <f ca="1"/>
        <v>850800</v>
      </c>
      <c r="O277" s="11">
        <f ca="1"/>
        <v>190026</v>
      </c>
      <c r="P277" s="10">
        <f ca="1"/>
        <v>0.14183545886471619</v>
      </c>
      <c r="Q277" s="10">
        <f ca="1"/>
        <v>3.1678919729932482E-2</v>
      </c>
      <c r="R277" s="10">
        <f ca="1"/>
        <v>5.9732766524964578E-2</v>
      </c>
      <c r="T277" s="10">
        <f ca="1"/>
        <v>0.21148277662422776</v>
      </c>
      <c r="U277" s="10" t="e">
        <f ca="1"/>
        <v>#N/A</v>
      </c>
      <c r="V277" s="10" t="e">
        <f ca="1"/>
        <v>#N/A</v>
      </c>
      <c r="W277" s="10" t="e">
        <f ca="1"/>
        <v>#N/A</v>
      </c>
    </row>
    <row r="278" spans="1:23" x14ac:dyDescent="0.25">
      <c r="A278" s="2" t="s">
        <v>280</v>
      </c>
      <c r="B278" s="3">
        <v>153725</v>
      </c>
      <c r="C278" s="3">
        <v>178946</v>
      </c>
      <c r="G278" s="5">
        <f ca="1"/>
        <v>37772</v>
      </c>
      <c r="H278" s="7">
        <f ca="1"/>
        <v>153725</v>
      </c>
      <c r="I278" s="7">
        <f ca="1"/>
        <v>178946</v>
      </c>
      <c r="J278" s="7">
        <f ca="1"/>
        <v>0</v>
      </c>
      <c r="K278" s="7">
        <f ca="1"/>
        <v>178946</v>
      </c>
      <c r="L278" s="7">
        <f ca="1"/>
        <v>5944200</v>
      </c>
      <c r="M278" s="8">
        <f ca="1"/>
        <v>2.5861343830961274E-2</v>
      </c>
      <c r="N278" s="7">
        <f ca="1"/>
        <v>858100</v>
      </c>
      <c r="O278" s="11">
        <f ca="1"/>
        <v>178946</v>
      </c>
      <c r="P278" s="10">
        <f ca="1"/>
        <v>0.14435920729450558</v>
      </c>
      <c r="Q278" s="10">
        <f ca="1"/>
        <v>3.0104303354530466E-2</v>
      </c>
      <c r="R278" s="10">
        <f ca="1"/>
        <v>5.596564718549174E-2</v>
      </c>
      <c r="T278" s="10">
        <f ca="1"/>
        <v>0.24907890497134688</v>
      </c>
      <c r="U278" s="10" t="e">
        <f ca="1"/>
        <v>#N/A</v>
      </c>
      <c r="V278" s="10" t="e">
        <f ca="1"/>
        <v>#N/A</v>
      </c>
      <c r="W278" s="10" t="e">
        <f ca="1"/>
        <v>#N/A</v>
      </c>
    </row>
    <row r="279" spans="1:23" x14ac:dyDescent="0.25">
      <c r="A279" s="2" t="s">
        <v>281</v>
      </c>
      <c r="B279" s="3">
        <v>143237</v>
      </c>
      <c r="C279" s="3">
        <v>168756</v>
      </c>
      <c r="G279" s="5">
        <f ca="1"/>
        <v>37741</v>
      </c>
      <c r="H279" s="7">
        <f ca="1"/>
        <v>143237</v>
      </c>
      <c r="I279" s="7">
        <f ca="1"/>
        <v>168756</v>
      </c>
      <c r="J279" s="7">
        <f ca="1"/>
        <v>0</v>
      </c>
      <c r="K279" s="7">
        <f ca="1"/>
        <v>168756</v>
      </c>
      <c r="L279" s="7">
        <f ca="1"/>
        <v>5945200</v>
      </c>
      <c r="M279" s="8">
        <f ca="1"/>
        <v>2.4092881652425485E-2</v>
      </c>
      <c r="N279" s="7">
        <f ca="1"/>
        <v>866800</v>
      </c>
      <c r="O279" s="11">
        <f ca="1"/>
        <v>168756</v>
      </c>
      <c r="P279" s="10">
        <f ca="1"/>
        <v>0.14579829105833278</v>
      </c>
      <c r="Q279" s="10">
        <f ca="1"/>
        <v>2.8385251967974163E-2</v>
      </c>
      <c r="R279" s="10">
        <f ca="1"/>
        <v>5.2478133620399645E-2</v>
      </c>
      <c r="T279" s="10">
        <f ca="1"/>
        <v>0.28830218726621015</v>
      </c>
      <c r="U279" s="10" t="e">
        <f ca="1"/>
        <v>#N/A</v>
      </c>
      <c r="V279" s="10" t="e">
        <f ca="1"/>
        <v>#N/A</v>
      </c>
      <c r="W279" s="10" t="e">
        <f ca="1"/>
        <v>#N/A</v>
      </c>
    </row>
    <row r="280" spans="1:23" x14ac:dyDescent="0.25">
      <c r="A280" s="2" t="s">
        <v>282</v>
      </c>
      <c r="B280" s="3">
        <v>144267</v>
      </c>
      <c r="C280" s="3">
        <v>176955</v>
      </c>
      <c r="G280" s="5">
        <f ca="1"/>
        <v>37711</v>
      </c>
      <c r="H280" s="7">
        <f ca="1"/>
        <v>144267</v>
      </c>
      <c r="I280" s="7">
        <f ca="1"/>
        <v>176955</v>
      </c>
      <c r="J280" s="7">
        <f ca="1"/>
        <v>0</v>
      </c>
      <c r="K280" s="7">
        <f ca="1"/>
        <v>176955</v>
      </c>
      <c r="L280" s="7">
        <f ca="1"/>
        <v>5889200</v>
      </c>
      <c r="M280" s="8">
        <f ca="1"/>
        <v>2.4496875636758814E-2</v>
      </c>
      <c r="N280" s="7">
        <f ca="1"/>
        <v>886800</v>
      </c>
      <c r="O280" s="11">
        <f ca="1"/>
        <v>176955</v>
      </c>
      <c r="P280" s="10">
        <f ca="1"/>
        <v>0.15058072403722067</v>
      </c>
      <c r="Q280" s="10">
        <f ca="1"/>
        <v>3.0047374855668003E-2</v>
      </c>
      <c r="R280" s="10">
        <f ca="1"/>
        <v>5.4544250492426817E-2</v>
      </c>
      <c r="T280" s="10">
        <f ca="1"/>
        <v>0.42884771441262881</v>
      </c>
      <c r="U280" s="10" t="e">
        <f ca="1"/>
        <v>#N/A</v>
      </c>
      <c r="V280" s="10" t="e">
        <f ca="1"/>
        <v>#N/A</v>
      </c>
      <c r="W280" s="10" t="e">
        <f ca="1"/>
        <v>#N/A</v>
      </c>
    </row>
    <row r="281" spans="1:23" x14ac:dyDescent="0.25">
      <c r="A281" s="2" t="s">
        <v>283</v>
      </c>
      <c r="B281" s="3">
        <v>140516</v>
      </c>
      <c r="C281" s="3">
        <v>179925</v>
      </c>
      <c r="G281" s="5">
        <f ca="1"/>
        <v>37680</v>
      </c>
      <c r="H281" s="7">
        <f ca="1"/>
        <v>140516</v>
      </c>
      <c r="I281" s="7">
        <f ca="1"/>
        <v>179925</v>
      </c>
      <c r="J281" s="7">
        <f ca="1"/>
        <v>0</v>
      </c>
      <c r="K281" s="7">
        <f ca="1"/>
        <v>179925</v>
      </c>
      <c r="L281" s="7">
        <f ca="1"/>
        <v>5828500</v>
      </c>
      <c r="M281" s="8">
        <f ca="1"/>
        <v>2.4108432701381143E-2</v>
      </c>
      <c r="N281" s="7">
        <f ca="1"/>
        <v>892100</v>
      </c>
      <c r="O281" s="11">
        <f ca="1"/>
        <v>179925</v>
      </c>
      <c r="P281" s="10">
        <f ca="1"/>
        <v>0.15305824826284636</v>
      </c>
      <c r="Q281" s="10">
        <f ca="1"/>
        <v>3.0869863601269622E-2</v>
      </c>
      <c r="R281" s="10">
        <f ca="1"/>
        <v>5.4978296302650762E-2</v>
      </c>
      <c r="T281" s="10">
        <f ca="1"/>
        <v>0.395494159447636</v>
      </c>
      <c r="U281" s="10" t="e">
        <f ca="1"/>
        <v>#N/A</v>
      </c>
      <c r="V281" s="10" t="e">
        <f ca="1"/>
        <v>#N/A</v>
      </c>
      <c r="W281" s="10" t="e">
        <f ca="1"/>
        <v>#N/A</v>
      </c>
    </row>
    <row r="282" spans="1:23" x14ac:dyDescent="0.25">
      <c r="A282" s="2" t="s">
        <v>284</v>
      </c>
      <c r="B282" s="3">
        <v>141391</v>
      </c>
      <c r="C282" s="3">
        <v>179528</v>
      </c>
      <c r="G282" s="5">
        <f ca="1"/>
        <v>37652</v>
      </c>
      <c r="H282" s="7">
        <f ca="1"/>
        <v>141391</v>
      </c>
      <c r="I282" s="7">
        <f ca="1"/>
        <v>179528</v>
      </c>
      <c r="J282" s="7">
        <f ca="1"/>
        <v>0</v>
      </c>
      <c r="K282" s="7">
        <f ca="1"/>
        <v>179528</v>
      </c>
      <c r="L282" s="7">
        <f ca="1"/>
        <v>5801100</v>
      </c>
      <c r="M282" s="8">
        <f ca="1"/>
        <v>2.4373136129354777E-2</v>
      </c>
      <c r="N282" s="7">
        <f ca="1"/>
        <v>894300</v>
      </c>
      <c r="O282" s="11">
        <f ca="1"/>
        <v>179528</v>
      </c>
      <c r="P282" s="10">
        <f ca="1"/>
        <v>0.15416041785178672</v>
      </c>
      <c r="Q282" s="10">
        <f ca="1"/>
        <v>3.0947234145248314E-2</v>
      </c>
      <c r="R282" s="10">
        <f ca="1"/>
        <v>5.5320370274603091E-2</v>
      </c>
      <c r="T282" s="10">
        <f ca="1"/>
        <v>0.32078992059010925</v>
      </c>
      <c r="U282" s="10" t="e">
        <f ca="1"/>
        <v>#N/A</v>
      </c>
      <c r="V282" s="10" t="e">
        <f ca="1"/>
        <v>#N/A</v>
      </c>
      <c r="W282" s="10" t="e">
        <f ca="1"/>
        <v>#N/A</v>
      </c>
    </row>
    <row r="283" spans="1:23" x14ac:dyDescent="0.25">
      <c r="A283" s="2" t="s">
        <v>285</v>
      </c>
      <c r="B283" s="3">
        <v>139451</v>
      </c>
      <c r="C283" s="3">
        <v>184715</v>
      </c>
      <c r="G283" s="5">
        <f ca="1"/>
        <v>37621</v>
      </c>
      <c r="H283" s="7">
        <f ca="1"/>
        <v>139451</v>
      </c>
      <c r="I283" s="7">
        <f ca="1"/>
        <v>184715</v>
      </c>
      <c r="J283" s="7">
        <f ca="1"/>
        <v>0</v>
      </c>
      <c r="K283" s="7">
        <f ca="1"/>
        <v>184715</v>
      </c>
      <c r="L283" s="7">
        <f ca="1"/>
        <v>5811500</v>
      </c>
      <c r="M283" s="8">
        <f ca="1"/>
        <v>2.3995698184633915E-2</v>
      </c>
      <c r="N283" s="7">
        <f ca="1"/>
        <v>890200</v>
      </c>
      <c r="O283" s="11">
        <f ca="1"/>
        <v>184715</v>
      </c>
      <c r="P283" s="10">
        <f ca="1"/>
        <v>0.15317904155553644</v>
      </c>
      <c r="Q283" s="10">
        <f ca="1"/>
        <v>3.1784393013851844E-2</v>
      </c>
      <c r="R283" s="10">
        <f ca="1"/>
        <v>5.5780091198485759E-2</v>
      </c>
      <c r="T283" s="10">
        <f ca="1"/>
        <v>0.26682724509123434</v>
      </c>
      <c r="U283" s="10" t="e">
        <f ca="1"/>
        <v>#N/A</v>
      </c>
      <c r="V283" s="10" t="e">
        <f ca="1"/>
        <v>#N/A</v>
      </c>
      <c r="W283" s="10" t="e">
        <f ca="1"/>
        <v>#N/A</v>
      </c>
    </row>
    <row r="284" spans="1:23" x14ac:dyDescent="0.25">
      <c r="A284" s="2" t="s">
        <v>286</v>
      </c>
      <c r="B284" s="3">
        <v>139472</v>
      </c>
      <c r="C284" s="3">
        <v>176062</v>
      </c>
      <c r="G284" s="5">
        <f ca="1"/>
        <v>37590</v>
      </c>
      <c r="H284" s="7">
        <f ca="1"/>
        <v>139472</v>
      </c>
      <c r="I284" s="7">
        <f ca="1"/>
        <v>176062</v>
      </c>
      <c r="J284" s="7">
        <f ca="1"/>
        <v>0</v>
      </c>
      <c r="K284" s="7">
        <f ca="1"/>
        <v>176062</v>
      </c>
      <c r="L284" s="7">
        <f ca="1"/>
        <v>5764900</v>
      </c>
      <c r="M284" s="8">
        <f ca="1"/>
        <v>2.4193307776370795E-2</v>
      </c>
      <c r="N284" s="7">
        <f ca="1"/>
        <v>905100</v>
      </c>
      <c r="O284" s="11">
        <f ca="1"/>
        <v>176062</v>
      </c>
      <c r="P284" s="10">
        <f ca="1"/>
        <v>0.15700185605994901</v>
      </c>
      <c r="Q284" s="10">
        <f ca="1"/>
        <v>3.0540338947770126E-2</v>
      </c>
      <c r="R284" s="10">
        <f ca="1"/>
        <v>5.4733646724140925E-2</v>
      </c>
      <c r="T284" s="10">
        <f ca="1"/>
        <v>0.17935298470982852</v>
      </c>
      <c r="U284" s="10" t="e">
        <f ca="1"/>
        <v>#N/A</v>
      </c>
      <c r="V284" s="10" t="e">
        <f ca="1"/>
        <v>#N/A</v>
      </c>
      <c r="W284" s="10" t="e">
        <f ca="1"/>
        <v>#N/A</v>
      </c>
    </row>
    <row r="285" spans="1:23" x14ac:dyDescent="0.25">
      <c r="A285" s="2" t="s">
        <v>287</v>
      </c>
      <c r="B285" s="3">
        <v>138647</v>
      </c>
      <c r="C285" s="3">
        <v>181069</v>
      </c>
      <c r="G285" s="5">
        <f ca="1"/>
        <v>37560</v>
      </c>
      <c r="H285" s="7">
        <f ca="1"/>
        <v>138647</v>
      </c>
      <c r="I285" s="7">
        <f ca="1"/>
        <v>181069</v>
      </c>
      <c r="J285" s="7">
        <f ca="1"/>
        <v>0</v>
      </c>
      <c r="K285" s="7">
        <f ca="1"/>
        <v>181069</v>
      </c>
      <c r="L285" s="7">
        <f ca="1"/>
        <v>5691900</v>
      </c>
      <c r="M285" s="8">
        <f ca="1"/>
        <v>2.4358650011419736E-2</v>
      </c>
      <c r="N285" s="7">
        <f ca="1"/>
        <v>905500</v>
      </c>
      <c r="O285" s="11">
        <f ca="1"/>
        <v>181069</v>
      </c>
      <c r="P285" s="10">
        <f ca="1"/>
        <v>0.15908571830144591</v>
      </c>
      <c r="Q285" s="10">
        <f ca="1"/>
        <v>3.1811697324267821E-2</v>
      </c>
      <c r="R285" s="10">
        <f ca="1"/>
        <v>5.6170347335687557E-2</v>
      </c>
      <c r="T285" s="10">
        <f ca="1"/>
        <v>0.24381317575472705</v>
      </c>
      <c r="U285" s="10" t="e">
        <f ca="1"/>
        <v>#N/A</v>
      </c>
      <c r="V285" s="10" t="e">
        <f ca="1"/>
        <v>#N/A</v>
      </c>
      <c r="W285" s="10" t="e">
        <f ca="1"/>
        <v>#N/A</v>
      </c>
    </row>
    <row r="286" spans="1:23" x14ac:dyDescent="0.25">
      <c r="A286" s="2" t="s">
        <v>288</v>
      </c>
      <c r="B286" s="3">
        <v>136107</v>
      </c>
      <c r="C286" s="3">
        <v>180997</v>
      </c>
      <c r="G286" s="5">
        <f ca="1"/>
        <v>37529</v>
      </c>
      <c r="H286" s="7">
        <f ca="1"/>
        <v>136107</v>
      </c>
      <c r="I286" s="7">
        <f ca="1"/>
        <v>180997</v>
      </c>
      <c r="J286" s="7">
        <f ca="1"/>
        <v>0</v>
      </c>
      <c r="K286" s="7">
        <f ca="1"/>
        <v>180997</v>
      </c>
      <c r="L286" s="7">
        <f ca="1"/>
        <v>5652900</v>
      </c>
      <c r="M286" s="8">
        <f ca="1"/>
        <v>2.4077376213978666E-2</v>
      </c>
      <c r="N286" s="7">
        <f ca="1"/>
        <v>897500</v>
      </c>
      <c r="O286" s="11">
        <f ca="1"/>
        <v>180997</v>
      </c>
      <c r="P286" s="10">
        <f ca="1"/>
        <v>0.15876806594845125</v>
      </c>
      <c r="Q286" s="10">
        <f ca="1"/>
        <v>3.2018433016681704E-2</v>
      </c>
      <c r="R286" s="10">
        <f ca="1"/>
        <v>5.6095809230660369E-2</v>
      </c>
      <c r="T286" s="10">
        <f ca="1"/>
        <v>0.39932283979065319</v>
      </c>
      <c r="U286" s="10" t="e">
        <f ca="1"/>
        <v>#N/A</v>
      </c>
      <c r="V286" s="10" t="e">
        <f ca="1"/>
        <v>#N/A</v>
      </c>
      <c r="W286" s="10" t="e">
        <f ca="1"/>
        <v>#N/A</v>
      </c>
    </row>
    <row r="287" spans="1:23" x14ac:dyDescent="0.25">
      <c r="A287" s="2" t="s">
        <v>289</v>
      </c>
      <c r="B287" s="3">
        <v>139146</v>
      </c>
      <c r="C287" s="3">
        <v>174995</v>
      </c>
      <c r="G287" s="5">
        <f ca="1"/>
        <v>37499</v>
      </c>
      <c r="H287" s="7">
        <f ca="1"/>
        <v>139146</v>
      </c>
      <c r="I287" s="7">
        <f ca="1"/>
        <v>174995</v>
      </c>
      <c r="J287" s="7">
        <f ca="1"/>
        <v>0</v>
      </c>
      <c r="K287" s="7">
        <f ca="1"/>
        <v>174995</v>
      </c>
      <c r="L287" s="7">
        <f ca="1"/>
        <v>5628400</v>
      </c>
      <c r="M287" s="8">
        <f ca="1"/>
        <v>2.4722123516452279E-2</v>
      </c>
      <c r="N287" s="7">
        <f ca="1"/>
        <v>919100</v>
      </c>
      <c r="O287" s="11">
        <f ca="1"/>
        <v>174995</v>
      </c>
      <c r="P287" s="10">
        <f ca="1"/>
        <v>0.16329685168076186</v>
      </c>
      <c r="Q287" s="10">
        <f ca="1"/>
        <v>3.109142918058418E-2</v>
      </c>
      <c r="R287" s="10">
        <f ca="1"/>
        <v>5.5813552697036459E-2</v>
      </c>
      <c r="T287" s="10">
        <f ca="1"/>
        <v>0.22335634258387493</v>
      </c>
      <c r="U287" s="10" t="e">
        <f ca="1"/>
        <v>#N/A</v>
      </c>
      <c r="V287" s="10" t="e">
        <f ca="1"/>
        <v>#N/A</v>
      </c>
      <c r="W287" s="10" t="e">
        <f ca="1"/>
        <v>#N/A</v>
      </c>
    </row>
    <row r="288" spans="1:23" x14ac:dyDescent="0.25">
      <c r="A288" s="2" t="s">
        <v>290</v>
      </c>
      <c r="B288" s="3">
        <v>143905</v>
      </c>
      <c r="C288" s="3">
        <v>183326</v>
      </c>
      <c r="G288" s="5">
        <f ca="1"/>
        <v>37468</v>
      </c>
      <c r="H288" s="7">
        <f ca="1"/>
        <v>143905</v>
      </c>
      <c r="I288" s="7">
        <f ca="1"/>
        <v>183326</v>
      </c>
      <c r="J288" s="7">
        <f ca="1"/>
        <v>0</v>
      </c>
      <c r="K288" s="7">
        <f ca="1"/>
        <v>183326</v>
      </c>
      <c r="L288" s="7">
        <f ca="1"/>
        <v>5585500</v>
      </c>
      <c r="M288" s="8">
        <f ca="1"/>
        <v>2.5764031868230237E-2</v>
      </c>
      <c r="N288" s="7">
        <f ca="1"/>
        <v>927200</v>
      </c>
      <c r="O288" s="11">
        <f ca="1"/>
        <v>183326</v>
      </c>
      <c r="P288" s="10">
        <f ca="1"/>
        <v>0.16600125324500939</v>
      </c>
      <c r="Q288" s="10">
        <f ca="1"/>
        <v>3.2821770656163277E-2</v>
      </c>
      <c r="R288" s="10">
        <f ca="1"/>
        <v>5.8585802524393514E-2</v>
      </c>
      <c r="T288" s="10">
        <f ca="1"/>
        <v>0.21465090142716492</v>
      </c>
      <c r="U288" s="10" t="e">
        <f ca="1"/>
        <v>#N/A</v>
      </c>
      <c r="V288" s="10" t="e">
        <f ca="1"/>
        <v>#N/A</v>
      </c>
      <c r="W288" s="10" t="e">
        <f ca="1"/>
        <v>#N/A</v>
      </c>
    </row>
    <row r="289" spans="1:23" x14ac:dyDescent="0.25">
      <c r="A289" s="2" t="s">
        <v>291</v>
      </c>
      <c r="B289" s="3">
        <v>153972</v>
      </c>
      <c r="C289" s="3">
        <v>178744</v>
      </c>
      <c r="G289" s="5">
        <f ca="1"/>
        <v>37437</v>
      </c>
      <c r="H289" s="7">
        <f ca="1"/>
        <v>153972</v>
      </c>
      <c r="I289" s="7">
        <f ca="1"/>
        <v>178744</v>
      </c>
      <c r="J289" s="7">
        <f ca="1"/>
        <v>0</v>
      </c>
      <c r="K289" s="7">
        <f ca="1"/>
        <v>178744</v>
      </c>
      <c r="L289" s="7">
        <f ca="1"/>
        <v>5544600</v>
      </c>
      <c r="M289" s="8">
        <f ca="1"/>
        <v>2.7769721891570176E-2</v>
      </c>
      <c r="N289" s="7">
        <f ca="1"/>
        <v>907400</v>
      </c>
      <c r="O289" s="11">
        <f ca="1"/>
        <v>178744</v>
      </c>
      <c r="P289" s="10">
        <f ca="1"/>
        <v>0.16365472712188436</v>
      </c>
      <c r="Q289" s="10">
        <f ca="1"/>
        <v>3.2237492334884391E-2</v>
      </c>
      <c r="R289" s="10">
        <f ca="1"/>
        <v>6.0007214226454567E-2</v>
      </c>
      <c r="T289" s="10">
        <f ca="1"/>
        <v>0.13779268210791584</v>
      </c>
      <c r="U289" s="10" t="e">
        <f ca="1"/>
        <v>#N/A</v>
      </c>
      <c r="V289" s="10" t="e">
        <f ca="1"/>
        <v>#N/A</v>
      </c>
      <c r="W289" s="10" t="e">
        <f ca="1"/>
        <v>#N/A</v>
      </c>
    </row>
    <row r="290" spans="1:23" x14ac:dyDescent="0.25">
      <c r="A290" s="2" t="s">
        <v>292</v>
      </c>
      <c r="B290" s="3">
        <v>157802</v>
      </c>
      <c r="C290" s="3">
        <v>173395</v>
      </c>
      <c r="G290" s="5">
        <f ca="1"/>
        <v>37407</v>
      </c>
      <c r="H290" s="7">
        <f ca="1"/>
        <v>157802</v>
      </c>
      <c r="I290" s="7">
        <f ca="1"/>
        <v>173395</v>
      </c>
      <c r="J290" s="7">
        <f ca="1"/>
        <v>0</v>
      </c>
      <c r="K290" s="7">
        <f ca="1"/>
        <v>173395</v>
      </c>
      <c r="L290" s="7">
        <f ca="1"/>
        <v>5506600</v>
      </c>
      <c r="M290" s="8">
        <f ca="1"/>
        <v>2.8656884465913631E-2</v>
      </c>
      <c r="N290" s="7">
        <f ca="1"/>
        <v>911000</v>
      </c>
      <c r="O290" s="11">
        <f ca="1"/>
        <v>173395</v>
      </c>
      <c r="P290" s="10">
        <f ca="1"/>
        <v>0.16543783823048705</v>
      </c>
      <c r="Q290" s="10">
        <f ca="1"/>
        <v>3.1488577343551372E-2</v>
      </c>
      <c r="R290" s="10">
        <f ca="1"/>
        <v>6.0145461809465006E-2</v>
      </c>
      <c r="T290" s="10">
        <f ca="1"/>
        <v>7.2905078705572279E-2</v>
      </c>
      <c r="U290" s="10" t="e">
        <f ca="1"/>
        <v>#N/A</v>
      </c>
      <c r="V290" s="10" t="e">
        <f ca="1"/>
        <v>#N/A</v>
      </c>
      <c r="W290" s="10" t="e">
        <f ca="1"/>
        <v>#N/A</v>
      </c>
    </row>
    <row r="291" spans="1:23" x14ac:dyDescent="0.25">
      <c r="A291" s="2" t="s">
        <v>293</v>
      </c>
      <c r="B291" s="3">
        <v>159072</v>
      </c>
      <c r="C291" s="3">
        <v>175730</v>
      </c>
      <c r="G291" s="5">
        <f ca="1"/>
        <v>37376</v>
      </c>
      <c r="H291" s="7">
        <f ca="1"/>
        <v>159072</v>
      </c>
      <c r="I291" s="7">
        <f ca="1"/>
        <v>175730</v>
      </c>
      <c r="J291" s="7">
        <f ca="1"/>
        <v>0</v>
      </c>
      <c r="K291" s="7">
        <f ca="1"/>
        <v>175730</v>
      </c>
      <c r="L291" s="7">
        <f ca="1"/>
        <v>5540200</v>
      </c>
      <c r="M291" s="8">
        <f ca="1"/>
        <v>2.8712320854842786E-2</v>
      </c>
      <c r="N291" s="7">
        <f ca="1"/>
        <v>921900</v>
      </c>
      <c r="O291" s="11">
        <f ca="1"/>
        <v>175730</v>
      </c>
      <c r="P291" s="10">
        <f ca="1"/>
        <v>0.16640193494819683</v>
      </c>
      <c r="Q291" s="10">
        <f ca="1"/>
        <v>3.1719071513663766E-2</v>
      </c>
      <c r="R291" s="10">
        <f ca="1"/>
        <v>6.0431392368506552E-2</v>
      </c>
      <c r="T291" s="10">
        <f ca="1"/>
        <v>5.0337962639177114E-2</v>
      </c>
      <c r="U291" s="10" t="e">
        <f ca="1"/>
        <v>#N/A</v>
      </c>
      <c r="V291" s="10" t="e">
        <f ca="1"/>
        <v>#N/A</v>
      </c>
      <c r="W291" s="10" t="e">
        <f ca="1"/>
        <v>#N/A</v>
      </c>
    </row>
    <row r="292" spans="1:23" x14ac:dyDescent="0.25">
      <c r="A292" s="2" t="s">
        <v>294</v>
      </c>
      <c r="B292" s="3">
        <v>160089</v>
      </c>
      <c r="C292" s="3">
        <v>180578</v>
      </c>
      <c r="G292" s="5">
        <f ca="1"/>
        <v>37346</v>
      </c>
      <c r="H292" s="7">
        <f ca="1"/>
        <v>160089</v>
      </c>
      <c r="I292" s="7">
        <f ca="1"/>
        <v>180578</v>
      </c>
      <c r="J292" s="7">
        <f ca="1"/>
        <v>0</v>
      </c>
      <c r="K292" s="7">
        <f ca="1"/>
        <v>180578</v>
      </c>
      <c r="L292" s="7">
        <f ca="1"/>
        <v>5526100</v>
      </c>
      <c r="M292" s="8">
        <f ca="1"/>
        <v>2.8969616908850727E-2</v>
      </c>
      <c r="N292" s="7">
        <f ca="1"/>
        <v>952100</v>
      </c>
      <c r="O292" s="11">
        <f ca="1"/>
        <v>180578</v>
      </c>
      <c r="P292" s="10">
        <f ca="1"/>
        <v>0.17229148947720815</v>
      </c>
      <c r="Q292" s="10">
        <f ca="1"/>
        <v>3.2677295018186427E-2</v>
      </c>
      <c r="R292" s="10">
        <f ca="1"/>
        <v>6.1646911927037154E-2</v>
      </c>
      <c r="T292" s="10">
        <f ca="1"/>
        <v>-3.0913612852032646E-2</v>
      </c>
      <c r="U292" s="10" t="e">
        <f ca="1"/>
        <v>#N/A</v>
      </c>
      <c r="V292" s="10" t="e">
        <f ca="1"/>
        <v>#N/A</v>
      </c>
      <c r="W292" s="10" t="e">
        <f ca="1"/>
        <v>#N/A</v>
      </c>
    </row>
    <row r="293" spans="1:23" x14ac:dyDescent="0.25">
      <c r="A293" s="2" t="s">
        <v>295</v>
      </c>
      <c r="B293" s="3">
        <v>154931</v>
      </c>
      <c r="C293" s="3">
        <v>186919</v>
      </c>
      <c r="G293" s="5">
        <f ca="1"/>
        <v>37315</v>
      </c>
      <c r="H293" s="7">
        <f ca="1"/>
        <v>154931</v>
      </c>
      <c r="I293" s="7">
        <f ca="1"/>
        <v>186919</v>
      </c>
      <c r="J293" s="7">
        <f ca="1"/>
        <v>0</v>
      </c>
      <c r="K293" s="7">
        <f ca="1"/>
        <v>186919</v>
      </c>
      <c r="L293" s="7">
        <f ca="1"/>
        <v>5477200</v>
      </c>
      <c r="M293" s="8">
        <f ca="1"/>
        <v>2.8286533265171984E-2</v>
      </c>
      <c r="N293" s="7">
        <f ca="1"/>
        <v>965200</v>
      </c>
      <c r="O293" s="11">
        <f ca="1"/>
        <v>186919</v>
      </c>
      <c r="P293" s="10">
        <f ca="1"/>
        <v>0.17622142700649968</v>
      </c>
      <c r="Q293" s="10">
        <f ca="1"/>
        <v>3.4126743591616153E-2</v>
      </c>
      <c r="R293" s="10">
        <f ca="1"/>
        <v>6.2413276856788137E-2</v>
      </c>
      <c r="T293" s="10">
        <f ca="1"/>
        <v>-4.3849927401727551E-2</v>
      </c>
      <c r="U293" s="10" t="e">
        <f ca="1"/>
        <v>#N/A</v>
      </c>
      <c r="V293" s="10" t="e">
        <f ca="1"/>
        <v>#N/A</v>
      </c>
      <c r="W293" s="10" t="e">
        <f ca="1"/>
        <v>#N/A</v>
      </c>
    </row>
    <row r="294" spans="1:23" x14ac:dyDescent="0.25">
      <c r="A294" s="2" t="s">
        <v>296</v>
      </c>
      <c r="B294" s="3">
        <v>160906</v>
      </c>
      <c r="C294" s="3">
        <v>189841</v>
      </c>
      <c r="G294" s="5">
        <f ca="1"/>
        <v>37287</v>
      </c>
      <c r="H294" s="7">
        <f ca="1"/>
        <v>160906</v>
      </c>
      <c r="I294" s="7">
        <f ca="1"/>
        <v>189841</v>
      </c>
      <c r="J294" s="7">
        <f ca="1"/>
        <v>0</v>
      </c>
      <c r="K294" s="7">
        <f ca="1"/>
        <v>189841</v>
      </c>
      <c r="L294" s="7">
        <f ca="1"/>
        <v>5457800</v>
      </c>
      <c r="M294" s="8">
        <f ca="1"/>
        <v>2.9481842500641283E-2</v>
      </c>
      <c r="N294" s="7">
        <f ca="1"/>
        <v>965500</v>
      </c>
      <c r="O294" s="11">
        <f ca="1"/>
        <v>189841</v>
      </c>
      <c r="P294" s="10">
        <f ca="1"/>
        <v>0.17690278134046686</v>
      </c>
      <c r="Q294" s="10">
        <f ca="1"/>
        <v>3.4783429220565064E-2</v>
      </c>
      <c r="R294" s="10">
        <f ca="1"/>
        <v>6.4265271721206343E-2</v>
      </c>
      <c r="T294" s="10">
        <f ca="1"/>
        <v>-7.0332678878598953E-2</v>
      </c>
      <c r="U294" s="10" t="e">
        <f ca="1"/>
        <v>#N/A</v>
      </c>
      <c r="V294" s="10" t="e">
        <f ca="1"/>
        <v>#N/A</v>
      </c>
      <c r="W294" s="10" t="e">
        <f ca="1"/>
        <v>#N/A</v>
      </c>
    </row>
    <row r="295" spans="1:23" x14ac:dyDescent="0.25">
      <c r="A295" s="2" t="s">
        <v>297</v>
      </c>
      <c r="B295" s="3">
        <v>160473</v>
      </c>
      <c r="C295" s="3">
        <v>197424</v>
      </c>
      <c r="G295" s="5">
        <f ca="1"/>
        <v>37256</v>
      </c>
      <c r="H295" s="7">
        <f ca="1"/>
        <v>160473</v>
      </c>
      <c r="I295" s="7">
        <f ca="1"/>
        <v>197424</v>
      </c>
      <c r="J295" s="7">
        <f ca="1"/>
        <v>0</v>
      </c>
      <c r="K295" s="7">
        <f ca="1"/>
        <v>197424</v>
      </c>
      <c r="L295" s="7">
        <f ca="1"/>
        <v>5471600</v>
      </c>
      <c r="M295" s="8">
        <f ca="1"/>
        <v>2.9328350025586664E-2</v>
      </c>
      <c r="N295" s="7">
        <f ca="1"/>
        <v>968900</v>
      </c>
      <c r="O295" s="11">
        <f ca="1"/>
        <v>197424</v>
      </c>
      <c r="P295" s="10">
        <f ca="1"/>
        <v>0.17707800277798086</v>
      </c>
      <c r="Q295" s="10">
        <f ca="1"/>
        <v>3.6081584911177716E-2</v>
      </c>
      <c r="R295" s="10">
        <f ca="1"/>
        <v>6.5409934936764377E-2</v>
      </c>
      <c r="T295" s="10">
        <f ca="1"/>
        <v>-0.13249075950623002</v>
      </c>
      <c r="U295" s="10" t="e">
        <f ca="1"/>
        <v>#N/A</v>
      </c>
      <c r="V295" s="10" t="e">
        <f ca="1"/>
        <v>#N/A</v>
      </c>
      <c r="W295" s="10" t="e">
        <f ca="1"/>
        <v>#N/A</v>
      </c>
    </row>
    <row r="296" spans="1:23" x14ac:dyDescent="0.25">
      <c r="A296" s="2" t="s">
        <v>298</v>
      </c>
      <c r="B296" s="3">
        <v>159440</v>
      </c>
      <c r="C296" s="3">
        <v>188441</v>
      </c>
      <c r="G296" s="5">
        <f ca="1"/>
        <v>37225</v>
      </c>
      <c r="H296" s="7">
        <f ca="1"/>
        <v>159440</v>
      </c>
      <c r="I296" s="7">
        <f ca="1"/>
        <v>188441</v>
      </c>
      <c r="J296" s="7">
        <f ca="1"/>
        <v>0</v>
      </c>
      <c r="K296" s="7">
        <f ca="1"/>
        <v>188441</v>
      </c>
      <c r="L296" s="7">
        <f ca="1"/>
        <v>5391500</v>
      </c>
      <c r="M296" s="8">
        <f ca="1"/>
        <v>2.9572475192432533E-2</v>
      </c>
      <c r="N296" s="7">
        <f ca="1"/>
        <v>969900</v>
      </c>
      <c r="O296" s="11">
        <f ca="1"/>
        <v>188441</v>
      </c>
      <c r="P296" s="10">
        <f ca="1"/>
        <v>0.17989427803023278</v>
      </c>
      <c r="Q296" s="10">
        <f ca="1"/>
        <v>3.4951497727905033E-2</v>
      </c>
      <c r="R296" s="10">
        <f ca="1"/>
        <v>6.4523972920337569E-2</v>
      </c>
      <c r="T296" s="10">
        <f ca="1"/>
        <v>-0.11535385233118767</v>
      </c>
      <c r="U296" s="10" t="e">
        <f ca="1"/>
        <v>#N/A</v>
      </c>
      <c r="V296" s="10" t="e">
        <f ca="1"/>
        <v>#N/A</v>
      </c>
      <c r="W296" s="10" t="e">
        <f ca="1"/>
        <v>#N/A</v>
      </c>
    </row>
    <row r="297" spans="1:23" x14ac:dyDescent="0.25">
      <c r="A297" s="2" t="s">
        <v>299</v>
      </c>
      <c r="B297" s="3">
        <v>152367</v>
      </c>
      <c r="C297" s="3">
        <v>187012</v>
      </c>
      <c r="G297" s="5">
        <f ca="1"/>
        <v>37195</v>
      </c>
      <c r="H297" s="7">
        <f ca="1"/>
        <v>152367</v>
      </c>
      <c r="I297" s="7">
        <f ca="1"/>
        <v>187012</v>
      </c>
      <c r="J297" s="7">
        <f ca="1"/>
        <v>0</v>
      </c>
      <c r="K297" s="7">
        <f ca="1"/>
        <v>187012</v>
      </c>
      <c r="L297" s="7">
        <f ca="1"/>
        <v>5328400</v>
      </c>
      <c r="M297" s="8">
        <f ca="1"/>
        <v>2.8595263118384506E-2</v>
      </c>
      <c r="N297" s="7">
        <f ca="1"/>
        <v>964900</v>
      </c>
      <c r="O297" s="11">
        <f ca="1"/>
        <v>187012</v>
      </c>
      <c r="P297" s="10">
        <f ca="1"/>
        <v>0.18108625478567675</v>
      </c>
      <c r="Q297" s="10">
        <f ca="1"/>
        <v>3.5097214923804521E-2</v>
      </c>
      <c r="R297" s="10">
        <f ca="1"/>
        <v>6.3692478042189027E-2</v>
      </c>
      <c r="T297" s="10">
        <f ca="1"/>
        <v>-6.5551368980199087E-2</v>
      </c>
      <c r="U297" s="10" t="e">
        <f ca="1"/>
        <v>#N/A</v>
      </c>
      <c r="V297" s="10" t="e">
        <f ca="1"/>
        <v>#N/A</v>
      </c>
      <c r="W297" s="10" t="e">
        <f ca="1"/>
        <v>#N/A</v>
      </c>
    </row>
    <row r="298" spans="1:23" x14ac:dyDescent="0.25">
      <c r="A298" s="2" t="s">
        <v>300</v>
      </c>
      <c r="B298" s="3">
        <v>157931</v>
      </c>
      <c r="C298" s="3">
        <v>211281</v>
      </c>
      <c r="G298" s="5">
        <f ca="1"/>
        <v>37164</v>
      </c>
      <c r="H298" s="7">
        <f ca="1"/>
        <v>157931</v>
      </c>
      <c r="I298" s="7">
        <f ca="1"/>
        <v>211281</v>
      </c>
      <c r="J298" s="7">
        <f ca="1"/>
        <v>0</v>
      </c>
      <c r="K298" s="7">
        <f ca="1"/>
        <v>211281</v>
      </c>
      <c r="L298" s="7">
        <f ca="1"/>
        <v>5343300</v>
      </c>
      <c r="M298" s="8">
        <f ca="1"/>
        <v>2.9556828177343588E-2</v>
      </c>
      <c r="N298" s="7">
        <f ca="1"/>
        <v>961900</v>
      </c>
      <c r="O298" s="11">
        <f ca="1"/>
        <v>211281</v>
      </c>
      <c r="P298" s="10">
        <f ca="1"/>
        <v>0.18001983792787229</v>
      </c>
      <c r="Q298" s="10">
        <f ca="1"/>
        <v>3.9541294705519064E-2</v>
      </c>
      <c r="R298" s="10">
        <f ca="1"/>
        <v>6.9098122882862656E-2</v>
      </c>
      <c r="T298" s="10">
        <f ca="1"/>
        <v>-6.3826872966843307E-2</v>
      </c>
      <c r="U298" s="10" t="e">
        <f ca="1"/>
        <v>#N/A</v>
      </c>
      <c r="V298" s="10" t="e">
        <f ca="1"/>
        <v>#N/A</v>
      </c>
      <c r="W298" s="10" t="e">
        <f ca="1"/>
        <v>#N/A</v>
      </c>
    </row>
    <row r="299" spans="1:23" x14ac:dyDescent="0.25">
      <c r="A299" s="2" t="s">
        <v>301</v>
      </c>
      <c r="B299" s="3">
        <v>169316</v>
      </c>
      <c r="C299" s="3">
        <v>191219</v>
      </c>
      <c r="G299" s="5">
        <f ca="1"/>
        <v>37134</v>
      </c>
      <c r="H299" s="7">
        <f ca="1"/>
        <v>169316</v>
      </c>
      <c r="I299" s="7">
        <f ca="1"/>
        <v>191219</v>
      </c>
      <c r="J299" s="7">
        <f ca="1"/>
        <v>0</v>
      </c>
      <c r="K299" s="7">
        <f ca="1"/>
        <v>191219</v>
      </c>
      <c r="L299" s="7">
        <f ca="1"/>
        <v>5231600</v>
      </c>
      <c r="M299" s="8">
        <f ca="1"/>
        <v>3.2364095114305373E-2</v>
      </c>
      <c r="N299" s="7">
        <f ca="1"/>
        <v>950400</v>
      </c>
      <c r="O299" s="11">
        <f ca="1"/>
        <v>191219</v>
      </c>
      <c r="P299" s="10">
        <f ca="1"/>
        <v>0.18166526492851134</v>
      </c>
      <c r="Q299" s="10">
        <f ca="1"/>
        <v>3.6550768407370593E-2</v>
      </c>
      <c r="R299" s="10">
        <f ca="1"/>
        <v>6.8914863521675973E-2</v>
      </c>
      <c r="T299" s="10">
        <f ca="1"/>
        <v>-0.1499584817914863</v>
      </c>
      <c r="U299" s="10" t="e">
        <f ca="1"/>
        <v>#N/A</v>
      </c>
      <c r="V299" s="10" t="e">
        <f ca="1"/>
        <v>#N/A</v>
      </c>
      <c r="W299" s="10" t="e">
        <f ca="1"/>
        <v>#N/A</v>
      </c>
    </row>
    <row r="300" spans="1:23" x14ac:dyDescent="0.25">
      <c r="A300" s="2" t="s">
        <v>302</v>
      </c>
      <c r="B300" s="3">
        <v>173680</v>
      </c>
      <c r="C300" s="3">
        <v>185100</v>
      </c>
      <c r="G300" s="5">
        <f ca="1"/>
        <v>37103</v>
      </c>
      <c r="H300" s="7">
        <f ca="1"/>
        <v>173680</v>
      </c>
      <c r="I300" s="7">
        <f ca="1"/>
        <v>185100</v>
      </c>
      <c r="J300" s="7">
        <f ca="1"/>
        <v>0</v>
      </c>
      <c r="K300" s="7">
        <f ca="1"/>
        <v>185100</v>
      </c>
      <c r="L300" s="7">
        <f ca="1"/>
        <v>5195700</v>
      </c>
      <c r="M300" s="8">
        <f ca="1"/>
        <v>3.3427642088650233E-2</v>
      </c>
      <c r="N300" s="7">
        <f ca="1"/>
        <v>949200</v>
      </c>
      <c r="O300" s="11">
        <f ca="1"/>
        <v>185100</v>
      </c>
      <c r="P300" s="10">
        <f ca="1"/>
        <v>0.18268953172815983</v>
      </c>
      <c r="Q300" s="10">
        <f ca="1"/>
        <v>3.5625613488076677E-2</v>
      </c>
      <c r="R300" s="10">
        <f ca="1"/>
        <v>6.905325557672691E-2</v>
      </c>
      <c r="T300" s="10">
        <f ca="1"/>
        <v>-0.24298440618576422</v>
      </c>
      <c r="U300" s="10" t="e">
        <f ca="1"/>
        <v>#N/A</v>
      </c>
      <c r="V300" s="10" t="e">
        <f ca="1"/>
        <v>#N/A</v>
      </c>
      <c r="W300" s="10" t="e">
        <f ca="1"/>
        <v>#N/A</v>
      </c>
    </row>
    <row r="301" spans="1:23" x14ac:dyDescent="0.25">
      <c r="A301" s="2" t="s">
        <v>303</v>
      </c>
      <c r="B301" s="3">
        <v>179585</v>
      </c>
      <c r="C301" s="3">
        <v>187602</v>
      </c>
      <c r="G301" s="5">
        <f ca="1"/>
        <v>37072</v>
      </c>
      <c r="H301" s="7">
        <f ca="1"/>
        <v>179585</v>
      </c>
      <c r="I301" s="7">
        <f ca="1"/>
        <v>187602</v>
      </c>
      <c r="J301" s="7">
        <f ca="1"/>
        <v>0</v>
      </c>
      <c r="K301" s="7">
        <f ca="1"/>
        <v>187602</v>
      </c>
      <c r="L301" s="7">
        <f ca="1"/>
        <v>5167100</v>
      </c>
      <c r="M301" s="8">
        <f ca="1"/>
        <v>3.4755472121693019E-2</v>
      </c>
      <c r="N301" s="7">
        <f ca="1"/>
        <v>947300</v>
      </c>
      <c r="O301" s="11">
        <f ca="1"/>
        <v>187602</v>
      </c>
      <c r="P301" s="10">
        <f ca="1"/>
        <v>0.18333301077974104</v>
      </c>
      <c r="Q301" s="10">
        <f ca="1"/>
        <v>3.6307019411275183E-2</v>
      </c>
      <c r="R301" s="10">
        <f ca="1"/>
        <v>7.1062491532968203E-2</v>
      </c>
      <c r="T301" s="10">
        <f ca="1"/>
        <v>-0.30725755950501377</v>
      </c>
      <c r="U301" s="10" t="e">
        <f ca="1"/>
        <v>#N/A</v>
      </c>
      <c r="V301" s="10" t="e">
        <f ca="1"/>
        <v>#N/A</v>
      </c>
      <c r="W301" s="10" t="e">
        <f ca="1"/>
        <v>#N/A</v>
      </c>
    </row>
    <row r="302" spans="1:23" x14ac:dyDescent="0.25">
      <c r="A302" s="2" t="s">
        <v>304</v>
      </c>
      <c r="B302" s="3">
        <v>183041</v>
      </c>
      <c r="C302" s="3">
        <v>183493</v>
      </c>
      <c r="G302" s="5">
        <f ca="1"/>
        <v>37042</v>
      </c>
      <c r="H302" s="7">
        <f ca="1"/>
        <v>183041</v>
      </c>
      <c r="I302" s="7">
        <f ca="1"/>
        <v>183493</v>
      </c>
      <c r="J302" s="7">
        <f ca="1"/>
        <v>0</v>
      </c>
      <c r="K302" s="7">
        <f ca="1"/>
        <v>183493</v>
      </c>
      <c r="L302" s="7">
        <f ca="1"/>
        <v>5115400</v>
      </c>
      <c r="M302" s="8">
        <f ca="1"/>
        <v>3.5782343511748839E-2</v>
      </c>
      <c r="N302" s="7">
        <f ca="1"/>
        <v>938900</v>
      </c>
      <c r="O302" s="11">
        <f ca="1"/>
        <v>183493</v>
      </c>
      <c r="P302" s="10">
        <f ca="1"/>
        <v>0.18354380889080033</v>
      </c>
      <c r="Q302" s="10">
        <f ca="1"/>
        <v>3.5870704148258201E-2</v>
      </c>
      <c r="R302" s="10">
        <f ca="1"/>
        <v>7.1653047660007047E-2</v>
      </c>
      <c r="T302" s="10">
        <f ca="1"/>
        <v>-0.33019854725221154</v>
      </c>
      <c r="U302" s="10" t="e">
        <f ca="1"/>
        <v>#N/A</v>
      </c>
      <c r="V302" s="10" t="e">
        <f ca="1"/>
        <v>#N/A</v>
      </c>
      <c r="W302" s="10" t="e">
        <f ca="1"/>
        <v>#N/A</v>
      </c>
    </row>
    <row r="303" spans="1:23" x14ac:dyDescent="0.25">
      <c r="A303" s="2" t="s">
        <v>305</v>
      </c>
      <c r="B303" s="3">
        <v>176096</v>
      </c>
      <c r="C303" s="3">
        <v>191145</v>
      </c>
      <c r="G303" s="5">
        <f ca="1"/>
        <v>37011</v>
      </c>
      <c r="H303" s="7">
        <f ca="1"/>
        <v>176096</v>
      </c>
      <c r="I303" s="7">
        <f ca="1"/>
        <v>191145</v>
      </c>
      <c r="J303" s="7">
        <f ca="1"/>
        <v>0</v>
      </c>
      <c r="K303" s="7">
        <f ca="1"/>
        <v>191145</v>
      </c>
      <c r="L303" s="7">
        <f ca="1"/>
        <v>5177400</v>
      </c>
      <c r="M303" s="8">
        <f ca="1"/>
        <v>3.4012438675783213E-2</v>
      </c>
      <c r="N303" s="7">
        <f ca="1"/>
        <v>963200</v>
      </c>
      <c r="O303" s="11">
        <f ca="1"/>
        <v>191145</v>
      </c>
      <c r="P303" s="10">
        <f ca="1"/>
        <v>0.18603932475760035</v>
      </c>
      <c r="Q303" s="10">
        <f ca="1"/>
        <v>3.6919109977981229E-2</v>
      </c>
      <c r="R303" s="10">
        <f ca="1"/>
        <v>7.0931548653764442E-2</v>
      </c>
      <c r="T303" s="10">
        <f ca="1"/>
        <v>-0.31514411108861895</v>
      </c>
      <c r="U303" s="10" t="e">
        <f ca="1"/>
        <v>#N/A</v>
      </c>
      <c r="V303" s="10" t="e">
        <f ca="1"/>
        <v>#N/A</v>
      </c>
      <c r="W303" s="10" t="e">
        <f ca="1"/>
        <v>#N/A</v>
      </c>
    </row>
    <row r="304" spans="1:23" x14ac:dyDescent="0.25">
      <c r="A304" s="2" t="s">
        <v>306</v>
      </c>
      <c r="B304" s="3">
        <v>174797</v>
      </c>
      <c r="C304" s="3">
        <v>198581</v>
      </c>
      <c r="G304" s="5">
        <f ca="1"/>
        <v>36981</v>
      </c>
      <c r="H304" s="7">
        <f ca="1"/>
        <v>174797</v>
      </c>
      <c r="I304" s="7">
        <f ca="1"/>
        <v>198581</v>
      </c>
      <c r="J304" s="7">
        <f ca="1"/>
        <v>0</v>
      </c>
      <c r="K304" s="7">
        <f ca="1"/>
        <v>198581</v>
      </c>
      <c r="L304" s="7">
        <f ca="1"/>
        <v>5101200</v>
      </c>
      <c r="M304" s="8">
        <f ca="1"/>
        <v>3.4265859013565436E-2</v>
      </c>
      <c r="N304" s="7">
        <f ca="1"/>
        <v>977500</v>
      </c>
      <c r="O304" s="11">
        <f ca="1"/>
        <v>198581</v>
      </c>
      <c r="P304" s="10">
        <f ca="1"/>
        <v>0.19162157923625814</v>
      </c>
      <c r="Q304" s="10">
        <f ca="1"/>
        <v>3.8928291382419822E-2</v>
      </c>
      <c r="R304" s="10">
        <f ca="1"/>
        <v>7.3194150395985258E-2</v>
      </c>
      <c r="T304" s="10">
        <f ca="1"/>
        <v>-0.24175015672632494</v>
      </c>
      <c r="U304" s="10" t="e">
        <f ca="1"/>
        <v>#N/A</v>
      </c>
      <c r="V304" s="10" t="e">
        <f ca="1"/>
        <v>#N/A</v>
      </c>
      <c r="W304" s="10" t="e">
        <f ca="1"/>
        <v>#N/A</v>
      </c>
    </row>
    <row r="305" spans="1:23" x14ac:dyDescent="0.25">
      <c r="A305" s="2" t="s">
        <v>307</v>
      </c>
      <c r="B305" s="3">
        <v>198887</v>
      </c>
      <c r="C305" s="3">
        <v>193266</v>
      </c>
      <c r="G305" s="5">
        <f ca="1"/>
        <v>36950</v>
      </c>
      <c r="H305" s="7">
        <f ca="1"/>
        <v>198887</v>
      </c>
      <c r="I305" s="7">
        <f ca="1"/>
        <v>193266</v>
      </c>
      <c r="J305" s="7">
        <f ca="1"/>
        <v>0</v>
      </c>
      <c r="K305" s="7">
        <f ca="1"/>
        <v>193266</v>
      </c>
      <c r="L305" s="7">
        <f ca="1"/>
        <v>5010900</v>
      </c>
      <c r="M305" s="8">
        <f ca="1"/>
        <v>3.96908738949091E-2</v>
      </c>
      <c r="N305" s="7">
        <f ca="1"/>
        <v>952100</v>
      </c>
      <c r="O305" s="11">
        <f ca="1"/>
        <v>193266</v>
      </c>
      <c r="P305" s="10">
        <f ca="1"/>
        <v>0.19000578738350396</v>
      </c>
      <c r="Q305" s="10">
        <f ca="1"/>
        <v>3.8569119319882654E-2</v>
      </c>
      <c r="R305" s="10">
        <f ca="1"/>
        <v>7.8259993214791754E-2</v>
      </c>
      <c r="T305" s="10">
        <f ca="1"/>
        <v>-0.24487471828942053</v>
      </c>
      <c r="U305" s="10" t="e">
        <f ca="1"/>
        <v>#N/A</v>
      </c>
      <c r="V305" s="10" t="e">
        <f ca="1"/>
        <v>#N/A</v>
      </c>
      <c r="W305" s="10" t="e">
        <f ca="1"/>
        <v>#N/A</v>
      </c>
    </row>
    <row r="306" spans="1:23" x14ac:dyDescent="0.25">
      <c r="A306" s="2" t="s">
        <v>308</v>
      </c>
      <c r="B306" s="3">
        <v>208687</v>
      </c>
      <c r="C306" s="3">
        <v>187225</v>
      </c>
      <c r="G306" s="5">
        <f ca="1"/>
        <v>36922</v>
      </c>
      <c r="H306" s="7">
        <f ca="1"/>
        <v>208687</v>
      </c>
      <c r="I306" s="7">
        <f ca="1"/>
        <v>187225</v>
      </c>
      <c r="J306" s="7">
        <f ca="1"/>
        <v>0</v>
      </c>
      <c r="K306" s="7">
        <f ca="1"/>
        <v>187225</v>
      </c>
      <c r="L306" s="7">
        <f ca="1"/>
        <v>4981600</v>
      </c>
      <c r="M306" s="8">
        <f ca="1"/>
        <v>4.189156094427493E-2</v>
      </c>
      <c r="N306" s="7">
        <f ca="1"/>
        <v>940300</v>
      </c>
      <c r="O306" s="11">
        <f ca="1"/>
        <v>187225</v>
      </c>
      <c r="P306" s="10">
        <f ca="1"/>
        <v>0.18875461699052512</v>
      </c>
      <c r="Q306" s="10">
        <f ca="1"/>
        <v>3.7583306568170868E-2</v>
      </c>
      <c r="R306" s="10">
        <f ca="1"/>
        <v>7.9474867512445799E-2</v>
      </c>
      <c r="T306" s="10">
        <f ca="1"/>
        <v>-0.35157136226431918</v>
      </c>
      <c r="U306" s="10" t="e">
        <f ca="1"/>
        <v>#N/A</v>
      </c>
      <c r="V306" s="10" t="e">
        <f ca="1"/>
        <v>#N/A</v>
      </c>
      <c r="W306" s="10" t="e">
        <f ca="1"/>
        <v>#N/A</v>
      </c>
    </row>
    <row r="307" spans="1:23" x14ac:dyDescent="0.25">
      <c r="A307" s="2" t="s">
        <v>309</v>
      </c>
      <c r="B307" s="3">
        <v>210385</v>
      </c>
      <c r="C307" s="3">
        <v>198179</v>
      </c>
      <c r="G307" s="5">
        <f ca="1"/>
        <v>36891</v>
      </c>
      <c r="H307" s="7">
        <f ca="1"/>
        <v>210385</v>
      </c>
      <c r="I307" s="7">
        <f ca="1"/>
        <v>198179</v>
      </c>
      <c r="J307" s="7">
        <f ca="1"/>
        <v>0</v>
      </c>
      <c r="K307" s="7">
        <f ca="1"/>
        <v>198179</v>
      </c>
      <c r="L307" s="7">
        <f ca="1"/>
        <v>4955500</v>
      </c>
      <c r="M307" s="8">
        <f ca="1"/>
        <v>4.2454848148521844E-2</v>
      </c>
      <c r="N307" s="7">
        <f ca="1"/>
        <v>919700</v>
      </c>
      <c r="O307" s="11">
        <f ca="1"/>
        <v>198179</v>
      </c>
      <c r="P307" s="10">
        <f ca="1"/>
        <v>0.1855917667238422</v>
      </c>
      <c r="Q307" s="10">
        <f ca="1"/>
        <v>3.9991726364645347E-2</v>
      </c>
      <c r="R307" s="10">
        <f ca="1"/>
        <v>8.2446574513167198E-2</v>
      </c>
      <c r="T307" s="10">
        <f ca="1"/>
        <v>-0.38249461386532113</v>
      </c>
      <c r="U307" s="10" t="e">
        <f ca="1"/>
        <v>#N/A</v>
      </c>
      <c r="V307" s="10" t="e">
        <f ca="1"/>
        <v>#N/A</v>
      </c>
      <c r="W307" s="10" t="e">
        <f ca="1"/>
        <v>#N/A</v>
      </c>
    </row>
    <row r="308" spans="1:23" x14ac:dyDescent="0.25">
      <c r="A308" s="2" t="s">
        <v>310</v>
      </c>
      <c r="B308" s="3">
        <v>237913</v>
      </c>
      <c r="C308" s="3">
        <v>186459</v>
      </c>
      <c r="G308" s="5">
        <f ca="1"/>
        <v>36860</v>
      </c>
      <c r="H308" s="7">
        <f ca="1"/>
        <v>237913</v>
      </c>
      <c r="I308" s="7">
        <f ca="1"/>
        <v>186459</v>
      </c>
      <c r="J308" s="7">
        <f ca="1"/>
        <v>0</v>
      </c>
      <c r="K308" s="7">
        <f ca="1"/>
        <v>186459</v>
      </c>
      <c r="L308" s="7">
        <f ca="1"/>
        <v>4884400</v>
      </c>
      <c r="M308" s="8">
        <f ca="1"/>
        <v>4.8708746212431417E-2</v>
      </c>
      <c r="N308" s="7">
        <f ca="1"/>
        <v>903300</v>
      </c>
      <c r="O308" s="11">
        <f ca="1"/>
        <v>186459</v>
      </c>
      <c r="P308" s="10">
        <f ca="1"/>
        <v>0.18493571370076162</v>
      </c>
      <c r="Q308" s="10">
        <f ca="1"/>
        <v>3.8174391941691914E-2</v>
      </c>
      <c r="R308" s="10">
        <f ca="1"/>
        <v>8.6883138154123324E-2</v>
      </c>
      <c r="T308" s="10">
        <f ca="1"/>
        <v>-0.30334230096908266</v>
      </c>
      <c r="U308" s="10" t="e">
        <f ca="1"/>
        <v>#N/A</v>
      </c>
      <c r="V308" s="10" t="e">
        <f ca="1"/>
        <v>#N/A</v>
      </c>
      <c r="W308" s="10" t="e">
        <f ca="1"/>
        <v>#N/A</v>
      </c>
    </row>
    <row r="309" spans="1:23" x14ac:dyDescent="0.25">
      <c r="A309" s="2" t="s">
        <v>311</v>
      </c>
      <c r="B309" s="3">
        <v>250965</v>
      </c>
      <c r="C309" s="3">
        <v>172738</v>
      </c>
      <c r="G309" s="5">
        <f ca="1"/>
        <v>36830</v>
      </c>
      <c r="H309" s="7">
        <f ca="1"/>
        <v>250965</v>
      </c>
      <c r="I309" s="7">
        <f ca="1"/>
        <v>172738</v>
      </c>
      <c r="J309" s="7">
        <f ca="1"/>
        <v>0</v>
      </c>
      <c r="K309" s="7">
        <f ca="1"/>
        <v>172738</v>
      </c>
      <c r="L309" s="7">
        <f ca="1"/>
        <v>4855900</v>
      </c>
      <c r="M309" s="8">
        <f ca="1"/>
        <v>5.1682489342861258E-2</v>
      </c>
      <c r="N309" s="7">
        <f ca="1"/>
        <v>889700</v>
      </c>
      <c r="O309" s="11">
        <f ca="1"/>
        <v>172738</v>
      </c>
      <c r="P309" s="10">
        <f ca="1"/>
        <v>0.18322041228196626</v>
      </c>
      <c r="Q309" s="10">
        <f ca="1"/>
        <v>3.5572808336250747E-2</v>
      </c>
      <c r="R309" s="10">
        <f ca="1"/>
        <v>8.7255297679111998E-2</v>
      </c>
      <c r="T309" s="10">
        <f ca="1"/>
        <v>-0.36223591748511452</v>
      </c>
      <c r="U309" s="10" t="e">
        <f ca="1"/>
        <v>#N/A</v>
      </c>
      <c r="V309" s="10" t="e">
        <f ca="1"/>
        <v>#N/A</v>
      </c>
      <c r="W309" s="10" t="e">
        <f ca="1"/>
        <v>#N/A</v>
      </c>
    </row>
    <row r="310" spans="1:23" x14ac:dyDescent="0.25">
      <c r="A310" s="2" t="s">
        <v>312</v>
      </c>
      <c r="B310" s="3">
        <v>270208</v>
      </c>
      <c r="C310" s="3">
        <v>160964</v>
      </c>
      <c r="G310" s="5">
        <f ca="1"/>
        <v>36799</v>
      </c>
      <c r="H310" s="7">
        <f ca="1"/>
        <v>270208</v>
      </c>
      <c r="I310" s="7">
        <f ca="1"/>
        <v>160964</v>
      </c>
      <c r="J310" s="7">
        <f ca="1"/>
        <v>0</v>
      </c>
      <c r="K310" s="7">
        <f ca="1"/>
        <v>160964</v>
      </c>
      <c r="L310" s="7">
        <f ca="1"/>
        <v>4842000</v>
      </c>
      <c r="M310" s="8">
        <f ca="1"/>
        <v>5.5805039239983478E-2</v>
      </c>
      <c r="N310" s="7">
        <f ca="1"/>
        <v>885700</v>
      </c>
      <c r="O310" s="11">
        <f ca="1"/>
        <v>160964</v>
      </c>
      <c r="P310" s="10">
        <f ca="1"/>
        <v>0.18292028087567122</v>
      </c>
      <c r="Q310" s="10">
        <f ca="1"/>
        <v>3.3243287897562993E-2</v>
      </c>
      <c r="R310" s="10">
        <f ca="1"/>
        <v>8.9048327137546471E-2</v>
      </c>
      <c r="T310" s="10">
        <f ca="1"/>
        <v>-0.31095502252315155</v>
      </c>
      <c r="U310" s="10" t="e">
        <f ca="1"/>
        <v>#N/A</v>
      </c>
      <c r="V310" s="10" t="e">
        <f ca="1"/>
        <v>#N/A</v>
      </c>
      <c r="W310" s="10" t="e">
        <f ca="1"/>
        <v>#N/A</v>
      </c>
    </row>
    <row r="311" spans="1:23" x14ac:dyDescent="0.25">
      <c r="A311" s="2" t="s">
        <v>313</v>
      </c>
      <c r="B311" s="3">
        <v>265166</v>
      </c>
      <c r="C311" s="3">
        <v>156775</v>
      </c>
      <c r="G311" s="5">
        <f ca="1"/>
        <v>36769</v>
      </c>
      <c r="H311" s="7">
        <f ca="1"/>
        <v>265166</v>
      </c>
      <c r="I311" s="7">
        <f ca="1"/>
        <v>156775</v>
      </c>
      <c r="J311" s="7">
        <f ca="1"/>
        <v>0</v>
      </c>
      <c r="K311" s="7">
        <f ca="1"/>
        <v>156775</v>
      </c>
      <c r="L311" s="7">
        <f ca="1"/>
        <v>4806400</v>
      </c>
      <c r="M311" s="8">
        <f ca="1"/>
        <v>5.5169357523302265E-2</v>
      </c>
      <c r="N311" s="7">
        <f ca="1"/>
        <v>882600</v>
      </c>
      <c r="O311" s="11">
        <f ca="1"/>
        <v>156775</v>
      </c>
      <c r="P311" s="10">
        <f ca="1"/>
        <v>0.18363015978695074</v>
      </c>
      <c r="Q311" s="10">
        <f ca="1"/>
        <v>3.261796770972037E-2</v>
      </c>
      <c r="R311" s="10">
        <f ca="1"/>
        <v>8.7787325233022628E-2</v>
      </c>
      <c r="T311" s="10">
        <f ca="1"/>
        <v>-0.29686101359826567</v>
      </c>
      <c r="U311" s="10" t="e">
        <f ca="1"/>
        <v>#N/A</v>
      </c>
      <c r="V311" s="10" t="e">
        <f ca="1"/>
        <v>#N/A</v>
      </c>
      <c r="W311" s="10" t="e">
        <f ca="1"/>
        <v>#N/A</v>
      </c>
    </row>
    <row r="312" spans="1:23" x14ac:dyDescent="0.25">
      <c r="A312" s="2" t="s">
        <v>314</v>
      </c>
      <c r="B312" s="3">
        <v>263729</v>
      </c>
      <c r="C312" s="3">
        <v>163050</v>
      </c>
      <c r="G312" s="5">
        <f ca="1"/>
        <v>36738</v>
      </c>
      <c r="H312" s="7">
        <f ca="1"/>
        <v>263729</v>
      </c>
      <c r="I312" s="7">
        <f ca="1"/>
        <v>163050</v>
      </c>
      <c r="J312" s="7">
        <f ca="1"/>
        <v>0</v>
      </c>
      <c r="K312" s="7">
        <f ca="1"/>
        <v>163050</v>
      </c>
      <c r="L312" s="7">
        <f ca="1"/>
        <v>4775700</v>
      </c>
      <c r="M312" s="8">
        <f ca="1"/>
        <v>5.5223108654228699E-2</v>
      </c>
      <c r="N312" s="7">
        <f ca="1"/>
        <v>865400</v>
      </c>
      <c r="O312" s="11">
        <f ca="1"/>
        <v>163050</v>
      </c>
      <c r="P312" s="10">
        <f ca="1"/>
        <v>0.18120903741859831</v>
      </c>
      <c r="Q312" s="10">
        <f ca="1"/>
        <v>3.4141591808530686E-2</v>
      </c>
      <c r="R312" s="10">
        <f ca="1"/>
        <v>8.9364700462759378E-2</v>
      </c>
      <c r="T312" s="10">
        <f ca="1"/>
        <v>-0.24734589222973513</v>
      </c>
      <c r="U312" s="10" t="e">
        <f ca="1"/>
        <v>#N/A</v>
      </c>
      <c r="V312" s="10" t="e">
        <f ca="1"/>
        <v>#N/A</v>
      </c>
      <c r="W312" s="10" t="e">
        <f ca="1"/>
        <v>#N/A</v>
      </c>
    </row>
    <row r="313" spans="1:23" x14ac:dyDescent="0.25">
      <c r="A313" s="2" t="s">
        <v>315</v>
      </c>
      <c r="B313" s="3">
        <v>264471</v>
      </c>
      <c r="C313" s="3">
        <v>153050</v>
      </c>
      <c r="G313" s="5">
        <f ca="1"/>
        <v>36707</v>
      </c>
      <c r="H313" s="7">
        <f ca="1"/>
        <v>264471</v>
      </c>
      <c r="I313" s="7">
        <f ca="1"/>
        <v>153050</v>
      </c>
      <c r="J313" s="7">
        <f ca="1"/>
        <v>0</v>
      </c>
      <c r="K313" s="7">
        <f ca="1"/>
        <v>153050</v>
      </c>
      <c r="L313" s="7">
        <f ca="1"/>
        <v>4759500</v>
      </c>
      <c r="M313" s="8">
        <f ca="1"/>
        <v>5.5566971320516863E-2</v>
      </c>
      <c r="N313" s="7">
        <f ca="1"/>
        <v>865400</v>
      </c>
      <c r="O313" s="11">
        <f ca="1"/>
        <v>153050</v>
      </c>
      <c r="P313" s="10">
        <f ca="1"/>
        <v>0.18182582204013026</v>
      </c>
      <c r="Q313" s="10">
        <f ca="1"/>
        <v>3.2156739153272405E-2</v>
      </c>
      <c r="R313" s="10">
        <f ca="1"/>
        <v>8.7723710473789268E-2</v>
      </c>
      <c r="T313" s="10">
        <f ca="1"/>
        <v>-0.211198931729495</v>
      </c>
      <c r="U313" s="10" t="e">
        <f ca="1"/>
        <v>#N/A</v>
      </c>
      <c r="V313" s="10" t="e">
        <f ca="1"/>
        <v>#N/A</v>
      </c>
      <c r="W313" s="10" t="e">
        <f ca="1"/>
        <v>#N/A</v>
      </c>
    </row>
    <row r="314" spans="1:23" x14ac:dyDescent="0.25">
      <c r="A314" s="2" t="s">
        <v>316</v>
      </c>
      <c r="B314" s="3">
        <v>256862</v>
      </c>
      <c r="C314" s="3">
        <v>153843</v>
      </c>
      <c r="G314" s="5">
        <f ca="1"/>
        <v>36677</v>
      </c>
      <c r="H314" s="7">
        <f ca="1"/>
        <v>256862</v>
      </c>
      <c r="I314" s="7">
        <f ca="1"/>
        <v>153843</v>
      </c>
      <c r="J314" s="7">
        <f ca="1"/>
        <v>0</v>
      </c>
      <c r="K314" s="7">
        <f ca="1"/>
        <v>153843</v>
      </c>
      <c r="L314" s="7">
        <f ca="1"/>
        <v>4734100</v>
      </c>
      <c r="M314" s="8">
        <f ca="1"/>
        <v>5.4257831478000042E-2</v>
      </c>
      <c r="N314" s="7">
        <f ca="1"/>
        <v>875900</v>
      </c>
      <c r="O314" s="11">
        <f ca="1"/>
        <v>153843</v>
      </c>
      <c r="P314" s="10">
        <f ca="1"/>
        <v>0.18501932785534736</v>
      </c>
      <c r="Q314" s="10">
        <f ca="1"/>
        <v>3.2496778690775441E-2</v>
      </c>
      <c r="R314" s="10">
        <f ca="1"/>
        <v>8.6754610168775476E-2</v>
      </c>
      <c r="T314" s="10">
        <f ca="1"/>
        <v>-0.22094185591389393</v>
      </c>
      <c r="U314" s="10" t="e">
        <f ca="1"/>
        <v>#N/A</v>
      </c>
      <c r="V314" s="10" t="e">
        <f ca="1"/>
        <v>#N/A</v>
      </c>
      <c r="W314" s="10" t="e">
        <f ca="1"/>
        <v>#N/A</v>
      </c>
    </row>
    <row r="315" spans="1:23" x14ac:dyDescent="0.25">
      <c r="A315" s="2" t="s">
        <v>317</v>
      </c>
      <c r="B315" s="3">
        <v>268716</v>
      </c>
      <c r="C315" s="3">
        <v>156868</v>
      </c>
      <c r="G315" s="5">
        <f ca="1"/>
        <v>36646</v>
      </c>
      <c r="H315" s="7">
        <f ca="1"/>
        <v>268716</v>
      </c>
      <c r="I315" s="7">
        <f ca="1"/>
        <v>156868</v>
      </c>
      <c r="J315" s="7">
        <f ca="1"/>
        <v>0</v>
      </c>
      <c r="K315" s="7">
        <f ca="1"/>
        <v>156868</v>
      </c>
      <c r="L315" s="7">
        <f ca="1"/>
        <v>4807700</v>
      </c>
      <c r="M315" s="8">
        <f ca="1"/>
        <v>5.5892838571458284E-2</v>
      </c>
      <c r="N315" s="7">
        <f ca="1"/>
        <v>895600</v>
      </c>
      <c r="O315" s="11">
        <f ca="1"/>
        <v>156868</v>
      </c>
      <c r="P315" s="10">
        <f ca="1"/>
        <v>0.1862845019447969</v>
      </c>
      <c r="Q315" s="10">
        <f ca="1"/>
        <v>3.2628491794413128E-2</v>
      </c>
      <c r="R315" s="10">
        <f ca="1"/>
        <v>8.8521330365871412E-2</v>
      </c>
      <c r="T315" s="10">
        <f ca="1"/>
        <v>-0.2218558489035436</v>
      </c>
      <c r="U315" s="10" t="e">
        <f ca="1"/>
        <v>#N/A</v>
      </c>
      <c r="V315" s="10" t="e">
        <f ca="1"/>
        <v>#N/A</v>
      </c>
      <c r="W315" s="10" t="e">
        <f ca="1"/>
        <v>#N/A</v>
      </c>
    </row>
    <row r="316" spans="1:23" x14ac:dyDescent="0.25">
      <c r="A316" s="2" t="s">
        <v>318</v>
      </c>
      <c r="B316" s="3">
        <v>299933</v>
      </c>
      <c r="C316" s="3">
        <v>168002</v>
      </c>
      <c r="G316" s="5">
        <f ca="1"/>
        <v>36616</v>
      </c>
      <c r="H316" s="7">
        <f ca="1"/>
        <v>299933</v>
      </c>
      <c r="I316" s="7">
        <f ca="1"/>
        <v>168002</v>
      </c>
      <c r="J316" s="7">
        <f ca="1"/>
        <v>0</v>
      </c>
      <c r="K316" s="7">
        <f ca="1"/>
        <v>168002</v>
      </c>
      <c r="L316" s="7">
        <f ca="1"/>
        <v>4737600</v>
      </c>
      <c r="M316" s="8">
        <f ca="1"/>
        <v>6.330905943937859E-2</v>
      </c>
      <c r="N316" s="7">
        <f ca="1"/>
        <v>887000</v>
      </c>
      <c r="O316" s="11">
        <f ca="1"/>
        <v>168002</v>
      </c>
      <c r="P316" s="10">
        <f ca="1"/>
        <v>0.18722559945964201</v>
      </c>
      <c r="Q316" s="10">
        <f ca="1"/>
        <v>3.5461415062478893E-2</v>
      </c>
      <c r="R316" s="10">
        <f ca="1"/>
        <v>9.8770474501857483E-2</v>
      </c>
      <c r="T316" s="10">
        <f ca="1"/>
        <v>-0.23388808757509405</v>
      </c>
      <c r="U316" s="10" t="e">
        <f ca="1"/>
        <v>#N/A</v>
      </c>
      <c r="V316" s="10" t="e">
        <f ca="1"/>
        <v>#N/A</v>
      </c>
      <c r="W316" s="10" t="e">
        <f ca="1"/>
        <v>#N/A</v>
      </c>
    </row>
    <row r="317" spans="1:23" x14ac:dyDescent="0.25">
      <c r="A317" s="2" t="s">
        <v>319</v>
      </c>
      <c r="B317" s="3">
        <v>284206</v>
      </c>
      <c r="C317" s="3">
        <v>153540</v>
      </c>
      <c r="G317" s="5">
        <f ca="1"/>
        <v>36585</v>
      </c>
      <c r="H317" s="7">
        <f ca="1"/>
        <v>284206</v>
      </c>
      <c r="I317" s="7">
        <f ca="1"/>
        <v>153540</v>
      </c>
      <c r="J317" s="7">
        <f ca="1"/>
        <v>0</v>
      </c>
      <c r="K317" s="7">
        <f ca="1"/>
        <v>153540</v>
      </c>
      <c r="L317" s="7">
        <f ca="1"/>
        <v>4675900</v>
      </c>
      <c r="M317" s="8">
        <f ca="1"/>
        <v>6.0781026112620033E-2</v>
      </c>
      <c r="N317" s="7">
        <f ca="1"/>
        <v>867700</v>
      </c>
      <c r="O317" s="11">
        <f ca="1"/>
        <v>153540</v>
      </c>
      <c r="P317" s="10">
        <f ca="1"/>
        <v>0.18556855364742617</v>
      </c>
      <c r="Q317" s="10">
        <f ca="1"/>
        <v>3.2836459291259439E-2</v>
      </c>
      <c r="R317" s="10">
        <f ca="1"/>
        <v>9.3617485403879472E-2</v>
      </c>
      <c r="T317" s="10">
        <f ca="1"/>
        <v>-0.16610565234251962</v>
      </c>
      <c r="U317" s="10" t="e">
        <f ca="1"/>
        <v>#N/A</v>
      </c>
      <c r="V317" s="10" t="e">
        <f ca="1"/>
        <v>#N/A</v>
      </c>
      <c r="W317" s="10" t="e">
        <f ca="1"/>
        <v>#N/A</v>
      </c>
    </row>
    <row r="318" spans="1:23" x14ac:dyDescent="0.25">
      <c r="A318" s="2" t="s">
        <v>320</v>
      </c>
      <c r="B318" s="3">
        <v>260409</v>
      </c>
      <c r="C318" s="3">
        <v>148567</v>
      </c>
      <c r="G318" s="5">
        <f ca="1"/>
        <v>36556</v>
      </c>
      <c r="H318" s="7">
        <f ca="1"/>
        <v>260409</v>
      </c>
      <c r="I318" s="7">
        <f ca="1"/>
        <v>148567</v>
      </c>
      <c r="J318" s="7">
        <f ca="1"/>
        <v>0</v>
      </c>
      <c r="K318" s="7">
        <f ca="1"/>
        <v>148567</v>
      </c>
      <c r="L318" s="7">
        <f ca="1"/>
        <v>4674000</v>
      </c>
      <c r="M318" s="8">
        <f ca="1"/>
        <v>5.5714377406931963E-2</v>
      </c>
      <c r="N318" s="7">
        <f ca="1"/>
        <v>852500</v>
      </c>
      <c r="O318" s="11">
        <f ca="1"/>
        <v>148567</v>
      </c>
      <c r="P318" s="10">
        <f ca="1"/>
        <v>0.18239195549850235</v>
      </c>
      <c r="Q318" s="10">
        <f ca="1"/>
        <v>3.1785836542575954E-2</v>
      </c>
      <c r="R318" s="10">
        <f ca="1"/>
        <v>8.750021394950791E-2</v>
      </c>
      <c r="T318" s="10">
        <f ca="1"/>
        <v>-0.24000684208646161</v>
      </c>
      <c r="U318" s="10" t="e">
        <f ca="1"/>
        <v>#N/A</v>
      </c>
      <c r="V318" s="10" t="e">
        <f ca="1"/>
        <v>#N/A</v>
      </c>
      <c r="W318" s="10" t="e">
        <f ca="1"/>
        <v>#N/A</v>
      </c>
    </row>
    <row r="319" spans="1:23" x14ac:dyDescent="0.25">
      <c r="A319" s="2" t="s">
        <v>321</v>
      </c>
      <c r="B319" s="3">
        <v>241967</v>
      </c>
      <c r="C319" s="3">
        <v>146582</v>
      </c>
      <c r="G319" s="5">
        <f ca="1"/>
        <v>36525</v>
      </c>
      <c r="H319" s="7">
        <f ca="1"/>
        <v>241967</v>
      </c>
      <c r="I319" s="7">
        <f ca="1"/>
        <v>146582</v>
      </c>
      <c r="J319" s="7">
        <f ca="1"/>
        <v>0</v>
      </c>
      <c r="K319" s="7">
        <f ca="1"/>
        <v>146582</v>
      </c>
      <c r="L319" s="7">
        <f ca="1"/>
        <v>4665800</v>
      </c>
      <c r="M319" s="8">
        <f ca="1"/>
        <v>5.1859702516181577E-2</v>
      </c>
      <c r="N319" s="7">
        <f ca="1"/>
        <v>824300</v>
      </c>
      <c r="O319" s="11">
        <f ca="1"/>
        <v>146582</v>
      </c>
      <c r="P319" s="10">
        <f ca="1"/>
        <v>0.17666852415448583</v>
      </c>
      <c r="Q319" s="10">
        <f ca="1"/>
        <v>3.1416263020275191E-2</v>
      </c>
      <c r="R319" s="10">
        <f ca="1"/>
        <v>8.3275965536456775E-2</v>
      </c>
      <c r="T319" s="10">
        <f ca="1"/>
        <v>-0.29151611951250633</v>
      </c>
      <c r="U319" s="10" t="e">
        <f ca="1"/>
        <v>#N/A</v>
      </c>
      <c r="V319" s="10" t="e">
        <f ca="1"/>
        <v>#N/A</v>
      </c>
      <c r="W319" s="10" t="e">
        <f ca="1"/>
        <v>#N/A</v>
      </c>
    </row>
    <row r="320" spans="1:23" x14ac:dyDescent="0.25">
      <c r="A320" s="2" t="s">
        <v>322</v>
      </c>
      <c r="B320" s="3">
        <v>218304</v>
      </c>
      <c r="C320" s="3">
        <v>131786</v>
      </c>
      <c r="G320" s="5">
        <f ca="1"/>
        <v>36494</v>
      </c>
      <c r="H320" s="7">
        <f ca="1"/>
        <v>218304</v>
      </c>
      <c r="I320" s="7">
        <f ca="1"/>
        <v>131786</v>
      </c>
      <c r="J320" s="7">
        <f ca="1"/>
        <v>0</v>
      </c>
      <c r="K320" s="7">
        <f ca="1"/>
        <v>131786</v>
      </c>
      <c r="L320" s="7">
        <f ca="1"/>
        <v>4611400</v>
      </c>
      <c r="M320" s="8">
        <f ca="1"/>
        <v>4.7340070260658368E-2</v>
      </c>
      <c r="N320" s="7">
        <f ca="1"/>
        <v>810100</v>
      </c>
      <c r="O320" s="11">
        <f ca="1"/>
        <v>131786</v>
      </c>
      <c r="P320" s="10">
        <f ca="1"/>
        <v>0.17567333130936374</v>
      </c>
      <c r="Q320" s="10">
        <f ca="1"/>
        <v>2.8578305937459341E-2</v>
      </c>
      <c r="R320" s="10">
        <f ca="1"/>
        <v>7.5918376198117712E-2</v>
      </c>
      <c r="T320" s="10">
        <f ca="1"/>
        <v>-0.18383485743610573</v>
      </c>
      <c r="U320" s="10" t="e">
        <f ca="1"/>
        <v>#N/A</v>
      </c>
      <c r="V320" s="10" t="e">
        <f ca="1"/>
        <v>#N/A</v>
      </c>
      <c r="W320" s="10" t="e">
        <f ca="1"/>
        <v>#N/A</v>
      </c>
    </row>
    <row r="321" spans="1:23" x14ac:dyDescent="0.25">
      <c r="A321" s="2" t="s">
        <v>323</v>
      </c>
      <c r="B321" s="3">
        <v>194259</v>
      </c>
      <c r="C321" s="3">
        <v>123457</v>
      </c>
      <c r="G321" s="5">
        <f ca="1"/>
        <v>36464</v>
      </c>
      <c r="H321" s="7">
        <f ca="1"/>
        <v>194259</v>
      </c>
      <c r="I321" s="7">
        <f ca="1"/>
        <v>123457</v>
      </c>
      <c r="J321" s="7">
        <f ca="1"/>
        <v>0</v>
      </c>
      <c r="K321" s="7">
        <f ca="1"/>
        <v>123457</v>
      </c>
      <c r="L321" s="7">
        <f ca="1"/>
        <v>4575900</v>
      </c>
      <c r="M321" s="8">
        <f ca="1"/>
        <v>4.2452632269061825E-2</v>
      </c>
      <c r="N321" s="7">
        <f ca="1"/>
        <v>801000</v>
      </c>
      <c r="O321" s="11">
        <f ca="1"/>
        <v>123457</v>
      </c>
      <c r="P321" s="10">
        <f ca="1"/>
        <v>0.17504753163312134</v>
      </c>
      <c r="Q321" s="10">
        <f ca="1"/>
        <v>2.6979829104657009E-2</v>
      </c>
      <c r="R321" s="10">
        <f ca="1"/>
        <v>6.9432461373718835E-2</v>
      </c>
      <c r="T321" s="10">
        <f ca="1"/>
        <v>-0.11130437165806573</v>
      </c>
      <c r="U321" s="10" t="e">
        <f ca="1"/>
        <v>#N/A</v>
      </c>
      <c r="V321" s="10" t="e">
        <f ca="1"/>
        <v>#N/A</v>
      </c>
      <c r="W321" s="10" t="e">
        <f ca="1"/>
        <v>#N/A</v>
      </c>
    </row>
    <row r="322" spans="1:23" x14ac:dyDescent="0.25">
      <c r="A322" s="2" t="s">
        <v>324</v>
      </c>
      <c r="B322" s="3">
        <v>189741</v>
      </c>
      <c r="C322" s="3">
        <v>121207</v>
      </c>
      <c r="G322" s="5">
        <f ca="1"/>
        <v>36433</v>
      </c>
      <c r="H322" s="7">
        <f ca="1"/>
        <v>189741</v>
      </c>
      <c r="I322" s="7">
        <f ca="1"/>
        <v>121207</v>
      </c>
      <c r="J322" s="7">
        <f ca="1"/>
        <v>0</v>
      </c>
      <c r="K322" s="7">
        <f ca="1"/>
        <v>121207</v>
      </c>
      <c r="L322" s="7">
        <f ca="1"/>
        <v>4554200</v>
      </c>
      <c r="M322" s="8">
        <f ca="1"/>
        <v>4.1662860656097665E-2</v>
      </c>
      <c r="N322" s="7">
        <f ca="1"/>
        <v>793600</v>
      </c>
      <c r="O322" s="11">
        <f ca="1"/>
        <v>121207</v>
      </c>
      <c r="P322" s="10">
        <f ca="1"/>
        <v>0.17425673005138115</v>
      </c>
      <c r="Q322" s="10">
        <f ca="1"/>
        <v>2.6614334021342938E-2</v>
      </c>
      <c r="R322" s="10">
        <f ca="1"/>
        <v>6.8277194677440603E-2</v>
      </c>
      <c r="T322" s="10">
        <f ca="1"/>
        <v>-4.5474002565676019E-2</v>
      </c>
      <c r="U322" s="10" t="e">
        <f ca="1"/>
        <v>#N/A</v>
      </c>
      <c r="V322" s="10" t="e">
        <f ca="1"/>
        <v>#N/A</v>
      </c>
      <c r="W322" s="10" t="e">
        <f ca="1"/>
        <v>#N/A</v>
      </c>
    </row>
    <row r="323" spans="1:23" x14ac:dyDescent="0.25">
      <c r="A323" s="2" t="s">
        <v>325</v>
      </c>
      <c r="B323" s="3">
        <v>187616</v>
      </c>
      <c r="C323" s="3">
        <v>117149</v>
      </c>
      <c r="G323" s="5">
        <f ca="1"/>
        <v>36403</v>
      </c>
      <c r="H323" s="7">
        <f ca="1"/>
        <v>187616</v>
      </c>
      <c r="I323" s="7">
        <f ca="1"/>
        <v>117149</v>
      </c>
      <c r="J323" s="7">
        <f ca="1"/>
        <v>0</v>
      </c>
      <c r="K323" s="7">
        <f ca="1"/>
        <v>117149</v>
      </c>
      <c r="L323" s="7">
        <f ca="1"/>
        <v>4540400</v>
      </c>
      <c r="M323" s="8">
        <f ca="1"/>
        <v>4.1321469474055149E-2</v>
      </c>
      <c r="N323" s="7">
        <f ca="1"/>
        <v>789200</v>
      </c>
      <c r="O323" s="11">
        <f ca="1"/>
        <v>117149</v>
      </c>
      <c r="P323" s="10">
        <f ca="1"/>
        <v>0.17381728482072065</v>
      </c>
      <c r="Q323" s="10">
        <f ca="1"/>
        <v>2.5801471236014447E-2</v>
      </c>
      <c r="R323" s="10">
        <f ca="1"/>
        <v>6.7122940710069592E-2</v>
      </c>
      <c r="T323" s="10">
        <f ca="1"/>
        <v>-4.891668967871543E-2</v>
      </c>
      <c r="U323" s="10" t="e">
        <f ca="1"/>
        <v>#N/A</v>
      </c>
      <c r="V323" s="10" t="e">
        <f ca="1"/>
        <v>#N/A</v>
      </c>
      <c r="W323" s="10" t="e">
        <f ca="1"/>
        <v>#N/A</v>
      </c>
    </row>
    <row r="324" spans="1:23" x14ac:dyDescent="0.25">
      <c r="A324" s="2" t="s">
        <v>326</v>
      </c>
      <c r="B324" s="3">
        <v>189503</v>
      </c>
      <c r="C324" s="3">
        <v>115017</v>
      </c>
      <c r="G324" s="5">
        <f ca="1"/>
        <v>36372</v>
      </c>
      <c r="H324" s="7">
        <f ca="1"/>
        <v>189503</v>
      </c>
      <c r="I324" s="7">
        <f ca="1"/>
        <v>115017</v>
      </c>
      <c r="J324" s="7">
        <f ca="1"/>
        <v>0</v>
      </c>
      <c r="K324" s="7">
        <f ca="1"/>
        <v>115017</v>
      </c>
      <c r="L324" s="7">
        <f ca="1"/>
        <v>4520500</v>
      </c>
      <c r="M324" s="8">
        <f ca="1"/>
        <v>4.1920805220661432E-2</v>
      </c>
      <c r="N324" s="7">
        <f ca="1"/>
        <v>777300</v>
      </c>
      <c r="O324" s="11">
        <f ca="1"/>
        <v>115017</v>
      </c>
      <c r="P324" s="10">
        <f ca="1"/>
        <v>0.17195000553036169</v>
      </c>
      <c r="Q324" s="10">
        <f ca="1"/>
        <v>2.5443424399955759E-2</v>
      </c>
      <c r="R324" s="10">
        <f ca="1"/>
        <v>6.7364229620617194E-2</v>
      </c>
      <c r="T324" s="10">
        <f ca="1"/>
        <v>-5.9651402487521765E-2</v>
      </c>
      <c r="U324" s="10" t="e">
        <f ca="1"/>
        <v>#N/A</v>
      </c>
      <c r="V324" s="10" t="e">
        <f ca="1"/>
        <v>#N/A</v>
      </c>
      <c r="W324" s="10" t="e">
        <f ca="1"/>
        <v>#N/A</v>
      </c>
    </row>
    <row r="325" spans="1:23" x14ac:dyDescent="0.25">
      <c r="A325" s="2" t="s">
        <v>327</v>
      </c>
      <c r="B325" s="3">
        <v>187695</v>
      </c>
      <c r="C325" s="3">
        <v>116982</v>
      </c>
      <c r="G325" s="5">
        <f ca="1"/>
        <v>36341</v>
      </c>
      <c r="H325" s="7">
        <f ca="1"/>
        <v>187695</v>
      </c>
      <c r="I325" s="7">
        <f ca="1"/>
        <v>116982</v>
      </c>
      <c r="J325" s="7">
        <f ca="1"/>
        <v>0</v>
      </c>
      <c r="K325" s="7">
        <f ca="1"/>
        <v>116982</v>
      </c>
      <c r="L325" s="7">
        <f ca="1"/>
        <v>4495600</v>
      </c>
      <c r="M325" s="8">
        <f ca="1"/>
        <v>4.1750823026959691E-2</v>
      </c>
      <c r="N325" s="7">
        <f ca="1"/>
        <v>767600</v>
      </c>
      <c r="O325" s="11">
        <f ca="1"/>
        <v>116982</v>
      </c>
      <c r="P325" s="10">
        <f ca="1"/>
        <v>0.17074472817866357</v>
      </c>
      <c r="Q325" s="10">
        <f ca="1"/>
        <v>2.602144318889581E-2</v>
      </c>
      <c r="R325" s="10">
        <f ca="1"/>
        <v>6.7772266215855498E-2</v>
      </c>
      <c r="T325" s="10">
        <f ca="1"/>
        <v>-0.15471586200027565</v>
      </c>
      <c r="U325" s="10" t="e">
        <f ca="1"/>
        <v>#N/A</v>
      </c>
      <c r="V325" s="10" t="e">
        <f ca="1"/>
        <v>#N/A</v>
      </c>
      <c r="W325" s="10" t="e">
        <f ca="1"/>
        <v>#N/A</v>
      </c>
    </row>
    <row r="326" spans="1:23" x14ac:dyDescent="0.25">
      <c r="A326" s="2" t="s">
        <v>328</v>
      </c>
      <c r="B326" s="3">
        <v>189950</v>
      </c>
      <c r="C326" s="3">
        <v>114271</v>
      </c>
      <c r="G326" s="5">
        <f ca="1"/>
        <v>36311</v>
      </c>
      <c r="H326" s="7">
        <f ca="1"/>
        <v>189950</v>
      </c>
      <c r="I326" s="7">
        <f ca="1"/>
        <v>114271</v>
      </c>
      <c r="J326" s="7">
        <f ca="1"/>
        <v>0</v>
      </c>
      <c r="K326" s="7">
        <f ca="1"/>
        <v>114271</v>
      </c>
      <c r="L326" s="7">
        <f ca="1"/>
        <v>4464800</v>
      </c>
      <c r="M326" s="8">
        <f ca="1"/>
        <v>4.2543898942841787E-2</v>
      </c>
      <c r="N326" s="7">
        <f ca="1"/>
        <v>759300</v>
      </c>
      <c r="O326" s="11">
        <f ca="1"/>
        <v>114271</v>
      </c>
      <c r="P326" s="10">
        <f ca="1"/>
        <v>0.17006360867228096</v>
      </c>
      <c r="Q326" s="10">
        <f ca="1"/>
        <v>2.5593755599354954E-2</v>
      </c>
      <c r="R326" s="10">
        <f ca="1"/>
        <v>6.8137654542196738E-2</v>
      </c>
      <c r="T326" s="10">
        <f ca="1"/>
        <v>-4.7548105788145612E-2</v>
      </c>
      <c r="U326" s="10" t="e">
        <f ca="1"/>
        <v>#N/A</v>
      </c>
      <c r="V326" s="10" t="e">
        <f ca="1"/>
        <v>#N/A</v>
      </c>
      <c r="W326" s="10" t="e">
        <f ca="1"/>
        <v>#N/A</v>
      </c>
    </row>
    <row r="327" spans="1:23" x14ac:dyDescent="0.25">
      <c r="A327" s="2" t="s">
        <v>329</v>
      </c>
      <c r="B327" s="3">
        <v>184329</v>
      </c>
      <c r="C327" s="3">
        <v>112290</v>
      </c>
      <c r="G327" s="5">
        <f ca="1"/>
        <v>36280</v>
      </c>
      <c r="H327" s="7">
        <f ca="1"/>
        <v>184329</v>
      </c>
      <c r="I327" s="7">
        <f ca="1"/>
        <v>112290</v>
      </c>
      <c r="J327" s="7">
        <f ca="1"/>
        <v>0</v>
      </c>
      <c r="K327" s="7">
        <f ca="1"/>
        <v>112290</v>
      </c>
      <c r="L327" s="7">
        <f ca="1"/>
        <v>4502100</v>
      </c>
      <c r="M327" s="8">
        <f ca="1"/>
        <v>4.0942893316452324E-2</v>
      </c>
      <c r="N327" s="7">
        <f ca="1"/>
        <v>769100</v>
      </c>
      <c r="O327" s="11">
        <f ca="1"/>
        <v>112290</v>
      </c>
      <c r="P327" s="10">
        <f ca="1"/>
        <v>0.17083138979587303</v>
      </c>
      <c r="Q327" s="10">
        <f ca="1"/>
        <v>2.494169387619111E-2</v>
      </c>
      <c r="R327" s="10">
        <f ca="1"/>
        <v>6.5884587192643437E-2</v>
      </c>
      <c r="T327" s="10">
        <f ca="1"/>
        <v>2.3090485788034742E-2</v>
      </c>
      <c r="U327" s="10" t="e">
        <f ca="1"/>
        <v>#N/A</v>
      </c>
      <c r="V327" s="10" t="e">
        <f ca="1"/>
        <v>#N/A</v>
      </c>
      <c r="W327" s="10" t="e">
        <f ca="1"/>
        <v>#N/A</v>
      </c>
    </row>
    <row r="328" spans="1:23" x14ac:dyDescent="0.25">
      <c r="A328" s="2" t="s">
        <v>330</v>
      </c>
      <c r="B328" s="3">
        <v>166212</v>
      </c>
      <c r="C328" s="3">
        <v>109941</v>
      </c>
      <c r="G328" s="5">
        <f ca="1"/>
        <v>36250</v>
      </c>
      <c r="H328" s="7">
        <f ca="1"/>
        <v>166212</v>
      </c>
      <c r="I328" s="7">
        <f ca="1"/>
        <v>109941</v>
      </c>
      <c r="J328" s="7">
        <f ca="1"/>
        <v>0</v>
      </c>
      <c r="K328" s="7">
        <f ca="1"/>
        <v>109941</v>
      </c>
      <c r="L328" s="7">
        <f ca="1"/>
        <v>4456200</v>
      </c>
      <c r="M328" s="8">
        <f ca="1"/>
        <v>3.7299044028544497E-2</v>
      </c>
      <c r="N328" s="7">
        <f ca="1"/>
        <v>768300</v>
      </c>
      <c r="O328" s="11">
        <f ca="1"/>
        <v>109941</v>
      </c>
      <c r="P328" s="10">
        <f ca="1"/>
        <v>0.17241147165746601</v>
      </c>
      <c r="Q328" s="10">
        <f ca="1"/>
        <v>2.4671468964588664E-2</v>
      </c>
      <c r="R328" s="10">
        <f ca="1"/>
        <v>6.1970512993133164E-2</v>
      </c>
      <c r="T328" s="10">
        <f ca="1"/>
        <v>2.6361027004987658E-2</v>
      </c>
      <c r="U328" s="10" t="e">
        <f ca="1"/>
        <v>#N/A</v>
      </c>
      <c r="V328" s="10" t="e">
        <f ca="1"/>
        <v>#N/A</v>
      </c>
      <c r="W328" s="10" t="e">
        <f ca="1"/>
        <v>#N/A</v>
      </c>
    </row>
    <row r="329" spans="1:23" x14ac:dyDescent="0.25">
      <c r="A329" s="2" t="s">
        <v>331</v>
      </c>
      <c r="B329" s="3">
        <v>162909</v>
      </c>
      <c r="C329" s="3">
        <v>109523</v>
      </c>
      <c r="G329" s="5">
        <f ca="1"/>
        <v>36219</v>
      </c>
      <c r="H329" s="7">
        <f ca="1"/>
        <v>162909</v>
      </c>
      <c r="I329" s="7">
        <f ca="1"/>
        <v>109523</v>
      </c>
      <c r="J329" s="7">
        <f ca="1"/>
        <v>0</v>
      </c>
      <c r="K329" s="7">
        <f ca="1"/>
        <v>109523</v>
      </c>
      <c r="L329" s="7">
        <f ca="1"/>
        <v>4419200</v>
      </c>
      <c r="M329" s="8">
        <f ca="1"/>
        <v>3.6863912020275162E-2</v>
      </c>
      <c r="N329" s="7">
        <f ca="1"/>
        <v>761400</v>
      </c>
      <c r="O329" s="11">
        <f ca="1"/>
        <v>109523</v>
      </c>
      <c r="P329" s="10">
        <f ca="1"/>
        <v>0.17229362780593774</v>
      </c>
      <c r="Q329" s="10">
        <f ca="1"/>
        <v>2.4783444967414917E-2</v>
      </c>
      <c r="R329" s="10">
        <f ca="1"/>
        <v>6.1647356987690083E-2</v>
      </c>
      <c r="T329" s="10">
        <f ca="1"/>
        <v>6.1873650671668168E-2</v>
      </c>
      <c r="U329" s="10" t="e">
        <f ca="1"/>
        <v>#N/A</v>
      </c>
      <c r="V329" s="10" t="e">
        <f ca="1"/>
        <v>#N/A</v>
      </c>
      <c r="W329" s="10" t="e">
        <f ca="1"/>
        <v>#N/A</v>
      </c>
    </row>
    <row r="330" spans="1:23" x14ac:dyDescent="0.25">
      <c r="A330" s="2" t="s">
        <v>332</v>
      </c>
      <c r="B330" s="3">
        <v>162322</v>
      </c>
      <c r="C330" s="3">
        <v>107200</v>
      </c>
      <c r="G330" s="5">
        <f ca="1"/>
        <v>36191</v>
      </c>
      <c r="H330" s="7">
        <f ca="1"/>
        <v>162322</v>
      </c>
      <c r="I330" s="7">
        <f ca="1"/>
        <v>107200</v>
      </c>
      <c r="J330" s="7">
        <f ca="1"/>
        <v>0</v>
      </c>
      <c r="K330" s="7">
        <f ca="1"/>
        <v>107200</v>
      </c>
      <c r="L330" s="7">
        <f ca="1"/>
        <v>4409900</v>
      </c>
      <c r="M330" s="8">
        <f ca="1"/>
        <v>3.6808544411437903E-2</v>
      </c>
      <c r="N330" s="7">
        <f ca="1"/>
        <v>746900</v>
      </c>
      <c r="O330" s="11">
        <f ca="1"/>
        <v>107200</v>
      </c>
      <c r="P330" s="10">
        <f ca="1"/>
        <v>0.16936891993015715</v>
      </c>
      <c r="Q330" s="10">
        <f ca="1"/>
        <v>2.430894124583324E-2</v>
      </c>
      <c r="R330" s="10">
        <f ca="1"/>
        <v>6.1117485657271139E-2</v>
      </c>
      <c r="T330" s="10">
        <f ca="1"/>
        <v>0.11703292179931091</v>
      </c>
      <c r="U330" s="10" t="e">
        <f ca="1"/>
        <v>#N/A</v>
      </c>
      <c r="V330" s="10" t="e">
        <f ca="1"/>
        <v>#N/A</v>
      </c>
      <c r="W330" s="10" t="e">
        <f ca="1"/>
        <v>#N/A</v>
      </c>
    </row>
    <row r="331" spans="1:23" x14ac:dyDescent="0.25">
      <c r="A331" s="2" t="s">
        <v>333</v>
      </c>
      <c r="B331" s="3">
        <v>148674</v>
      </c>
      <c r="C331" s="3">
        <v>111507</v>
      </c>
      <c r="G331" s="5">
        <f ca="1"/>
        <v>36160</v>
      </c>
      <c r="H331" s="7">
        <f ca="1"/>
        <v>148674</v>
      </c>
      <c r="I331" s="7">
        <f ca="1"/>
        <v>111507</v>
      </c>
      <c r="J331" s="7">
        <f ca="1"/>
        <v>0</v>
      </c>
      <c r="K331" s="7">
        <f ca="1"/>
        <v>111507</v>
      </c>
      <c r="L331" s="7">
        <f ca="1"/>
        <v>4400000</v>
      </c>
      <c r="M331" s="8">
        <f ca="1"/>
        <v>3.3789545454545454E-2</v>
      </c>
      <c r="N331" s="7">
        <f ca="1"/>
        <v>727200</v>
      </c>
      <c r="O331" s="11">
        <f ca="1"/>
        <v>111507</v>
      </c>
      <c r="P331" s="10">
        <f ca="1"/>
        <v>0.16527272727272727</v>
      </c>
      <c r="Q331" s="10">
        <f ca="1"/>
        <v>2.53425E-2</v>
      </c>
      <c r="R331" s="10">
        <f ca="1"/>
        <v>5.9132045454545451E-2</v>
      </c>
      <c r="T331" s="10">
        <f ca="1"/>
        <v>0.16862591426368123</v>
      </c>
      <c r="U331" s="10" t="e">
        <f ca="1"/>
        <v>#N/A</v>
      </c>
      <c r="V331" s="10" t="e">
        <f ca="1"/>
        <v>#N/A</v>
      </c>
      <c r="W331" s="10" t="e">
        <f ca="1"/>
        <v>#N/A</v>
      </c>
    </row>
    <row r="332" spans="1:23" x14ac:dyDescent="0.25">
      <c r="A332" s="2" t="s">
        <v>334</v>
      </c>
      <c r="B332" s="3">
        <v>148697</v>
      </c>
      <c r="C332" s="3">
        <v>108032</v>
      </c>
      <c r="G332" s="5">
        <f ca="1"/>
        <v>36129</v>
      </c>
      <c r="H332" s="7">
        <f ca="1"/>
        <v>148697</v>
      </c>
      <c r="I332" s="7">
        <f ca="1"/>
        <v>108032</v>
      </c>
      <c r="J332" s="7">
        <f ca="1"/>
        <v>0</v>
      </c>
      <c r="K332" s="7">
        <f ca="1"/>
        <v>108032</v>
      </c>
      <c r="L332" s="7">
        <f ca="1"/>
        <v>4346200</v>
      </c>
      <c r="M332" s="8">
        <f ca="1"/>
        <v>3.4213105701532374E-2</v>
      </c>
      <c r="N332" s="7">
        <f ca="1"/>
        <v>713100</v>
      </c>
      <c r="O332" s="11">
        <f ca="1"/>
        <v>108032</v>
      </c>
      <c r="P332" s="10">
        <f ca="1"/>
        <v>0.16407436381206572</v>
      </c>
      <c r="Q332" s="10">
        <f ca="1"/>
        <v>2.4856656389489667E-2</v>
      </c>
      <c r="R332" s="10">
        <f ca="1"/>
        <v>5.9069762091022042E-2</v>
      </c>
      <c r="T332" s="10">
        <f ca="1"/>
        <v>0.30426342337553125</v>
      </c>
      <c r="U332" s="10" t="e">
        <f ca="1"/>
        <v>#N/A</v>
      </c>
      <c r="V332" s="10" t="e">
        <f ca="1"/>
        <v>#N/A</v>
      </c>
      <c r="W332" s="10" t="e">
        <f ca="1"/>
        <v>#N/A</v>
      </c>
    </row>
    <row r="333" spans="1:23" x14ac:dyDescent="0.25">
      <c r="A333" s="2" t="s">
        <v>335</v>
      </c>
      <c r="B333" s="3">
        <v>138399</v>
      </c>
      <c r="C333" s="3">
        <v>108179</v>
      </c>
      <c r="G333" s="5">
        <f ca="1"/>
        <v>36099</v>
      </c>
      <c r="H333" s="7">
        <f ca="1"/>
        <v>138399</v>
      </c>
      <c r="I333" s="7">
        <f ca="1"/>
        <v>108179</v>
      </c>
      <c r="J333" s="7">
        <f ca="1"/>
        <v>0</v>
      </c>
      <c r="K333" s="7">
        <f ca="1"/>
        <v>108179</v>
      </c>
      <c r="L333" s="7">
        <f ca="1"/>
        <v>4291500</v>
      </c>
      <c r="M333" s="8">
        <f ca="1"/>
        <v>3.224956308982873E-2</v>
      </c>
      <c r="N333" s="7">
        <f ca="1"/>
        <v>708300</v>
      </c>
      <c r="O333" s="11">
        <f ca="1"/>
        <v>108179</v>
      </c>
      <c r="P333" s="10">
        <f ca="1"/>
        <v>0.16504718629849702</v>
      </c>
      <c r="Q333" s="10">
        <f ca="1"/>
        <v>2.5207736222765932E-2</v>
      </c>
      <c r="R333" s="10">
        <f ca="1"/>
        <v>5.7457299312594662E-2</v>
      </c>
      <c r="T333" s="10">
        <f ca="1"/>
        <v>0.30232908773647638</v>
      </c>
      <c r="U333" s="10" t="e">
        <f ca="1"/>
        <v>#N/A</v>
      </c>
      <c r="V333" s="10" t="e">
        <f ca="1"/>
        <v>#N/A</v>
      </c>
      <c r="W333" s="10" t="e">
        <f ca="1"/>
        <v>#N/A</v>
      </c>
    </row>
    <row r="334" spans="1:23" x14ac:dyDescent="0.25">
      <c r="A334" s="2" t="s">
        <v>336</v>
      </c>
      <c r="B334" s="3">
        <v>144541</v>
      </c>
      <c r="C334" s="3">
        <v>103879</v>
      </c>
      <c r="G334" s="5">
        <f ca="1"/>
        <v>36068</v>
      </c>
      <c r="H334" s="7">
        <f ca="1"/>
        <v>144541</v>
      </c>
      <c r="I334" s="7">
        <f ca="1"/>
        <v>103879</v>
      </c>
      <c r="J334" s="7">
        <f ca="1"/>
        <v>0</v>
      </c>
      <c r="K334" s="7">
        <f ca="1"/>
        <v>103879</v>
      </c>
      <c r="L334" s="7">
        <f ca="1"/>
        <v>4254500</v>
      </c>
      <c r="M334" s="8">
        <f ca="1"/>
        <v>3.3973674932424494E-2</v>
      </c>
      <c r="N334" s="7">
        <f ca="1"/>
        <v>683800</v>
      </c>
      <c r="O334" s="11">
        <f ca="1"/>
        <v>103879</v>
      </c>
      <c r="P334" s="10">
        <f ca="1"/>
        <v>0.16072393935832649</v>
      </c>
      <c r="Q334" s="10">
        <f ca="1"/>
        <v>2.4416265131037725E-2</v>
      </c>
      <c r="R334" s="10">
        <f ca="1"/>
        <v>5.8389940063462223E-2</v>
      </c>
      <c r="T334" s="10">
        <f ca="1"/>
        <v>0.43027105104026164</v>
      </c>
      <c r="U334" s="10" t="e">
        <f ca="1"/>
        <v>#N/A</v>
      </c>
      <c r="V334" s="10" t="e">
        <f ca="1"/>
        <v>#N/A</v>
      </c>
      <c r="W334" s="10" t="e">
        <f ca="1"/>
        <v>#N/A</v>
      </c>
    </row>
    <row r="335" spans="1:23" x14ac:dyDescent="0.25">
      <c r="A335" s="2" t="s">
        <v>337</v>
      </c>
      <c r="B335" s="3">
        <v>155879</v>
      </c>
      <c r="C335" s="3">
        <v>100093</v>
      </c>
      <c r="G335" s="5">
        <f ca="1"/>
        <v>36038</v>
      </c>
      <c r="H335" s="7">
        <f ca="1"/>
        <v>155879</v>
      </c>
      <c r="I335" s="7">
        <f ca="1"/>
        <v>100093</v>
      </c>
      <c r="J335" s="7">
        <f ca="1"/>
        <v>0</v>
      </c>
      <c r="K335" s="7">
        <f ca="1"/>
        <v>100093</v>
      </c>
      <c r="L335" s="7">
        <f ca="1"/>
        <v>4220300</v>
      </c>
      <c r="M335" s="8">
        <f ca="1"/>
        <v>3.6935525910480299E-2</v>
      </c>
      <c r="N335" s="7">
        <f ca="1"/>
        <v>676200</v>
      </c>
      <c r="O335" s="11">
        <f ca="1"/>
        <v>100093</v>
      </c>
      <c r="P335" s="10">
        <f ca="1"/>
        <v>0.16022557638082602</v>
      </c>
      <c r="Q335" s="10">
        <f ca="1"/>
        <v>2.3717034334052083E-2</v>
      </c>
      <c r="R335" s="10">
        <f ca="1"/>
        <v>6.0652560244532382E-2</v>
      </c>
      <c r="T335" s="10">
        <f ca="1"/>
        <v>0.48399625199470098</v>
      </c>
      <c r="U335" s="10" t="e">
        <f ca="1"/>
        <v>#N/A</v>
      </c>
      <c r="V335" s="10" t="e">
        <f ca="1"/>
        <v>#N/A</v>
      </c>
      <c r="W335" s="10" t="e">
        <f ca="1"/>
        <v>#N/A</v>
      </c>
    </row>
    <row r="336" spans="1:23" x14ac:dyDescent="0.25">
      <c r="A336" s="2" t="s">
        <v>338</v>
      </c>
      <c r="B336" s="3">
        <v>160980</v>
      </c>
      <c r="C336" s="3">
        <v>92687</v>
      </c>
      <c r="G336" s="5">
        <f ca="1"/>
        <v>36007</v>
      </c>
      <c r="H336" s="7">
        <f ca="1"/>
        <v>160980</v>
      </c>
      <c r="I336" s="7">
        <f ca="1"/>
        <v>92687</v>
      </c>
      <c r="J336" s="7">
        <f ca="1"/>
        <v>0</v>
      </c>
      <c r="K336" s="7">
        <f ca="1"/>
        <v>92687</v>
      </c>
      <c r="L336" s="7">
        <f ca="1"/>
        <v>4193200</v>
      </c>
      <c r="M336" s="8">
        <f ca="1"/>
        <v>3.8390727845082517E-2</v>
      </c>
      <c r="N336" s="7">
        <f ca="1"/>
        <v>650900</v>
      </c>
      <c r="O336" s="11">
        <f ca="1"/>
        <v>92687</v>
      </c>
      <c r="P336" s="10">
        <f ca="1"/>
        <v>0.15522751120862349</v>
      </c>
      <c r="Q336" s="10">
        <f ca="1"/>
        <v>2.2104120957741103E-2</v>
      </c>
      <c r="R336" s="10">
        <f ca="1"/>
        <v>6.0494848802823617E-2</v>
      </c>
      <c r="T336" s="10">
        <f ca="1"/>
        <v>0.29603718914237365</v>
      </c>
      <c r="U336" s="10" t="e">
        <f ca="1"/>
        <v>#N/A</v>
      </c>
      <c r="V336" s="10" t="e">
        <f ca="1"/>
        <v>#N/A</v>
      </c>
      <c r="W336" s="10" t="e">
        <f ca="1"/>
        <v>#N/A</v>
      </c>
    </row>
    <row r="337" spans="1:23" x14ac:dyDescent="0.25">
      <c r="A337" s="2" t="s">
        <v>339</v>
      </c>
      <c r="B337" s="3">
        <v>154357</v>
      </c>
      <c r="C337" s="3">
        <v>87891</v>
      </c>
      <c r="G337" s="5">
        <f ca="1"/>
        <v>35976</v>
      </c>
      <c r="H337" s="7">
        <f ca="1"/>
        <v>154357</v>
      </c>
      <c r="I337" s="7">
        <f ca="1"/>
        <v>87891</v>
      </c>
      <c r="J337" s="7">
        <f ca="1"/>
        <v>0</v>
      </c>
      <c r="K337" s="7">
        <f ca="1"/>
        <v>87891</v>
      </c>
      <c r="L337" s="7">
        <f ca="1"/>
        <v>4174600.0000000005</v>
      </c>
      <c r="M337" s="8">
        <f ca="1"/>
        <v>3.6975279068653277E-2</v>
      </c>
      <c r="N337" s="7">
        <f ca="1"/>
        <v>642500</v>
      </c>
      <c r="O337" s="11">
        <f ca="1"/>
        <v>87891</v>
      </c>
      <c r="P337" s="10">
        <f ca="1"/>
        <v>0.15390696114597804</v>
      </c>
      <c r="Q337" s="10">
        <f ca="1"/>
        <v>2.1053753653044599E-2</v>
      </c>
      <c r="R337" s="10">
        <f ca="1"/>
        <v>5.8029032721697876E-2</v>
      </c>
      <c r="T337" s="10">
        <f ca="1"/>
        <v>0.32168560046346406</v>
      </c>
      <c r="U337" s="10" t="e">
        <f ca="1"/>
        <v>#N/A</v>
      </c>
      <c r="V337" s="10" t="e">
        <f ca="1"/>
        <v>#N/A</v>
      </c>
      <c r="W337" s="10" t="e">
        <f ca="1"/>
        <v>#N/A</v>
      </c>
    </row>
    <row r="338" spans="1:23" x14ac:dyDescent="0.25">
      <c r="A338" s="2" t="s">
        <v>340</v>
      </c>
      <c r="B338" s="3">
        <v>150293</v>
      </c>
      <c r="C338" s="3">
        <v>80174</v>
      </c>
      <c r="G338" s="5">
        <f ca="1"/>
        <v>35946</v>
      </c>
      <c r="H338" s="7">
        <f ca="1"/>
        <v>150293</v>
      </c>
      <c r="I338" s="7">
        <f ca="1"/>
        <v>80174</v>
      </c>
      <c r="J338" s="7">
        <f ca="1"/>
        <v>0</v>
      </c>
      <c r="K338" s="7">
        <f ca="1"/>
        <v>80174</v>
      </c>
      <c r="L338" s="7">
        <f ca="1"/>
        <v>4144000</v>
      </c>
      <c r="M338" s="8">
        <f ca="1"/>
        <v>3.6267615830115833E-2</v>
      </c>
      <c r="N338" s="7">
        <f ca="1"/>
        <v>638000</v>
      </c>
      <c r="O338" s="11">
        <f ca="1"/>
        <v>80174</v>
      </c>
      <c r="P338" s="10">
        <f ca="1"/>
        <v>0.15395752895752896</v>
      </c>
      <c r="Q338" s="10">
        <f ca="1"/>
        <v>1.934700772200772E-2</v>
      </c>
      <c r="R338" s="10">
        <f ca="1"/>
        <v>5.5614623552123557E-2</v>
      </c>
      <c r="T338" s="10">
        <f ca="1"/>
        <v>0.25265406870660367</v>
      </c>
      <c r="U338" s="10" t="e">
        <f ca="1"/>
        <v>#N/A</v>
      </c>
      <c r="V338" s="10" t="e">
        <f ca="1"/>
        <v>#N/A</v>
      </c>
      <c r="W338" s="10" t="e">
        <f ca="1"/>
        <v>#N/A</v>
      </c>
    </row>
    <row r="339" spans="1:23" x14ac:dyDescent="0.25">
      <c r="A339" s="2" t="s">
        <v>341</v>
      </c>
      <c r="B339" s="3">
        <v>146589</v>
      </c>
      <c r="C339" s="3">
        <v>85771</v>
      </c>
      <c r="G339" s="5">
        <f ca="1"/>
        <v>35915</v>
      </c>
      <c r="H339" s="7">
        <f ca="1"/>
        <v>146589</v>
      </c>
      <c r="I339" s="7">
        <f ca="1"/>
        <v>85771</v>
      </c>
      <c r="J339" s="7">
        <f ca="1"/>
        <v>0</v>
      </c>
      <c r="K339" s="7">
        <f ca="1"/>
        <v>85771</v>
      </c>
      <c r="L339" s="7">
        <f ca="1"/>
        <v>4174600.0000000005</v>
      </c>
      <c r="M339" s="8">
        <f ca="1"/>
        <v>3.5114501988214433E-2</v>
      </c>
      <c r="N339" s="7">
        <f ca="1"/>
        <v>637600</v>
      </c>
      <c r="O339" s="11">
        <f ca="1"/>
        <v>85771</v>
      </c>
      <c r="P339" s="10">
        <f ca="1"/>
        <v>0.15273319599482582</v>
      </c>
      <c r="Q339" s="10">
        <f ca="1"/>
        <v>2.0545920567239973E-2</v>
      </c>
      <c r="R339" s="10">
        <f ca="1"/>
        <v>5.5660422555454406E-2</v>
      </c>
      <c r="T339" s="10">
        <f ca="1"/>
        <v>0.25429274651450418</v>
      </c>
      <c r="U339" s="10" t="e">
        <f ca="1"/>
        <v>#N/A</v>
      </c>
      <c r="V339" s="10" t="e">
        <f ca="1"/>
        <v>#N/A</v>
      </c>
      <c r="W339" s="10" t="e">
        <f ca="1"/>
        <v>#N/A</v>
      </c>
    </row>
    <row r="340" spans="1:23" x14ac:dyDescent="0.25">
      <c r="A340" s="2" t="s">
        <v>342</v>
      </c>
      <c r="B340" s="3">
        <v>146536</v>
      </c>
      <c r="C340" s="3">
        <v>85580</v>
      </c>
      <c r="G340" s="5">
        <f ca="1"/>
        <v>35885</v>
      </c>
      <c r="H340" s="7">
        <f ca="1"/>
        <v>146536</v>
      </c>
      <c r="I340" s="7">
        <f ca="1"/>
        <v>85580</v>
      </c>
      <c r="J340" s="7">
        <f ca="1"/>
        <v>0</v>
      </c>
      <c r="K340" s="7">
        <f ca="1"/>
        <v>85580</v>
      </c>
      <c r="L340" s="7">
        <f ca="1"/>
        <v>4131700</v>
      </c>
      <c r="M340" s="8">
        <f ca="1"/>
        <v>3.5466272962703001E-2</v>
      </c>
      <c r="N340" s="7">
        <f ca="1"/>
        <v>636800</v>
      </c>
      <c r="O340" s="11">
        <f ca="1"/>
        <v>85580</v>
      </c>
      <c r="P340" s="10">
        <f ca="1"/>
        <v>0.15412542052908004</v>
      </c>
      <c r="Q340" s="10">
        <f ca="1"/>
        <v>2.0713023694847156E-2</v>
      </c>
      <c r="R340" s="10">
        <f ca="1"/>
        <v>5.6179296657550157E-2</v>
      </c>
      <c r="T340" s="10">
        <f ca="1"/>
        <v>0.33356024506466975</v>
      </c>
      <c r="U340" s="10" t="e">
        <f ca="1"/>
        <v>#N/A</v>
      </c>
      <c r="V340" s="10" t="e">
        <f ca="1"/>
        <v>#N/A</v>
      </c>
      <c r="W340" s="10" t="e">
        <f ca="1"/>
        <v>#N/A</v>
      </c>
    </row>
    <row r="341" spans="1:23" x14ac:dyDescent="0.25">
      <c r="A341" s="2" t="s">
        <v>343</v>
      </c>
      <c r="B341" s="3">
        <v>141328</v>
      </c>
      <c r="C341" s="3">
        <v>81932</v>
      </c>
      <c r="G341" s="5">
        <f ca="1"/>
        <v>35854</v>
      </c>
      <c r="H341" s="7">
        <f ca="1"/>
        <v>141328</v>
      </c>
      <c r="I341" s="7">
        <f ca="1"/>
        <v>81932</v>
      </c>
      <c r="J341" s="7">
        <f ca="1"/>
        <v>0</v>
      </c>
      <c r="K341" s="7">
        <f ca="1"/>
        <v>81932</v>
      </c>
      <c r="L341" s="7">
        <f ca="1"/>
        <v>4080100</v>
      </c>
      <c r="M341" s="8">
        <f ca="1"/>
        <v>3.4638366706698363E-2</v>
      </c>
      <c r="N341" s="7">
        <f ca="1"/>
        <v>622600</v>
      </c>
      <c r="O341" s="11">
        <f ca="1"/>
        <v>81932</v>
      </c>
      <c r="P341" s="10">
        <f ca="1"/>
        <v>0.15259429915933434</v>
      </c>
      <c r="Q341" s="10">
        <f ca="1"/>
        <v>2.0080880370579153E-2</v>
      </c>
      <c r="R341" s="10">
        <f ca="1"/>
        <v>5.4719247077277516E-2</v>
      </c>
      <c r="T341" s="10">
        <f ca="1"/>
        <v>0.32360348354208046</v>
      </c>
      <c r="U341" s="10" t="e">
        <f ca="1"/>
        <v>#N/A</v>
      </c>
      <c r="V341" s="10" t="e">
        <f ca="1"/>
        <v>#N/A</v>
      </c>
      <c r="W341" s="10" t="e">
        <f ca="1"/>
        <v>#N/A</v>
      </c>
    </row>
    <row r="342" spans="1:23" x14ac:dyDescent="0.25">
      <c r="A342" s="2" t="s">
        <v>344</v>
      </c>
      <c r="B342" s="3">
        <v>132912</v>
      </c>
      <c r="C342" s="3">
        <v>83362</v>
      </c>
      <c r="G342" s="5">
        <f ca="1"/>
        <v>35826</v>
      </c>
      <c r="H342" s="7">
        <f ca="1"/>
        <v>132912</v>
      </c>
      <c r="I342" s="7">
        <f ca="1"/>
        <v>83362</v>
      </c>
      <c r="J342" s="7">
        <f ca="1"/>
        <v>0</v>
      </c>
      <c r="K342" s="7">
        <f ca="1"/>
        <v>83362</v>
      </c>
      <c r="L342" s="7">
        <f ca="1"/>
        <v>4062500</v>
      </c>
      <c r="M342" s="8">
        <f ca="1"/>
        <v>3.2716799999999997E-2</v>
      </c>
      <c r="N342" s="7">
        <f ca="1"/>
        <v>606300</v>
      </c>
      <c r="O342" s="11">
        <f ca="1"/>
        <v>83362</v>
      </c>
      <c r="P342" s="10">
        <f ca="1"/>
        <v>0.14924307692307692</v>
      </c>
      <c r="Q342" s="10">
        <f ca="1"/>
        <v>2.0519876923076923E-2</v>
      </c>
      <c r="R342" s="10">
        <f ca="1"/>
        <v>5.3236676923076917E-2</v>
      </c>
      <c r="T342" s="10">
        <f ca="1"/>
        <v>0.39034766901099505</v>
      </c>
      <c r="U342" s="10" t="e">
        <f ca="1"/>
        <v>#N/A</v>
      </c>
      <c r="V342" s="10" t="e">
        <f ca="1"/>
        <v>#N/A</v>
      </c>
      <c r="W342" s="10" t="e">
        <f ca="1"/>
        <v>#N/A</v>
      </c>
    </row>
    <row r="343" spans="1:23" x14ac:dyDescent="0.25">
      <c r="A343" s="2" t="s">
        <v>345</v>
      </c>
      <c r="B343" s="3">
        <v>131560</v>
      </c>
      <c r="C343" s="3">
        <v>88590</v>
      </c>
      <c r="G343" s="5">
        <f ca="1"/>
        <v>35795</v>
      </c>
      <c r="H343" s="7">
        <f ca="1"/>
        <v>131560</v>
      </c>
      <c r="I343" s="7">
        <f ca="1"/>
        <v>88590</v>
      </c>
      <c r="J343" s="7">
        <f ca="1"/>
        <v>0</v>
      </c>
      <c r="K343" s="7">
        <f ca="1"/>
        <v>88590</v>
      </c>
      <c r="L343" s="7">
        <f ca="1"/>
        <v>4055100</v>
      </c>
      <c r="M343" s="8">
        <f ca="1"/>
        <v>3.2443096347808932E-2</v>
      </c>
      <c r="N343" s="7">
        <f ca="1"/>
        <v>589600</v>
      </c>
      <c r="O343" s="11">
        <f ca="1"/>
        <v>88590</v>
      </c>
      <c r="P343" s="10">
        <f ca="1"/>
        <v>0.14539715420088284</v>
      </c>
      <c r="Q343" s="10">
        <f ca="1"/>
        <v>2.1846563586594658E-2</v>
      </c>
      <c r="R343" s="10">
        <f ca="1"/>
        <v>5.4289659934403586E-2</v>
      </c>
      <c r="T343" s="10">
        <f ca="1"/>
        <v>0.32179546244306079</v>
      </c>
      <c r="U343" s="10" t="e">
        <f ca="1"/>
        <v>#N/A</v>
      </c>
      <c r="V343" s="10" t="e">
        <f ca="1"/>
        <v>#N/A</v>
      </c>
      <c r="W343" s="10" t="e">
        <f ca="1"/>
        <v>#N/A</v>
      </c>
    </row>
    <row r="344" spans="1:23" x14ac:dyDescent="0.25">
      <c r="A344" s="2" t="s">
        <v>346</v>
      </c>
      <c r="B344" s="3">
        <v>132741</v>
      </c>
      <c r="C344" s="3">
        <v>77259</v>
      </c>
      <c r="G344" s="5">
        <f ca="1"/>
        <v>35764</v>
      </c>
      <c r="H344" s="7">
        <f ca="1"/>
        <v>132741</v>
      </c>
      <c r="I344" s="7">
        <f ca="1"/>
        <v>77259</v>
      </c>
      <c r="J344" s="7">
        <f ca="1"/>
        <v>0</v>
      </c>
      <c r="K344" s="7">
        <f ca="1"/>
        <v>77259</v>
      </c>
      <c r="L344" s="7">
        <f ca="1"/>
        <v>4015800</v>
      </c>
      <c r="M344" s="8">
        <f ca="1"/>
        <v>3.3054683998207081E-2</v>
      </c>
      <c r="N344" s="7">
        <f ca="1"/>
        <v>592600</v>
      </c>
      <c r="O344" s="11">
        <f ca="1"/>
        <v>77259</v>
      </c>
      <c r="P344" s="10">
        <f ca="1"/>
        <v>0.14756710991583247</v>
      </c>
      <c r="Q344" s="10">
        <f ca="1"/>
        <v>1.9238756910204692E-2</v>
      </c>
      <c r="R344" s="10">
        <f ca="1"/>
        <v>5.2293440908411773E-2</v>
      </c>
      <c r="T344" s="10">
        <f ca="1"/>
        <v>0.38204940384995822</v>
      </c>
      <c r="U344" s="10" t="e">
        <f ca="1"/>
        <v>#N/A</v>
      </c>
      <c r="V344" s="10" t="e">
        <f ca="1"/>
        <v>#N/A</v>
      </c>
      <c r="W344" s="10" t="e">
        <f ca="1"/>
        <v>#N/A</v>
      </c>
    </row>
    <row r="345" spans="1:23" x14ac:dyDescent="0.25">
      <c r="A345" s="2" t="s">
        <v>347</v>
      </c>
      <c r="B345" s="3">
        <v>134491</v>
      </c>
      <c r="C345" s="3">
        <v>80287</v>
      </c>
      <c r="G345" s="5">
        <f ca="1"/>
        <v>35734</v>
      </c>
      <c r="H345" s="7">
        <f ca="1"/>
        <v>134491</v>
      </c>
      <c r="I345" s="7">
        <f ca="1"/>
        <v>80287</v>
      </c>
      <c r="J345" s="7">
        <f ca="1"/>
        <v>0</v>
      </c>
      <c r="K345" s="7">
        <f ca="1"/>
        <v>80287</v>
      </c>
      <c r="L345" s="7">
        <f ca="1"/>
        <v>3977200</v>
      </c>
      <c r="M345" s="8">
        <f ca="1"/>
        <v>3.3815498340541081E-2</v>
      </c>
      <c r="N345" s="7">
        <f ca="1"/>
        <v>580300</v>
      </c>
      <c r="O345" s="11">
        <f ca="1"/>
        <v>80287</v>
      </c>
      <c r="P345" s="10">
        <f ca="1"/>
        <v>0.14590666800764357</v>
      </c>
      <c r="Q345" s="10">
        <f ca="1"/>
        <v>2.0186814844614303E-2</v>
      </c>
      <c r="R345" s="10">
        <f ca="1"/>
        <v>5.4002313185155387E-2</v>
      </c>
      <c r="T345" s="10">
        <f ca="1"/>
        <v>0.45275631168863129</v>
      </c>
      <c r="U345" s="10" t="e">
        <f ca="1"/>
        <v>#N/A</v>
      </c>
      <c r="V345" s="10" t="e">
        <f ca="1"/>
        <v>#N/A</v>
      </c>
      <c r="W345" s="10" t="e">
        <f ca="1"/>
        <v>#N/A</v>
      </c>
    </row>
    <row r="346" spans="1:23" x14ac:dyDescent="0.25">
      <c r="A346" s="2" t="s">
        <v>348</v>
      </c>
      <c r="B346" s="3">
        <v>131962</v>
      </c>
      <c r="C346" s="3">
        <v>73087</v>
      </c>
      <c r="G346" s="5">
        <f ca="1"/>
        <v>35703</v>
      </c>
      <c r="H346" s="7">
        <f ca="1"/>
        <v>131962</v>
      </c>
      <c r="I346" s="7">
        <f ca="1"/>
        <v>73087</v>
      </c>
      <c r="J346" s="7">
        <f ca="1"/>
        <v>0</v>
      </c>
      <c r="K346" s="7">
        <f ca="1"/>
        <v>73087</v>
      </c>
      <c r="L346" s="7">
        <f ca="1"/>
        <v>3961500</v>
      </c>
      <c r="M346" s="8">
        <f ca="1"/>
        <v>3.3311119525432288E-2</v>
      </c>
      <c r="N346" s="7">
        <f ca="1"/>
        <v>572200</v>
      </c>
      <c r="O346" s="11">
        <f ca="1"/>
        <v>73087</v>
      </c>
      <c r="P346" s="10">
        <f ca="1"/>
        <v>0.14444023728385713</v>
      </c>
      <c r="Q346" s="10">
        <f ca="1"/>
        <v>1.8449324750725735E-2</v>
      </c>
      <c r="R346" s="10">
        <f ca="1"/>
        <v>5.1760444276158023E-2</v>
      </c>
      <c r="T346" s="10">
        <f ca="1"/>
        <v>0.44910683059200895</v>
      </c>
      <c r="U346" s="10" t="e">
        <f ca="1"/>
        <v>#N/A</v>
      </c>
      <c r="V346" s="10" t="e">
        <f ca="1"/>
        <v>#N/A</v>
      </c>
      <c r="W346" s="10" t="e">
        <f ca="1"/>
        <v>#N/A</v>
      </c>
    </row>
    <row r="347" spans="1:23" x14ac:dyDescent="0.25">
      <c r="A347" s="2" t="s">
        <v>349</v>
      </c>
      <c r="B347" s="3">
        <v>124404</v>
      </c>
      <c r="C347" s="3">
        <v>71211</v>
      </c>
      <c r="G347" s="5">
        <f ca="1"/>
        <v>35673</v>
      </c>
      <c r="H347" s="7">
        <f ca="1"/>
        <v>124404</v>
      </c>
      <c r="I347" s="7">
        <f ca="1"/>
        <v>71211</v>
      </c>
      <c r="J347" s="7">
        <f ca="1"/>
        <v>0</v>
      </c>
      <c r="K347" s="7">
        <f ca="1"/>
        <v>71211</v>
      </c>
      <c r="L347" s="7">
        <f ca="1"/>
        <v>3953200</v>
      </c>
      <c r="M347" s="8">
        <f ca="1"/>
        <v>3.146918951735303E-2</v>
      </c>
      <c r="N347" s="7">
        <f ca="1"/>
        <v>574300</v>
      </c>
      <c r="O347" s="11">
        <f ca="1"/>
        <v>71211</v>
      </c>
      <c r="P347" s="10">
        <f ca="1"/>
        <v>0.14527471415562077</v>
      </c>
      <c r="Q347" s="10">
        <f ca="1"/>
        <v>1.801350804411616E-2</v>
      </c>
      <c r="R347" s="10">
        <f ca="1"/>
        <v>4.948269756146919E-2</v>
      </c>
      <c r="T347" s="10">
        <f ca="1"/>
        <v>0.44734122118901665</v>
      </c>
      <c r="U347" s="10" t="e">
        <f ca="1"/>
        <v>#N/A</v>
      </c>
      <c r="V347" s="10" t="e">
        <f ca="1"/>
        <v>#N/A</v>
      </c>
      <c r="W347" s="10" t="e">
        <f ca="1"/>
        <v>#N/A</v>
      </c>
    </row>
    <row r="348" spans="1:23" x14ac:dyDescent="0.25">
      <c r="A348" s="2" t="s">
        <v>350</v>
      </c>
      <c r="B348" s="3">
        <v>121090</v>
      </c>
      <c r="C348" s="3">
        <v>73714</v>
      </c>
      <c r="G348" s="5">
        <f ca="1"/>
        <v>35642</v>
      </c>
      <c r="H348" s="7">
        <f ca="1"/>
        <v>121090</v>
      </c>
      <c r="I348" s="7">
        <f ca="1"/>
        <v>73714</v>
      </c>
      <c r="J348" s="7">
        <f ca="1"/>
        <v>0</v>
      </c>
      <c r="K348" s="7">
        <f ca="1"/>
        <v>73714</v>
      </c>
      <c r="L348" s="7">
        <f ca="1"/>
        <v>3918500</v>
      </c>
      <c r="M348" s="8">
        <f ca="1"/>
        <v>3.0902130917442899E-2</v>
      </c>
      <c r="N348" s="7">
        <f ca="1"/>
        <v>552600</v>
      </c>
      <c r="O348" s="11">
        <f ca="1"/>
        <v>73714</v>
      </c>
      <c r="P348" s="10">
        <f ca="1"/>
        <v>0.14102335077197908</v>
      </c>
      <c r="Q348" s="10">
        <f ca="1"/>
        <v>1.8811790225851728E-2</v>
      </c>
      <c r="R348" s="10">
        <f ca="1"/>
        <v>4.9713921143294627E-2</v>
      </c>
      <c r="T348" s="10">
        <f ca="1"/>
        <v>0.39910517245624977</v>
      </c>
      <c r="U348" s="10" t="e">
        <f ca="1"/>
        <v>#N/A</v>
      </c>
      <c r="V348" s="10" t="e">
        <f ca="1"/>
        <v>#N/A</v>
      </c>
      <c r="W348" s="10" t="e">
        <f ca="1"/>
        <v>#N/A</v>
      </c>
    </row>
    <row r="349" spans="1:23" x14ac:dyDescent="0.25">
      <c r="A349" s="2" t="s">
        <v>351</v>
      </c>
      <c r="B349" s="3">
        <v>118843</v>
      </c>
      <c r="C349" s="3">
        <v>72422</v>
      </c>
      <c r="G349" s="5">
        <f ca="1"/>
        <v>35611</v>
      </c>
      <c r="H349" s="7">
        <f ca="1"/>
        <v>118843</v>
      </c>
      <c r="I349" s="7">
        <f ca="1"/>
        <v>72422</v>
      </c>
      <c r="J349" s="7">
        <f ca="1"/>
        <v>0</v>
      </c>
      <c r="K349" s="7">
        <f ca="1"/>
        <v>72422</v>
      </c>
      <c r="L349" s="7">
        <f ca="1"/>
        <v>3899500</v>
      </c>
      <c r="M349" s="8">
        <f ca="1"/>
        <v>3.0476471342479806E-2</v>
      </c>
      <c r="N349" s="7">
        <f ca="1"/>
        <v>540400</v>
      </c>
      <c r="O349" s="11">
        <f ca="1"/>
        <v>72422</v>
      </c>
      <c r="P349" s="10">
        <f ca="1"/>
        <v>0.13858186947044493</v>
      </c>
      <c r="Q349" s="10">
        <f ca="1"/>
        <v>1.8572124631362995E-2</v>
      </c>
      <c r="R349" s="10">
        <f ca="1"/>
        <v>4.9048595973842798E-2</v>
      </c>
      <c r="T349" s="10">
        <f ca="1"/>
        <v>0.45329549430449556</v>
      </c>
      <c r="U349" s="10" t="e">
        <f ca="1"/>
        <v>#N/A</v>
      </c>
      <c r="V349" s="10" t="e">
        <f ca="1"/>
        <v>#N/A</v>
      </c>
      <c r="W349" s="10" t="e">
        <f ca="1"/>
        <v>#N/A</v>
      </c>
    </row>
    <row r="350" spans="1:23" x14ac:dyDescent="0.25">
      <c r="A350" s="2" t="s">
        <v>352</v>
      </c>
      <c r="B350" s="3">
        <v>111097</v>
      </c>
      <c r="C350" s="3">
        <v>66879</v>
      </c>
      <c r="G350" s="5">
        <f ca="1"/>
        <v>35581</v>
      </c>
      <c r="H350" s="7">
        <f ca="1"/>
        <v>111097</v>
      </c>
      <c r="I350" s="7">
        <f ca="1"/>
        <v>66879</v>
      </c>
      <c r="J350" s="7">
        <f ca="1"/>
        <v>0</v>
      </c>
      <c r="K350" s="7">
        <f ca="1"/>
        <v>66879</v>
      </c>
      <c r="L350" s="7">
        <f ca="1"/>
        <v>3869400</v>
      </c>
      <c r="M350" s="8">
        <f ca="1"/>
        <v>2.8711686566392721E-2</v>
      </c>
      <c r="N350" s="7">
        <f ca="1"/>
        <v>539400</v>
      </c>
      <c r="O350" s="11">
        <f ca="1"/>
        <v>66879</v>
      </c>
      <c r="P350" s="10">
        <f ca="1"/>
        <v>0.13940145759032407</v>
      </c>
      <c r="Q350" s="10">
        <f ca="1"/>
        <v>1.728407505039541E-2</v>
      </c>
      <c r="R350" s="10">
        <f ca="1"/>
        <v>4.5995761616788131E-2</v>
      </c>
      <c r="T350" s="10">
        <f ca="1"/>
        <v>0.4598126954386994</v>
      </c>
      <c r="U350" s="10" t="e">
        <f ca="1"/>
        <v>#N/A</v>
      </c>
      <c r="V350" s="10" t="e">
        <f ca="1"/>
        <v>#N/A</v>
      </c>
      <c r="W350" s="10" t="e">
        <f ca="1"/>
        <v>#N/A</v>
      </c>
    </row>
    <row r="351" spans="1:23" x14ac:dyDescent="0.25">
      <c r="A351" s="2" t="s">
        <v>353</v>
      </c>
      <c r="B351" s="3">
        <v>102842</v>
      </c>
      <c r="C351" s="3">
        <v>64825</v>
      </c>
      <c r="G351" s="5">
        <f ca="1"/>
        <v>35550</v>
      </c>
      <c r="H351" s="7">
        <f ca="1"/>
        <v>102842</v>
      </c>
      <c r="I351" s="7">
        <f ca="1"/>
        <v>64825</v>
      </c>
      <c r="J351" s="7">
        <f ca="1"/>
        <v>0</v>
      </c>
      <c r="K351" s="7">
        <f ca="1"/>
        <v>64825</v>
      </c>
      <c r="L351" s="7">
        <f ca="1"/>
        <v>3905700</v>
      </c>
      <c r="M351" s="8">
        <f ca="1"/>
        <v>2.633125944132934E-2</v>
      </c>
      <c r="N351" s="7">
        <f ca="1"/>
        <v>544700</v>
      </c>
      <c r="O351" s="11">
        <f ca="1"/>
        <v>64825</v>
      </c>
      <c r="P351" s="10">
        <f ca="1"/>
        <v>0.13946283636736054</v>
      </c>
      <c r="Q351" s="10">
        <f ca="1"/>
        <v>1.6597536933200194E-2</v>
      </c>
      <c r="R351" s="10">
        <f ca="1"/>
        <v>4.2928796374529538E-2</v>
      </c>
      <c r="T351" s="10">
        <f ca="1"/>
        <v>0.59687519874660899</v>
      </c>
      <c r="U351" s="10" t="e">
        <f ca="1"/>
        <v>#N/A</v>
      </c>
      <c r="V351" s="10" t="e">
        <f ca="1"/>
        <v>#N/A</v>
      </c>
      <c r="W351" s="10" t="e">
        <f ca="1"/>
        <v>#N/A</v>
      </c>
    </row>
    <row r="352" spans="1:23" x14ac:dyDescent="0.25">
      <c r="A352" s="2" t="s">
        <v>354</v>
      </c>
      <c r="B352" s="3">
        <v>104835</v>
      </c>
      <c r="C352" s="3">
        <v>69553</v>
      </c>
      <c r="G352" s="5">
        <f ca="1"/>
        <v>35520</v>
      </c>
      <c r="H352" s="7">
        <f ca="1"/>
        <v>104835</v>
      </c>
      <c r="I352" s="7">
        <f ca="1"/>
        <v>69553</v>
      </c>
      <c r="J352" s="7">
        <f ca="1"/>
        <v>0</v>
      </c>
      <c r="K352" s="7">
        <f ca="1"/>
        <v>69553</v>
      </c>
      <c r="L352" s="7">
        <f ca="1"/>
        <v>3873200</v>
      </c>
      <c r="M352" s="8">
        <f ca="1"/>
        <v>2.7066766497986162E-2</v>
      </c>
      <c r="N352" s="7">
        <f ca="1"/>
        <v>545900</v>
      </c>
      <c r="O352" s="11">
        <f ca="1"/>
        <v>69553</v>
      </c>
      <c r="P352" s="10">
        <f ca="1"/>
        <v>0.14094288960033047</v>
      </c>
      <c r="Q352" s="10">
        <f ca="1"/>
        <v>1.7957502840028918E-2</v>
      </c>
      <c r="R352" s="10">
        <f ca="1"/>
        <v>4.502426933801508E-2</v>
      </c>
      <c r="T352" s="10">
        <f ca="1"/>
        <v>0.62356031857075478</v>
      </c>
      <c r="U352" s="10" t="e">
        <f ca="1"/>
        <v>#N/A</v>
      </c>
      <c r="V352" s="10" t="e">
        <f ca="1"/>
        <v>#N/A</v>
      </c>
      <c r="W352" s="10" t="e">
        <f ca="1"/>
        <v>#N/A</v>
      </c>
    </row>
    <row r="353" spans="1:23" x14ac:dyDescent="0.25">
      <c r="A353" s="2" t="s">
        <v>355</v>
      </c>
      <c r="B353" s="3">
        <v>103886</v>
      </c>
      <c r="C353" s="3">
        <v>67058</v>
      </c>
      <c r="G353" s="5">
        <f ca="1"/>
        <v>35489</v>
      </c>
      <c r="H353" s="7">
        <f ca="1"/>
        <v>103886</v>
      </c>
      <c r="I353" s="7">
        <f ca="1"/>
        <v>67058</v>
      </c>
      <c r="J353" s="7">
        <f ca="1"/>
        <v>0</v>
      </c>
      <c r="K353" s="7">
        <f ca="1"/>
        <v>67058</v>
      </c>
      <c r="L353" s="7">
        <f ca="1"/>
        <v>3835100</v>
      </c>
      <c r="M353" s="8">
        <f ca="1"/>
        <v>2.7088211519908215E-2</v>
      </c>
      <c r="N353" s="7">
        <f ca="1"/>
        <v>530500</v>
      </c>
      <c r="O353" s="11">
        <f ca="1"/>
        <v>67058</v>
      </c>
      <c r="P353" s="10">
        <f ca="1"/>
        <v>0.13832755338843838</v>
      </c>
      <c r="Q353" s="10">
        <f ca="1"/>
        <v>1.7485332846601132E-2</v>
      </c>
      <c r="R353" s="10">
        <f ca="1"/>
        <v>4.4573544366509343E-2</v>
      </c>
      <c r="T353" s="10">
        <f ca="1"/>
        <v>0.47142206077968773</v>
      </c>
      <c r="U353" s="10" t="e">
        <f ca="1"/>
        <v>#N/A</v>
      </c>
      <c r="V353" s="10" t="e">
        <f ca="1"/>
        <v>#N/A</v>
      </c>
      <c r="W353" s="10" t="e">
        <f ca="1"/>
        <v>#N/A</v>
      </c>
    </row>
    <row r="354" spans="1:23" x14ac:dyDescent="0.25">
      <c r="A354" s="2" t="s">
        <v>356</v>
      </c>
      <c r="B354" s="3">
        <v>103337</v>
      </c>
      <c r="C354" s="3">
        <v>68856</v>
      </c>
      <c r="G354" s="5">
        <f ca="1"/>
        <v>35461</v>
      </c>
      <c r="H354" s="7">
        <f ca="1"/>
        <v>103337</v>
      </c>
      <c r="I354" s="7">
        <f ca="1"/>
        <v>68856</v>
      </c>
      <c r="J354" s="7">
        <f ca="1"/>
        <v>0</v>
      </c>
      <c r="K354" s="7">
        <f ca="1"/>
        <v>68856</v>
      </c>
      <c r="L354" s="7">
        <f ca="1"/>
        <v>3839500</v>
      </c>
      <c r="M354" s="8">
        <f ca="1"/>
        <v>2.6914181534053915E-2</v>
      </c>
      <c r="N354" s="7">
        <f ca="1"/>
        <v>525700</v>
      </c>
      <c r="O354" s="11">
        <f ca="1"/>
        <v>68856</v>
      </c>
      <c r="P354" s="10">
        <f ca="1"/>
        <v>0.13691886964448496</v>
      </c>
      <c r="Q354" s="10">
        <f ca="1"/>
        <v>1.7933585102226854E-2</v>
      </c>
      <c r="R354" s="10">
        <f ca="1"/>
        <v>4.4847766636280768E-2</v>
      </c>
      <c r="T354" s="10">
        <f ca="1"/>
        <v>0.3975146045031801</v>
      </c>
      <c r="U354" s="10" t="e">
        <f ca="1"/>
        <v>#N/A</v>
      </c>
      <c r="V354" s="10" t="e">
        <f ca="1"/>
        <v>#N/A</v>
      </c>
      <c r="W354" s="10" t="e">
        <f ca="1"/>
        <v>#N/A</v>
      </c>
    </row>
  </sheetData>
  <mergeCells count="2">
    <mergeCell ref="AG17:AH17"/>
    <mergeCell ref="AG32:AH32"/>
  </mergeCells>
  <conditionalFormatting sqref="AG19:AG21">
    <cfRule type="top10" dxfId="3" priority="4" rank="1"/>
  </conditionalFormatting>
  <conditionalFormatting sqref="AH19:AH21">
    <cfRule type="top10" dxfId="2" priority="3" rank="1"/>
  </conditionalFormatting>
  <conditionalFormatting sqref="AG34:AG36">
    <cfRule type="top10" dxfId="1" priority="2" rank="1"/>
  </conditionalFormatting>
  <conditionalFormatting sqref="AH34:AH36">
    <cfRule type="top10" dxfId="0" priority="1" rank="1"/>
  </conditionalFormatting>
  <dataValidations count="1">
    <dataValidation type="whole" allowBlank="1" showInputMessage="1" showErrorMessage="1" sqref="Z2" xr:uid="{381C7DA2-8699-4CFD-9089-85BC9E2BC21D}">
      <formula1>1</formula1>
      <formula2>24</formula2>
    </dataValidation>
  </dataValidation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F80B71-D7A8-4E9F-9CDF-04FD6F76FF7D}">
  <dimension ref="A1:K25"/>
  <sheetViews>
    <sheetView zoomScale="80" zoomScaleNormal="80" workbookViewId="0">
      <selection activeCell="G1" sqref="G1"/>
    </sheetView>
  </sheetViews>
  <sheetFormatPr defaultRowHeight="15" x14ac:dyDescent="0.25"/>
  <cols>
    <col min="2" max="2" width="11.5703125" bestFit="1" customWidth="1"/>
    <col min="3" max="5" width="9.85546875" style="8" customWidth="1"/>
    <col min="7" max="7" width="11.5703125" style="5" bestFit="1" customWidth="1"/>
    <col min="9" max="11" width="9.85546875" customWidth="1"/>
  </cols>
  <sheetData>
    <row r="1" spans="1:11" ht="60" x14ac:dyDescent="0.25">
      <c r="A1" s="17" t="s">
        <v>366</v>
      </c>
      <c r="B1" s="21" t="s">
        <v>357</v>
      </c>
      <c r="C1" s="24" t="s">
        <v>403</v>
      </c>
      <c r="D1" s="24" t="s">
        <v>401</v>
      </c>
      <c r="E1" s="24" t="s">
        <v>402</v>
      </c>
      <c r="G1" s="25" t="s">
        <v>404</v>
      </c>
      <c r="H1" s="24" t="s">
        <v>405</v>
      </c>
      <c r="I1" s="24" t="s">
        <v>406</v>
      </c>
      <c r="J1" s="24" t="s">
        <v>407</v>
      </c>
      <c r="K1" s="24" t="s">
        <v>408</v>
      </c>
    </row>
    <row r="2" spans="1:11" x14ac:dyDescent="0.25">
      <c r="A2" cm="1">
        <f t="array" ref="A2:A22">_xlfn.SEQUENCE('Customer Margin Balances'!Z2,,'Customer Margin Balances'!Z2,-1)</f>
        <v>21</v>
      </c>
      <c r="B2" s="5" cm="1">
        <f t="array" aca="1" ref="B2:B22" ca="1">_xlfn.BYROW(_xlfn.ANCHORARRAY(A2), _xlfn.LAMBDA(_xlpm.mthFwd, EOMONTH('Customer Margin Balances'!G2, _xlpm.mthFwd)))</f>
        <v>46812</v>
      </c>
      <c r="C2" s="8" cm="1">
        <f t="array" aca="1" ref="C2:C22" ca="1">OFFSET('R-Sq'!K3, 'Customer Margin Balances'!$Z$2, ) *OFFSET('R-Sq'!C3,,,'Customer Margin Balances'!$Z$2) +OFFSET('R-Sq'!O3, 'Customer Margin Balances'!$Z$2, )</f>
        <v>-0.32745581592086603</v>
      </c>
      <c r="D2" s="8" cm="1">
        <f t="array" aca="1" ref="D2:D22" ca="1">OFFSET('R-Sq'!L3, 'Customer Margin Balances'!$Z$2, ) *OFFSET('R-Sq'!D3,,,'Customer Margin Balances'!$Z$2) +OFFSET('R-Sq'!P3, 'Customer Margin Balances'!$Z$2, )</f>
        <v>-0.75115242977277896</v>
      </c>
      <c r="E2" s="8" cm="1">
        <f t="array" aca="1" ref="E2:E22" ca="1">OFFSET('R-Sq'!M3, 'Customer Margin Balances'!$Z$2, ) *OFFSET('R-Sq'!E3,,,'Customer Margin Balances'!$Z$2) +OFFSET('R-Sq'!Q3, 'Customer Margin Balances'!$Z$2, )</f>
        <v>0.28326535227160182</v>
      </c>
      <c r="G2" s="5" cm="1">
        <f t="array" aca="1" ref="G2:G22" ca="1">EOMONTH(--_xlfn.ANCHORARRAY(B2), -'Customer Margin Balances'!Z2)</f>
        <v>46173</v>
      </c>
      <c r="H2" cm="1">
        <f t="array" aca="1" ref="H2:H22" ca="1">INDEX('SP500'!B:B, MATCH(_xlfn.ANCHORARRAY(G2), 'SP500'!A:A, 1))</f>
        <v>7580.06</v>
      </c>
      <c r="I2" cm="1">
        <f t="array" aca="1" ref="I2:I22" ca="1">_xlfn.ANCHORARRAY($H2) *(1 +_xlfn.ANCHORARRAY(C2))</f>
        <v>5097.9252679708807</v>
      </c>
      <c r="J2" cm="1">
        <f t="array" aca="1" ref="J2:J22" ca="1">_xlfn.ANCHORARRAY($H2) *(1 +_xlfn.ANCHORARRAY(D2))</f>
        <v>1886.2795131765492</v>
      </c>
      <c r="K2" cm="1">
        <f t="array" aca="1" ref="K2:K22" ca="1">_xlfn.ANCHORARRAY($H2) *(1 +_xlfn.ANCHORARRAY(E2))</f>
        <v>9727.2283661398778</v>
      </c>
    </row>
    <row r="3" spans="1:11" x14ac:dyDescent="0.25">
      <c r="A3">
        <v>20</v>
      </c>
      <c r="B3" s="5">
        <f ca="1"/>
        <v>46783</v>
      </c>
      <c r="C3" s="8">
        <f ca="1"/>
        <v>-0.22467318601456476</v>
      </c>
      <c r="D3" s="8">
        <f ca="1"/>
        <v>-0.56358711190422106</v>
      </c>
      <c r="E3" s="8">
        <f ca="1"/>
        <v>0.27553374607368974</v>
      </c>
      <c r="G3" s="5">
        <f ca="1"/>
        <v>46142</v>
      </c>
      <c r="H3">
        <f ca="1"/>
        <v>7209.01</v>
      </c>
      <c r="I3">
        <f ca="1"/>
        <v>5589.3387552891427</v>
      </c>
      <c r="J3">
        <f ca="1"/>
        <v>3146.1048744113514</v>
      </c>
      <c r="K3">
        <f ca="1"/>
        <v>9195.3355307826896</v>
      </c>
    </row>
    <row r="4" spans="1:11" x14ac:dyDescent="0.25">
      <c r="A4">
        <v>19</v>
      </c>
      <c r="B4" s="5">
        <f ca="1"/>
        <v>46752</v>
      </c>
      <c r="C4" s="8">
        <f ca="1"/>
        <v>-0.14111626350814999</v>
      </c>
      <c r="D4" s="8">
        <f ca="1"/>
        <v>-0.43132918477396398</v>
      </c>
      <c r="E4" s="8">
        <f ca="1"/>
        <v>0.27826983822443419</v>
      </c>
      <c r="G4" s="5">
        <f ca="1"/>
        <v>46112</v>
      </c>
      <c r="H4">
        <f ca="1"/>
        <v>6528.52</v>
      </c>
      <c r="I4">
        <f ca="1"/>
        <v>5607.2396513617732</v>
      </c>
      <c r="J4">
        <f ca="1"/>
        <v>3712.578790619481</v>
      </c>
      <c r="K4">
        <f ca="1"/>
        <v>8345.2102042449842</v>
      </c>
    </row>
    <row r="5" spans="1:11" x14ac:dyDescent="0.25">
      <c r="A5">
        <v>18</v>
      </c>
      <c r="B5" s="5">
        <f ca="1"/>
        <v>46721</v>
      </c>
      <c r="C5" s="8">
        <f ca="1"/>
        <v>-0.17326300248716464</v>
      </c>
      <c r="D5" s="8">
        <f ca="1"/>
        <v>-0.51438900065710369</v>
      </c>
      <c r="E5" s="8">
        <f ca="1"/>
        <v>0.29157115693524249</v>
      </c>
      <c r="G5" s="5">
        <f ca="1"/>
        <v>46081</v>
      </c>
      <c r="H5">
        <f ca="1"/>
        <v>6878.88</v>
      </c>
      <c r="I5">
        <f ca="1"/>
        <v>5687.0245974510926</v>
      </c>
      <c r="J5">
        <f ca="1"/>
        <v>3340.4597911598626</v>
      </c>
      <c r="K5">
        <f ca="1"/>
        <v>8884.5630000187011</v>
      </c>
    </row>
    <row r="6" spans="1:11" x14ac:dyDescent="0.25">
      <c r="A6">
        <v>17</v>
      </c>
      <c r="B6" s="5">
        <f ca="1"/>
        <v>46691</v>
      </c>
      <c r="C6" s="8">
        <f ca="1"/>
        <v>-0.20102713147441831</v>
      </c>
      <c r="D6" s="8">
        <f ca="1"/>
        <v>-0.56618880429062424</v>
      </c>
      <c r="E6" s="8">
        <f ca="1"/>
        <v>0.29416543456960004</v>
      </c>
      <c r="G6" s="5">
        <f ca="1"/>
        <v>46053</v>
      </c>
      <c r="H6">
        <f ca="1"/>
        <v>6939.03</v>
      </c>
      <c r="I6">
        <f ca="1"/>
        <v>5544.0967038850667</v>
      </c>
      <c r="J6">
        <f ca="1"/>
        <v>3010.2289013632294</v>
      </c>
      <c r="K6">
        <f ca="1"/>
        <v>8980.2527754414914</v>
      </c>
    </row>
    <row r="7" spans="1:11" x14ac:dyDescent="0.25">
      <c r="A7">
        <v>16</v>
      </c>
      <c r="B7" s="5">
        <f ca="1"/>
        <v>46660</v>
      </c>
      <c r="C7" s="8">
        <f ca="1"/>
        <v>-0.15305304526667185</v>
      </c>
      <c r="D7" s="8">
        <f ca="1"/>
        <v>-0.46883685326930324</v>
      </c>
      <c r="E7" s="8">
        <f ca="1"/>
        <v>0.28618251631850455</v>
      </c>
      <c r="G7" s="5">
        <f ca="1"/>
        <v>46022</v>
      </c>
      <c r="H7">
        <f ca="1"/>
        <v>6845.5</v>
      </c>
      <c r="I7">
        <f ca="1"/>
        <v>5797.7753786269977</v>
      </c>
      <c r="J7">
        <f ca="1"/>
        <v>3636.0773209449844</v>
      </c>
      <c r="K7">
        <f ca="1"/>
        <v>8804.5624154583238</v>
      </c>
    </row>
    <row r="8" spans="1:11" x14ac:dyDescent="0.25">
      <c r="A8">
        <v>15</v>
      </c>
      <c r="B8" s="5">
        <f ca="1"/>
        <v>46630</v>
      </c>
      <c r="C8" s="8">
        <f ca="1"/>
        <v>-0.14323142622167517</v>
      </c>
      <c r="D8" s="8">
        <f ca="1"/>
        <v>-0.47143710431620978</v>
      </c>
      <c r="E8" s="8">
        <f ca="1"/>
        <v>0.29459927246541157</v>
      </c>
      <c r="G8" s="5">
        <f ca="1"/>
        <v>45991</v>
      </c>
      <c r="H8">
        <f ca="1"/>
        <v>6849.09</v>
      </c>
      <c r="I8">
        <f ca="1"/>
        <v>5868.0850709793867</v>
      </c>
      <c r="J8">
        <f ca="1"/>
        <v>3620.1748431988908</v>
      </c>
      <c r="K8">
        <f ca="1"/>
        <v>8866.8269310501255</v>
      </c>
    </row>
    <row r="9" spans="1:11" x14ac:dyDescent="0.25">
      <c r="A9">
        <v>14</v>
      </c>
      <c r="B9" s="5">
        <f ca="1"/>
        <v>46599</v>
      </c>
      <c r="C9" s="8">
        <f ca="1"/>
        <v>-0.11383185673191787</v>
      </c>
      <c r="D9" s="8">
        <f ca="1"/>
        <v>-0.42566370535778075</v>
      </c>
      <c r="E9" s="8">
        <f ca="1"/>
        <v>0.29590174595117974</v>
      </c>
      <c r="G9" s="5">
        <f ca="1"/>
        <v>45961</v>
      </c>
      <c r="H9">
        <f ca="1"/>
        <v>6840.2</v>
      </c>
      <c r="I9">
        <f ca="1"/>
        <v>6061.5673335823349</v>
      </c>
      <c r="J9">
        <f ca="1"/>
        <v>3928.5751226117081</v>
      </c>
      <c r="K9">
        <f ca="1"/>
        <v>8864.2271226552584</v>
      </c>
    </row>
    <row r="10" spans="1:11" x14ac:dyDescent="0.25">
      <c r="A10">
        <v>13</v>
      </c>
      <c r="B10" s="5">
        <f ca="1"/>
        <v>46568</v>
      </c>
      <c r="C10" s="8">
        <f ca="1"/>
        <v>-6.3576120034213313E-2</v>
      </c>
      <c r="D10" s="8">
        <f ca="1"/>
        <v>-0.33014276539740939</v>
      </c>
      <c r="E10" s="8">
        <f ca="1"/>
        <v>0.29042146091652199</v>
      </c>
      <c r="G10" s="5">
        <f ca="1"/>
        <v>45930</v>
      </c>
      <c r="H10">
        <f ca="1"/>
        <v>6688.46</v>
      </c>
      <c r="I10">
        <f ca="1"/>
        <v>6263.2336641959655</v>
      </c>
      <c r="J10">
        <f ca="1"/>
        <v>4480.3133193500435</v>
      </c>
      <c r="K10">
        <f ca="1"/>
        <v>8630.9323244817206</v>
      </c>
    </row>
    <row r="11" spans="1:11" x14ac:dyDescent="0.25">
      <c r="A11">
        <v>12</v>
      </c>
      <c r="B11" s="5">
        <f ca="1"/>
        <v>46538</v>
      </c>
      <c r="C11" s="8">
        <f ca="1"/>
        <v>3.4284224964829413E-2</v>
      </c>
      <c r="D11" s="8">
        <f ca="1"/>
        <v>-0.21779807912096083</v>
      </c>
      <c r="E11" s="8">
        <f ca="1"/>
        <v>0.31260908972925916</v>
      </c>
      <c r="G11" s="5">
        <f ca="1"/>
        <v>45900</v>
      </c>
      <c r="H11">
        <f ca="1"/>
        <v>6460.26</v>
      </c>
      <c r="I11">
        <f ca="1"/>
        <v>6681.7450071712892</v>
      </c>
      <c r="J11">
        <f ca="1"/>
        <v>5053.227781378022</v>
      </c>
      <c r="K11">
        <f ca="1"/>
        <v>8479.7959980143441</v>
      </c>
    </row>
    <row r="12" spans="1:11" x14ac:dyDescent="0.25">
      <c r="A12">
        <v>11</v>
      </c>
      <c r="B12" s="5">
        <f ca="1"/>
        <v>46507</v>
      </c>
      <c r="C12" s="8">
        <f ca="1"/>
        <v>5.724639480209448E-2</v>
      </c>
      <c r="D12" s="8">
        <f ca="1"/>
        <v>-0.15690039092015473</v>
      </c>
      <c r="E12" s="8">
        <f ca="1"/>
        <v>0.30240826009049243</v>
      </c>
      <c r="G12" s="5">
        <f ca="1"/>
        <v>45869</v>
      </c>
      <c r="H12">
        <f ca="1"/>
        <v>6339.39</v>
      </c>
      <c r="I12">
        <f ca="1"/>
        <v>6702.2972227444498</v>
      </c>
      <c r="J12">
        <f ca="1"/>
        <v>5344.7372308046806</v>
      </c>
      <c r="K12">
        <f ca="1"/>
        <v>8256.4738999350684</v>
      </c>
    </row>
    <row r="13" spans="1:11" x14ac:dyDescent="0.25">
      <c r="A13">
        <v>10</v>
      </c>
      <c r="B13" s="5">
        <f ca="1"/>
        <v>46477</v>
      </c>
      <c r="C13" s="8">
        <f ca="1"/>
        <v>6.3946076562675147E-2</v>
      </c>
      <c r="D13" s="8">
        <f ca="1"/>
        <v>-0.13542762265130426</v>
      </c>
      <c r="E13" s="8">
        <f ca="1"/>
        <v>0.29777931794192036</v>
      </c>
      <c r="G13" s="5">
        <f ca="1"/>
        <v>45838</v>
      </c>
      <c r="H13">
        <f ca="1"/>
        <v>6204.95</v>
      </c>
      <c r="I13">
        <f ca="1"/>
        <v>6601.7322077675708</v>
      </c>
      <c r="J13">
        <f ca="1"/>
        <v>5364.6283728297894</v>
      </c>
      <c r="K13">
        <f ca="1"/>
        <v>8052.6557788637183</v>
      </c>
    </row>
    <row r="14" spans="1:11" x14ac:dyDescent="0.25">
      <c r="A14">
        <v>9</v>
      </c>
      <c r="B14" s="5">
        <f ca="1"/>
        <v>46446</v>
      </c>
      <c r="C14" s="8">
        <f ca="1"/>
        <v>0.17225812277311991</v>
      </c>
      <c r="D14" s="8">
        <f ca="1"/>
        <v>9.4219286540040414E-3</v>
      </c>
      <c r="E14" s="8">
        <f ca="1"/>
        <v>0.31318876812340785</v>
      </c>
      <c r="G14" s="5">
        <f ca="1"/>
        <v>45808</v>
      </c>
      <c r="H14">
        <f ca="1"/>
        <v>5911.69</v>
      </c>
      <c r="I14">
        <f ca="1"/>
        <v>6930.0266218166244</v>
      </c>
      <c r="J14">
        <f ca="1"/>
        <v>5967.3895214045888</v>
      </c>
      <c r="K14">
        <f ca="1"/>
        <v>7763.1649086274683</v>
      </c>
    </row>
    <row r="15" spans="1:11" x14ac:dyDescent="0.25">
      <c r="A15">
        <v>8</v>
      </c>
      <c r="B15" s="5">
        <f ca="1"/>
        <v>46418</v>
      </c>
      <c r="C15" s="8">
        <f ca="1"/>
        <v>0.25864833426488132</v>
      </c>
      <c r="D15" s="8">
        <f ca="1"/>
        <v>0.14711247481819978</v>
      </c>
      <c r="E15" s="8">
        <f ca="1"/>
        <v>0.31559475312825314</v>
      </c>
      <c r="G15" s="5">
        <f ca="1"/>
        <v>45777</v>
      </c>
      <c r="H15">
        <f ca="1"/>
        <v>5569.06</v>
      </c>
      <c r="I15">
        <f ca="1"/>
        <v>7009.4880924211802</v>
      </c>
      <c r="J15">
        <f ca="1"/>
        <v>6388.3381990110438</v>
      </c>
      <c r="K15">
        <f ca="1"/>
        <v>7326.6261158564294</v>
      </c>
    </row>
    <row r="16" spans="1:11" x14ac:dyDescent="0.25">
      <c r="A16">
        <v>7</v>
      </c>
      <c r="B16" s="5">
        <f ca="1"/>
        <v>46387</v>
      </c>
      <c r="C16" s="8">
        <f ca="1"/>
        <v>0.21904012135632045</v>
      </c>
      <c r="D16" s="8">
        <f ca="1"/>
        <v>8.7879238528716375E-2</v>
      </c>
      <c r="E16" s="8">
        <f ca="1"/>
        <v>0.31275401121739022</v>
      </c>
      <c r="G16" s="5">
        <f ca="1"/>
        <v>45747</v>
      </c>
      <c r="H16">
        <f ca="1"/>
        <v>5611.85</v>
      </c>
      <c r="I16">
        <f ca="1"/>
        <v>6841.0703050334678</v>
      </c>
      <c r="J16">
        <f ca="1"/>
        <v>6105.0151047373774</v>
      </c>
      <c r="K16">
        <f ca="1"/>
        <v>7366.9785978503114</v>
      </c>
    </row>
    <row r="17" spans="1:11" x14ac:dyDescent="0.25">
      <c r="A17">
        <v>6</v>
      </c>
      <c r="B17" s="5">
        <f ca="1"/>
        <v>46356</v>
      </c>
      <c r="C17" s="8">
        <f ca="1"/>
        <v>0.16646887001826038</v>
      </c>
      <c r="D17" s="8">
        <f ca="1"/>
        <v>-2.6185269140535095E-3</v>
      </c>
      <c r="E17" s="8">
        <f ca="1"/>
        <v>0.31428261053959033</v>
      </c>
      <c r="G17" s="5">
        <f ca="1"/>
        <v>45716</v>
      </c>
      <c r="H17">
        <f ca="1"/>
        <v>5954.5</v>
      </c>
      <c r="I17">
        <f ca="1"/>
        <v>6945.7388865237317</v>
      </c>
      <c r="J17">
        <f ca="1"/>
        <v>5938.907981490268</v>
      </c>
      <c r="K17">
        <f ca="1"/>
        <v>7825.8958044579913</v>
      </c>
    </row>
    <row r="18" spans="1:11" x14ac:dyDescent="0.25">
      <c r="A18">
        <v>5</v>
      </c>
      <c r="B18" s="5">
        <f ca="1"/>
        <v>46326</v>
      </c>
      <c r="C18" s="8">
        <f ca="1"/>
        <v>0.16502131369287376</v>
      </c>
      <c r="D18" s="8">
        <f ca="1"/>
        <v>-3.3441710091309362E-2</v>
      </c>
      <c r="E18" s="8">
        <f ca="1"/>
        <v>0.32696336786381702</v>
      </c>
      <c r="G18" s="5">
        <f ca="1"/>
        <v>45688</v>
      </c>
      <c r="H18">
        <f ca="1"/>
        <v>6040.53</v>
      </c>
      <c r="I18">
        <f ca="1"/>
        <v>7037.3461960012146</v>
      </c>
      <c r="J18">
        <f ca="1"/>
        <v>5838.524346942143</v>
      </c>
      <c r="K18">
        <f ca="1"/>
        <v>8015.5620324824231</v>
      </c>
    </row>
    <row r="19" spans="1:11" x14ac:dyDescent="0.25">
      <c r="A19">
        <v>4</v>
      </c>
      <c r="B19" s="5">
        <f ca="1"/>
        <v>46295</v>
      </c>
      <c r="C19" s="8">
        <f ca="1"/>
        <v>0.19549743388076113</v>
      </c>
      <c r="D19" s="8">
        <f ca="1"/>
        <v>3.87180989128042E-2</v>
      </c>
      <c r="E19" s="8">
        <f ca="1"/>
        <v>0.31729021874163787</v>
      </c>
      <c r="G19" s="5">
        <f ca="1"/>
        <v>45657</v>
      </c>
      <c r="H19">
        <f ca="1"/>
        <v>5881.63</v>
      </c>
      <c r="I19">
        <f ca="1"/>
        <v>7031.4735720361014</v>
      </c>
      <c r="J19">
        <f ca="1"/>
        <v>6109.3555321085169</v>
      </c>
      <c r="K19">
        <f ca="1"/>
        <v>7747.8136692573808</v>
      </c>
    </row>
    <row r="20" spans="1:11" x14ac:dyDescent="0.25">
      <c r="A20">
        <v>3</v>
      </c>
      <c r="B20" s="5">
        <f ca="1"/>
        <v>46265</v>
      </c>
      <c r="C20" s="8">
        <f ca="1"/>
        <v>0.21587671941315589</v>
      </c>
      <c r="D20" s="8">
        <f ca="1"/>
        <v>4.1168020005616812E-2</v>
      </c>
      <c r="E20" s="8">
        <f ca="1"/>
        <v>0.33125469330865376</v>
      </c>
      <c r="G20" s="5">
        <f ca="1"/>
        <v>45626</v>
      </c>
      <c r="H20">
        <f ca="1"/>
        <v>6032.38</v>
      </c>
      <c r="I20">
        <f ca="1"/>
        <v>7334.6304046535333</v>
      </c>
      <c r="J20">
        <f ca="1"/>
        <v>6280.721140521483</v>
      </c>
      <c r="K20">
        <f ca="1"/>
        <v>8030.6341868212567</v>
      </c>
    </row>
    <row r="21" spans="1:11" x14ac:dyDescent="0.25">
      <c r="A21">
        <v>2</v>
      </c>
      <c r="B21" s="5">
        <f ca="1"/>
        <v>46234</v>
      </c>
      <c r="C21" s="8">
        <f ca="1"/>
        <v>0.28741226134100795</v>
      </c>
      <c r="D21" s="8">
        <f ca="1"/>
        <v>0.16710694046271724</v>
      </c>
      <c r="E21" s="8">
        <f ca="1"/>
        <v>0.32792762084813476</v>
      </c>
      <c r="G21" s="5">
        <f ca="1"/>
        <v>45596</v>
      </c>
      <c r="H21">
        <f ca="1"/>
        <v>5705.45</v>
      </c>
      <c r="I21">
        <f ca="1"/>
        <v>7345.2662864680533</v>
      </c>
      <c r="J21">
        <f ca="1"/>
        <v>6658.8702934630101</v>
      </c>
      <c r="K21">
        <f ca="1"/>
        <v>7576.4246443679904</v>
      </c>
    </row>
    <row r="22" spans="1:11" x14ac:dyDescent="0.25">
      <c r="A22">
        <v>1</v>
      </c>
      <c r="B22" s="5">
        <f ca="1"/>
        <v>46203</v>
      </c>
      <c r="C22" s="8">
        <f ca="1"/>
        <v>0.30048854934418889</v>
      </c>
      <c r="D22" s="8">
        <f ca="1"/>
        <v>0.16759786605581706</v>
      </c>
      <c r="E22" s="8">
        <f ca="1"/>
        <v>0.33737013266983146</v>
      </c>
      <c r="G22" s="5">
        <f ca="1"/>
        <v>45565</v>
      </c>
      <c r="H22">
        <f ca="1"/>
        <v>5762.48</v>
      </c>
      <c r="I22">
        <f ca="1"/>
        <v>7494.0392558249014</v>
      </c>
      <c r="J22">
        <f ca="1"/>
        <v>6728.2593511893238</v>
      </c>
      <c r="K22">
        <f ca="1"/>
        <v>7706.5686421072505</v>
      </c>
    </row>
    <row r="23" spans="1:11" x14ac:dyDescent="0.25">
      <c r="B23" s="5"/>
    </row>
    <row r="24" spans="1:11" x14ac:dyDescent="0.25">
      <c r="B24" s="5"/>
    </row>
    <row r="25" spans="1:11" x14ac:dyDescent="0.25">
      <c r="B25" s="5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6F3921-9B88-4696-8AA2-53109902F029}">
  <sheetPr codeName="Sheet2"/>
  <dimension ref="A1:U356"/>
  <sheetViews>
    <sheetView tabSelected="1" zoomScale="80" zoomScaleNormal="80"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L8" sqref="L8"/>
    </sheetView>
  </sheetViews>
  <sheetFormatPr defaultRowHeight="15" x14ac:dyDescent="0.25"/>
  <cols>
    <col min="1" max="1" width="11.5703125" style="5" bestFit="1" customWidth="1"/>
    <col min="2" max="2" width="9" style="10" customWidth="1"/>
    <col min="3" max="9" width="9.140625" style="10"/>
    <col min="19" max="21" width="9.140625" style="10"/>
  </cols>
  <sheetData>
    <row r="1" spans="1:21" x14ac:dyDescent="0.25">
      <c r="A1" s="26" t="e">
        <f>NA()</f>
        <v>#N/A</v>
      </c>
      <c r="B1" s="15" t="s">
        <v>387</v>
      </c>
      <c r="C1" s="16" t="s">
        <v>388</v>
      </c>
      <c r="D1" s="16"/>
      <c r="E1" s="16"/>
      <c r="F1" s="15"/>
      <c r="G1" s="16" t="s">
        <v>398</v>
      </c>
      <c r="H1" s="16"/>
      <c r="I1" s="16"/>
      <c r="K1" s="18" t="s">
        <v>368</v>
      </c>
      <c r="L1" s="18"/>
      <c r="M1" s="18"/>
      <c r="O1" s="18" t="s">
        <v>369</v>
      </c>
      <c r="P1" s="18"/>
      <c r="Q1" s="18"/>
      <c r="S1" s="16" t="s">
        <v>397</v>
      </c>
      <c r="T1" s="16"/>
      <c r="U1" s="16"/>
    </row>
    <row r="2" spans="1:21" ht="45" x14ac:dyDescent="0.25">
      <c r="A2" s="5" t="s">
        <v>357</v>
      </c>
      <c r="B2" s="13" t="str">
        <f>'Customer Margin Balances'!T1</f>
        <v>S&amp;P 500 FwdRtn (21M)</v>
      </c>
      <c r="C2" s="13" t="s">
        <v>382</v>
      </c>
      <c r="D2" s="13" t="s">
        <v>383</v>
      </c>
      <c r="E2" s="13" t="s">
        <v>384</v>
      </c>
      <c r="F2" s="13"/>
      <c r="G2" s="13" t="s">
        <v>382</v>
      </c>
      <c r="H2" s="13" t="s">
        <v>383</v>
      </c>
      <c r="I2" s="13" t="s">
        <v>384</v>
      </c>
      <c r="K2" s="13" t="s">
        <v>382</v>
      </c>
      <c r="L2" s="13" t="s">
        <v>383</v>
      </c>
      <c r="M2" s="13" t="s">
        <v>384</v>
      </c>
      <c r="O2" s="13" t="s">
        <v>382</v>
      </c>
      <c r="P2" s="13" t="s">
        <v>383</v>
      </c>
      <c r="Q2" s="13" t="s">
        <v>384</v>
      </c>
      <c r="S2" s="13" t="s">
        <v>382</v>
      </c>
      <c r="T2" s="13" t="s">
        <v>383</v>
      </c>
      <c r="U2" s="13" t="s">
        <v>384</v>
      </c>
    </row>
    <row r="3" spans="1:21" x14ac:dyDescent="0.25">
      <c r="A3" s="5" cm="1">
        <f t="array" aca="1" ref="A3:A355" ca="1">_xlfn.ANCHORARRAY('Customer Margin Balances'!G2)</f>
        <v>46173</v>
      </c>
      <c r="B3" s="10" t="e" cm="1">
        <f t="array" aca="1" ref="B3:B356" ca="1">_xlfn.VSTACK(_xlfn.ANCHORARRAY('Customer Margin Balances'!T2), A1)</f>
        <v>#N/A</v>
      </c>
      <c r="C3" s="10" cm="1">
        <f t="array" aca="1" ref="C3:C355" ca="1">_xlfn.ANCHORARRAY('Customer Margin Balances'!R2)</f>
        <v>8.007300286874719E-2</v>
      </c>
      <c r="D3" s="10" cm="1">
        <f t="array" aca="1" ref="D3:D355" ca="1">_xlfn.ANCHORARRAY('Customer Margin Balances'!M2)</f>
        <v>6.1621778100880646E-2</v>
      </c>
      <c r="E3" s="10" cm="1">
        <f t="array" aca="1" ref="E3:E355" ca="1">_xlfn.ANCHORARRAY('Customer Margin Balances'!Q2)</f>
        <v>1.845122476786655E-2</v>
      </c>
      <c r="G3" s="10" t="e" cm="1">
        <f t="array" aca="1" ref="G3:G356" ca="1">_xlfn.BYROW(_xlfn.ANCHORARRAY($B$3), _xlfn.LAMBDA(_xlpm.knownY, RSQ(OFFSET(_xlpm.knownY,,,'Customer Margin Balances'!$Z$3), OFFSET(_xlpm.knownY,,COLUMN(C2) -COLUMN($B2), 'Customer Margin Balances'!$Z$3))))</f>
        <v>#N/A</v>
      </c>
      <c r="H3" s="10" t="e" cm="1">
        <f t="array" aca="1" ref="H3:H356" ca="1">_xlfn.BYROW(_xlfn.ANCHORARRAY($B$3), _xlfn.LAMBDA(_xlpm.knownY, RSQ(OFFSET(_xlpm.knownY,,,'Customer Margin Balances'!$Z$3), OFFSET(_xlpm.knownY,,COLUMN(D2) -COLUMN($B2), 'Customer Margin Balances'!$Z$3))))</f>
        <v>#N/A</v>
      </c>
      <c r="I3" s="10" t="e" cm="1">
        <f t="array" aca="1" ref="I3:I356" ca="1">_xlfn.BYROW(_xlfn.ANCHORARRAY($B$3), _xlfn.LAMBDA(_xlpm.knownY, RSQ(OFFSET(_xlpm.knownY,,,'Customer Margin Balances'!$Z$3), OFFSET(_xlpm.knownY,,COLUMN(E2) -COLUMN($B2), 'Customer Margin Balances'!$Z$3))))</f>
        <v>#N/A</v>
      </c>
      <c r="K3" t="e" cm="1">
        <f t="array" aca="1" ref="K3:K356" ca="1">_xlfn.BYROW(_xlfn.ANCHORARRAY($B$3), _xlfn.LAMBDA(_xlpm.knownY, SLOPE(OFFSET(_xlpm.knownY,,,'Customer Margin Balances'!$Z$3), OFFSET(_xlpm.knownY,,COLUMN(C2) -COLUMN($B2), 'Customer Margin Balances'!$Z$3))))</f>
        <v>#N/A</v>
      </c>
      <c r="L3" t="e" cm="1">
        <f t="array" aca="1" ref="L3:L356" ca="1">_xlfn.BYROW(_xlfn.ANCHORARRAY($B$3), _xlfn.LAMBDA(_xlpm.knownY, SLOPE(OFFSET(_xlpm.knownY,,,'Customer Margin Balances'!$Z$3), OFFSET(_xlpm.knownY,,COLUMN(D2) -COLUMN($B2), 'Customer Margin Balances'!$Z$3))))</f>
        <v>#N/A</v>
      </c>
      <c r="M3" t="e" cm="1">
        <f t="array" aca="1" ref="M3:M356" ca="1">_xlfn.BYROW(_xlfn.ANCHORARRAY($B$3), _xlfn.LAMBDA(_xlpm.knownY, SLOPE(OFFSET(_xlpm.knownY,,,'Customer Margin Balances'!$Z$3), OFFSET(_xlpm.knownY,,COLUMN(E2) -COLUMN($B2), 'Customer Margin Balances'!$Z$3))))</f>
        <v>#N/A</v>
      </c>
      <c r="O3" t="e" cm="1">
        <f t="array" aca="1" ref="O3:O356" ca="1">_xlfn.BYROW(_xlfn.ANCHORARRAY($B$3), _xlfn.LAMBDA(_xlpm.knownY, INTERCEPT(OFFSET(_xlpm.knownY,,,'Customer Margin Balances'!$Z$3), OFFSET(_xlpm.knownY,,COLUMN(C2) -COLUMN($B2), 'Customer Margin Balances'!$Z$3))))</f>
        <v>#N/A</v>
      </c>
      <c r="P3" t="e" cm="1">
        <f t="array" aca="1" ref="P3:P356" ca="1">_xlfn.BYROW(_xlfn.ANCHORARRAY($B$3), _xlfn.LAMBDA(_xlpm.knownY, INTERCEPT(OFFSET(_xlpm.knownY,,,'Customer Margin Balances'!$Z$3), OFFSET(_xlpm.knownY,,COLUMN(D2) -COLUMN($B2), 'Customer Margin Balances'!$Z$3))))</f>
        <v>#N/A</v>
      </c>
      <c r="Q3" t="e" cm="1">
        <f t="array" aca="1" ref="Q3:Q356" ca="1">_xlfn.BYROW(_xlfn.ANCHORARRAY($B$3), _xlfn.LAMBDA(_xlpm.knownY, INTERCEPT(OFFSET(_xlpm.knownY,,,'Customer Margin Balances'!$Z$3), OFFSET(_xlpm.knownY,,COLUMN(E2) -COLUMN($B2), 'Customer Margin Balances'!$Z$3))))</f>
        <v>#N/A</v>
      </c>
      <c r="S3" s="10" t="e" cm="1">
        <f t="array" aca="1" ref="S3:S356" ca="1">IFERROR(_xlfn.BYROW(_xlfn.ANCHORARRAY($B3), _xlfn.LAMBDA(_xlpm.knownY, RSQ(OFFSET(_xlpm.knownY, -1,, -'Customer Margin Balances'!$Z$2),
OFFSET(_xlpm.knownY,, COLUMN(K2)-COLUMN($B2)) *OFFSET(_xlpm.knownY, -1, COLUMN(C2)-COLUMN($B2), -'Customer Margin Balances'!$Z$2) +OFFSET(_xlpm.knownY,, COLUMN(O2)-COLUMN($B2))))), NA())</f>
        <v>#N/A</v>
      </c>
      <c r="T3" s="10" t="e" cm="1">
        <f t="array" aca="1" ref="T3:T356" ca="1">IFERROR(_xlfn.BYROW(_xlfn.ANCHORARRAY($B3), _xlfn.LAMBDA(_xlpm.knownY, RSQ(OFFSET(_xlpm.knownY, -1,, -'Customer Margin Balances'!$Z$2),
OFFSET(_xlpm.knownY,, COLUMN(L2)-COLUMN($B2)) *OFFSET(_xlpm.knownY, -1, COLUMN(D2)-COLUMN($B2), -'Customer Margin Balances'!$Z$2) +OFFSET(_xlpm.knownY,, COLUMN(P2)-COLUMN($B2))))), NA())</f>
        <v>#N/A</v>
      </c>
      <c r="U3" s="10" t="e" cm="1">
        <f t="array" aca="1" ref="U3:U356" ca="1">IFERROR(_xlfn.BYROW(_xlfn.ANCHORARRAY($B3), _xlfn.LAMBDA(_xlpm.knownY, RSQ(OFFSET(_xlpm.knownY, -1,, -'Customer Margin Balances'!$Z$2),
OFFSET(_xlpm.knownY,, COLUMN(M2)-COLUMN($B2)) *OFFSET(_xlpm.knownY, -1, COLUMN(E2)-COLUMN($B2), -'Customer Margin Balances'!$Z$2) +OFFSET(_xlpm.knownY,, COLUMN(Q2)-COLUMN($B2))))), NA())</f>
        <v>#N/A</v>
      </c>
    </row>
    <row r="4" spans="1:21" x14ac:dyDescent="0.25">
      <c r="A4" s="5">
        <f ca="1"/>
        <v>46142</v>
      </c>
      <c r="B4" s="10" t="e">
        <f ca="1"/>
        <v>#N/A</v>
      </c>
      <c r="C4" s="10">
        <f ca="1"/>
        <v>7.5756315344302896E-2</v>
      </c>
      <c r="D4" s="10">
        <f ca="1"/>
        <v>5.6865609822028061E-2</v>
      </c>
      <c r="E4" s="10">
        <f ca="1"/>
        <v>1.8890705522274832E-2</v>
      </c>
      <c r="G4" s="10" t="e">
        <f ca="1"/>
        <v>#N/A</v>
      </c>
      <c r="H4" s="10" t="e">
        <f ca="1"/>
        <v>#N/A</v>
      </c>
      <c r="I4" s="10" t="e">
        <f ca="1"/>
        <v>#N/A</v>
      </c>
      <c r="K4" t="e">
        <f ca="1"/>
        <v>#N/A</v>
      </c>
      <c r="L4" t="e">
        <f ca="1"/>
        <v>#N/A</v>
      </c>
      <c r="M4" t="e">
        <f ca="1"/>
        <v>#N/A</v>
      </c>
      <c r="O4" t="e">
        <f ca="1"/>
        <v>#N/A</v>
      </c>
      <c r="P4" t="e">
        <f ca="1"/>
        <v>#N/A</v>
      </c>
      <c r="Q4" t="e">
        <f ca="1"/>
        <v>#N/A</v>
      </c>
      <c r="S4" s="10" t="e">
        <f ca="1"/>
        <v>#N/A</v>
      </c>
      <c r="T4" s="10" t="e">
        <f ca="1"/>
        <v>#N/A</v>
      </c>
      <c r="U4" s="10" t="e">
        <f ca="1"/>
        <v>#N/A</v>
      </c>
    </row>
    <row r="5" spans="1:21" x14ac:dyDescent="0.25">
      <c r="A5" s="5">
        <f ca="1"/>
        <v>46112</v>
      </c>
      <c r="B5" s="10" t="e">
        <f ca="1"/>
        <v>#N/A</v>
      </c>
      <c r="C5" s="10">
        <f ca="1"/>
        <v>7.2247073312908971E-2</v>
      </c>
      <c r="D5" s="10">
        <f ca="1"/>
        <v>5.351189302197152E-2</v>
      </c>
      <c r="E5" s="10">
        <f ca="1"/>
        <v>1.8735180290937459E-2</v>
      </c>
      <c r="G5" s="10" t="e">
        <f ca="1"/>
        <v>#N/A</v>
      </c>
      <c r="H5" s="10" t="e">
        <f ca="1"/>
        <v>#N/A</v>
      </c>
      <c r="I5" s="10" t="e">
        <f ca="1"/>
        <v>#N/A</v>
      </c>
      <c r="K5" t="e">
        <f ca="1"/>
        <v>#N/A</v>
      </c>
      <c r="L5" t="e">
        <f ca="1"/>
        <v>#N/A</v>
      </c>
      <c r="M5" t="e">
        <f ca="1"/>
        <v>#N/A</v>
      </c>
      <c r="O5" t="e">
        <f ca="1"/>
        <v>#N/A</v>
      </c>
      <c r="P5" t="e">
        <f ca="1"/>
        <v>#N/A</v>
      </c>
      <c r="Q5" t="e">
        <f ca="1"/>
        <v>#N/A</v>
      </c>
      <c r="S5" s="10" t="e">
        <f ca="1"/>
        <v>#N/A</v>
      </c>
      <c r="T5" s="10" t="e">
        <f ca="1"/>
        <v>#N/A</v>
      </c>
      <c r="U5" s="10" t="e">
        <f ca="1"/>
        <v>#N/A</v>
      </c>
    </row>
    <row r="6" spans="1:21" x14ac:dyDescent="0.25">
      <c r="A6" s="5">
        <f ca="1"/>
        <v>46081</v>
      </c>
      <c r="B6" s="10" t="e">
        <f ca="1"/>
        <v>#N/A</v>
      </c>
      <c r="C6" s="10">
        <f ca="1"/>
        <v>7.3597179135544394E-2</v>
      </c>
      <c r="D6" s="10">
        <f ca="1"/>
        <v>5.561807377030991E-2</v>
      </c>
      <c r="E6" s="10">
        <f ca="1"/>
        <v>1.7979105365234487E-2</v>
      </c>
      <c r="G6" s="10" t="e">
        <f ca="1"/>
        <v>#N/A</v>
      </c>
      <c r="H6" s="10" t="e">
        <f ca="1"/>
        <v>#N/A</v>
      </c>
      <c r="I6" s="10" t="e">
        <f ca="1"/>
        <v>#N/A</v>
      </c>
      <c r="K6" t="e">
        <f ca="1"/>
        <v>#N/A</v>
      </c>
      <c r="L6" t="e">
        <f ca="1"/>
        <v>#N/A</v>
      </c>
      <c r="M6" t="e">
        <f ca="1"/>
        <v>#N/A</v>
      </c>
      <c r="O6" t="e">
        <f ca="1"/>
        <v>#N/A</v>
      </c>
      <c r="P6" t="e">
        <f ca="1"/>
        <v>#N/A</v>
      </c>
      <c r="Q6" t="e">
        <f ca="1"/>
        <v>#N/A</v>
      </c>
      <c r="S6" s="10" t="e">
        <f ca="1"/>
        <v>#N/A</v>
      </c>
      <c r="T6" s="10" t="e">
        <f ca="1"/>
        <v>#N/A</v>
      </c>
      <c r="U6" s="10" t="e">
        <f ca="1"/>
        <v>#N/A</v>
      </c>
    </row>
    <row r="7" spans="1:21" x14ac:dyDescent="0.25">
      <c r="A7" s="5">
        <f ca="1"/>
        <v>46053</v>
      </c>
      <c r="B7" s="10" t="e">
        <f ca="1"/>
        <v>#N/A</v>
      </c>
      <c r="C7" s="10">
        <f ca="1"/>
        <v>7.4763223138656562E-2</v>
      </c>
      <c r="D7" s="10">
        <f ca="1"/>
        <v>5.693158196943867E-2</v>
      </c>
      <c r="E7" s="10">
        <f ca="1"/>
        <v>1.7831641169217895E-2</v>
      </c>
      <c r="G7" s="10" t="e">
        <f ca="1"/>
        <v>#N/A</v>
      </c>
      <c r="H7" s="10" t="e">
        <f ca="1"/>
        <v>#N/A</v>
      </c>
      <c r="I7" s="10" t="e">
        <f ca="1"/>
        <v>#N/A</v>
      </c>
      <c r="K7" t="e">
        <f ca="1"/>
        <v>#N/A</v>
      </c>
      <c r="L7" t="e">
        <f ca="1"/>
        <v>#N/A</v>
      </c>
      <c r="M7" t="e">
        <f ca="1"/>
        <v>#N/A</v>
      </c>
      <c r="O7" t="e">
        <f ca="1"/>
        <v>#N/A</v>
      </c>
      <c r="P7" t="e">
        <f ca="1"/>
        <v>#N/A</v>
      </c>
      <c r="Q7" t="e">
        <f ca="1"/>
        <v>#N/A</v>
      </c>
      <c r="S7" s="10" t="e">
        <f ca="1"/>
        <v>#N/A</v>
      </c>
      <c r="T7" s="10" t="e">
        <f ca="1"/>
        <v>#N/A</v>
      </c>
      <c r="U7" s="10" t="e">
        <f ca="1"/>
        <v>#N/A</v>
      </c>
    </row>
    <row r="8" spans="1:21" x14ac:dyDescent="0.25">
      <c r="A8" s="5">
        <f ca="1"/>
        <v>46022</v>
      </c>
      <c r="B8" s="10" t="e">
        <f ca="1"/>
        <v>#N/A</v>
      </c>
      <c r="C8" s="10">
        <f ca="1"/>
        <v>7.2748396901787735E-2</v>
      </c>
      <c r="D8" s="10">
        <f ca="1"/>
        <v>5.4462989872596464E-2</v>
      </c>
      <c r="E8" s="10">
        <f ca="1"/>
        <v>1.8285407029191274E-2</v>
      </c>
      <c r="G8" s="10" t="e">
        <f ca="1"/>
        <v>#N/A</v>
      </c>
      <c r="H8" s="10" t="e">
        <f ca="1"/>
        <v>#N/A</v>
      </c>
      <c r="I8" s="10" t="e">
        <f ca="1"/>
        <v>#N/A</v>
      </c>
      <c r="K8" t="e">
        <f ca="1"/>
        <v>#N/A</v>
      </c>
      <c r="L8" t="e">
        <f ca="1"/>
        <v>#N/A</v>
      </c>
      <c r="M8" t="e">
        <f ca="1"/>
        <v>#N/A</v>
      </c>
      <c r="O8" t="e">
        <f ca="1"/>
        <v>#N/A</v>
      </c>
      <c r="P8" t="e">
        <f ca="1"/>
        <v>#N/A</v>
      </c>
      <c r="Q8" t="e">
        <f ca="1"/>
        <v>#N/A</v>
      </c>
      <c r="S8" s="10" t="e">
        <f ca="1"/>
        <v>#N/A</v>
      </c>
      <c r="T8" s="10" t="e">
        <f ca="1"/>
        <v>#N/A</v>
      </c>
      <c r="U8" s="10" t="e">
        <f ca="1"/>
        <v>#N/A</v>
      </c>
    </row>
    <row r="9" spans="1:21" x14ac:dyDescent="0.25">
      <c r="A9" s="5">
        <f ca="1"/>
        <v>45991</v>
      </c>
      <c r="B9" s="10" t="e">
        <f ca="1"/>
        <v>#N/A</v>
      </c>
      <c r="C9" s="10">
        <f ca="1"/>
        <v>7.2335906382329035E-2</v>
      </c>
      <c r="D9" s="10">
        <f ca="1"/>
        <v>5.4528925471388864E-2</v>
      </c>
      <c r="E9" s="10">
        <f ca="1"/>
        <v>1.7806980910940174E-2</v>
      </c>
      <c r="G9" s="10" t="e">
        <f ca="1"/>
        <v>#N/A</v>
      </c>
      <c r="H9" s="10" t="e">
        <f ca="1"/>
        <v>#N/A</v>
      </c>
      <c r="I9" s="10" t="e">
        <f ca="1"/>
        <v>#N/A</v>
      </c>
      <c r="K9" t="e">
        <f ca="1"/>
        <v>#N/A</v>
      </c>
      <c r="L9" t="e">
        <f ca="1"/>
        <v>#N/A</v>
      </c>
      <c r="M9" t="e">
        <f ca="1"/>
        <v>#N/A</v>
      </c>
      <c r="O9" t="e">
        <f ca="1"/>
        <v>#N/A</v>
      </c>
      <c r="P9" t="e">
        <f ca="1"/>
        <v>#N/A</v>
      </c>
      <c r="Q9" t="e">
        <f ca="1"/>
        <v>#N/A</v>
      </c>
      <c r="S9" s="10" t="e">
        <f ca="1"/>
        <v>#N/A</v>
      </c>
      <c r="T9" s="10" t="e">
        <f ca="1"/>
        <v>#N/A</v>
      </c>
      <c r="U9" s="10" t="e">
        <f ca="1"/>
        <v>#N/A</v>
      </c>
    </row>
    <row r="10" spans="1:21" x14ac:dyDescent="0.25">
      <c r="A10" s="5">
        <f ca="1"/>
        <v>45961</v>
      </c>
      <c r="B10" s="10" t="e">
        <f ca="1"/>
        <v>#N/A</v>
      </c>
      <c r="C10" s="10">
        <f ca="1"/>
        <v>7.1101176788854331E-2</v>
      </c>
      <c r="D10" s="10">
        <f ca="1"/>
        <v>5.3368231209702875E-2</v>
      </c>
      <c r="E10" s="10">
        <f ca="1"/>
        <v>1.7732945579151449E-2</v>
      </c>
      <c r="G10" s="10" t="e">
        <f ca="1"/>
        <v>#N/A</v>
      </c>
      <c r="H10" s="10" t="e">
        <f ca="1"/>
        <v>#N/A</v>
      </c>
      <c r="I10" s="10" t="e">
        <f ca="1"/>
        <v>#N/A</v>
      </c>
      <c r="K10" t="e">
        <f ca="1"/>
        <v>#N/A</v>
      </c>
      <c r="L10" t="e">
        <f ca="1"/>
        <v>#N/A</v>
      </c>
      <c r="M10" t="e">
        <f ca="1"/>
        <v>#N/A</v>
      </c>
      <c r="O10" t="e">
        <f ca="1"/>
        <v>#N/A</v>
      </c>
      <c r="P10" t="e">
        <f ca="1"/>
        <v>#N/A</v>
      </c>
      <c r="Q10" t="e">
        <f ca="1"/>
        <v>#N/A</v>
      </c>
      <c r="S10" s="10" t="e">
        <f ca="1"/>
        <v>#N/A</v>
      </c>
      <c r="T10" s="10" t="e">
        <f ca="1"/>
        <v>#N/A</v>
      </c>
      <c r="U10" s="10" t="e">
        <f ca="1"/>
        <v>#N/A</v>
      </c>
    </row>
    <row r="11" spans="1:21" x14ac:dyDescent="0.25">
      <c r="A11" s="5">
        <f ca="1"/>
        <v>45930</v>
      </c>
      <c r="B11" s="10" t="e">
        <f ca="1"/>
        <v>#N/A</v>
      </c>
      <c r="C11" s="10">
        <f ca="1"/>
        <v>6.8990525292268734E-2</v>
      </c>
      <c r="D11" s="10">
        <f ca="1"/>
        <v>5.0946068787734888E-2</v>
      </c>
      <c r="E11" s="10">
        <f ca="1"/>
        <v>1.8044456504533839E-2</v>
      </c>
      <c r="G11" s="10" t="e">
        <f ca="1"/>
        <v>#N/A</v>
      </c>
      <c r="H11" s="10" t="e">
        <f ca="1"/>
        <v>#N/A</v>
      </c>
      <c r="I11" s="10" t="e">
        <f ca="1"/>
        <v>#N/A</v>
      </c>
      <c r="K11" t="e">
        <f ca="1"/>
        <v>#N/A</v>
      </c>
      <c r="L11" t="e">
        <f ca="1"/>
        <v>#N/A</v>
      </c>
      <c r="M11" t="e">
        <f ca="1"/>
        <v>#N/A</v>
      </c>
      <c r="O11" t="e">
        <f ca="1"/>
        <v>#N/A</v>
      </c>
      <c r="P11" t="e">
        <f ca="1"/>
        <v>#N/A</v>
      </c>
      <c r="Q11" t="e">
        <f ca="1"/>
        <v>#N/A</v>
      </c>
      <c r="S11" s="10" t="e">
        <f ca="1"/>
        <v>#N/A</v>
      </c>
      <c r="T11" s="10" t="e">
        <f ca="1"/>
        <v>#N/A</v>
      </c>
      <c r="U11" s="10" t="e">
        <f ca="1"/>
        <v>#N/A</v>
      </c>
    </row>
    <row r="12" spans="1:21" x14ac:dyDescent="0.25">
      <c r="A12" s="5">
        <f ca="1"/>
        <v>45900</v>
      </c>
      <c r="B12" s="10" t="e">
        <f ca="1"/>
        <v>#N/A</v>
      </c>
      <c r="C12" s="10">
        <f ca="1"/>
        <v>6.4880564973289936E-2</v>
      </c>
      <c r="D12" s="10">
        <f ca="1"/>
        <v>4.8097299946897591E-2</v>
      </c>
      <c r="E12" s="10">
        <f ca="1"/>
        <v>1.6783265026392349E-2</v>
      </c>
      <c r="G12" s="10" t="e">
        <f ca="1"/>
        <v>#N/A</v>
      </c>
      <c r="H12" s="10" t="e">
        <f ca="1"/>
        <v>#N/A</v>
      </c>
      <c r="I12" s="10" t="e">
        <f ca="1"/>
        <v>#N/A</v>
      </c>
      <c r="K12" t="e">
        <f ca="1"/>
        <v>#N/A</v>
      </c>
      <c r="L12" t="e">
        <f ca="1"/>
        <v>#N/A</v>
      </c>
      <c r="M12" t="e">
        <f ca="1"/>
        <v>#N/A</v>
      </c>
      <c r="O12" t="e">
        <f ca="1"/>
        <v>#N/A</v>
      </c>
      <c r="P12" t="e">
        <f ca="1"/>
        <v>#N/A</v>
      </c>
      <c r="Q12" t="e">
        <f ca="1"/>
        <v>#N/A</v>
      </c>
      <c r="S12" s="10" t="e">
        <f ca="1"/>
        <v>#N/A</v>
      </c>
      <c r="T12" s="10" t="e">
        <f ca="1"/>
        <v>#N/A</v>
      </c>
      <c r="U12" s="10" t="e">
        <f ca="1"/>
        <v>#N/A</v>
      </c>
    </row>
    <row r="13" spans="1:21" x14ac:dyDescent="0.25">
      <c r="A13" s="5">
        <f ca="1"/>
        <v>45869</v>
      </c>
      <c r="B13" s="10" t="e">
        <f ca="1"/>
        <v>#N/A</v>
      </c>
      <c r="C13" s="10">
        <f ca="1"/>
        <v>6.3916194707992646E-2</v>
      </c>
      <c r="D13" s="10">
        <f ca="1"/>
        <v>4.655309307449966E-2</v>
      </c>
      <c r="E13" s="10">
        <f ca="1"/>
        <v>1.7363101633492979E-2</v>
      </c>
      <c r="G13" s="10" t="e">
        <f ca="1"/>
        <v>#N/A</v>
      </c>
      <c r="H13" s="10" t="e">
        <f ca="1"/>
        <v>#N/A</v>
      </c>
      <c r="I13" s="10" t="e">
        <f ca="1"/>
        <v>#N/A</v>
      </c>
      <c r="K13" t="e">
        <f ca="1"/>
        <v>#N/A</v>
      </c>
      <c r="L13" t="e">
        <f ca="1"/>
        <v>#N/A</v>
      </c>
      <c r="M13" t="e">
        <f ca="1"/>
        <v>#N/A</v>
      </c>
      <c r="O13" t="e">
        <f ca="1"/>
        <v>#N/A</v>
      </c>
      <c r="P13" t="e">
        <f ca="1"/>
        <v>#N/A</v>
      </c>
      <c r="Q13" t="e">
        <f ca="1"/>
        <v>#N/A</v>
      </c>
      <c r="S13" s="10" t="e">
        <f ca="1"/>
        <v>#N/A</v>
      </c>
      <c r="T13" s="10" t="e">
        <f ca="1"/>
        <v>#N/A</v>
      </c>
      <c r="U13" s="10" t="e">
        <f ca="1"/>
        <v>#N/A</v>
      </c>
    </row>
    <row r="14" spans="1:21" x14ac:dyDescent="0.25">
      <c r="A14" s="5">
        <f ca="1"/>
        <v>45838</v>
      </c>
      <c r="B14" s="10" t="e">
        <f ca="1"/>
        <v>#N/A</v>
      </c>
      <c r="C14" s="10">
        <f ca="1"/>
        <v>6.3634819998082903E-2</v>
      </c>
      <c r="D14" s="10">
        <f ca="1"/>
        <v>4.6008599559067193E-2</v>
      </c>
      <c r="E14" s="10">
        <f ca="1"/>
        <v>1.7626220439015707E-2</v>
      </c>
      <c r="G14" s="10" t="e">
        <f ca="1"/>
        <v>#N/A</v>
      </c>
      <c r="H14" s="10" t="e">
        <f ca="1"/>
        <v>#N/A</v>
      </c>
      <c r="I14" s="10" t="e">
        <f ca="1"/>
        <v>#N/A</v>
      </c>
      <c r="K14" t="e">
        <f ca="1"/>
        <v>#N/A</v>
      </c>
      <c r="L14" t="e">
        <f ca="1"/>
        <v>#N/A</v>
      </c>
      <c r="M14" t="e">
        <f ca="1"/>
        <v>#N/A</v>
      </c>
      <c r="O14" t="e">
        <f ca="1"/>
        <v>#N/A</v>
      </c>
      <c r="P14" t="e">
        <f ca="1"/>
        <v>#N/A</v>
      </c>
      <c r="Q14" t="e">
        <f ca="1"/>
        <v>#N/A</v>
      </c>
      <c r="S14" s="10" t="e">
        <f ca="1"/>
        <v>#N/A</v>
      </c>
      <c r="T14" s="10" t="e">
        <f ca="1"/>
        <v>#N/A</v>
      </c>
      <c r="U14" s="10" t="e">
        <f ca="1"/>
        <v>#N/A</v>
      </c>
    </row>
    <row r="15" spans="1:21" x14ac:dyDescent="0.25">
      <c r="A15" s="5">
        <f ca="1"/>
        <v>45808</v>
      </c>
      <c r="B15" s="10" t="e">
        <f ca="1"/>
        <v>#N/A</v>
      </c>
      <c r="C15" s="10">
        <f ca="1"/>
        <v>5.9085906830071068E-2</v>
      </c>
      <c r="D15" s="10">
        <f ca="1"/>
        <v>4.2335591942557163E-2</v>
      </c>
      <c r="E15" s="10">
        <f ca="1"/>
        <v>1.6750314887513905E-2</v>
      </c>
      <c r="G15" s="10" t="e">
        <f ca="1"/>
        <v>#N/A</v>
      </c>
      <c r="H15" s="10" t="e">
        <f ca="1"/>
        <v>#N/A</v>
      </c>
      <c r="I15" s="10" t="e">
        <f ca="1"/>
        <v>#N/A</v>
      </c>
      <c r="K15" t="e">
        <f ca="1"/>
        <v>#N/A</v>
      </c>
      <c r="L15" t="e">
        <f ca="1"/>
        <v>#N/A</v>
      </c>
      <c r="M15" t="e">
        <f ca="1"/>
        <v>#N/A</v>
      </c>
      <c r="O15" t="e">
        <f ca="1"/>
        <v>#N/A</v>
      </c>
      <c r="P15" t="e">
        <f ca="1"/>
        <v>#N/A</v>
      </c>
      <c r="Q15" t="e">
        <f ca="1"/>
        <v>#N/A</v>
      </c>
      <c r="S15" s="10" t="e">
        <f ca="1"/>
        <v>#N/A</v>
      </c>
      <c r="T15" s="10" t="e">
        <f ca="1"/>
        <v>#N/A</v>
      </c>
      <c r="U15" s="10" t="e">
        <f ca="1"/>
        <v>#N/A</v>
      </c>
    </row>
    <row r="16" spans="1:21" x14ac:dyDescent="0.25">
      <c r="A16" s="5">
        <f ca="1"/>
        <v>45777</v>
      </c>
      <c r="B16" s="10" t="e">
        <f ca="1"/>
        <v>#N/A</v>
      </c>
      <c r="C16" s="10">
        <f ca="1"/>
        <v>5.5457671703955394E-2</v>
      </c>
      <c r="D16" s="10">
        <f ca="1"/>
        <v>3.8844118063452483E-2</v>
      </c>
      <c r="E16" s="10">
        <f ca="1"/>
        <v>1.6613553640502907E-2</v>
      </c>
      <c r="G16" s="10" t="e">
        <f ca="1"/>
        <v>#N/A</v>
      </c>
      <c r="H16" s="10" t="e">
        <f ca="1"/>
        <v>#N/A</v>
      </c>
      <c r="I16" s="10" t="e">
        <f ca="1"/>
        <v>#N/A</v>
      </c>
      <c r="K16" t="e">
        <f ca="1"/>
        <v>#N/A</v>
      </c>
      <c r="L16" t="e">
        <f ca="1"/>
        <v>#N/A</v>
      </c>
      <c r="M16" t="e">
        <f ca="1"/>
        <v>#N/A</v>
      </c>
      <c r="O16" t="e">
        <f ca="1"/>
        <v>#N/A</v>
      </c>
      <c r="P16" t="e">
        <f ca="1"/>
        <v>#N/A</v>
      </c>
      <c r="Q16" t="e">
        <f ca="1"/>
        <v>#N/A</v>
      </c>
      <c r="S16" s="10" t="e">
        <f ca="1"/>
        <v>#N/A</v>
      </c>
      <c r="T16" s="10" t="e">
        <f ca="1"/>
        <v>#N/A</v>
      </c>
      <c r="U16" s="10" t="e">
        <f ca="1"/>
        <v>#N/A</v>
      </c>
    </row>
    <row r="17" spans="1:21" x14ac:dyDescent="0.25">
      <c r="A17" s="5">
        <f ca="1"/>
        <v>45747</v>
      </c>
      <c r="B17" s="10" t="e">
        <f ca="1"/>
        <v>#N/A</v>
      </c>
      <c r="C17" s="10">
        <f ca="1"/>
        <v>5.7121146151766111E-2</v>
      </c>
      <c r="D17" s="10">
        <f ca="1"/>
        <v>4.0346118767501868E-2</v>
      </c>
      <c r="E17" s="10">
        <f ca="1"/>
        <v>1.6775027384264247E-2</v>
      </c>
      <c r="G17" s="10" t="e">
        <f ca="1"/>
        <v>#N/A</v>
      </c>
      <c r="H17" s="10" t="e">
        <f ca="1"/>
        <v>#N/A</v>
      </c>
      <c r="I17" s="10" t="e">
        <f ca="1"/>
        <v>#N/A</v>
      </c>
      <c r="K17" t="e">
        <f ca="1"/>
        <v>#N/A</v>
      </c>
      <c r="L17" t="e">
        <f ca="1"/>
        <v>#N/A</v>
      </c>
      <c r="M17" t="e">
        <f ca="1"/>
        <v>#N/A</v>
      </c>
      <c r="O17" t="e">
        <f ca="1"/>
        <v>#N/A</v>
      </c>
      <c r="P17" t="e">
        <f ca="1"/>
        <v>#N/A</v>
      </c>
      <c r="Q17" t="e">
        <f ca="1"/>
        <v>#N/A</v>
      </c>
      <c r="S17" s="10" t="e">
        <f ca="1"/>
        <v>#N/A</v>
      </c>
      <c r="T17" s="10" t="e">
        <f ca="1"/>
        <v>#N/A</v>
      </c>
      <c r="U17" s="10" t="e">
        <f ca="1"/>
        <v>#N/A</v>
      </c>
    </row>
    <row r="18" spans="1:21" x14ac:dyDescent="0.25">
      <c r="A18" s="5">
        <f ca="1"/>
        <v>45716</v>
      </c>
      <c r="B18" s="10" t="e">
        <f ca="1"/>
        <v>#N/A</v>
      </c>
      <c r="C18" s="10">
        <f ca="1"/>
        <v>5.932904514211406E-2</v>
      </c>
      <c r="D18" s="10">
        <f ca="1"/>
        <v>4.2640906557681588E-2</v>
      </c>
      <c r="E18" s="10">
        <f ca="1"/>
        <v>1.6688138584432473E-2</v>
      </c>
      <c r="G18" s="10" t="e">
        <f ca="1"/>
        <v>#N/A</v>
      </c>
      <c r="H18" s="10" t="e">
        <f ca="1"/>
        <v>#N/A</v>
      </c>
      <c r="I18" s="10" t="e">
        <f ca="1"/>
        <v>#N/A</v>
      </c>
      <c r="K18" t="e">
        <f ca="1"/>
        <v>#N/A</v>
      </c>
      <c r="L18" t="e">
        <f ca="1"/>
        <v>#N/A</v>
      </c>
      <c r="M18" t="e">
        <f ca="1"/>
        <v>#N/A</v>
      </c>
      <c r="O18" t="e">
        <f ca="1"/>
        <v>#N/A</v>
      </c>
      <c r="P18" t="e">
        <f ca="1"/>
        <v>#N/A</v>
      </c>
      <c r="Q18" t="e">
        <f ca="1"/>
        <v>#N/A</v>
      </c>
      <c r="S18" s="10" t="e">
        <f ca="1"/>
        <v>#N/A</v>
      </c>
      <c r="T18" s="10" t="e">
        <f ca="1"/>
        <v>#N/A</v>
      </c>
      <c r="U18" s="10" t="e">
        <f ca="1"/>
        <v>#N/A</v>
      </c>
    </row>
    <row r="19" spans="1:21" x14ac:dyDescent="0.25">
      <c r="A19" s="5">
        <f ca="1"/>
        <v>45688</v>
      </c>
      <c r="B19" s="10" t="e">
        <f ca="1"/>
        <v>#N/A</v>
      </c>
      <c r="C19" s="10">
        <f ca="1"/>
        <v>5.9389839931432278E-2</v>
      </c>
      <c r="D19" s="10">
        <f ca="1"/>
        <v>4.3422502258565171E-2</v>
      </c>
      <c r="E19" s="10">
        <f ca="1"/>
        <v>1.5967337672867104E-2</v>
      </c>
      <c r="G19" s="10" t="e">
        <f ca="1"/>
        <v>#N/A</v>
      </c>
      <c r="H19" s="10" t="e">
        <f ca="1"/>
        <v>#N/A</v>
      </c>
      <c r="I19" s="10" t="e">
        <f ca="1"/>
        <v>#N/A</v>
      </c>
      <c r="K19" t="e">
        <f ca="1"/>
        <v>#N/A</v>
      </c>
      <c r="L19" t="e">
        <f ca="1"/>
        <v>#N/A</v>
      </c>
      <c r="M19" t="e">
        <f ca="1"/>
        <v>#N/A</v>
      </c>
      <c r="O19" t="e">
        <f ca="1"/>
        <v>#N/A</v>
      </c>
      <c r="P19" t="e">
        <f ca="1"/>
        <v>#N/A</v>
      </c>
      <c r="Q19" t="e">
        <f ca="1"/>
        <v>#N/A</v>
      </c>
      <c r="S19" s="10" t="e">
        <f ca="1"/>
        <v>#N/A</v>
      </c>
      <c r="T19" s="10" t="e">
        <f ca="1"/>
        <v>#N/A</v>
      </c>
      <c r="U19" s="10" t="e">
        <f ca="1"/>
        <v>#N/A</v>
      </c>
    </row>
    <row r="20" spans="1:21" x14ac:dyDescent="0.25">
      <c r="A20" s="5">
        <f ca="1"/>
        <v>45657</v>
      </c>
      <c r="B20" s="10" t="e">
        <f ca="1"/>
        <v>#N/A</v>
      </c>
      <c r="C20" s="10">
        <f ca="1"/>
        <v>5.8109897124671572E-2</v>
      </c>
      <c r="D20" s="10">
        <f ca="1"/>
        <v>4.1592717314879915E-2</v>
      </c>
      <c r="E20" s="10">
        <f ca="1"/>
        <v>1.6517179809791657E-2</v>
      </c>
      <c r="G20" s="10" t="e">
        <f ca="1"/>
        <v>#N/A</v>
      </c>
      <c r="H20" s="10" t="e">
        <f ca="1"/>
        <v>#N/A</v>
      </c>
      <c r="I20" s="10" t="e">
        <f ca="1"/>
        <v>#N/A</v>
      </c>
      <c r="K20" t="e">
        <f ca="1"/>
        <v>#N/A</v>
      </c>
      <c r="L20" t="e">
        <f ca="1"/>
        <v>#N/A</v>
      </c>
      <c r="M20" t="e">
        <f ca="1"/>
        <v>#N/A</v>
      </c>
      <c r="O20" t="e">
        <f ca="1"/>
        <v>#N/A</v>
      </c>
      <c r="P20" t="e">
        <f ca="1"/>
        <v>#N/A</v>
      </c>
      <c r="Q20" t="e">
        <f ca="1"/>
        <v>#N/A</v>
      </c>
      <c r="S20" s="10" t="e">
        <f ca="1"/>
        <v>#N/A</v>
      </c>
      <c r="T20" s="10" t="e">
        <f ca="1"/>
        <v>#N/A</v>
      </c>
      <c r="U20" s="10" t="e">
        <f ca="1"/>
        <v>#N/A</v>
      </c>
    </row>
    <row r="21" spans="1:21" x14ac:dyDescent="0.25">
      <c r="A21" s="5">
        <f ca="1"/>
        <v>45626</v>
      </c>
      <c r="B21" s="10" t="e">
        <f ca="1"/>
        <v>#N/A</v>
      </c>
      <c r="C21" s="10">
        <f ca="1"/>
        <v>5.7254003403184081E-2</v>
      </c>
      <c r="D21" s="10">
        <f ca="1"/>
        <v>4.1530593692454723E-2</v>
      </c>
      <c r="E21" s="10">
        <f ca="1"/>
        <v>1.5723409710729355E-2</v>
      </c>
      <c r="G21" s="10" t="e">
        <f ca="1"/>
        <v>#N/A</v>
      </c>
      <c r="H21" s="10" t="e">
        <f ca="1"/>
        <v>#N/A</v>
      </c>
      <c r="I21" s="10" t="e">
        <f ca="1"/>
        <v>#N/A</v>
      </c>
      <c r="K21" t="e">
        <f ca="1"/>
        <v>#N/A</v>
      </c>
      <c r="L21" t="e">
        <f ca="1"/>
        <v>#N/A</v>
      </c>
      <c r="M21" t="e">
        <f ca="1"/>
        <v>#N/A</v>
      </c>
      <c r="O21" t="e">
        <f ca="1"/>
        <v>#N/A</v>
      </c>
      <c r="P21" t="e">
        <f ca="1"/>
        <v>#N/A</v>
      </c>
      <c r="Q21" t="e">
        <f ca="1"/>
        <v>#N/A</v>
      </c>
      <c r="S21" s="10" t="e">
        <f ca="1"/>
        <v>#N/A</v>
      </c>
      <c r="T21" s="10" t="e">
        <f ca="1"/>
        <v>#N/A</v>
      </c>
      <c r="U21" s="10" t="e">
        <f ca="1"/>
        <v>#N/A</v>
      </c>
    </row>
    <row r="22" spans="1:21" x14ac:dyDescent="0.25">
      <c r="A22" s="5">
        <f ca="1"/>
        <v>45596</v>
      </c>
      <c r="B22" s="10" t="e">
        <f ca="1"/>
        <v>#N/A</v>
      </c>
      <c r="C22" s="10">
        <f ca="1"/>
        <v>5.4249637960542399E-2</v>
      </c>
      <c r="D22" s="10">
        <f ca="1"/>
        <v>3.8337110454947247E-2</v>
      </c>
      <c r="E22" s="10">
        <f ca="1"/>
        <v>1.5912527505595155E-2</v>
      </c>
      <c r="G22" s="10" t="e">
        <f ca="1"/>
        <v>#N/A</v>
      </c>
      <c r="H22" s="10" t="e">
        <f ca="1"/>
        <v>#N/A</v>
      </c>
      <c r="I22" s="10" t="e">
        <f ca="1"/>
        <v>#N/A</v>
      </c>
      <c r="K22" t="e">
        <f ca="1"/>
        <v>#N/A</v>
      </c>
      <c r="L22" t="e">
        <f ca="1"/>
        <v>#N/A</v>
      </c>
      <c r="M22" t="e">
        <f ca="1"/>
        <v>#N/A</v>
      </c>
      <c r="O22" t="e">
        <f ca="1"/>
        <v>#N/A</v>
      </c>
      <c r="P22" t="e">
        <f ca="1"/>
        <v>#N/A</v>
      </c>
      <c r="Q22" t="e">
        <f ca="1"/>
        <v>#N/A</v>
      </c>
      <c r="S22" s="10" t="e">
        <f ca="1"/>
        <v>#N/A</v>
      </c>
      <c r="T22" s="10" t="e">
        <f ca="1"/>
        <v>#N/A</v>
      </c>
      <c r="U22" s="10" t="e">
        <f ca="1"/>
        <v>#N/A</v>
      </c>
    </row>
    <row r="23" spans="1:21" x14ac:dyDescent="0.25">
      <c r="A23" s="5">
        <f ca="1"/>
        <v>45565</v>
      </c>
      <c r="B23" s="10" t="e">
        <f ca="1"/>
        <v>#N/A</v>
      </c>
      <c r="C23" s="10">
        <f ca="1"/>
        <v>5.3700457137471139E-2</v>
      </c>
      <c r="D23" s="10">
        <f ca="1"/>
        <v>3.8324661859654087E-2</v>
      </c>
      <c r="E23" s="10">
        <f ca="1"/>
        <v>1.537579527781705E-2</v>
      </c>
      <c r="G23" s="10" t="e">
        <f ca="1"/>
        <v>#N/A</v>
      </c>
      <c r="H23" s="10" t="e">
        <f ca="1"/>
        <v>#N/A</v>
      </c>
      <c r="I23" s="10" t="e">
        <f ca="1"/>
        <v>#N/A</v>
      </c>
      <c r="K23" t="e">
        <f ca="1"/>
        <v>#N/A</v>
      </c>
      <c r="L23" t="e">
        <f ca="1"/>
        <v>#N/A</v>
      </c>
      <c r="M23" t="e">
        <f ca="1"/>
        <v>#N/A</v>
      </c>
      <c r="O23" t="e">
        <f ca="1"/>
        <v>#N/A</v>
      </c>
      <c r="P23" t="e">
        <f ca="1"/>
        <v>#N/A</v>
      </c>
      <c r="Q23" t="e">
        <f ca="1"/>
        <v>#N/A</v>
      </c>
      <c r="S23" s="10" t="e">
        <f ca="1"/>
        <v>#N/A</v>
      </c>
      <c r="T23" s="10" t="e">
        <f ca="1"/>
        <v>#N/A</v>
      </c>
      <c r="U23" s="10" t="e">
        <f ca="1"/>
        <v>#N/A</v>
      </c>
    </row>
    <row r="24" spans="1:21" x14ac:dyDescent="0.25">
      <c r="A24" s="5">
        <f ca="1"/>
        <v>45535</v>
      </c>
      <c r="B24" s="10">
        <f ca="1"/>
        <v>0.34198357056865669</v>
      </c>
      <c r="C24" s="10">
        <f ca="1"/>
        <v>5.1941765025900609E-2</v>
      </c>
      <c r="D24" s="10">
        <f ca="1"/>
        <v>3.7711379710007806E-2</v>
      </c>
      <c r="E24" s="10">
        <f ca="1"/>
        <v>1.4230385315892801E-2</v>
      </c>
      <c r="G24" s="10">
        <f ca="1"/>
        <v>0.50679859071116407</v>
      </c>
      <c r="H24" s="10">
        <f ca="1"/>
        <v>0.67247737758075676</v>
      </c>
      <c r="I24" s="10">
        <f ca="1"/>
        <v>7.4458237606580338E-2</v>
      </c>
      <c r="K24">
        <f ca="1"/>
        <v>-23.810532804209167</v>
      </c>
      <c r="L24">
        <f ca="1"/>
        <v>-39.436224050888164</v>
      </c>
      <c r="M24">
        <f ca="1"/>
        <v>-17.592593351037547</v>
      </c>
      <c r="O24">
        <f ca="1"/>
        <v>1.5791250456169736</v>
      </c>
      <c r="P24">
        <f ca="1"/>
        <v>1.678977817827664</v>
      </c>
      <c r="Q24">
        <f ca="1"/>
        <v>0.60787024644127019</v>
      </c>
      <c r="S24" s="10" t="e">
        <f ca="1"/>
        <v>#N/A</v>
      </c>
      <c r="T24" s="10" t="e">
        <f ca="1"/>
        <v>#N/A</v>
      </c>
      <c r="U24" s="10" t="e">
        <f ca="1"/>
        <v>#N/A</v>
      </c>
    </row>
    <row r="25" spans="1:21" x14ac:dyDescent="0.25">
      <c r="A25" s="5">
        <f ca="1"/>
        <v>45504</v>
      </c>
      <c r="B25" s="10">
        <f ca="1"/>
        <v>0.30543614073846048</v>
      </c>
      <c r="C25" s="10">
        <f ca="1"/>
        <v>5.3035473390207297E-2</v>
      </c>
      <c r="D25" s="10">
        <f ca="1"/>
        <v>3.8515086165947829E-2</v>
      </c>
      <c r="E25" s="10">
        <f ca="1"/>
        <v>1.4520387224259466E-2</v>
      </c>
      <c r="G25" s="10">
        <f ca="1"/>
        <v>0.48553233192630174</v>
      </c>
      <c r="H25" s="10">
        <f ca="1"/>
        <v>0.66056665790849156</v>
      </c>
      <c r="I25" s="10">
        <f ca="1"/>
        <v>6.7403289383159301E-2</v>
      </c>
      <c r="K25">
        <f ca="1"/>
        <v>-23.37872242400481</v>
      </c>
      <c r="L25">
        <f ca="1"/>
        <v>-39.247804434884124</v>
      </c>
      <c r="M25">
        <f ca="1"/>
        <v>-17.118451647202257</v>
      </c>
      <c r="O25">
        <f ca="1"/>
        <v>1.5596944460443245</v>
      </c>
      <c r="P25">
        <f ca="1"/>
        <v>1.6738751058250791</v>
      </c>
      <c r="Q25">
        <f ca="1"/>
        <v>0.60230130378331226</v>
      </c>
      <c r="S25" s="10" t="e">
        <f ca="1"/>
        <v>#N/A</v>
      </c>
      <c r="T25" s="10" t="e">
        <f ca="1"/>
        <v>#N/A</v>
      </c>
      <c r="U25" s="10" t="e">
        <f ca="1"/>
        <v>#N/A</v>
      </c>
    </row>
    <row r="26" spans="1:21" x14ac:dyDescent="0.25">
      <c r="A26" s="5">
        <f ca="1"/>
        <v>45473</v>
      </c>
      <c r="B26" s="10">
        <f ca="1"/>
        <v>0.19559452648851394</v>
      </c>
      <c r="C26" s="10">
        <f ca="1"/>
        <v>5.3050908676146299E-2</v>
      </c>
      <c r="D26" s="10">
        <f ca="1"/>
        <v>3.8462949585582842E-2</v>
      </c>
      <c r="E26" s="10">
        <f ca="1"/>
        <v>1.4587959090563455E-2</v>
      </c>
      <c r="G26" s="10">
        <f ca="1"/>
        <v>0.4570218204823307</v>
      </c>
      <c r="H26" s="10">
        <f ca="1"/>
        <v>0.63260481408895941</v>
      </c>
      <c r="I26" s="10">
        <f ca="1"/>
        <v>6.3300227995648412E-2</v>
      </c>
      <c r="K26">
        <f ca="1"/>
        <v>-22.545492165631519</v>
      </c>
      <c r="L26">
        <f ca="1"/>
        <v>-38.27317203217342</v>
      </c>
      <c r="M26">
        <f ca="1"/>
        <v>-16.914247835625243</v>
      </c>
      <c r="O26">
        <f ca="1"/>
        <v>1.5187887362964467</v>
      </c>
      <c r="P26">
        <f ca="1"/>
        <v>1.6419252540200775</v>
      </c>
      <c r="Q26">
        <f ca="1"/>
        <v>0.60196829552876774</v>
      </c>
      <c r="S26" s="10" t="e">
        <f ca="1"/>
        <v>#N/A</v>
      </c>
      <c r="T26" s="10" t="e">
        <f ca="1"/>
        <v>#N/A</v>
      </c>
      <c r="U26" s="10" t="e">
        <f ca="1"/>
        <v>#N/A</v>
      </c>
    </row>
    <row r="27" spans="1:21" x14ac:dyDescent="0.25">
      <c r="A27" s="5">
        <f ca="1"/>
        <v>45443</v>
      </c>
      <c r="B27" s="10">
        <f ca="1"/>
        <v>0.30343286890976984</v>
      </c>
      <c r="C27" s="10">
        <f ca="1"/>
        <v>5.3002908628932498E-2</v>
      </c>
      <c r="D27" s="10">
        <f ca="1"/>
        <v>3.8659021764568216E-2</v>
      </c>
      <c r="E27" s="10">
        <f ca="1"/>
        <v>1.434388686436428E-2</v>
      </c>
      <c r="G27" s="10">
        <f ca="1"/>
        <v>0.44444710271505805</v>
      </c>
      <c r="H27" s="10">
        <f ca="1"/>
        <v>0.6095050530443642</v>
      </c>
      <c r="I27" s="10">
        <f ca="1"/>
        <v>6.8654687968855821E-2</v>
      </c>
      <c r="K27">
        <f ca="1"/>
        <v>-22.058586127040574</v>
      </c>
      <c r="L27">
        <f ca="1"/>
        <v>-37.347587508828582</v>
      </c>
      <c r="M27">
        <f ca="1"/>
        <v>-17.931647112021089</v>
      </c>
      <c r="O27">
        <f ca="1"/>
        <v>1.4977187117389108</v>
      </c>
      <c r="P27">
        <f ca="1"/>
        <v>1.6125507546449316</v>
      </c>
      <c r="Q27">
        <f ca="1"/>
        <v>0.62649544914819655</v>
      </c>
      <c r="S27" s="10" t="e">
        <f ca="1"/>
        <v>#N/A</v>
      </c>
      <c r="T27" s="10" t="e">
        <f ca="1"/>
        <v>#N/A</v>
      </c>
      <c r="U27" s="10" t="e">
        <f ca="1"/>
        <v>#N/A</v>
      </c>
    </row>
    <row r="28" spans="1:21" x14ac:dyDescent="0.25">
      <c r="A28" s="5">
        <f ca="1"/>
        <v>45412</v>
      </c>
      <c r="B28" s="10">
        <f ca="1"/>
        <v>0.37797004978463722</v>
      </c>
      <c r="C28" s="10">
        <f ca="1"/>
        <v>5.15946348733234E-2</v>
      </c>
      <c r="D28" s="10">
        <f ca="1"/>
        <v>3.6805224638575378E-2</v>
      </c>
      <c r="E28" s="10">
        <f ca="1"/>
        <v>1.4789410234748022E-2</v>
      </c>
      <c r="G28" s="10">
        <f ca="1"/>
        <v>0.42894952063317898</v>
      </c>
      <c r="H28" s="10">
        <f ca="1"/>
        <v>0.59899933812570239</v>
      </c>
      <c r="I28" s="10">
        <f ca="1"/>
        <v>6.6426788639756484E-2</v>
      </c>
      <c r="K28">
        <f ca="1"/>
        <v>-21.630971769067294</v>
      </c>
      <c r="L28">
        <f ca="1"/>
        <v>-37.078864542266068</v>
      </c>
      <c r="M28">
        <f ca="1"/>
        <v>-18.072356623404968</v>
      </c>
      <c r="O28">
        <f ca="1"/>
        <v>1.4780888670185108</v>
      </c>
      <c r="P28">
        <f ca="1"/>
        <v>1.6044340762390057</v>
      </c>
      <c r="Q28">
        <f ca="1"/>
        <v>0.63281468034040822</v>
      </c>
      <c r="S28" s="10" t="e">
        <f ca="1"/>
        <v>#N/A</v>
      </c>
      <c r="T28" s="10" t="e">
        <f ca="1"/>
        <v>#N/A</v>
      </c>
      <c r="U28" s="10" t="e">
        <f ca="1"/>
        <v>#N/A</v>
      </c>
    </row>
    <row r="29" spans="1:21" x14ac:dyDescent="0.25">
      <c r="A29" s="5">
        <f ca="1"/>
        <v>45382</v>
      </c>
      <c r="B29" s="10">
        <f ca="1"/>
        <v>0.30282527810290505</v>
      </c>
      <c r="C29" s="10">
        <f ca="1"/>
        <v>5.2276035714793757E-2</v>
      </c>
      <c r="D29" s="10">
        <f ca="1"/>
        <v>3.7181698776156631E-2</v>
      </c>
      <c r="E29" s="10">
        <f ca="1"/>
        <v>1.5094336938637128E-2</v>
      </c>
      <c r="G29" s="10">
        <f ca="1"/>
        <v>0.42098102030796403</v>
      </c>
      <c r="H29" s="10">
        <f ca="1"/>
        <v>0.59679392330825576</v>
      </c>
      <c r="I29" s="10">
        <f ca="1"/>
        <v>6.2602985761224389E-2</v>
      </c>
      <c r="K29">
        <f ca="1"/>
        <v>-21.278054269576508</v>
      </c>
      <c r="L29">
        <f ca="1"/>
        <v>-36.663780395976836</v>
      </c>
      <c r="M29">
        <f ca="1"/>
        <v>-17.849478783518709</v>
      </c>
      <c r="O29">
        <f ca="1"/>
        <v>1.4602575445317054</v>
      </c>
      <c r="P29">
        <f ca="1"/>
        <v>1.5896507689855897</v>
      </c>
      <c r="Q29">
        <f ca="1"/>
        <v>0.62860053482888456</v>
      </c>
      <c r="S29" s="10" t="e">
        <f ca="1"/>
        <v>#N/A</v>
      </c>
      <c r="T29" s="10" t="e">
        <f ca="1"/>
        <v>#N/A</v>
      </c>
      <c r="U29" s="10" t="e">
        <f ca="1"/>
        <v>#N/A</v>
      </c>
    </row>
    <row r="30" spans="1:21" x14ac:dyDescent="0.25">
      <c r="A30" s="5">
        <f ca="1"/>
        <v>45351</v>
      </c>
      <c r="B30" s="10">
        <f ca="1"/>
        <v>0.34394174562964674</v>
      </c>
      <c r="C30" s="10">
        <f ca="1"/>
        <v>5.0837450948410676E-2</v>
      </c>
      <c r="D30" s="10">
        <f ca="1"/>
        <v>3.5641580396634266E-2</v>
      </c>
      <c r="E30" s="10">
        <f ca="1"/>
        <v>1.5195870551776411E-2</v>
      </c>
      <c r="G30" s="10">
        <f ca="1"/>
        <v>0.41174178765388875</v>
      </c>
      <c r="H30" s="10">
        <f ca="1"/>
        <v>0.58781137214253976</v>
      </c>
      <c r="I30" s="10">
        <f ca="1"/>
        <v>6.1542337749705502E-2</v>
      </c>
      <c r="K30">
        <f ca="1"/>
        <v>-20.976764306041293</v>
      </c>
      <c r="L30">
        <f ca="1"/>
        <v>-36.249517578478745</v>
      </c>
      <c r="M30">
        <f ca="1"/>
        <v>-18.032968409148861</v>
      </c>
      <c r="O30">
        <f ca="1"/>
        <v>1.4469878191146137</v>
      </c>
      <c r="P30">
        <f ca="1"/>
        <v>1.5764239504766853</v>
      </c>
      <c r="Q30">
        <f ca="1"/>
        <v>0.63470036978351185</v>
      </c>
      <c r="S30" s="10" t="e">
        <f ca="1"/>
        <v>#N/A</v>
      </c>
      <c r="T30" s="10" t="e">
        <f ca="1"/>
        <v>#N/A</v>
      </c>
      <c r="U30" s="10" t="e">
        <f ca="1"/>
        <v>#N/A</v>
      </c>
    </row>
    <row r="31" spans="1:21" x14ac:dyDescent="0.25">
      <c r="A31" s="5">
        <f ca="1"/>
        <v>45322</v>
      </c>
      <c r="B31" s="10">
        <f ca="1"/>
        <v>0.41161660458349258</v>
      </c>
      <c r="C31" s="10">
        <f ca="1"/>
        <v>4.8478537894030851E-2</v>
      </c>
      <c r="D31" s="10">
        <f ca="1"/>
        <v>3.3629155887707193E-2</v>
      </c>
      <c r="E31" s="10">
        <f ca="1"/>
        <v>1.4849382006323656E-2</v>
      </c>
      <c r="G31" s="10">
        <f ca="1"/>
        <v>0.3996721496795782</v>
      </c>
      <c r="H31" s="10">
        <f ca="1"/>
        <v>0.57619670710807003</v>
      </c>
      <c r="I31" s="10">
        <f ca="1"/>
        <v>5.78372023975696E-2</v>
      </c>
      <c r="K31">
        <f ca="1"/>
        <v>-20.547362568752568</v>
      </c>
      <c r="L31">
        <f ca="1"/>
        <v>-35.589714117052608</v>
      </c>
      <c r="M31">
        <f ca="1"/>
        <v>-17.734486479418081</v>
      </c>
      <c r="O31">
        <f ca="1"/>
        <v>1.4264968643956375</v>
      </c>
      <c r="P31">
        <f ca="1"/>
        <v>1.5547308327437928</v>
      </c>
      <c r="Q31">
        <f ca="1"/>
        <v>0.63031001987835489</v>
      </c>
      <c r="S31" s="10" t="e">
        <f ca="1"/>
        <v>#N/A</v>
      </c>
      <c r="T31" s="10" t="e">
        <f ca="1"/>
        <v>#N/A</v>
      </c>
      <c r="U31" s="10" t="e">
        <f ca="1"/>
        <v>#N/A</v>
      </c>
    </row>
    <row r="32" spans="1:21" x14ac:dyDescent="0.25">
      <c r="A32" s="5">
        <f ca="1"/>
        <v>45291</v>
      </c>
      <c r="B32" s="10">
        <f ca="1"/>
        <v>0.40224284722935622</v>
      </c>
      <c r="C32" s="10">
        <f ca="1"/>
        <v>4.8281548940078065E-2</v>
      </c>
      <c r="D32" s="10">
        <f ca="1"/>
        <v>3.3518309481900974E-2</v>
      </c>
      <c r="E32" s="10">
        <f ca="1"/>
        <v>1.4763239458177087E-2</v>
      </c>
      <c r="G32" s="10">
        <f ca="1"/>
        <v>0.39446950943986631</v>
      </c>
      <c r="H32" s="10">
        <f ca="1"/>
        <v>0.57375392688258298</v>
      </c>
      <c r="I32" s="10">
        <f ca="1"/>
        <v>5.307711292542959E-2</v>
      </c>
      <c r="K32">
        <f ca="1"/>
        <v>-20.429303718378065</v>
      </c>
      <c r="L32">
        <f ca="1"/>
        <v>-35.340492357749518</v>
      </c>
      <c r="M32">
        <f ca="1"/>
        <v>-17.266606019059708</v>
      </c>
      <c r="O32">
        <f ca="1"/>
        <v>1.4213265796733683</v>
      </c>
      <c r="P32">
        <f ca="1"/>
        <v>1.5457254676492111</v>
      </c>
      <c r="Q32">
        <f ca="1"/>
        <v>0.61997600385035745</v>
      </c>
      <c r="S32" s="10" t="e">
        <f ca="1"/>
        <v>#N/A</v>
      </c>
      <c r="T32" s="10" t="e">
        <f ca="1"/>
        <v>#N/A</v>
      </c>
      <c r="U32" s="10" t="e">
        <f ca="1"/>
        <v>#N/A</v>
      </c>
    </row>
    <row r="33" spans="1:21" x14ac:dyDescent="0.25">
      <c r="A33" s="5">
        <f ca="1"/>
        <v>45260</v>
      </c>
      <c r="B33" s="10">
        <f ca="1"/>
        <v>0.41430447918034941</v>
      </c>
      <c r="C33" s="10">
        <f ca="1"/>
        <v>4.7151752022862321E-2</v>
      </c>
      <c r="D33" s="10">
        <f ca="1"/>
        <v>3.1849515428692597E-2</v>
      </c>
      <c r="E33" s="10">
        <f ca="1"/>
        <v>1.5302236594169722E-2</v>
      </c>
      <c r="G33" s="10">
        <f ca="1"/>
        <v>0.37790831881560483</v>
      </c>
      <c r="H33" s="10">
        <f ca="1"/>
        <v>0.56420760498452749</v>
      </c>
      <c r="I33" s="10">
        <f ca="1"/>
        <v>4.2303692235549487E-2</v>
      </c>
      <c r="K33">
        <f ca="1"/>
        <v>-20.074801069551025</v>
      </c>
      <c r="L33">
        <f ca="1"/>
        <v>-34.996085065163307</v>
      </c>
      <c r="M33">
        <f ca="1"/>
        <v>-15.65070951860495</v>
      </c>
      <c r="O33">
        <f ca="1"/>
        <v>1.4050758812056949</v>
      </c>
      <c r="P33">
        <f ca="1"/>
        <v>1.5350468617997093</v>
      </c>
      <c r="Q33">
        <f ca="1"/>
        <v>0.58869354294494247</v>
      </c>
      <c r="S33" s="10" t="e">
        <f ca="1"/>
        <v>#N/A</v>
      </c>
      <c r="T33" s="10" t="e">
        <f ca="1"/>
        <v>#N/A</v>
      </c>
      <c r="U33" s="10" t="e">
        <f ca="1"/>
        <v>#N/A</v>
      </c>
    </row>
    <row r="34" spans="1:21" x14ac:dyDescent="0.25">
      <c r="A34" s="5">
        <f ca="1"/>
        <v>45230</v>
      </c>
      <c r="B34" s="10">
        <f ca="1"/>
        <v>0.51160999570794985</v>
      </c>
      <c r="C34" s="10">
        <f ca="1"/>
        <v>4.5477357039559282E-2</v>
      </c>
      <c r="D34" s="10">
        <f ca="1"/>
        <v>3.0726325615589616E-2</v>
      </c>
      <c r="E34" s="10">
        <f ca="1"/>
        <v>1.4751031423969664E-2</v>
      </c>
      <c r="G34" s="10">
        <f ca="1"/>
        <v>0.36499765211621588</v>
      </c>
      <c r="H34" s="10">
        <f ca="1"/>
        <v>0.54816088939249241</v>
      </c>
      <c r="I34" s="10">
        <f ca="1"/>
        <v>3.5749630220364613E-2</v>
      </c>
      <c r="K34">
        <f ca="1"/>
        <v>-19.791126172138522</v>
      </c>
      <c r="L34">
        <f ca="1"/>
        <v>-34.244389332515091</v>
      </c>
      <c r="M34">
        <f ca="1"/>
        <v>-14.680544795960065</v>
      </c>
      <c r="O34">
        <f ca="1"/>
        <v>1.3922183013616212</v>
      </c>
      <c r="P34">
        <f ca="1"/>
        <v>1.5109072341776528</v>
      </c>
      <c r="Q34">
        <f ca="1"/>
        <v>0.56828068479816807</v>
      </c>
      <c r="S34" s="10" t="e">
        <f ca="1"/>
        <v>#N/A</v>
      </c>
      <c r="T34" s="10" t="e">
        <f ca="1"/>
        <v>#N/A</v>
      </c>
      <c r="U34" s="10" t="e">
        <f ca="1"/>
        <v>#N/A</v>
      </c>
    </row>
    <row r="35" spans="1:21" x14ac:dyDescent="0.25">
      <c r="A35" s="5">
        <f ca="1"/>
        <v>45199</v>
      </c>
      <c r="B35" s="10">
        <f ca="1"/>
        <v>0.44703303366332015</v>
      </c>
      <c r="C35" s="10">
        <f ca="1"/>
        <v>4.7151403656169426E-2</v>
      </c>
      <c r="D35" s="10">
        <f ca="1"/>
        <v>3.2874911879170653E-2</v>
      </c>
      <c r="E35" s="10">
        <f ca="1"/>
        <v>1.4276491776998773E-2</v>
      </c>
      <c r="G35" s="10">
        <f ca="1"/>
        <v>0.34549700968281338</v>
      </c>
      <c r="H35" s="10">
        <f ca="1"/>
        <v>0.52996765181310546</v>
      </c>
      <c r="I35" s="10">
        <f ca="1"/>
        <v>2.4742654376083476E-2</v>
      </c>
      <c r="K35">
        <f ca="1"/>
        <v>-19.255612639876109</v>
      </c>
      <c r="L35">
        <f ca="1"/>
        <v>-33.207687457978537</v>
      </c>
      <c r="M35">
        <f ca="1"/>
        <v>-12.474369152106428</v>
      </c>
      <c r="O35">
        <f ca="1"/>
        <v>1.3632501877420267</v>
      </c>
      <c r="P35">
        <f ca="1"/>
        <v>1.4747690580986315</v>
      </c>
      <c r="Q35">
        <f ca="1"/>
        <v>0.51966366615843873</v>
      </c>
      <c r="S35" s="10" t="e">
        <f ca="1"/>
        <v>#N/A</v>
      </c>
      <c r="T35" s="10" t="e">
        <f ca="1"/>
        <v>#N/A</v>
      </c>
      <c r="U35" s="10" t="e">
        <f ca="1"/>
        <v>#N/A</v>
      </c>
    </row>
    <row r="36" spans="1:21" x14ac:dyDescent="0.25">
      <c r="A36" s="5">
        <f ca="1"/>
        <v>45169</v>
      </c>
      <c r="B36" s="10">
        <f ca="1"/>
        <v>0.31147646450708355</v>
      </c>
      <c r="C36" s="10">
        <f ca="1"/>
        <v>4.8867666002479847E-2</v>
      </c>
      <c r="D36" s="10">
        <f ca="1"/>
        <v>3.3250430595693561E-2</v>
      </c>
      <c r="E36" s="10">
        <f ca="1"/>
        <v>1.5617235406786285E-2</v>
      </c>
      <c r="G36" s="10">
        <f ca="1"/>
        <v>0.34563714623920805</v>
      </c>
      <c r="H36" s="10">
        <f ca="1"/>
        <v>0.52841398251168215</v>
      </c>
      <c r="I36" s="10">
        <f ca="1"/>
        <v>2.0691213493758638E-2</v>
      </c>
      <c r="K36">
        <f ca="1"/>
        <v>-19.113158932378266</v>
      </c>
      <c r="L36">
        <f ca="1"/>
        <v>-32.329369731851074</v>
      </c>
      <c r="M36">
        <f ca="1"/>
        <v>-11.898184276712108</v>
      </c>
      <c r="O36">
        <f ca="1"/>
        <v>1.3557946704370796</v>
      </c>
      <c r="P36">
        <f ca="1"/>
        <v>1.4431158384751883</v>
      </c>
      <c r="Q36">
        <f ca="1"/>
        <v>0.50326369637337243</v>
      </c>
      <c r="S36" s="10" t="e">
        <f ca="1"/>
        <v>#N/A</v>
      </c>
      <c r="T36" s="10" t="e">
        <f ca="1"/>
        <v>#N/A</v>
      </c>
      <c r="U36" s="10" t="e">
        <f ca="1"/>
        <v>#N/A</v>
      </c>
    </row>
    <row r="37" spans="1:21" x14ac:dyDescent="0.25">
      <c r="A37" s="5">
        <f ca="1"/>
        <v>45138</v>
      </c>
      <c r="B37" s="10">
        <f ca="1"/>
        <v>0.21357780412119531</v>
      </c>
      <c r="C37" s="10">
        <f ca="1"/>
        <v>4.9758762101651463E-2</v>
      </c>
      <c r="D37" s="10">
        <f ca="1"/>
        <v>3.4206724397989524E-2</v>
      </c>
      <c r="E37" s="10">
        <f ca="1"/>
        <v>1.5552037703661939E-2</v>
      </c>
      <c r="G37" s="10">
        <f ca="1"/>
        <v>0.36013957915434142</v>
      </c>
      <c r="H37" s="10">
        <f ca="1"/>
        <v>0.53365085317404704</v>
      </c>
      <c r="I37" s="10">
        <f ca="1"/>
        <v>2.3056000230247228E-2</v>
      </c>
      <c r="K37">
        <f ca="1"/>
        <v>-19.464071255436366</v>
      </c>
      <c r="L37">
        <f ca="1"/>
        <v>-31.882064774329272</v>
      </c>
      <c r="M37">
        <f ca="1"/>
        <v>-13.066516668766422</v>
      </c>
      <c r="O37">
        <f ca="1"/>
        <v>1.3781547821241573</v>
      </c>
      <c r="P37">
        <f ca="1"/>
        <v>1.4290502015236699</v>
      </c>
      <c r="Q37">
        <f ca="1"/>
        <v>0.52485549168839352</v>
      </c>
      <c r="S37" s="10" t="e">
        <f ca="1"/>
        <v>#N/A</v>
      </c>
      <c r="T37" s="10" t="e">
        <f ca="1"/>
        <v>#N/A</v>
      </c>
      <c r="U37" s="10" t="e">
        <f ca="1"/>
        <v>#N/A</v>
      </c>
    </row>
    <row r="38" spans="1:21" x14ac:dyDescent="0.25">
      <c r="A38" s="5">
        <f ca="1"/>
        <v>45107</v>
      </c>
      <c r="B38" s="10">
        <f ca="1"/>
        <v>0.26098220826086771</v>
      </c>
      <c r="C38" s="10">
        <f ca="1"/>
        <v>4.8527287783084266E-2</v>
      </c>
      <c r="D38" s="10">
        <f ca="1"/>
        <v>3.2796757048220611E-2</v>
      </c>
      <c r="E38" s="10">
        <f ca="1"/>
        <v>1.5730530734863659E-2</v>
      </c>
      <c r="G38" s="10">
        <f ca="1"/>
        <v>0.38630945791811699</v>
      </c>
      <c r="H38" s="10">
        <f ca="1"/>
        <v>0.54563019372470389</v>
      </c>
      <c r="I38" s="10">
        <f ca="1"/>
        <v>3.189058806735777E-2</v>
      </c>
      <c r="K38">
        <f ca="1"/>
        <v>-20.105248408204783</v>
      </c>
      <c r="L38">
        <f ca="1"/>
        <v>-31.661339422236821</v>
      </c>
      <c r="M38">
        <f ca="1"/>
        <v>-16.09796268406982</v>
      </c>
      <c r="O38">
        <f ca="1"/>
        <v>1.4188324984991407</v>
      </c>
      <c r="P38">
        <f ca="1"/>
        <v>1.4242003439051956</v>
      </c>
      <c r="Q38">
        <f ca="1"/>
        <v>0.58743554558818101</v>
      </c>
      <c r="S38" s="10" t="e">
        <f ca="1"/>
        <v>#N/A</v>
      </c>
      <c r="T38" s="10" t="e">
        <f ca="1"/>
        <v>#N/A</v>
      </c>
      <c r="U38" s="10" t="e">
        <f ca="1"/>
        <v>#N/A</v>
      </c>
    </row>
    <row r="39" spans="1:21" x14ac:dyDescent="0.25">
      <c r="A39" s="5">
        <f ca="1"/>
        <v>45077</v>
      </c>
      <c r="B39" s="10">
        <f ca="1"/>
        <v>0.42457946854297912</v>
      </c>
      <c r="C39" s="10">
        <f ca="1"/>
        <v>4.6787865634570401E-2</v>
      </c>
      <c r="D39" s="10">
        <f ca="1"/>
        <v>3.1067544430779619E-2</v>
      </c>
      <c r="E39" s="10">
        <f ca="1"/>
        <v>1.5720321203790782E-2</v>
      </c>
      <c r="G39" s="10">
        <f ca="1"/>
        <v>0.4174070802773357</v>
      </c>
      <c r="H39" s="10">
        <f ca="1"/>
        <v>0.56582880994771534</v>
      </c>
      <c r="I39" s="10">
        <f ca="1"/>
        <v>4.2753435259941103E-2</v>
      </c>
      <c r="K39">
        <f ca="1"/>
        <v>-21.116146286062541</v>
      </c>
      <c r="L39">
        <f ca="1"/>
        <v>-32.170128375691746</v>
      </c>
      <c r="M39">
        <f ca="1"/>
        <v>-19.624634314155333</v>
      </c>
      <c r="O39">
        <f ca="1"/>
        <v>1.4799795914141327</v>
      </c>
      <c r="P39">
        <f ca="1"/>
        <v>1.4449252423051333</v>
      </c>
      <c r="Q39">
        <f ca="1"/>
        <v>0.65928310923043876</v>
      </c>
      <c r="S39" s="10" t="e">
        <f ca="1"/>
        <v>#N/A</v>
      </c>
      <c r="T39" s="10" t="e">
        <f ca="1"/>
        <v>#N/A</v>
      </c>
      <c r="U39" s="10" t="e">
        <f ca="1"/>
        <v>#N/A</v>
      </c>
    </row>
    <row r="40" spans="1:21" x14ac:dyDescent="0.25">
      <c r="A40" s="5">
        <f ca="1"/>
        <v>45046</v>
      </c>
      <c r="B40" s="10">
        <f ca="1"/>
        <v>0.44874900467204548</v>
      </c>
      <c r="C40" s="10">
        <f ca="1"/>
        <v>4.5664213360933022E-2</v>
      </c>
      <c r="D40" s="10">
        <f ca="1"/>
        <v>3.0280548927157903E-2</v>
      </c>
      <c r="E40" s="10">
        <f ca="1"/>
        <v>1.538366443377512E-2</v>
      </c>
      <c r="G40" s="10">
        <f ca="1"/>
        <v>0.41078030107287011</v>
      </c>
      <c r="H40" s="10">
        <f ca="1"/>
        <v>0.5527217240969875</v>
      </c>
      <c r="I40" s="10">
        <f ca="1"/>
        <v>3.7347378341733892E-2</v>
      </c>
      <c r="K40">
        <f ca="1"/>
        <v>-20.801827479705917</v>
      </c>
      <c r="L40">
        <f ca="1"/>
        <v>-31.074343625270526</v>
      </c>
      <c r="M40">
        <f ca="1"/>
        <v>-19.052436886918191</v>
      </c>
      <c r="O40">
        <f ca="1"/>
        <v>1.4646865224224446</v>
      </c>
      <c r="P40">
        <f ca="1"/>
        <v>1.4070620686554227</v>
      </c>
      <c r="Q40">
        <f ca="1"/>
        <v>0.64424550075296549</v>
      </c>
      <c r="S40" s="10" t="e">
        <f ca="1"/>
        <v>#N/A</v>
      </c>
      <c r="T40" s="10" t="e">
        <f ca="1"/>
        <v>#N/A</v>
      </c>
      <c r="U40" s="10" t="e">
        <f ca="1"/>
        <v>#N/A</v>
      </c>
    </row>
    <row r="41" spans="1:21" x14ac:dyDescent="0.25">
      <c r="A41" s="5">
        <f ca="1"/>
        <v>45016</v>
      </c>
      <c r="B41" s="10">
        <f ca="1"/>
        <v>0.43129381818358792</v>
      </c>
      <c r="C41" s="10">
        <f ca="1"/>
        <v>4.6976897721119779E-2</v>
      </c>
      <c r="D41" s="10">
        <f ca="1"/>
        <v>3.0655593658272459E-2</v>
      </c>
      <c r="E41" s="10">
        <f ca="1"/>
        <v>1.6321304062847319E-2</v>
      </c>
      <c r="G41" s="10">
        <f ca="1"/>
        <v>0.38661265566626463</v>
      </c>
      <c r="H41" s="10">
        <f ca="1"/>
        <v>0.52350077025358255</v>
      </c>
      <c r="I41" s="10">
        <f ca="1"/>
        <v>2.4998737539383132E-2</v>
      </c>
      <c r="K41">
        <f ca="1"/>
        <v>-20.275205763796301</v>
      </c>
      <c r="L41">
        <f ca="1"/>
        <v>-29.839931294240969</v>
      </c>
      <c r="M41">
        <f ca="1"/>
        <v>-16.396740277705025</v>
      </c>
      <c r="O41">
        <f ca="1"/>
        <v>1.4379995122159628</v>
      </c>
      <c r="P41">
        <f ca="1"/>
        <v>1.364687610744594</v>
      </c>
      <c r="Q41">
        <f ca="1"/>
        <v>0.58596893949700535</v>
      </c>
      <c r="S41" s="10" t="e">
        <f ca="1"/>
        <v>#N/A</v>
      </c>
      <c r="T41" s="10" t="e">
        <f ca="1"/>
        <v>#N/A</v>
      </c>
      <c r="U41" s="10" t="e">
        <f ca="1"/>
        <v>#N/A</v>
      </c>
    </row>
    <row r="42" spans="1:21" x14ac:dyDescent="0.25">
      <c r="A42" s="5">
        <f ca="1"/>
        <v>44985</v>
      </c>
      <c r="B42" s="10">
        <f ca="1"/>
        <v>0.51943377454252349</v>
      </c>
      <c r="C42" s="10">
        <f ca="1"/>
        <v>4.6439950256048954E-2</v>
      </c>
      <c r="D42" s="10">
        <f ca="1"/>
        <v>2.9523838795553307E-2</v>
      </c>
      <c r="E42" s="10">
        <f ca="1"/>
        <v>1.6916111460495643E-2</v>
      </c>
      <c r="G42" s="10">
        <f ca="1"/>
        <v>0.36163907749372842</v>
      </c>
      <c r="H42" s="10">
        <f ca="1"/>
        <v>0.49773152634690798</v>
      </c>
      <c r="I42" s="10">
        <f ca="1"/>
        <v>1.5332417960990779E-2</v>
      </c>
      <c r="K42">
        <f ca="1"/>
        <v>-19.6206585211274</v>
      </c>
      <c r="L42">
        <f ca="1"/>
        <v>-28.815547274761752</v>
      </c>
      <c r="M42">
        <f ca="1"/>
        <v>-13.23441499086754</v>
      </c>
      <c r="O42">
        <f ca="1"/>
        <v>1.4033489661780383</v>
      </c>
      <c r="P42">
        <f ca="1"/>
        <v>1.329693468157485</v>
      </c>
      <c r="Q42">
        <f ca="1"/>
        <v>0.51635322011143836</v>
      </c>
      <c r="S42" s="10" t="e">
        <f ca="1"/>
        <v>#N/A</v>
      </c>
      <c r="T42" s="10" t="e">
        <f ca="1"/>
        <v>#N/A</v>
      </c>
      <c r="U42" s="10" t="e">
        <f ca="1"/>
        <v>#N/A</v>
      </c>
    </row>
    <row r="43" spans="1:21" x14ac:dyDescent="0.25">
      <c r="A43" s="5">
        <f ca="1"/>
        <v>44957</v>
      </c>
      <c r="B43" s="10">
        <f ca="1"/>
        <v>0.39956090860030424</v>
      </c>
      <c r="C43" s="10">
        <f ca="1"/>
        <v>4.7467738225449835E-2</v>
      </c>
      <c r="D43" s="10">
        <f ca="1"/>
        <v>3.0101350558390409E-2</v>
      </c>
      <c r="E43" s="10">
        <f ca="1"/>
        <v>1.7366387667059426E-2</v>
      </c>
      <c r="G43" s="10">
        <f ca="1"/>
        <v>0.3328267946953497</v>
      </c>
      <c r="H43" s="10">
        <f ca="1"/>
        <v>0.47238099069992284</v>
      </c>
      <c r="I43" s="10">
        <f ca="1"/>
        <v>6.3243785474043582E-3</v>
      </c>
      <c r="K43">
        <f ca="1"/>
        <v>-18.728976176718731</v>
      </c>
      <c r="L43">
        <f ca="1"/>
        <v>-27.730949946717079</v>
      </c>
      <c r="M43">
        <f ca="1"/>
        <v>-8.5899202930439209</v>
      </c>
      <c r="O43">
        <f ca="1"/>
        <v>1.3518180909112583</v>
      </c>
      <c r="P43">
        <f ca="1"/>
        <v>1.2900944527691429</v>
      </c>
      <c r="Q43">
        <f ca="1"/>
        <v>0.41098316694338033</v>
      </c>
      <c r="S43" s="10" t="e">
        <f ca="1"/>
        <v>#N/A</v>
      </c>
      <c r="T43" s="10" t="e">
        <f ca="1"/>
        <v>#N/A</v>
      </c>
      <c r="U43" s="10" t="e">
        <f ca="1"/>
        <v>#N/A</v>
      </c>
    </row>
    <row r="44" spans="1:21" x14ac:dyDescent="0.25">
      <c r="A44" s="5">
        <f ca="1"/>
        <v>44926</v>
      </c>
      <c r="B44" s="10">
        <f ca="1"/>
        <v>0.50084125537179314</v>
      </c>
      <c r="C44" s="10">
        <f ca="1"/>
        <v>4.5533109232727395E-2</v>
      </c>
      <c r="D44" s="10">
        <f ca="1"/>
        <v>2.8284185055504528E-2</v>
      </c>
      <c r="E44" s="10">
        <f ca="1"/>
        <v>1.7248924177222864E-2</v>
      </c>
      <c r="G44" s="10">
        <f ca="1"/>
        <v>0.32837517246265374</v>
      </c>
      <c r="H44" s="10">
        <f ca="1"/>
        <v>0.46654231150697278</v>
      </c>
      <c r="I44" s="10">
        <f ca="1"/>
        <v>4.6149074694944144E-3</v>
      </c>
      <c r="K44">
        <f ca="1"/>
        <v>-18.594087981337722</v>
      </c>
      <c r="L44">
        <f ca="1"/>
        <v>-27.374934922974727</v>
      </c>
      <c r="M44">
        <f ca="1"/>
        <v>-7.4734080813946813</v>
      </c>
      <c r="O44">
        <f ca="1"/>
        <v>1.3462411969658352</v>
      </c>
      <c r="P44">
        <f ca="1"/>
        <v>1.2791306811176104</v>
      </c>
      <c r="Q44">
        <f ca="1"/>
        <v>0.38224945939375515</v>
      </c>
      <c r="S44" s="10" t="e">
        <f ca="1"/>
        <v>#N/A</v>
      </c>
      <c r="T44" s="10" t="e">
        <f ca="1"/>
        <v>#N/A</v>
      </c>
      <c r="U44" s="10" t="e">
        <f ca="1"/>
        <v>#N/A</v>
      </c>
    </row>
    <row r="45" spans="1:21" x14ac:dyDescent="0.25">
      <c r="A45" s="5">
        <f ca="1"/>
        <v>44895</v>
      </c>
      <c r="B45" s="10">
        <f ca="1"/>
        <v>0.38437444088517214</v>
      </c>
      <c r="C45" s="10">
        <f ca="1"/>
        <v>4.7351137127492712E-2</v>
      </c>
      <c r="D45" s="10">
        <f ca="1"/>
        <v>3.0051861602808275E-2</v>
      </c>
      <c r="E45" s="10">
        <f ca="1"/>
        <v>1.7299275524684441E-2</v>
      </c>
      <c r="G45" s="10">
        <f ca="1"/>
        <v>0.30552254464906303</v>
      </c>
      <c r="H45" s="10">
        <f ca="1"/>
        <v>0.44778683375504291</v>
      </c>
      <c r="I45" s="10">
        <f ca="1"/>
        <v>6.6285160472980345E-4</v>
      </c>
      <c r="K45">
        <f ca="1"/>
        <v>-18.153045192251039</v>
      </c>
      <c r="L45">
        <f ca="1"/>
        <v>-26.976960224293499</v>
      </c>
      <c r="M45">
        <f ca="1"/>
        <v>-2.863135332478997</v>
      </c>
      <c r="O45">
        <f ca="1"/>
        <v>1.3208713902372624</v>
      </c>
      <c r="P45">
        <f ca="1"/>
        <v>1.2652120986809874</v>
      </c>
      <c r="Q45">
        <f ca="1"/>
        <v>0.27519422057016807</v>
      </c>
      <c r="S45" s="10">
        <f ca="1"/>
        <v>0.60469670712630763</v>
      </c>
      <c r="T45" s="10">
        <f ca="1"/>
        <v>0.53868448433019489</v>
      </c>
      <c r="U45" s="10">
        <f ca="1"/>
        <v>0.13334353186286715</v>
      </c>
    </row>
    <row r="46" spans="1:21" x14ac:dyDescent="0.25">
      <c r="A46" s="5">
        <f ca="1"/>
        <v>44865</v>
      </c>
      <c r="B46" s="10">
        <f ca="1"/>
        <v>0.42622120982029865</v>
      </c>
      <c r="C46" s="10">
        <f ca="1"/>
        <v>4.8506080475229765E-2</v>
      </c>
      <c r="D46" s="10">
        <f ca="1"/>
        <v>3.0337835313457372E-2</v>
      </c>
      <c r="E46" s="10">
        <f ca="1"/>
        <v>1.8168245161772397E-2</v>
      </c>
      <c r="G46" s="10">
        <f ca="1"/>
        <v>0.30035089073586929</v>
      </c>
      <c r="H46" s="10">
        <f ca="1"/>
        <v>0.44394368774931176</v>
      </c>
      <c r="I46" s="10">
        <f ca="1"/>
        <v>2.4439463485921525E-5</v>
      </c>
      <c r="K46">
        <f ca="1"/>
        <v>-18.329820863011523</v>
      </c>
      <c r="L46">
        <f ca="1"/>
        <v>-27.165083745766481</v>
      </c>
      <c r="M46">
        <f ca="1"/>
        <v>-0.56211671752912218</v>
      </c>
      <c r="O46">
        <f ca="1"/>
        <v>1.3342451223107752</v>
      </c>
      <c r="P46">
        <f ca="1"/>
        <v>1.2748048248825894</v>
      </c>
      <c r="Q46">
        <f ca="1"/>
        <v>0.21990361565688349</v>
      </c>
      <c r="S46" s="10">
        <f ca="1"/>
        <v>0.61118912750855359</v>
      </c>
      <c r="T46" s="10">
        <f ca="1"/>
        <v>0.53150217654555465</v>
      </c>
      <c r="U46" s="10">
        <f ca="1"/>
        <v>0.11104941334389216</v>
      </c>
    </row>
    <row r="47" spans="1:21" x14ac:dyDescent="0.25">
      <c r="A47" s="5">
        <f ca="1"/>
        <v>44834</v>
      </c>
      <c r="B47" s="10">
        <f ca="1"/>
        <v>0.52288307182579286</v>
      </c>
      <c r="C47" s="10">
        <f ca="1"/>
        <v>4.9307850038824749E-2</v>
      </c>
      <c r="D47" s="10">
        <f ca="1"/>
        <v>3.0874231060729347E-2</v>
      </c>
      <c r="E47" s="10">
        <f ca="1"/>
        <v>1.8433618978095402E-2</v>
      </c>
      <c r="G47" s="10">
        <f ca="1"/>
        <v>0.28278110127128236</v>
      </c>
      <c r="H47" s="10">
        <f ca="1"/>
        <v>0.43077207130406459</v>
      </c>
      <c r="I47" s="10">
        <f ca="1"/>
        <v>9.0664039508280166E-4</v>
      </c>
      <c r="K47">
        <f ca="1"/>
        <v>-18.064966390524667</v>
      </c>
      <c r="L47">
        <f ca="1"/>
        <v>-27.063111634077252</v>
      </c>
      <c r="M47">
        <f ca="1"/>
        <v>3.4374822649918393</v>
      </c>
      <c r="O47">
        <f ca="1"/>
        <v>1.3198745847297684</v>
      </c>
      <c r="P47">
        <f ca="1"/>
        <v>1.2725233025082479</v>
      </c>
      <c r="Q47">
        <f ca="1"/>
        <v>0.12627389035627562</v>
      </c>
      <c r="S47" s="10">
        <f ca="1"/>
        <v>0.60851255492897594</v>
      </c>
      <c r="T47" s="10">
        <f ca="1"/>
        <v>0.53201878226025301</v>
      </c>
      <c r="U47" s="10">
        <f ca="1"/>
        <v>0.10079852718407782</v>
      </c>
    </row>
    <row r="48" spans="1:21" x14ac:dyDescent="0.25">
      <c r="A48" s="5">
        <f ca="1"/>
        <v>44804</v>
      </c>
      <c r="B48" s="10">
        <f ca="1"/>
        <v>0.33438938053097345</v>
      </c>
      <c r="C48" s="10">
        <f ca="1"/>
        <v>5.049749584184654E-2</v>
      </c>
      <c r="D48" s="10">
        <f ca="1"/>
        <v>3.1865447250522372E-2</v>
      </c>
      <c r="E48" s="10">
        <f ca="1"/>
        <v>1.8632048591324168E-2</v>
      </c>
      <c r="G48" s="10">
        <f ca="1"/>
        <v>0.2496613820459534</v>
      </c>
      <c r="H48" s="10">
        <f ca="1"/>
        <v>0.40530110759717364</v>
      </c>
      <c r="I48" s="10">
        <f ca="1"/>
        <v>7.6854447175356893E-3</v>
      </c>
      <c r="K48">
        <f ca="1"/>
        <v>-17.001205220255944</v>
      </c>
      <c r="L48">
        <f ca="1"/>
        <v>-26.209013860729154</v>
      </c>
      <c r="M48">
        <f ca="1"/>
        <v>9.8624269442499788</v>
      </c>
      <c r="O48">
        <f ca="1"/>
        <v>1.2540714723475783</v>
      </c>
      <c r="P48">
        <f ca="1"/>
        <v>1.2386413193666157</v>
      </c>
      <c r="Q48">
        <f ca="1"/>
        <v>-2.4201166565888804E-2</v>
      </c>
      <c r="S48" s="10">
        <f ca="1"/>
        <v>0.4145660176472078</v>
      </c>
      <c r="T48" s="10">
        <f ca="1"/>
        <v>0.440202420277988</v>
      </c>
      <c r="U48" s="10">
        <f ca="1"/>
        <v>0.13292345829276964</v>
      </c>
    </row>
    <row r="49" spans="1:21" x14ac:dyDescent="0.25">
      <c r="A49" s="5">
        <f ca="1"/>
        <v>44773</v>
      </c>
      <c r="B49" s="10">
        <f ca="1"/>
        <v>0.21920978914313505</v>
      </c>
      <c r="C49" s="10">
        <f ca="1"/>
        <v>5.1179413139348172E-2</v>
      </c>
      <c r="D49" s="10">
        <f ca="1"/>
        <v>3.2243601312361467E-2</v>
      </c>
      <c r="E49" s="10">
        <f ca="1"/>
        <v>1.8935811826986705E-2</v>
      </c>
      <c r="G49" s="10">
        <f ca="1"/>
        <v>0.24652425747874279</v>
      </c>
      <c r="H49" s="10">
        <f ca="1"/>
        <v>0.40408901883305792</v>
      </c>
      <c r="I49" s="10">
        <f ca="1"/>
        <v>1.0331483806195745E-2</v>
      </c>
      <c r="K49">
        <f ca="1"/>
        <v>-17.238844838329587</v>
      </c>
      <c r="L49">
        <f ca="1"/>
        <v>-26.588222135752069</v>
      </c>
      <c r="M49">
        <f ca="1"/>
        <v>11.510931350209905</v>
      </c>
      <c r="O49">
        <f ca="1"/>
        <v>1.2706182145328553</v>
      </c>
      <c r="P49">
        <f ca="1"/>
        <v>1.2552264575038343</v>
      </c>
      <c r="Q49">
        <f ca="1"/>
        <v>-6.6254593111514104E-2</v>
      </c>
      <c r="S49" s="10">
        <f ca="1"/>
        <v>0.39886355773885307</v>
      </c>
      <c r="T49" s="10">
        <f ca="1"/>
        <v>0.39073576726817322</v>
      </c>
      <c r="U49" s="10">
        <f ca="1"/>
        <v>3.9564495922225246E-2</v>
      </c>
    </row>
    <row r="50" spans="1:21" x14ac:dyDescent="0.25">
      <c r="A50" s="5">
        <f ca="1"/>
        <v>44742</v>
      </c>
      <c r="B50" s="10">
        <f ca="1"/>
        <v>0.38806407811104826</v>
      </c>
      <c r="C50" s="10">
        <f ca="1"/>
        <v>5.1807376632028945E-2</v>
      </c>
      <c r="D50" s="10">
        <f ca="1"/>
        <v>3.162018487845953E-2</v>
      </c>
      <c r="E50" s="10">
        <f ca="1"/>
        <v>2.0187191753569412E-2</v>
      </c>
      <c r="G50" s="10">
        <f ca="1"/>
        <v>0.25267572700242091</v>
      </c>
      <c r="H50" s="10">
        <f ca="1"/>
        <v>0.4146540387610837</v>
      </c>
      <c r="I50" s="10">
        <f ca="1"/>
        <v>1.1319534150854888E-2</v>
      </c>
      <c r="K50">
        <f ca="1"/>
        <v>-17.824695666532676</v>
      </c>
      <c r="L50">
        <f ca="1"/>
        <v>-27.434236843937065</v>
      </c>
      <c r="M50">
        <f ca="1"/>
        <v>12.056488644697314</v>
      </c>
      <c r="O50">
        <f ca="1"/>
        <v>1.3123485457830864</v>
      </c>
      <c r="P50">
        <f ca="1"/>
        <v>1.2937888624836977</v>
      </c>
      <c r="Q50">
        <f ca="1"/>
        <v>-8.0474127391337857E-2</v>
      </c>
      <c r="S50" s="10">
        <f ca="1"/>
        <v>0.50767898660191668</v>
      </c>
      <c r="T50" s="10">
        <f ca="1"/>
        <v>0.38175566282426393</v>
      </c>
      <c r="U50" s="10">
        <f ca="1"/>
        <v>7.8626155877089708E-4</v>
      </c>
    </row>
    <row r="51" spans="1:21" x14ac:dyDescent="0.25">
      <c r="A51" s="5">
        <f ca="1"/>
        <v>44712</v>
      </c>
      <c r="B51" s="10">
        <f ca="1"/>
        <v>0.23332163643623804</v>
      </c>
      <c r="C51" s="10">
        <f ca="1"/>
        <v>5.4747120101161222E-2</v>
      </c>
      <c r="D51" s="10">
        <f ca="1"/>
        <v>3.4875794953981833E-2</v>
      </c>
      <c r="E51" s="10">
        <f ca="1"/>
        <v>1.9871325147179389E-2</v>
      </c>
      <c r="G51" s="10">
        <f ca="1"/>
        <v>0.23521057403032747</v>
      </c>
      <c r="H51" s="10">
        <f ca="1"/>
        <v>0.40384489701273801</v>
      </c>
      <c r="I51" s="10">
        <f ca="1"/>
        <v>1.5438651869411974E-2</v>
      </c>
      <c r="K51">
        <f ca="1"/>
        <v>-17.415274768126498</v>
      </c>
      <c r="L51">
        <f ca="1"/>
        <v>-27.576235468323134</v>
      </c>
      <c r="M51">
        <f ca="1"/>
        <v>13.55839609001578</v>
      </c>
      <c r="O51">
        <f ca="1"/>
        <v>1.2882718391420618</v>
      </c>
      <c r="P51">
        <f ca="1"/>
        <v>1.3011281999372635</v>
      </c>
      <c r="Q51">
        <f ca="1"/>
        <v>-0.11968226003089472</v>
      </c>
      <c r="S51" s="10">
        <f ca="1"/>
        <v>0.4156928603338409</v>
      </c>
      <c r="T51" s="10">
        <f ca="1"/>
        <v>0.37305318916015456</v>
      </c>
      <c r="U51" s="10">
        <f ca="1"/>
        <v>5.2907592740910449E-3</v>
      </c>
    </row>
    <row r="52" spans="1:21" x14ac:dyDescent="0.25">
      <c r="A52" s="5">
        <f ca="1"/>
        <v>44681</v>
      </c>
      <c r="B52" s="10">
        <f ca="1"/>
        <v>0.1727328391332863</v>
      </c>
      <c r="C52" s="10">
        <f ca="1"/>
        <v>5.5031552588408944E-2</v>
      </c>
      <c r="D52" s="10">
        <f ca="1"/>
        <v>3.5319707001887218E-2</v>
      </c>
      <c r="E52" s="10">
        <f ca="1"/>
        <v>1.9711845586521722E-2</v>
      </c>
      <c r="G52" s="10">
        <f ca="1"/>
        <v>0.23655723894289893</v>
      </c>
      <c r="H52" s="10">
        <f ca="1"/>
        <v>0.40804728448229594</v>
      </c>
      <c r="I52" s="10">
        <f ca="1"/>
        <v>1.4841877899983426E-2</v>
      </c>
      <c r="K52">
        <f ca="1"/>
        <v>-17.594906997191607</v>
      </c>
      <c r="L52">
        <f ca="1"/>
        <v>-27.982405201847925</v>
      </c>
      <c r="M52">
        <f ca="1"/>
        <v>13.046223826152717</v>
      </c>
      <c r="O52">
        <f ca="1"/>
        <v>1.3027676854743726</v>
      </c>
      <c r="P52">
        <f ca="1"/>
        <v>1.3200548430699817</v>
      </c>
      <c r="Q52">
        <f ca="1"/>
        <v>-0.11084058983000386</v>
      </c>
      <c r="S52" s="10">
        <f ca="1"/>
        <v>0.48677254427154976</v>
      </c>
      <c r="T52" s="10">
        <f ca="1"/>
        <v>0.48352854419387187</v>
      </c>
      <c r="U52" s="10">
        <f ca="1"/>
        <v>5.6400846465542782E-2</v>
      </c>
    </row>
    <row r="53" spans="1:21" x14ac:dyDescent="0.25">
      <c r="A53" s="5">
        <f ca="1"/>
        <v>44651</v>
      </c>
      <c r="B53" s="10">
        <f ca="1"/>
        <v>5.2847314040009641E-2</v>
      </c>
      <c r="C53" s="10">
        <f ca="1"/>
        <v>5.7178669638860216E-2</v>
      </c>
      <c r="D53" s="10">
        <f ca="1"/>
        <v>3.6527832339049326E-2</v>
      </c>
      <c r="E53" s="10">
        <f ca="1"/>
        <v>2.065083729981089E-2</v>
      </c>
      <c r="G53" s="10">
        <f ca="1"/>
        <v>0.24757160033148848</v>
      </c>
      <c r="H53" s="10">
        <f ca="1"/>
        <v>0.42008464895192138</v>
      </c>
      <c r="I53" s="10">
        <f ca="1"/>
        <v>1.1657297053410745E-2</v>
      </c>
      <c r="K53">
        <f ca="1"/>
        <v>-18.138232028796764</v>
      </c>
      <c r="L53">
        <f ca="1"/>
        <v>-28.636161786937734</v>
      </c>
      <c r="M53">
        <f ca="1"/>
        <v>11.422364604272127</v>
      </c>
      <c r="O53">
        <f ca="1"/>
        <v>1.3411895581793294</v>
      </c>
      <c r="P53">
        <f ca="1"/>
        <v>1.3497487183192745</v>
      </c>
      <c r="Q53">
        <f ca="1"/>
        <v>-7.5663900281494167E-2</v>
      </c>
      <c r="S53" s="10">
        <f ca="1"/>
        <v>0.58747095112277514</v>
      </c>
      <c r="T53" s="10">
        <f ca="1"/>
        <v>0.62249389778824926</v>
      </c>
      <c r="U53" s="10">
        <f ca="1"/>
        <v>0.12159558217786813</v>
      </c>
    </row>
    <row r="54" spans="1:21" x14ac:dyDescent="0.25">
      <c r="A54" s="5">
        <f ca="1"/>
        <v>44620</v>
      </c>
      <c r="B54" s="10">
        <f ca="1"/>
        <v>4.4321595632313304E-2</v>
      </c>
      <c r="C54" s="10">
        <f ca="1"/>
        <v>5.9263148156714004E-2</v>
      </c>
      <c r="D54" s="10">
        <f ca="1"/>
        <v>3.8635228271427909E-2</v>
      </c>
      <c r="E54" s="10">
        <f ca="1"/>
        <v>2.0627919885286092E-2</v>
      </c>
      <c r="G54" s="10">
        <f ca="1"/>
        <v>0.27621863926433959</v>
      </c>
      <c r="H54" s="10">
        <f ca="1"/>
        <v>0.44652593788437261</v>
      </c>
      <c r="I54" s="10">
        <f ca="1"/>
        <v>4.1033000595314933E-3</v>
      </c>
      <c r="K54">
        <f ca="1"/>
        <v>-19.152338827817136</v>
      </c>
      <c r="L54">
        <f ca="1"/>
        <v>-29.672789811795131</v>
      </c>
      <c r="M54">
        <f ca="1"/>
        <v>6.5533086091914905</v>
      </c>
      <c r="O54">
        <f ca="1"/>
        <v>1.4100072162124537</v>
      </c>
      <c r="P54">
        <f ca="1"/>
        <v>1.3950323056243426</v>
      </c>
      <c r="Q54">
        <f ca="1"/>
        <v>3.5821189510399837E-2</v>
      </c>
      <c r="S54" s="10">
        <f ca="1"/>
        <v>0.70396602877327863</v>
      </c>
      <c r="T54" s="10">
        <f ca="1"/>
        <v>0.75974398719730463</v>
      </c>
      <c r="U54" s="10">
        <f ca="1"/>
        <v>0.2409748923048505</v>
      </c>
    </row>
    <row r="55" spans="1:21" x14ac:dyDescent="0.25">
      <c r="A55" s="5">
        <f ca="1"/>
        <v>44592</v>
      </c>
      <c r="B55" s="10">
        <f ca="1"/>
        <v>-7.1253778609471685E-2</v>
      </c>
      <c r="C55" s="10">
        <f ca="1"/>
        <v>5.8701304694963513E-2</v>
      </c>
      <c r="D55" s="10">
        <f ca="1"/>
        <v>3.82887589475676E-2</v>
      </c>
      <c r="E55" s="10">
        <f ca="1"/>
        <v>2.0412545747395917E-2</v>
      </c>
      <c r="G55" s="10">
        <f ca="1"/>
        <v>0.28932532950433365</v>
      </c>
      <c r="H55" s="10">
        <f ca="1"/>
        <v>0.46007977901584496</v>
      </c>
      <c r="I55" s="10">
        <f ca="1"/>
        <v>1.7347420391831997E-3</v>
      </c>
      <c r="K55">
        <f ca="1"/>
        <v>-19.394888568970515</v>
      </c>
      <c r="L55">
        <f ca="1"/>
        <v>-29.991987262193685</v>
      </c>
      <c r="M55">
        <f ca="1"/>
        <v>4.1060671247742784</v>
      </c>
      <c r="O55">
        <f ca="1"/>
        <v>1.4311557749025217</v>
      </c>
      <c r="P55">
        <f ca="1"/>
        <v>1.4120870474253922</v>
      </c>
      <c r="Q55">
        <f ca="1"/>
        <v>9.4010738154109971E-2</v>
      </c>
      <c r="S55" s="10">
        <f ca="1"/>
        <v>0.76880897733243825</v>
      </c>
      <c r="T55" s="10">
        <f ca="1"/>
        <v>0.81512450418955218</v>
      </c>
      <c r="U55" s="10">
        <f ca="1"/>
        <v>0.32328811659922019</v>
      </c>
    </row>
    <row r="56" spans="1:21" x14ac:dyDescent="0.25">
      <c r="A56" s="5">
        <f ca="1"/>
        <v>44561</v>
      </c>
      <c r="B56" s="10">
        <f ca="1"/>
        <v>-0.1003172351862498</v>
      </c>
      <c r="C56" s="10">
        <f ca="1"/>
        <v>6.3446259149758544E-2</v>
      </c>
      <c r="D56" s="10">
        <f ca="1"/>
        <v>4.197339593836049E-2</v>
      </c>
      <c r="E56" s="10">
        <f ca="1"/>
        <v>2.147286321139805E-2</v>
      </c>
      <c r="G56" s="10">
        <f ca="1"/>
        <v>0.32487094253077581</v>
      </c>
      <c r="H56" s="10">
        <f ca="1"/>
        <v>0.49586902875498551</v>
      </c>
      <c r="I56" s="10">
        <f ca="1"/>
        <v>5.3031648844882615E-5</v>
      </c>
      <c r="K56">
        <f ca="1"/>
        <v>-20.225914087408704</v>
      </c>
      <c r="L56">
        <f ca="1"/>
        <v>-30.724309203946536</v>
      </c>
      <c r="M56">
        <f ca="1"/>
        <v>0.68701146628658893</v>
      </c>
      <c r="O56">
        <f ca="1"/>
        <v>1.4923762254929298</v>
      </c>
      <c r="P56">
        <f ca="1"/>
        <v>1.4479860689715629</v>
      </c>
      <c r="Q56">
        <f ca="1"/>
        <v>0.17779082673405505</v>
      </c>
      <c r="S56" s="10">
        <f ca="1"/>
        <v>0.80296023015397244</v>
      </c>
      <c r="T56" s="10">
        <f ca="1"/>
        <v>0.85961472674032691</v>
      </c>
      <c r="U56" s="10">
        <f ca="1"/>
        <v>0.34783594191839895</v>
      </c>
    </row>
    <row r="57" spans="1:21" x14ac:dyDescent="0.25">
      <c r="A57" s="5">
        <f ca="1"/>
        <v>44530</v>
      </c>
      <c r="B57" s="10">
        <f ca="1"/>
        <v>-1.2993212174293833E-2</v>
      </c>
      <c r="C57" s="10">
        <f ca="1"/>
        <v>6.3957884582966529E-2</v>
      </c>
      <c r="D57" s="10">
        <f ca="1"/>
        <v>4.3014384985671207E-2</v>
      </c>
      <c r="E57" s="10">
        <f ca="1"/>
        <v>2.0943499597295322E-2</v>
      </c>
      <c r="G57" s="10">
        <f ca="1"/>
        <v>0.33104142138793724</v>
      </c>
      <c r="H57" s="10">
        <f ca="1"/>
        <v>0.5075327384641225</v>
      </c>
      <c r="I57" s="10">
        <f ca="1"/>
        <v>1.6736468018630131E-5</v>
      </c>
      <c r="K57">
        <f ca="1"/>
        <v>-19.962554219458323</v>
      </c>
      <c r="L57">
        <f ca="1"/>
        <v>-30.520728390857521</v>
      </c>
      <c r="M57">
        <f ca="1"/>
        <v>0.36386218205621729</v>
      </c>
      <c r="O57">
        <f ca="1"/>
        <v>1.4837124597336979</v>
      </c>
      <c r="P57">
        <f ca="1"/>
        <v>1.4452303080136413</v>
      </c>
      <c r="Q57">
        <f ca="1"/>
        <v>0.19200290818260549</v>
      </c>
      <c r="S57" s="10">
        <f ca="1"/>
        <v>0.84274040491051794</v>
      </c>
      <c r="T57" s="10">
        <f ca="1"/>
        <v>0.91194685202051406</v>
      </c>
      <c r="U57" s="10">
        <f ca="1"/>
        <v>0.42425485483275377</v>
      </c>
    </row>
    <row r="58" spans="1:21" x14ac:dyDescent="0.25">
      <c r="A58" s="5">
        <f ca="1"/>
        <v>44500</v>
      </c>
      <c r="B58" s="10">
        <f ca="1"/>
        <v>-3.5653952551146784E-3</v>
      </c>
      <c r="C58" s="10">
        <f ca="1"/>
        <v>6.4499086407831335E-2</v>
      </c>
      <c r="D58" s="10">
        <f ca="1"/>
        <v>4.4300320940668582E-2</v>
      </c>
      <c r="E58" s="10">
        <f ca="1"/>
        <v>2.0198765467162753E-2</v>
      </c>
      <c r="G58" s="10">
        <f ca="1"/>
        <v>0.32485089504672382</v>
      </c>
      <c r="H58" s="10">
        <f ca="1"/>
        <v>0.5032926829107236</v>
      </c>
      <c r="I58" s="10">
        <f ca="1"/>
        <v>5.6893481782875382E-7</v>
      </c>
      <c r="K58">
        <f ca="1"/>
        <v>-19.51311251436287</v>
      </c>
      <c r="L58">
        <f ca="1"/>
        <v>-30.215905064857616</v>
      </c>
      <c r="M58">
        <f ca="1"/>
        <v>6.5224813455042746E-2</v>
      </c>
      <c r="O58">
        <f ca="1"/>
        <v>1.4618743462471617</v>
      </c>
      <c r="P58">
        <f ca="1"/>
        <v>1.4372537734329969</v>
      </c>
      <c r="Q58">
        <f ca="1"/>
        <v>0.20455558034536742</v>
      </c>
      <c r="S58" s="10">
        <f ca="1"/>
        <v>0.84840367267267192</v>
      </c>
      <c r="T58" s="10">
        <f ca="1"/>
        <v>0.88614133409482188</v>
      </c>
      <c r="U58" s="10">
        <f ca="1"/>
        <v>0.49696188154319587</v>
      </c>
    </row>
    <row r="59" spans="1:21" x14ac:dyDescent="0.25">
      <c r="A59" s="5">
        <f ca="1"/>
        <v>44469</v>
      </c>
      <c r="B59" s="10">
        <f ca="1"/>
        <v>3.3160458173342677E-2</v>
      </c>
      <c r="C59" s="10">
        <f ca="1"/>
        <v>6.3832142209669568E-2</v>
      </c>
      <c r="D59" s="10">
        <f ca="1"/>
        <v>4.3086409740179195E-2</v>
      </c>
      <c r="E59" s="10">
        <f ca="1"/>
        <v>2.0745732469490376E-2</v>
      </c>
      <c r="G59" s="10">
        <f ca="1"/>
        <v>0.31966436356074579</v>
      </c>
      <c r="H59" s="10">
        <f ca="1"/>
        <v>0.49653729551454473</v>
      </c>
      <c r="I59" s="10">
        <f ca="1"/>
        <v>1.0000502739016895E-4</v>
      </c>
      <c r="K59">
        <f ca="1"/>
        <v>-19.141097497953474</v>
      </c>
      <c r="L59">
        <f ca="1"/>
        <v>-29.943055010279977</v>
      </c>
      <c r="M59">
        <f ca="1"/>
        <v>-0.84966146099715223</v>
      </c>
      <c r="O59">
        <f ca="1"/>
        <v>1.4444612697599513</v>
      </c>
      <c r="P59">
        <f ca="1"/>
        <v>1.4294420075383241</v>
      </c>
      <c r="Q59">
        <f ca="1"/>
        <v>0.23173404754772375</v>
      </c>
      <c r="S59" s="10">
        <f ca="1"/>
        <v>0.86799596535177026</v>
      </c>
      <c r="T59" s="10">
        <f ca="1"/>
        <v>0.86108114924618673</v>
      </c>
      <c r="U59" s="10">
        <f ca="1"/>
        <v>0.6089887863049428</v>
      </c>
    </row>
    <row r="60" spans="1:21" x14ac:dyDescent="0.25">
      <c r="A60" s="5">
        <f ca="1"/>
        <v>44439</v>
      </c>
      <c r="B60" s="10">
        <f ca="1"/>
        <v>-7.5806822503471483E-2</v>
      </c>
      <c r="C60" s="10">
        <f ca="1"/>
        <v>6.3971935192133775E-2</v>
      </c>
      <c r="D60" s="10">
        <f ca="1"/>
        <v>4.3850420442956381E-2</v>
      </c>
      <c r="E60" s="10">
        <f ca="1"/>
        <v>2.0121514749177394E-2</v>
      </c>
      <c r="G60" s="10">
        <f ca="1"/>
        <v>0.3180815447954991</v>
      </c>
      <c r="H60" s="10">
        <f ca="1"/>
        <v>0.49253491007931854</v>
      </c>
      <c r="I60" s="10">
        <f ca="1"/>
        <v>6.541331722448449E-4</v>
      </c>
      <c r="K60">
        <f ca="1"/>
        <v>-18.806772908214896</v>
      </c>
      <c r="L60">
        <f ca="1"/>
        <v>-29.66277441693811</v>
      </c>
      <c r="M60">
        <f ca="1"/>
        <v>-2.1192737344970736</v>
      </c>
      <c r="O60">
        <f ca="1"/>
        <v>1.4284137994548847</v>
      </c>
      <c r="P60">
        <f ca="1"/>
        <v>1.4209017554713117</v>
      </c>
      <c r="Q60">
        <f ca="1"/>
        <v>0.26581002263298015</v>
      </c>
      <c r="S60" s="10">
        <f ca="1"/>
        <v>0.88276340485348448</v>
      </c>
      <c r="T60" s="10">
        <f ca="1"/>
        <v>0.85577415663970735</v>
      </c>
      <c r="U60" s="10">
        <f ca="1"/>
        <v>0.70799903057592772</v>
      </c>
    </row>
    <row r="61" spans="1:21" x14ac:dyDescent="0.25">
      <c r="A61" s="5">
        <f ca="1"/>
        <v>44408</v>
      </c>
      <c r="B61" s="10">
        <f ca="1"/>
        <v>-5.136897475917257E-2</v>
      </c>
      <c r="C61" s="10">
        <f ca="1"/>
        <v>6.0960817634492133E-2</v>
      </c>
      <c r="D61" s="10">
        <f ca="1"/>
        <v>4.0994562050883664E-2</v>
      </c>
      <c r="E61" s="10">
        <f ca="1"/>
        <v>1.9966255583608469E-2</v>
      </c>
      <c r="G61" s="10">
        <f ca="1"/>
        <v>0.33281680682806114</v>
      </c>
      <c r="H61" s="10">
        <f ca="1"/>
        <v>0.49037986963447078</v>
      </c>
      <c r="I61" s="10">
        <f ca="1"/>
        <v>4.7398093064450362E-3</v>
      </c>
      <c r="K61">
        <f ca="1"/>
        <v>-18.778697914432787</v>
      </c>
      <c r="L61">
        <f ca="1"/>
        <v>-29.067100097272725</v>
      </c>
      <c r="M61">
        <f ca="1"/>
        <v>-5.5599718884093869</v>
      </c>
      <c r="O61">
        <f ca="1"/>
        <v>1.4330092478492649</v>
      </c>
      <c r="P61">
        <f ca="1"/>
        <v>1.3998509492796254</v>
      </c>
      <c r="Q61">
        <f ca="1"/>
        <v>0.35400620314314318</v>
      </c>
      <c r="S61" s="10">
        <f ca="1"/>
        <v>0.89141002588210805</v>
      </c>
      <c r="T61" s="10">
        <f ca="1"/>
        <v>0.86715378413834976</v>
      </c>
      <c r="U61" s="10">
        <f ca="1"/>
        <v>0.70997987067420165</v>
      </c>
    </row>
    <row r="62" spans="1:21" x14ac:dyDescent="0.25">
      <c r="A62" s="5">
        <f ca="1"/>
        <v>44377</v>
      </c>
      <c r="B62" s="10">
        <f ca="1"/>
        <v>-4.3790575916230257E-2</v>
      </c>
      <c r="C62" s="10">
        <f ca="1"/>
        <v>6.5709582581216397E-2</v>
      </c>
      <c r="D62" s="10">
        <f ca="1"/>
        <v>4.3150868542189483E-2</v>
      </c>
      <c r="E62" s="10">
        <f ca="1"/>
        <v>2.2558714039026921E-2</v>
      </c>
      <c r="G62" s="10">
        <f ca="1"/>
        <v>0.36745307510723507</v>
      </c>
      <c r="H62" s="10">
        <f ca="1"/>
        <v>0.50659443959549955</v>
      </c>
      <c r="I62" s="10">
        <f ca="1"/>
        <v>1.4147678167571703E-2</v>
      </c>
      <c r="K62">
        <f ca="1"/>
        <v>-19.320004192531741</v>
      </c>
      <c r="L62">
        <f ca="1"/>
        <v>-28.94668779265152</v>
      </c>
      <c r="M62">
        <f ca="1"/>
        <v>-9.3177394242202887</v>
      </c>
      <c r="O62">
        <f ca="1"/>
        <v>1.4749352380318967</v>
      </c>
      <c r="P62">
        <f ca="1"/>
        <v>1.3988997613357661</v>
      </c>
      <c r="Q62">
        <f ca="1"/>
        <v>0.45003838187626788</v>
      </c>
      <c r="S62" s="10">
        <f ca="1"/>
        <v>0.88971225652537123</v>
      </c>
      <c r="T62" s="10">
        <f ca="1"/>
        <v>0.86845078580903057</v>
      </c>
      <c r="U62" s="10">
        <f ca="1"/>
        <v>0.72669581718280907</v>
      </c>
    </row>
    <row r="63" spans="1:21" x14ac:dyDescent="0.25">
      <c r="A63" s="5">
        <f ca="1"/>
        <v>44347</v>
      </c>
      <c r="B63" s="10">
        <f ca="1"/>
        <v>-5.56503041071712E-2</v>
      </c>
      <c r="C63" s="10">
        <f ca="1"/>
        <v>6.4449779833214427E-2</v>
      </c>
      <c r="D63" s="10">
        <f ca="1"/>
        <v>4.2391380285847824E-2</v>
      </c>
      <c r="E63" s="10">
        <f ca="1"/>
        <v>2.205839954736661E-2</v>
      </c>
      <c r="G63" s="10">
        <f ca="1"/>
        <v>0.37374456131374673</v>
      </c>
      <c r="H63" s="10">
        <f ca="1"/>
        <v>0.50702908754595311</v>
      </c>
      <c r="I63" s="10">
        <f ca="1"/>
        <v>1.665631783772574E-2</v>
      </c>
      <c r="K63">
        <f ca="1"/>
        <v>-19.05942328974978</v>
      </c>
      <c r="L63">
        <f ca="1"/>
        <v>-28.3848105705449</v>
      </c>
      <c r="M63">
        <f ca="1"/>
        <v>-9.5356239654523449</v>
      </c>
      <c r="O63">
        <f ca="1"/>
        <v>1.4636292041005272</v>
      </c>
      <c r="P63">
        <f ca="1"/>
        <v>1.3787264092647147</v>
      </c>
      <c r="Q63">
        <f ca="1"/>
        <v>0.46140495352218236</v>
      </c>
      <c r="S63" s="10">
        <f ca="1"/>
        <v>0.88392586981912491</v>
      </c>
      <c r="T63" s="10">
        <f ca="1"/>
        <v>0.86941857075897966</v>
      </c>
      <c r="U63" s="10">
        <f ca="1"/>
        <v>0.72522121142995977</v>
      </c>
    </row>
    <row r="64" spans="1:21" x14ac:dyDescent="0.25">
      <c r="A64" s="5">
        <f ca="1"/>
        <v>44316</v>
      </c>
      <c r="B64" s="10">
        <f ca="1"/>
        <v>-2.5009746075859152E-2</v>
      </c>
      <c r="C64" s="10">
        <f ca="1"/>
        <v>6.4029932442428134E-2</v>
      </c>
      <c r="D64" s="10">
        <f ca="1"/>
        <v>4.1776517579762314E-2</v>
      </c>
      <c r="E64" s="10">
        <f ca="1"/>
        <v>2.2253414862665813E-2</v>
      </c>
      <c r="G64" s="10">
        <f ca="1"/>
        <v>0.38913007843798642</v>
      </c>
      <c r="H64" s="10">
        <f ca="1"/>
        <v>0.51618208244295771</v>
      </c>
      <c r="I64" s="10">
        <f ca="1"/>
        <v>2.1253829811554364E-2</v>
      </c>
      <c r="K64">
        <f ca="1"/>
        <v>-18.970953518191536</v>
      </c>
      <c r="L64">
        <f ca="1"/>
        <v>-27.97753079406457</v>
      </c>
      <c r="M64">
        <f ca="1"/>
        <v>-10.307344126490971</v>
      </c>
      <c r="O64">
        <f ca="1"/>
        <v>1.4645601599733837</v>
      </c>
      <c r="P64">
        <f ca="1"/>
        <v>1.3662359012321379</v>
      </c>
      <c r="Q64">
        <f ca="1"/>
        <v>0.48707911763172873</v>
      </c>
      <c r="S64" s="10">
        <f ca="1"/>
        <v>0.87878730568385766</v>
      </c>
      <c r="T64" s="10">
        <f ca="1"/>
        <v>0.86949368875441047</v>
      </c>
      <c r="U64" s="10">
        <f ca="1"/>
        <v>0.70002544344348794</v>
      </c>
    </row>
    <row r="65" spans="1:21" x14ac:dyDescent="0.25">
      <c r="A65" s="5">
        <f ca="1"/>
        <v>44286</v>
      </c>
      <c r="B65" s="10">
        <f ca="1"/>
        <v>-3.3575054934820714E-2</v>
      </c>
      <c r="C65" s="10">
        <f ca="1"/>
        <v>6.4085034115843584E-2</v>
      </c>
      <c r="D65" s="10">
        <f ca="1"/>
        <v>4.1207079663751041E-2</v>
      </c>
      <c r="E65" s="10">
        <f ca="1"/>
        <v>2.2877954452092539E-2</v>
      </c>
      <c r="G65" s="10">
        <f ca="1"/>
        <v>0.39914205249319473</v>
      </c>
      <c r="H65" s="10">
        <f ca="1"/>
        <v>0.5275995966192254</v>
      </c>
      <c r="I65" s="10">
        <f ca="1"/>
        <v>2.2128475219559032E-2</v>
      </c>
      <c r="K65">
        <f ca="1"/>
        <v>-18.880260665872857</v>
      </c>
      <c r="L65">
        <f ca="1"/>
        <v>-27.815333853740931</v>
      </c>
      <c r="M65">
        <f ca="1"/>
        <v>-10.184471410552568</v>
      </c>
      <c r="O65">
        <f ca="1"/>
        <v>1.4661565128317215</v>
      </c>
      <c r="P65">
        <f ca="1"/>
        <v>1.3647736280859937</v>
      </c>
      <c r="Q65">
        <f ca="1"/>
        <v>0.49165620108358976</v>
      </c>
      <c r="S65" s="10">
        <f ca="1"/>
        <v>0.87336754339275902</v>
      </c>
      <c r="T65" s="10">
        <f ca="1"/>
        <v>0.86448461913308572</v>
      </c>
      <c r="U65" s="10">
        <f ca="1"/>
        <v>0.67856301483725656</v>
      </c>
    </row>
    <row r="66" spans="1:21" x14ac:dyDescent="0.25">
      <c r="A66" s="5">
        <f ca="1"/>
        <v>44255</v>
      </c>
      <c r="B66" s="10">
        <f ca="1"/>
        <v>7.0571874631016884E-2</v>
      </c>
      <c r="C66" s="10">
        <f ca="1"/>
        <v>6.523312509912868E-2</v>
      </c>
      <c r="D66" s="10">
        <f ca="1"/>
        <v>4.1630468706031626E-2</v>
      </c>
      <c r="E66" s="10">
        <f ca="1"/>
        <v>2.3602656393097061E-2</v>
      </c>
      <c r="G66" s="10">
        <f ca="1"/>
        <v>0.42201492705962756</v>
      </c>
      <c r="H66" s="10">
        <f ca="1"/>
        <v>0.54656361304973189</v>
      </c>
      <c r="I66" s="10">
        <f ca="1"/>
        <v>2.6276199680159713E-2</v>
      </c>
      <c r="K66">
        <f ca="1"/>
        <v>-18.952746528173677</v>
      </c>
      <c r="L66">
        <f ca="1"/>
        <v>-27.590054640965874</v>
      </c>
      <c r="M66">
        <f ca="1"/>
        <v>-10.696505256860654</v>
      </c>
      <c r="O66">
        <f ca="1"/>
        <v>1.4769814248790434</v>
      </c>
      <c r="P66">
        <f ca="1"/>
        <v>1.3597608361076543</v>
      </c>
      <c r="Q66">
        <f ca="1"/>
        <v>0.51061041525493733</v>
      </c>
      <c r="S66" s="10">
        <f ca="1"/>
        <v>0.85401501347287401</v>
      </c>
      <c r="T66" s="10">
        <f ca="1"/>
        <v>0.84537422296506359</v>
      </c>
      <c r="U66" s="10">
        <f ca="1"/>
        <v>0.60739597326093975</v>
      </c>
    </row>
    <row r="67" spans="1:21" x14ac:dyDescent="0.25">
      <c r="A67" s="5">
        <f ca="1"/>
        <v>44227</v>
      </c>
      <c r="B67" s="10">
        <f ca="1"/>
        <v>4.2468984233652085E-2</v>
      </c>
      <c r="C67" s="10">
        <f ca="1"/>
        <v>6.5151466729895927E-2</v>
      </c>
      <c r="D67" s="10">
        <f ca="1"/>
        <v>4.116456962005742E-2</v>
      </c>
      <c r="E67" s="10">
        <f ca="1"/>
        <v>2.3986897109838506E-2</v>
      </c>
      <c r="G67" s="10">
        <f ca="1"/>
        <v>0.42339924959890518</v>
      </c>
      <c r="H67" s="10">
        <f ca="1"/>
        <v>0.5527548651035864</v>
      </c>
      <c r="I67" s="10">
        <f ca="1"/>
        <v>2.3356164478699537E-2</v>
      </c>
      <c r="K67">
        <f ca="1"/>
        <v>-18.870766530090595</v>
      </c>
      <c r="L67">
        <f ca="1"/>
        <v>-27.529281857741104</v>
      </c>
      <c r="M67">
        <f ca="1"/>
        <v>-9.9051430928946775</v>
      </c>
      <c r="O67">
        <f ca="1"/>
        <v>1.4767316309394261</v>
      </c>
      <c r="P67">
        <f ca="1"/>
        <v>1.3605420304108602</v>
      </c>
      <c r="Q67">
        <f ca="1"/>
        <v>0.49685042280637853</v>
      </c>
      <c r="S67" s="10">
        <f ca="1"/>
        <v>0.80610578482520912</v>
      </c>
      <c r="T67" s="10">
        <f ca="1"/>
        <v>0.81727799103789234</v>
      </c>
      <c r="U67" s="10">
        <f ca="1"/>
        <v>0.46140414640278399</v>
      </c>
    </row>
    <row r="68" spans="1:21" x14ac:dyDescent="0.25">
      <c r="A68" s="5">
        <f ca="1"/>
        <v>44196</v>
      </c>
      <c r="B68" s="10">
        <f ca="1"/>
        <v>-4.5379878436770382E-2</v>
      </c>
      <c r="C68" s="10">
        <f ca="1"/>
        <v>6.3806829086118261E-2</v>
      </c>
      <c r="D68" s="10">
        <f ca="1"/>
        <v>4.035608139299663E-2</v>
      </c>
      <c r="E68" s="10">
        <f ca="1"/>
        <v>2.3450747693121637E-2</v>
      </c>
      <c r="G68" s="10">
        <f ca="1"/>
        <v>0.42993469963539327</v>
      </c>
      <c r="H68" s="10">
        <f ca="1"/>
        <v>0.56326122353353758</v>
      </c>
      <c r="I68" s="10">
        <f ca="1"/>
        <v>2.2701606134476315E-2</v>
      </c>
      <c r="K68">
        <f ca="1"/>
        <v>-18.75082080446618</v>
      </c>
      <c r="L68">
        <f ca="1"/>
        <v>-27.411165131005593</v>
      </c>
      <c r="M68">
        <f ca="1"/>
        <v>-9.5375232861083337</v>
      </c>
      <c r="O68">
        <f ca="1"/>
        <v>1.4740908182614638</v>
      </c>
      <c r="P68">
        <f ca="1"/>
        <v>1.3595236159852435</v>
      </c>
      <c r="Q68">
        <f ca="1"/>
        <v>0.49309918432069549</v>
      </c>
      <c r="S68" s="10">
        <f ca="1"/>
        <v>0.7507664863480612</v>
      </c>
      <c r="T68" s="10">
        <f ca="1"/>
        <v>0.78391416656464086</v>
      </c>
      <c r="U68" s="10">
        <f ca="1"/>
        <v>0.32759439008236602</v>
      </c>
    </row>
    <row r="69" spans="1:21" x14ac:dyDescent="0.25">
      <c r="A69" s="5">
        <f ca="1"/>
        <v>44165</v>
      </c>
      <c r="B69" s="10">
        <f ca="1"/>
        <v>9.2049712422306973E-2</v>
      </c>
      <c r="C69" s="10">
        <f ca="1"/>
        <v>6.0183219916488742E-2</v>
      </c>
      <c r="D69" s="10">
        <f ca="1"/>
        <v>3.7975430440590256E-2</v>
      </c>
      <c r="E69" s="10">
        <f ca="1"/>
        <v>2.2207789475898482E-2</v>
      </c>
      <c r="G69" s="10">
        <f ca="1"/>
        <v>0.46802325356260677</v>
      </c>
      <c r="H69" s="10">
        <f ca="1"/>
        <v>0.59913613919200925</v>
      </c>
      <c r="I69" s="10">
        <f ca="1"/>
        <v>3.0457222331381217E-2</v>
      </c>
      <c r="K69">
        <f ca="1"/>
        <v>-18.903360064782564</v>
      </c>
      <c r="L69">
        <f ca="1"/>
        <v>-27.371388182338265</v>
      </c>
      <c r="M69">
        <f ca="1"/>
        <v>-10.613774825171486</v>
      </c>
      <c r="O69">
        <f ca="1"/>
        <v>1.4898838346316245</v>
      </c>
      <c r="P69">
        <f ca="1"/>
        <v>1.3625830235653948</v>
      </c>
      <c r="Q69">
        <f ca="1"/>
        <v>0.52498819081369907</v>
      </c>
      <c r="S69" s="10">
        <f ca="1"/>
        <v>0.71429190464625525</v>
      </c>
      <c r="T69" s="10">
        <f ca="1"/>
        <v>0.75687680800808077</v>
      </c>
      <c r="U69" s="10">
        <f ca="1"/>
        <v>0.24605427105030581</v>
      </c>
    </row>
    <row r="70" spans="1:21" x14ac:dyDescent="0.25">
      <c r="A70" s="5">
        <f ca="1"/>
        <v>44135</v>
      </c>
      <c r="B70" s="10">
        <f ca="1"/>
        <v>0.26310107768902369</v>
      </c>
      <c r="C70" s="10">
        <f ca="1"/>
        <v>5.7152125160187951E-2</v>
      </c>
      <c r="D70" s="10">
        <f ca="1"/>
        <v>3.5204666809055957E-2</v>
      </c>
      <c r="E70" s="10">
        <f ca="1"/>
        <v>2.1947458351131995E-2</v>
      </c>
      <c r="G70" s="10">
        <f ca="1"/>
        <v>0.5099002666914122</v>
      </c>
      <c r="H70" s="10">
        <f ca="1"/>
        <v>0.63141403028742316</v>
      </c>
      <c r="I70" s="10">
        <f ca="1"/>
        <v>4.1838924395743667E-2</v>
      </c>
      <c r="K70">
        <f ca="1"/>
        <v>-19.58375290135276</v>
      </c>
      <c r="L70">
        <f ca="1"/>
        <v>-27.890677272140305</v>
      </c>
      <c r="M70">
        <f ca="1"/>
        <v>-12.312770407748379</v>
      </c>
      <c r="O70">
        <f ca="1"/>
        <v>1.5386735511348082</v>
      </c>
      <c r="P70">
        <f ca="1"/>
        <v>1.3868367077020736</v>
      </c>
      <c r="Q70">
        <f ca="1"/>
        <v>0.569726831555186</v>
      </c>
      <c r="S70" s="10">
        <f ca="1"/>
        <v>0.64578945456932535</v>
      </c>
      <c r="T70" s="10">
        <f ca="1"/>
        <v>0.70697066154647792</v>
      </c>
      <c r="U70" s="10">
        <f ca="1"/>
        <v>0.13879836914084609</v>
      </c>
    </row>
    <row r="71" spans="1:21" x14ac:dyDescent="0.25">
      <c r="A71" s="5">
        <f ca="1"/>
        <v>44104</v>
      </c>
      <c r="B71" s="10">
        <f ca="1"/>
        <v>0.12559619387451693</v>
      </c>
      <c r="C71" s="10">
        <f ca="1"/>
        <v>5.6783515915890065E-2</v>
      </c>
      <c r="D71" s="10">
        <f ca="1"/>
        <v>3.5206723629554702E-2</v>
      </c>
      <c r="E71" s="10">
        <f ca="1"/>
        <v>2.1576792286335363E-2</v>
      </c>
      <c r="G71" s="10">
        <f ca="1"/>
        <v>0.53055946043360969</v>
      </c>
      <c r="H71" s="10">
        <f ca="1"/>
        <v>0.64780428420250324</v>
      </c>
      <c r="I71" s="10">
        <f ca="1"/>
        <v>4.565266135196526E-2</v>
      </c>
      <c r="K71">
        <f ca="1"/>
        <v>-20.262746891000116</v>
      </c>
      <c r="L71">
        <f ca="1"/>
        <v>-28.606354817217493</v>
      </c>
      <c r="M71">
        <f ca="1"/>
        <v>-12.901635826445229</v>
      </c>
      <c r="O71">
        <f ca="1"/>
        <v>1.5858866688215882</v>
      </c>
      <c r="P71">
        <f ca="1"/>
        <v>1.417695598266038</v>
      </c>
      <c r="Q71">
        <f ca="1"/>
        <v>0.58432800217558967</v>
      </c>
      <c r="S71" s="10">
        <f ca="1"/>
        <v>0.61975436354623625</v>
      </c>
      <c r="T71" s="10">
        <f ca="1"/>
        <v>0.70369991105462282</v>
      </c>
      <c r="U71" s="10">
        <f ca="1"/>
        <v>4.9634297145663579E-2</v>
      </c>
    </row>
    <row r="72" spans="1:21" x14ac:dyDescent="0.25">
      <c r="A72" s="5">
        <f ca="1"/>
        <v>44074</v>
      </c>
      <c r="B72" s="10">
        <f ca="1"/>
        <v>0.1805097262813864</v>
      </c>
      <c r="C72" s="10">
        <f ca="1"/>
        <v>5.6943350813280405E-2</v>
      </c>
      <c r="D72" s="10">
        <f ca="1"/>
        <v>3.5153044832524682E-2</v>
      </c>
      <c r="E72" s="10">
        <f ca="1"/>
        <v>2.1790305980755723E-2</v>
      </c>
      <c r="G72" s="10">
        <f ca="1"/>
        <v>0.59555187960911882</v>
      </c>
      <c r="H72" s="10">
        <f ca="1"/>
        <v>0.70552902270769668</v>
      </c>
      <c r="I72" s="10">
        <f ca="1"/>
        <v>5.6194151211356853E-2</v>
      </c>
      <c r="K72">
        <f ca="1"/>
        <v>-21.701629176657129</v>
      </c>
      <c r="L72">
        <f ca="1"/>
        <v>-30.020639257674826</v>
      </c>
      <c r="M72">
        <f ca="1"/>
        <v>-14.257911343934571</v>
      </c>
      <c r="O72">
        <f ca="1"/>
        <v>1.6864995989890668</v>
      </c>
      <c r="P72">
        <f ca="1"/>
        <v>1.479906553484942</v>
      </c>
      <c r="Q72">
        <f ca="1"/>
        <v>0.62194052493085583</v>
      </c>
      <c r="S72" s="10">
        <f ca="1"/>
        <v>0.49885923387861797</v>
      </c>
      <c r="T72" s="10">
        <f ca="1"/>
        <v>0.59741479185883029</v>
      </c>
      <c r="U72" s="10">
        <f ca="1"/>
        <v>1.2699167803086438E-2</v>
      </c>
    </row>
    <row r="73" spans="1:21" x14ac:dyDescent="0.25">
      <c r="A73" s="5">
        <f ca="1"/>
        <v>44043</v>
      </c>
      <c r="B73" s="10">
        <f ca="1"/>
        <v>0.26315451588446792</v>
      </c>
      <c r="C73" s="10">
        <f ca="1"/>
        <v>5.5689217031090317E-2</v>
      </c>
      <c r="D73" s="10">
        <f ca="1"/>
        <v>3.3545739221676328E-2</v>
      </c>
      <c r="E73" s="10">
        <f ca="1"/>
        <v>2.2143477809413989E-2</v>
      </c>
      <c r="G73" s="10">
        <f ca="1"/>
        <v>0.64678981442599848</v>
      </c>
      <c r="H73" s="10">
        <f ca="1"/>
        <v>0.75034767462287111</v>
      </c>
      <c r="I73" s="10">
        <f ca="1"/>
        <v>6.5668829053513969E-2</v>
      </c>
      <c r="K73">
        <f ca="1"/>
        <v>-22.87558371159874</v>
      </c>
      <c r="L73">
        <f ca="1"/>
        <v>-31.261472981197201</v>
      </c>
      <c r="M73">
        <f ca="1"/>
        <v>-15.372170274979881</v>
      </c>
      <c r="O73">
        <f ca="1"/>
        <v>1.7694994474955155</v>
      </c>
      <c r="P73">
        <f ca="1"/>
        <v>1.5347300958395333</v>
      </c>
      <c r="Q73">
        <f ca="1"/>
        <v>0.65224855709436413</v>
      </c>
      <c r="S73" s="10">
        <f ca="1"/>
        <v>0.45570122255535883</v>
      </c>
      <c r="T73" s="10">
        <f ca="1"/>
        <v>0.58442348304278136</v>
      </c>
      <c r="U73" s="10">
        <f ca="1"/>
        <v>1.1289021137303801E-3</v>
      </c>
    </row>
    <row r="74" spans="1:21" x14ac:dyDescent="0.25">
      <c r="A74" s="5">
        <f ca="1"/>
        <v>44012</v>
      </c>
      <c r="B74" s="10">
        <f ca="1"/>
        <v>0.46128587970802726</v>
      </c>
      <c r="C74" s="10">
        <f ca="1"/>
        <v>5.5055151515151515E-2</v>
      </c>
      <c r="D74" s="10">
        <f ca="1"/>
        <v>3.2213553719008262E-2</v>
      </c>
      <c r="E74" s="10">
        <f ca="1"/>
        <v>2.284159779614325E-2</v>
      </c>
      <c r="G74" s="10">
        <f ca="1"/>
        <v>0.69403064337221287</v>
      </c>
      <c r="H74" s="10">
        <f ca="1"/>
        <v>0.79219967524829482</v>
      </c>
      <c r="I74" s="10">
        <f ca="1"/>
        <v>7.3930541236713859E-2</v>
      </c>
      <c r="K74">
        <f ca="1"/>
        <v>-24.325955050741875</v>
      </c>
      <c r="L74">
        <f ca="1"/>
        <v>-32.962429245129748</v>
      </c>
      <c r="M74">
        <f ca="1"/>
        <v>-16.439803929694207</v>
      </c>
      <c r="O74">
        <f ca="1"/>
        <v>1.8693411588402939</v>
      </c>
      <c r="P74">
        <f ca="1"/>
        <v>1.6073963934327244</v>
      </c>
      <c r="Q74">
        <f ca="1"/>
        <v>0.67854667124085877</v>
      </c>
      <c r="S74" s="10">
        <f ca="1"/>
        <v>0.48129219689336866</v>
      </c>
      <c r="T74" s="10">
        <f ca="1"/>
        <v>0.62694022288572249</v>
      </c>
      <c r="U74" s="10">
        <f ca="1"/>
        <v>3.6667733856984783E-2</v>
      </c>
    </row>
    <row r="75" spans="1:21" x14ac:dyDescent="0.25">
      <c r="A75" s="5">
        <f ca="1"/>
        <v>43982</v>
      </c>
      <c r="B75" s="10">
        <f ca="1"/>
        <v>0.43675906855740698</v>
      </c>
      <c r="C75" s="10">
        <f ca="1"/>
        <v>5.2730171562022816E-2</v>
      </c>
      <c r="D75" s="10">
        <f ca="1"/>
        <v>3.1019435462139585E-2</v>
      </c>
      <c r="E75" s="10">
        <f ca="1"/>
        <v>2.1710736099883231E-2</v>
      </c>
      <c r="G75" s="10">
        <f ca="1"/>
        <v>0.68745974155388312</v>
      </c>
      <c r="H75" s="10">
        <f ca="1"/>
        <v>0.79232564540454209</v>
      </c>
      <c r="I75" s="10">
        <f ca="1"/>
        <v>7.1336957205908422E-2</v>
      </c>
      <c r="K75">
        <f ca="1"/>
        <v>-24.455326874142127</v>
      </c>
      <c r="L75">
        <f ca="1"/>
        <v>-33.528146657444559</v>
      </c>
      <c r="M75">
        <f ca="1"/>
        <v>-15.926336368753223</v>
      </c>
      <c r="O75">
        <f ca="1"/>
        <v>1.8803251156344949</v>
      </c>
      <c r="P75">
        <f ca="1"/>
        <v>1.6327277099147675</v>
      </c>
      <c r="Q75">
        <f ca="1"/>
        <v>0.66176060206895682</v>
      </c>
      <c r="S75" s="10">
        <f ca="1"/>
        <v>0.58015671046079043</v>
      </c>
      <c r="T75" s="10">
        <f ca="1"/>
        <v>0.71560827669198823</v>
      </c>
      <c r="U75" s="10">
        <f ca="1"/>
        <v>8.0772670988685055E-2</v>
      </c>
    </row>
    <row r="76" spans="1:21" x14ac:dyDescent="0.25">
      <c r="A76" s="5">
        <f ca="1"/>
        <v>43951</v>
      </c>
      <c r="B76" s="10">
        <f ca="1"/>
        <v>0.55044069728714518</v>
      </c>
      <c r="C76" s="10">
        <f ca="1"/>
        <v>5.3820021578747851E-2</v>
      </c>
      <c r="D76" s="10">
        <f ca="1"/>
        <v>3.0600764004315748E-2</v>
      </c>
      <c r="E76" s="10">
        <f ca="1"/>
        <v>2.3219257574432099E-2</v>
      </c>
      <c r="G76" s="10">
        <f ca="1"/>
        <v>0.70321070553250953</v>
      </c>
      <c r="H76" s="10">
        <f ca="1"/>
        <v>0.8108115579865669</v>
      </c>
      <c r="I76" s="10">
        <f ca="1"/>
        <v>6.6130114820640032E-2</v>
      </c>
      <c r="K76">
        <f ca="1"/>
        <v>-25.808517711278093</v>
      </c>
      <c r="L76">
        <f ca="1"/>
        <v>-35.335648419236655</v>
      </c>
      <c r="M76">
        <f ca="1"/>
        <v>-15.37466314187439</v>
      </c>
      <c r="O76">
        <f ca="1"/>
        <v>1.9737537298034822</v>
      </c>
      <c r="P76">
        <f ca="1"/>
        <v>1.7100312315933344</v>
      </c>
      <c r="Q76">
        <f ca="1"/>
        <v>0.64417065141995655</v>
      </c>
      <c r="S76" s="10">
        <f ca="1"/>
        <v>0.68559397643594344</v>
      </c>
      <c r="T76" s="10">
        <f ca="1"/>
        <v>0.78211587746985678</v>
      </c>
      <c r="U76" s="10">
        <f ca="1"/>
        <v>5.4819948459600039E-2</v>
      </c>
    </row>
    <row r="77" spans="1:21" x14ac:dyDescent="0.25">
      <c r="A77" s="5">
        <f ca="1"/>
        <v>43921</v>
      </c>
      <c r="B77" s="10">
        <f ca="1"/>
        <v>0.8440758495544749</v>
      </c>
      <c r="C77" s="10">
        <f ca="1"/>
        <v>5.5676660911902431E-2</v>
      </c>
      <c r="D77" s="10">
        <f ca="1"/>
        <v>2.9764820587979583E-2</v>
      </c>
      <c r="E77" s="10">
        <f ca="1"/>
        <v>2.5911840323922845E-2</v>
      </c>
      <c r="G77" s="10">
        <f ca="1"/>
        <v>0.68830178600442304</v>
      </c>
      <c r="H77" s="10">
        <f ca="1"/>
        <v>0.80655712635000998</v>
      </c>
      <c r="I77" s="10">
        <f ca="1"/>
        <v>6.2258671760445784E-2</v>
      </c>
      <c r="K77">
        <f ca="1"/>
        <v>-26.06914109198107</v>
      </c>
      <c r="L77">
        <f ca="1"/>
        <v>-36.468368706574473</v>
      </c>
      <c r="M77">
        <f ca="1"/>
        <v>-14.525001062354701</v>
      </c>
      <c r="O77">
        <f ca="1"/>
        <v>1.9920940437396286</v>
      </c>
      <c r="P77">
        <f ca="1"/>
        <v>1.7582916732488236</v>
      </c>
      <c r="Q77">
        <f ca="1"/>
        <v>0.61605678467543368</v>
      </c>
      <c r="S77" s="10">
        <f ca="1"/>
        <v>0.79710477327148832</v>
      </c>
      <c r="T77" s="10">
        <f ca="1"/>
        <v>0.8612918477192445</v>
      </c>
      <c r="U77" s="10">
        <f ca="1"/>
        <v>8.3123304768594836E-2</v>
      </c>
    </row>
    <row r="78" spans="1:21" x14ac:dyDescent="0.25">
      <c r="A78" s="5">
        <f ca="1"/>
        <v>43890</v>
      </c>
      <c r="B78" s="10">
        <f ca="1"/>
        <v>0.54592413564324938</v>
      </c>
      <c r="C78" s="10">
        <f ca="1"/>
        <v>5.8692601255693706E-2</v>
      </c>
      <c r="D78" s="10">
        <f ca="1"/>
        <v>3.5320564738202762E-2</v>
      </c>
      <c r="E78" s="10">
        <f ca="1"/>
        <v>2.3372036517490945E-2</v>
      </c>
      <c r="G78" s="10">
        <f ca="1"/>
        <v>0.68355568308118597</v>
      </c>
      <c r="H78" s="10">
        <f ca="1"/>
        <v>0.76316131061721126</v>
      </c>
      <c r="I78" s="10">
        <f ca="1"/>
        <v>0.10651527200269804</v>
      </c>
      <c r="K78">
        <f ca="1"/>
        <v>-23.185640795413207</v>
      </c>
      <c r="L78">
        <f ca="1"/>
        <v>-33.425827237585295</v>
      </c>
      <c r="M78">
        <f ca="1"/>
        <v>-16.016447450838577</v>
      </c>
      <c r="O78">
        <f ca="1"/>
        <v>1.7924151630171457</v>
      </c>
      <c r="P78">
        <f ca="1"/>
        <v>1.6268860779688898</v>
      </c>
      <c r="Q78">
        <f ca="1"/>
        <v>0.64211894011124637</v>
      </c>
      <c r="S78" s="10">
        <f ca="1"/>
        <v>0.67722921741098718</v>
      </c>
      <c r="T78" s="10">
        <f ca="1"/>
        <v>0.82599896049506683</v>
      </c>
      <c r="U78" s="10">
        <f ca="1"/>
        <v>0.31015226103332977</v>
      </c>
    </row>
    <row r="79" spans="1:21" x14ac:dyDescent="0.25">
      <c r="A79" s="5">
        <f ca="1"/>
        <v>43861</v>
      </c>
      <c r="B79" s="10">
        <f ca="1"/>
        <v>0.4277945881594285</v>
      </c>
      <c r="C79" s="10">
        <f ca="1"/>
        <v>5.8370379482929419E-2</v>
      </c>
      <c r="D79" s="10">
        <f ca="1"/>
        <v>3.6375714646448294E-2</v>
      </c>
      <c r="E79" s="10">
        <f ca="1"/>
        <v>2.1994664836481125E-2</v>
      </c>
      <c r="G79" s="10">
        <f ca="1"/>
        <v>0.66367514406113637</v>
      </c>
      <c r="H79" s="10">
        <f ca="1"/>
        <v>0.7275214540717696</v>
      </c>
      <c r="I79" s="10">
        <f ca="1"/>
        <v>0.10779474922321267</v>
      </c>
      <c r="K79">
        <f ca="1"/>
        <v>-22.598003109126765</v>
      </c>
      <c r="L79">
        <f ca="1"/>
        <v>-32.503082095269086</v>
      </c>
      <c r="M79">
        <f ca="1"/>
        <v>-15.430995970251233</v>
      </c>
      <c r="O79">
        <f ca="1"/>
        <v>1.749206894063833</v>
      </c>
      <c r="P79">
        <f ca="1"/>
        <v>1.5839504085393192</v>
      </c>
      <c r="Q79">
        <f ca="1"/>
        <v>0.62014112756703255</v>
      </c>
      <c r="S79" s="10">
        <f ca="1"/>
        <v>0.63749434162076057</v>
      </c>
      <c r="T79" s="10">
        <f ca="1"/>
        <v>0.7966655933241249</v>
      </c>
      <c r="U79" s="10">
        <f ca="1"/>
        <v>0.31681432938965276</v>
      </c>
    </row>
    <row r="80" spans="1:21" x14ac:dyDescent="0.25">
      <c r="A80" s="5">
        <f ca="1"/>
        <v>43830</v>
      </c>
      <c r="B80" s="10">
        <f ca="1"/>
        <v>0.33328174620370299</v>
      </c>
      <c r="C80" s="10">
        <f ca="1"/>
        <v>5.9321771866954733E-2</v>
      </c>
      <c r="D80" s="10">
        <f ca="1"/>
        <v>3.7467236762099433E-2</v>
      </c>
      <c r="E80" s="10">
        <f ca="1"/>
        <v>2.1854535104855299E-2</v>
      </c>
      <c r="G80" s="10">
        <f ca="1"/>
        <v>0.6452350306316208</v>
      </c>
      <c r="H80" s="10">
        <f ca="1"/>
        <v>0.6848560467725755</v>
      </c>
      <c r="I80" s="10">
        <f ca="1"/>
        <v>0.10173804302869978</v>
      </c>
      <c r="K80">
        <f ca="1"/>
        <v>-22.861228155089737</v>
      </c>
      <c r="L80">
        <f ca="1"/>
        <v>-32.020361818676939</v>
      </c>
      <c r="M80">
        <f ca="1"/>
        <v>-14.883021449989961</v>
      </c>
      <c r="O80">
        <f ca="1"/>
        <v>1.7654547115069508</v>
      </c>
      <c r="P80">
        <f ca="1"/>
        <v>1.5603136957969235</v>
      </c>
      <c r="Q80">
        <f ca="1"/>
        <v>0.60179244841934632</v>
      </c>
      <c r="S80" s="10">
        <f ca="1"/>
        <v>0.62663914707945967</v>
      </c>
      <c r="T80" s="10">
        <f ca="1"/>
        <v>0.79118616172069534</v>
      </c>
      <c r="U80" s="10">
        <f ca="1"/>
        <v>0.27202154041869764</v>
      </c>
    </row>
    <row r="81" spans="1:21" x14ac:dyDescent="0.25">
      <c r="A81" s="5">
        <f ca="1"/>
        <v>43799</v>
      </c>
      <c r="B81" s="10">
        <f ca="1"/>
        <v>0.43989455520251641</v>
      </c>
      <c r="C81" s="10">
        <f ca="1"/>
        <v>5.8614916286149163E-2</v>
      </c>
      <c r="D81" s="10">
        <f ca="1"/>
        <v>3.6809401558651957E-2</v>
      </c>
      <c r="E81" s="10">
        <f ca="1"/>
        <v>2.1805514727497206E-2</v>
      </c>
      <c r="G81" s="10">
        <f ca="1"/>
        <v>0.65260784674380268</v>
      </c>
      <c r="H81" s="10">
        <f ca="1"/>
        <v>0.66030427070883912</v>
      </c>
      <c r="I81" s="10">
        <f ca="1"/>
        <v>0.10648054906582985</v>
      </c>
      <c r="K81">
        <f ca="1"/>
        <v>-23.823377057680094</v>
      </c>
      <c r="L81">
        <f ca="1"/>
        <v>-32.275470650801424</v>
      </c>
      <c r="M81">
        <f ca="1"/>
        <v>-15.353642853026042</v>
      </c>
      <c r="O81">
        <f ca="1"/>
        <v>1.8308534291429144</v>
      </c>
      <c r="P81">
        <f ca="1"/>
        <v>1.568807969510301</v>
      </c>
      <c r="Q81">
        <f ca="1"/>
        <v>0.61126606545696038</v>
      </c>
      <c r="S81" s="10">
        <f ca="1"/>
        <v>0.61667110426409866</v>
      </c>
      <c r="T81" s="10">
        <f ca="1"/>
        <v>0.78740139825767297</v>
      </c>
      <c r="U81" s="10">
        <f ca="1"/>
        <v>0.23974575675991738</v>
      </c>
    </row>
    <row r="82" spans="1:21" x14ac:dyDescent="0.25">
      <c r="A82" s="5">
        <f ca="1"/>
        <v>43769</v>
      </c>
      <c r="B82" s="10">
        <f ca="1"/>
        <v>0.44697059481952639</v>
      </c>
      <c r="C82" s="10">
        <f ca="1"/>
        <v>5.8317779199451261E-2</v>
      </c>
      <c r="D82" s="10">
        <f ca="1"/>
        <v>3.6578310392359897E-2</v>
      </c>
      <c r="E82" s="10">
        <f ca="1"/>
        <v>2.1739468807091367E-2</v>
      </c>
      <c r="G82" s="10">
        <f ca="1"/>
        <v>0.63628447636333496</v>
      </c>
      <c r="H82" s="10">
        <f ca="1"/>
        <v>0.62929403856180388</v>
      </c>
      <c r="I82" s="10">
        <f ca="1"/>
        <v>9.6893100190692527E-2</v>
      </c>
      <c r="K82">
        <f ca="1"/>
        <v>-24.048703205657826</v>
      </c>
      <c r="L82">
        <f ca="1"/>
        <v>-31.815120443545119</v>
      </c>
      <c r="M82">
        <f ca="1"/>
        <v>-14.508330499696102</v>
      </c>
      <c r="O82">
        <f ca="1"/>
        <v>1.8450467844545841</v>
      </c>
      <c r="P82">
        <f ca="1"/>
        <v>1.5460733617906477</v>
      </c>
      <c r="Q82">
        <f ca="1"/>
        <v>0.58472339098933701</v>
      </c>
      <c r="S82" s="10">
        <f ca="1"/>
        <v>0.59105639619025585</v>
      </c>
      <c r="T82" s="10">
        <f ca="1"/>
        <v>0.75362179069407387</v>
      </c>
      <c r="U82" s="10">
        <f ca="1"/>
        <v>0.16009453738493268</v>
      </c>
    </row>
    <row r="83" spans="1:21" x14ac:dyDescent="0.25">
      <c r="A83" s="5">
        <f ca="1"/>
        <v>43738</v>
      </c>
      <c r="B83" s="10">
        <f ca="1"/>
        <v>0.44369343644389514</v>
      </c>
      <c r="C83" s="10">
        <f ca="1"/>
        <v>5.9483337656032829E-2</v>
      </c>
      <c r="D83" s="10">
        <f ca="1"/>
        <v>3.6969721152631196E-2</v>
      </c>
      <c r="E83" s="10">
        <f ca="1"/>
        <v>2.2513616503401633E-2</v>
      </c>
      <c r="G83" s="10">
        <f ca="1"/>
        <v>0.61507051943256663</v>
      </c>
      <c r="H83" s="10">
        <f ca="1"/>
        <v>0.59846356339248119</v>
      </c>
      <c r="I83" s="10">
        <f ca="1"/>
        <v>8.2368821478553386E-2</v>
      </c>
      <c r="K83">
        <f ca="1"/>
        <v>-24.132252216541122</v>
      </c>
      <c r="L83">
        <f ca="1"/>
        <v>-31.155929773126189</v>
      </c>
      <c r="M83">
        <f ca="1"/>
        <v>-13.118493339651714</v>
      </c>
      <c r="O83">
        <f ca="1"/>
        <v>1.8502192020621997</v>
      </c>
      <c r="P83">
        <f ca="1"/>
        <v>1.5153071145850323</v>
      </c>
      <c r="Q83">
        <f ca="1"/>
        <v>0.54413896490615543</v>
      </c>
      <c r="S83" s="10">
        <f ca="1"/>
        <v>0.60097655615971468</v>
      </c>
      <c r="T83" s="10">
        <f ca="1"/>
        <v>0.72414898519795801</v>
      </c>
      <c r="U83" s="10">
        <f ca="1"/>
        <v>7.9777427325520484E-2</v>
      </c>
    </row>
    <row r="84" spans="1:21" x14ac:dyDescent="0.25">
      <c r="A84" s="5">
        <f ca="1"/>
        <v>43708</v>
      </c>
      <c r="B84" s="10">
        <f ca="1"/>
        <v>0.43658549920381606</v>
      </c>
      <c r="C84" s="10">
        <f ca="1"/>
        <v>5.9013664164023504E-2</v>
      </c>
      <c r="D84" s="10">
        <f ca="1"/>
        <v>3.7800216806520258E-2</v>
      </c>
      <c r="E84" s="10">
        <f ca="1"/>
        <v>2.1213447357503246E-2</v>
      </c>
      <c r="G84" s="10">
        <f ca="1"/>
        <v>0.59378062555973454</v>
      </c>
      <c r="H84" s="10">
        <f ca="1"/>
        <v>0.57464597719080968</v>
      </c>
      <c r="I84" s="10">
        <f ca="1"/>
        <v>7.3060047169180992E-2</v>
      </c>
      <c r="K84">
        <f ca="1"/>
        <v>-23.815915826778379</v>
      </c>
      <c r="L84">
        <f ca="1"/>
        <v>-30.496096955827799</v>
      </c>
      <c r="M84">
        <f ca="1"/>
        <v>-11.999029244735775</v>
      </c>
      <c r="O84">
        <f ca="1"/>
        <v>1.8279710243614051</v>
      </c>
      <c r="P84">
        <f ca="1"/>
        <v>1.484635764530474</v>
      </c>
      <c r="Q84">
        <f ca="1"/>
        <v>0.51002998471980554</v>
      </c>
      <c r="S84" s="10">
        <f ca="1"/>
        <v>0.55184065835458274</v>
      </c>
      <c r="T84" s="10">
        <f ca="1"/>
        <v>0.68022447368406647</v>
      </c>
      <c r="U84" s="10">
        <f ca="1"/>
        <v>8.0062239154057926E-2</v>
      </c>
    </row>
    <row r="85" spans="1:21" x14ac:dyDescent="0.25">
      <c r="A85" s="5">
        <f ca="1"/>
        <v>43677</v>
      </c>
      <c r="B85" s="10">
        <f ca="1"/>
        <v>0.4028982881377543</v>
      </c>
      <c r="C85" s="10">
        <f ca="1"/>
        <v>6.2140747071133928E-2</v>
      </c>
      <c r="D85" s="10">
        <f ca="1"/>
        <v>4.0518885382249827E-2</v>
      </c>
      <c r="E85" s="10">
        <f ca="1"/>
        <v>2.1621861688884105E-2</v>
      </c>
      <c r="G85" s="10">
        <f ca="1"/>
        <v>0.56869940217672665</v>
      </c>
      <c r="H85" s="10">
        <f ca="1"/>
        <v>0.55228435816418764</v>
      </c>
      <c r="I85" s="10">
        <f ca="1"/>
        <v>5.3670543583210134E-2</v>
      </c>
      <c r="K85">
        <f ca="1"/>
        <v>-23.864926040940745</v>
      </c>
      <c r="L85">
        <f ca="1"/>
        <v>-29.705048018005751</v>
      </c>
      <c r="M85">
        <f ca="1"/>
        <v>-10.247061135965065</v>
      </c>
      <c r="O85">
        <f ca="1"/>
        <v>1.830444297561953</v>
      </c>
      <c r="P85">
        <f ca="1"/>
        <v>1.4476293707916539</v>
      </c>
      <c r="Q85">
        <f ca="1"/>
        <v>0.45887966852021578</v>
      </c>
      <c r="S85" s="10">
        <f ca="1"/>
        <v>0.50222704430973153</v>
      </c>
      <c r="T85" s="10">
        <f ca="1"/>
        <v>0.61169804457184607</v>
      </c>
      <c r="U85" s="10">
        <f ca="1"/>
        <v>4.3383875492255537E-2</v>
      </c>
    </row>
    <row r="86" spans="1:21" x14ac:dyDescent="0.25">
      <c r="A86" s="5">
        <f ca="1"/>
        <v>43646</v>
      </c>
      <c r="B86" s="10">
        <f ca="1"/>
        <v>0.35051465789187408</v>
      </c>
      <c r="C86" s="10">
        <f ca="1"/>
        <v>6.1956384943806536E-2</v>
      </c>
      <c r="D86" s="10">
        <f ca="1"/>
        <v>4.0347242426907903E-2</v>
      </c>
      <c r="E86" s="10">
        <f ca="1"/>
        <v>2.1609142516898636E-2</v>
      </c>
      <c r="G86" s="10">
        <f ca="1"/>
        <v>0.5507399318999201</v>
      </c>
      <c r="H86" s="10">
        <f ca="1"/>
        <v>0.55937742413312297</v>
      </c>
      <c r="I86" s="10">
        <f ca="1"/>
        <v>3.7422117276710749E-2</v>
      </c>
      <c r="K86">
        <f ca="1"/>
        <v>-23.408744990985383</v>
      </c>
      <c r="L86">
        <f ca="1"/>
        <v>-29.218699639402132</v>
      </c>
      <c r="M86">
        <f ca="1"/>
        <v>-8.5387916641304376</v>
      </c>
      <c r="O86">
        <f ca="1"/>
        <v>1.797705992840138</v>
      </c>
      <c r="P86">
        <f ca="1"/>
        <v>1.4229939581461819</v>
      </c>
      <c r="Q86">
        <f ca="1"/>
        <v>0.40928556547584416</v>
      </c>
      <c r="S86" s="10">
        <f ca="1"/>
        <v>0.41099445295012849</v>
      </c>
      <c r="T86" s="10">
        <f ca="1"/>
        <v>0.49283389285847834</v>
      </c>
      <c r="U86" s="10">
        <f ca="1"/>
        <v>3.1298688168884078E-2</v>
      </c>
    </row>
    <row r="87" spans="1:21" x14ac:dyDescent="0.25">
      <c r="A87" s="5">
        <f ca="1"/>
        <v>43616</v>
      </c>
      <c r="B87" s="10">
        <f ca="1"/>
        <v>0.38483535969419269</v>
      </c>
      <c r="C87" s="10">
        <f ca="1"/>
        <v>6.0559101388005285E-2</v>
      </c>
      <c r="D87" s="10">
        <f ca="1"/>
        <v>3.8907313535958846E-2</v>
      </c>
      <c r="E87" s="10">
        <f ca="1"/>
        <v>2.1651787852046436E-2</v>
      </c>
      <c r="G87" s="10">
        <f ca="1"/>
        <v>0.54214552679962114</v>
      </c>
      <c r="H87" s="10">
        <f ca="1"/>
        <v>0.55942554314960313</v>
      </c>
      <c r="I87" s="10">
        <f ca="1"/>
        <v>2.9956867332068097E-2</v>
      </c>
      <c r="K87">
        <f ca="1"/>
        <v>-23.383203288869939</v>
      </c>
      <c r="L87">
        <f ca="1"/>
        <v>-28.997595816329383</v>
      </c>
      <c r="M87">
        <f ca="1"/>
        <v>-7.6948235230281101</v>
      </c>
      <c r="O87">
        <f ca="1"/>
        <v>1.795866237003751</v>
      </c>
      <c r="P87">
        <f ca="1"/>
        <v>1.4104783729929438</v>
      </c>
      <c r="Q87">
        <f ca="1"/>
        <v>0.38301113830174305</v>
      </c>
      <c r="S87" s="10">
        <f ca="1"/>
        <v>0.33118825478595609</v>
      </c>
      <c r="T87" s="10">
        <f ca="1"/>
        <v>0.40527600149883791</v>
      </c>
      <c r="U87" s="10">
        <f ca="1"/>
        <v>4.4796715985606826E-2</v>
      </c>
    </row>
    <row r="88" spans="1:21" x14ac:dyDescent="0.25">
      <c r="A88" s="5">
        <f ca="1"/>
        <v>43585</v>
      </c>
      <c r="B88" s="10">
        <f ca="1"/>
        <v>0.26084668836966141</v>
      </c>
      <c r="C88" s="10">
        <f ca="1"/>
        <v>6.212383225366519E-2</v>
      </c>
      <c r="D88" s="10">
        <f ca="1"/>
        <v>4.0144630071599047E-2</v>
      </c>
      <c r="E88" s="10">
        <f ca="1"/>
        <v>2.1979202182066143E-2</v>
      </c>
      <c r="G88" s="10">
        <f ca="1"/>
        <v>0.51347334015521351</v>
      </c>
      <c r="H88" s="10">
        <f ca="1"/>
        <v>0.51318894012158667</v>
      </c>
      <c r="I88" s="10">
        <f ca="1"/>
        <v>2.0150115666257261E-2</v>
      </c>
      <c r="K88">
        <f ca="1"/>
        <v>-23.805254824159004</v>
      </c>
      <c r="L88">
        <f ca="1"/>
        <v>-27.866023745652996</v>
      </c>
      <c r="M88">
        <f ca="1"/>
        <v>-6.3898601673877042</v>
      </c>
      <c r="O88">
        <f ca="1"/>
        <v>1.8233036402226408</v>
      </c>
      <c r="P88">
        <f ca="1"/>
        <v>1.3574992059208906</v>
      </c>
      <c r="Q88">
        <f ca="1"/>
        <v>0.34273297180395546</v>
      </c>
      <c r="S88" s="10">
        <f ca="1"/>
        <v>0.2591383196055892</v>
      </c>
      <c r="T88" s="10">
        <f ca="1"/>
        <v>0.33391564278396946</v>
      </c>
      <c r="U88" s="10">
        <f ca="1"/>
        <v>8.4820353587288552E-2</v>
      </c>
    </row>
    <row r="89" spans="1:21" x14ac:dyDescent="0.25">
      <c r="A89" s="5">
        <f ca="1"/>
        <v>43555</v>
      </c>
      <c r="B89" s="10">
        <f ca="1"/>
        <v>0.32517287609370582</v>
      </c>
      <c r="C89" s="10">
        <f ca="1"/>
        <v>6.1299685924060682E-2</v>
      </c>
      <c r="D89" s="10">
        <f ca="1"/>
        <v>3.927748848730353E-2</v>
      </c>
      <c r="E89" s="10">
        <f ca="1"/>
        <v>2.2022197436757148E-2</v>
      </c>
      <c r="G89" s="10">
        <f ca="1"/>
        <v>0.52604979432528176</v>
      </c>
      <c r="H89" s="10">
        <f ca="1"/>
        <v>0.48243863825001532</v>
      </c>
      <c r="I89" s="10">
        <f ca="1"/>
        <v>2.1243081056101995E-2</v>
      </c>
      <c r="K89">
        <f ca="1"/>
        <v>-25.377987562474182</v>
      </c>
      <c r="L89">
        <f ca="1"/>
        <v>-27.436078496891636</v>
      </c>
      <c r="M89">
        <f ca="1"/>
        <v>-6.7556525787086983</v>
      </c>
      <c r="O89">
        <f ca="1"/>
        <v>1.9328486674407372</v>
      </c>
      <c r="P89">
        <f ca="1"/>
        <v>1.3361248614276451</v>
      </c>
      <c r="Q89">
        <f ca="1"/>
        <v>0.34963787292305254</v>
      </c>
      <c r="S89" s="10">
        <f ca="1"/>
        <v>0.18259648145250965</v>
      </c>
      <c r="T89" s="10">
        <f ca="1"/>
        <v>0.27962834529926561</v>
      </c>
      <c r="U89" s="10">
        <f ca="1"/>
        <v>0.22090743609905852</v>
      </c>
    </row>
    <row r="90" spans="1:21" x14ac:dyDescent="0.25">
      <c r="A90" s="5">
        <f ca="1"/>
        <v>43524</v>
      </c>
      <c r="B90" s="10">
        <f ca="1"/>
        <v>0.30064392402199336</v>
      </c>
      <c r="C90" s="10">
        <f ca="1"/>
        <v>6.3202475905616479E-2</v>
      </c>
      <c r="D90" s="10">
        <f ca="1"/>
        <v>4.0240736124958459E-2</v>
      </c>
      <c r="E90" s="10">
        <f ca="1"/>
        <v>2.2961739780658026E-2</v>
      </c>
      <c r="G90" s="10">
        <f ca="1"/>
        <v>0.51273897566639337</v>
      </c>
      <c r="H90" s="10">
        <f ca="1"/>
        <v>0.46756591079581089</v>
      </c>
      <c r="I90" s="10">
        <f ca="1"/>
        <v>1.2615417578574524E-2</v>
      </c>
      <c r="K90">
        <f ca="1"/>
        <v>-25.928311022349483</v>
      </c>
      <c r="L90">
        <f ca="1"/>
        <v>-26.945102111004122</v>
      </c>
      <c r="M90">
        <f ca="1"/>
        <v>-5.2071353586292251</v>
      </c>
      <c r="O90">
        <f ca="1"/>
        <v>1.9728056236490297</v>
      </c>
      <c r="P90">
        <f ca="1"/>
        <v>1.31306607616242</v>
      </c>
      <c r="Q90">
        <f ca="1"/>
        <v>0.30476584610281854</v>
      </c>
      <c r="S90" s="10">
        <f ca="1"/>
        <v>7.9599679587322669E-2</v>
      </c>
      <c r="T90" s="10">
        <f ca="1"/>
        <v>0.21447501462408661</v>
      </c>
      <c r="U90" s="10">
        <f ca="1"/>
        <v>0.50976060328791717</v>
      </c>
    </row>
    <row r="91" spans="1:21" x14ac:dyDescent="0.25">
      <c r="A91" s="5">
        <f ca="1"/>
        <v>43496</v>
      </c>
      <c r="B91" s="10">
        <f ca="1"/>
        <v>0.20926001257349958</v>
      </c>
      <c r="C91" s="10">
        <f ca="1"/>
        <v>6.2652918729087737E-2</v>
      </c>
      <c r="D91" s="10">
        <f ca="1"/>
        <v>3.9296587672482924E-2</v>
      </c>
      <c r="E91" s="10">
        <f ca="1"/>
        <v>2.3356331056604816E-2</v>
      </c>
      <c r="G91" s="10">
        <f ca="1"/>
        <v>0.48174846049269016</v>
      </c>
      <c r="H91" s="10">
        <f ca="1"/>
        <v>0.46063683655806148</v>
      </c>
      <c r="I91" s="10">
        <f ca="1"/>
        <v>6.7149152836764115E-3</v>
      </c>
      <c r="K91">
        <f ca="1"/>
        <v>-25.060166071105762</v>
      </c>
      <c r="L91">
        <f ca="1"/>
        <v>-26.404327072284904</v>
      </c>
      <c r="M91">
        <f ca="1"/>
        <v>-3.7763103651234853</v>
      </c>
      <c r="O91">
        <f ca="1"/>
        <v>1.9144247691474461</v>
      </c>
      <c r="P91">
        <f ca="1"/>
        <v>1.289022384765512</v>
      </c>
      <c r="Q91">
        <f ca="1"/>
        <v>0.26342850105817456</v>
      </c>
      <c r="S91" s="10">
        <f ca="1"/>
        <v>7.4156284276444204E-2</v>
      </c>
      <c r="T91" s="10">
        <f ca="1"/>
        <v>0.21742283984478922</v>
      </c>
      <c r="U91" s="10">
        <f ca="1"/>
        <v>0.5482311649577174</v>
      </c>
    </row>
    <row r="92" spans="1:21" x14ac:dyDescent="0.25">
      <c r="A92" s="5">
        <f ca="1"/>
        <v>43465</v>
      </c>
      <c r="B92" s="10">
        <f ca="1"/>
        <v>0.34152422362726131</v>
      </c>
      <c r="C92" s="10">
        <f ca="1"/>
        <v>6.243357029470633E-2</v>
      </c>
      <c r="D92" s="10">
        <f ca="1"/>
        <v>3.8255573193457106E-2</v>
      </c>
      <c r="E92" s="10">
        <f ca="1"/>
        <v>2.4177997101249224E-2</v>
      </c>
      <c r="G92" s="10">
        <f ca="1"/>
        <v>0.48300818025657666</v>
      </c>
      <c r="H92" s="10">
        <f ca="1"/>
        <v>0.45970712587427243</v>
      </c>
      <c r="I92" s="10">
        <f ca="1"/>
        <v>4.2580639446512048E-3</v>
      </c>
      <c r="K92">
        <f ca="1"/>
        <v>-25.917783516005191</v>
      </c>
      <c r="L92">
        <f ca="1"/>
        <v>-26.699588316827381</v>
      </c>
      <c r="M92">
        <f ca="1"/>
        <v>-3.0020029426100496</v>
      </c>
      <c r="O92">
        <f ca="1"/>
        <v>1.9790982466297076</v>
      </c>
      <c r="P92">
        <f ca="1"/>
        <v>1.3029405419963294</v>
      </c>
      <c r="Q92">
        <f ca="1"/>
        <v>0.24201196509481698</v>
      </c>
      <c r="S92" s="10">
        <f ca="1"/>
        <v>0.12690739206126558</v>
      </c>
      <c r="T92" s="10">
        <f ca="1"/>
        <v>0.26641447316986999</v>
      </c>
      <c r="U92" s="10">
        <f ca="1"/>
        <v>0.40474624144780103</v>
      </c>
    </row>
    <row r="93" spans="1:21" x14ac:dyDescent="0.25">
      <c r="A93" s="5">
        <f ca="1"/>
        <v>43434</v>
      </c>
      <c r="B93" s="10">
        <f ca="1"/>
        <v>0.26815015017190968</v>
      </c>
      <c r="C93" s="10">
        <f ca="1"/>
        <v>6.4214852905166681E-2</v>
      </c>
      <c r="D93" s="10">
        <f ca="1"/>
        <v>4.1458914891384195E-2</v>
      </c>
      <c r="E93" s="10">
        <f ca="1"/>
        <v>2.2755938013782489E-2</v>
      </c>
      <c r="G93" s="10">
        <f ca="1"/>
        <v>0.46597230870366074</v>
      </c>
      <c r="H93" s="10">
        <f ca="1"/>
        <v>0.42514273010507042</v>
      </c>
      <c r="I93" s="10">
        <f ca="1"/>
        <v>3.5109400271034381E-3</v>
      </c>
      <c r="K93">
        <f ca="1"/>
        <v>-26.322325063379633</v>
      </c>
      <c r="L93">
        <f ca="1"/>
        <v>-25.967060227075123</v>
      </c>
      <c r="M93">
        <f ca="1"/>
        <v>-2.6394763169065723</v>
      </c>
      <c r="O93">
        <f ca="1"/>
        <v>2.0078938336768011</v>
      </c>
      <c r="P93">
        <f ca="1"/>
        <v>1.2685819521754267</v>
      </c>
      <c r="Q93">
        <f ca="1"/>
        <v>0.22737776960471551</v>
      </c>
      <c r="S93" s="10">
        <f ca="1"/>
        <v>0.21274658925720719</v>
      </c>
      <c r="T93" s="10">
        <f ca="1"/>
        <v>0.36138576340864287</v>
      </c>
      <c r="U93" s="10">
        <f ca="1"/>
        <v>0.30415534300775049</v>
      </c>
    </row>
    <row r="94" spans="1:21" x14ac:dyDescent="0.25">
      <c r="A94" s="5">
        <f ca="1"/>
        <v>43404</v>
      </c>
      <c r="B94" s="10">
        <f ca="1"/>
        <v>0.20628083813344933</v>
      </c>
      <c r="C94" s="10">
        <f ca="1"/>
        <v>6.5954574823721093E-2</v>
      </c>
      <c r="D94" s="10">
        <f ca="1"/>
        <v>4.2675295670983507E-2</v>
      </c>
      <c r="E94" s="10">
        <f ca="1"/>
        <v>2.327927915273759E-2</v>
      </c>
      <c r="G94" s="10">
        <f ca="1"/>
        <v>0.46165193835109197</v>
      </c>
      <c r="H94" s="10">
        <f ca="1"/>
        <v>0.40960514144918436</v>
      </c>
      <c r="I94" s="10">
        <f ca="1"/>
        <v>1.3574003718991312E-3</v>
      </c>
      <c r="K94">
        <f ca="1"/>
        <v>-27.11183845398331</v>
      </c>
      <c r="L94">
        <f ca="1"/>
        <v>-25.280717508645633</v>
      </c>
      <c r="M94">
        <f ca="1"/>
        <v>-1.6445099758210258</v>
      </c>
      <c r="O94">
        <f ca="1"/>
        <v>2.0646168722331972</v>
      </c>
      <c r="P94">
        <f ca="1"/>
        <v>1.2362170307152047</v>
      </c>
      <c r="Q94">
        <f ca="1"/>
        <v>0.19732119780899496</v>
      </c>
      <c r="S94" s="10">
        <f ca="1"/>
        <v>0.34446871490316261</v>
      </c>
      <c r="T94" s="10">
        <f ca="1"/>
        <v>0.49036278791341753</v>
      </c>
      <c r="U94" s="10">
        <f ca="1"/>
        <v>0.26552528104604067</v>
      </c>
    </row>
    <row r="95" spans="1:21" x14ac:dyDescent="0.25">
      <c r="A95" s="5">
        <f ca="1"/>
        <v>43373</v>
      </c>
      <c r="B95" s="10">
        <f ca="1"/>
        <v>6.3936609036438163E-2</v>
      </c>
      <c r="C95" s="10">
        <f ca="1"/>
        <v>6.9371927064310404E-2</v>
      </c>
      <c r="D95" s="10">
        <f ca="1"/>
        <v>4.5523417525918021E-2</v>
      </c>
      <c r="E95" s="10">
        <f ca="1"/>
        <v>2.384850953839238E-2</v>
      </c>
      <c r="G95" s="10">
        <f ca="1"/>
        <v>0.45157238244912096</v>
      </c>
      <c r="H95" s="10">
        <f ca="1"/>
        <v>0.41279937128206856</v>
      </c>
      <c r="I95" s="10">
        <f ca="1"/>
        <v>4.5041805739434386E-6</v>
      </c>
      <c r="K95">
        <f ca="1"/>
        <v>-27.470499341142798</v>
      </c>
      <c r="L95">
        <f ca="1"/>
        <v>-25.184590714401882</v>
      </c>
      <c r="M95">
        <f ca="1"/>
        <v>-9.4828628176389262E-2</v>
      </c>
      <c r="O95">
        <f ca="1"/>
        <v>2.0928570559664528</v>
      </c>
      <c r="P95">
        <f ca="1"/>
        <v>1.2310851947233392</v>
      </c>
      <c r="Q95">
        <f ca="1"/>
        <v>0.15433144171697888</v>
      </c>
      <c r="S95" s="10">
        <f ca="1"/>
        <v>0.52773237360779068</v>
      </c>
      <c r="T95" s="10">
        <f ca="1"/>
        <v>0.66071586980533958</v>
      </c>
      <c r="U95" s="10">
        <f ca="1"/>
        <v>0.18738324385872454</v>
      </c>
    </row>
    <row r="96" spans="1:21" x14ac:dyDescent="0.25">
      <c r="A96" s="5">
        <f ca="1"/>
        <v>43343</v>
      </c>
      <c r="B96" s="10">
        <f ca="1"/>
        <v>4.9212137086768193E-2</v>
      </c>
      <c r="C96" s="10">
        <f ca="1"/>
        <v>6.898931226765799E-2</v>
      </c>
      <c r="D96" s="10">
        <f ca="1"/>
        <v>4.5932958769854683E-2</v>
      </c>
      <c r="E96" s="10">
        <f ca="1"/>
        <v>2.3056353497803311E-2</v>
      </c>
      <c r="G96" s="10">
        <f ca="1"/>
        <v>0.45479198854176339</v>
      </c>
      <c r="H96" s="10">
        <f ca="1"/>
        <v>0.41098729698311909</v>
      </c>
      <c r="I96" s="10">
        <f ca="1"/>
        <v>3.3322043807525204E-5</v>
      </c>
      <c r="K96">
        <f ca="1"/>
        <v>-27.500458388847381</v>
      </c>
      <c r="L96">
        <f ca="1"/>
        <v>-25.048353312320199</v>
      </c>
      <c r="M96">
        <f ca="1"/>
        <v>-0.25660423970459689</v>
      </c>
      <c r="O96">
        <f ca="1"/>
        <v>2.0989254704721354</v>
      </c>
      <c r="P96">
        <f ca="1"/>
        <v>1.2256421784941407</v>
      </c>
      <c r="Q96">
        <f ca="1"/>
        <v>0.16158102263938146</v>
      </c>
      <c r="S96" s="10">
        <f ca="1"/>
        <v>0.63855165536141401</v>
      </c>
      <c r="T96" s="10">
        <f ca="1"/>
        <v>0.74593356851042603</v>
      </c>
      <c r="U96" s="10">
        <f ca="1"/>
        <v>6.3235104465979769E-2</v>
      </c>
    </row>
    <row r="97" spans="1:21" x14ac:dyDescent="0.25">
      <c r="A97" s="5">
        <f ca="1"/>
        <v>43312</v>
      </c>
      <c r="B97" s="10">
        <f ca="1"/>
        <v>3.4137109459608128E-2</v>
      </c>
      <c r="C97" s="10">
        <f ca="1"/>
        <v>6.9269306342856329E-2</v>
      </c>
      <c r="D97" s="10">
        <f ca="1"/>
        <v>4.6139438232425327E-2</v>
      </c>
      <c r="E97" s="10">
        <f ca="1"/>
        <v>2.3129868110431009E-2</v>
      </c>
      <c r="G97" s="10">
        <f ca="1"/>
        <v>0.48055534613384704</v>
      </c>
      <c r="H97" s="10">
        <f ca="1"/>
        <v>0.41742957063152314</v>
      </c>
      <c r="I97" s="10">
        <f ca="1"/>
        <v>1.2066758560786784E-4</v>
      </c>
      <c r="K97">
        <f ca="1"/>
        <v>-28.534983276141038</v>
      </c>
      <c r="L97">
        <f ca="1"/>
        <v>-25.145437213067073</v>
      </c>
      <c r="M97">
        <f ca="1"/>
        <v>-0.50213266073507945</v>
      </c>
      <c r="O97">
        <f ca="1"/>
        <v>2.1765804538487203</v>
      </c>
      <c r="P97">
        <f ca="1"/>
        <v>1.2307044203824378</v>
      </c>
      <c r="Q97">
        <f ca="1"/>
        <v>0.17253409276807574</v>
      </c>
      <c r="S97" s="10">
        <f ca="1"/>
        <v>0.78792095126477857</v>
      </c>
      <c r="T97" s="10">
        <f ca="1"/>
        <v>0.8603762724692966</v>
      </c>
      <c r="U97" s="10">
        <f ca="1"/>
        <v>4.4926343255387226E-2</v>
      </c>
    </row>
    <row r="98" spans="1:21" x14ac:dyDescent="0.25">
      <c r="A98" s="5">
        <f ca="1"/>
        <v>43281</v>
      </c>
      <c r="B98" s="10">
        <f ca="1"/>
        <v>-4.921331533234985E-2</v>
      </c>
      <c r="C98" s="10">
        <f ca="1"/>
        <v>6.9687586358386414E-2</v>
      </c>
      <c r="D98" s="10">
        <f ca="1"/>
        <v>4.5840342386644653E-2</v>
      </c>
      <c r="E98" s="10">
        <f ca="1"/>
        <v>2.3847243971741764E-2</v>
      </c>
      <c r="G98" s="10">
        <f ca="1"/>
        <v>0.51522482374511369</v>
      </c>
      <c r="H98" s="10">
        <f ca="1"/>
        <v>0.4085564890793344</v>
      </c>
      <c r="I98" s="10">
        <f ca="1"/>
        <v>1.6946469080394704E-3</v>
      </c>
      <c r="K98">
        <f ca="1"/>
        <v>-29.368312326845725</v>
      </c>
      <c r="L98">
        <f ca="1"/>
        <v>-24.528382835436599</v>
      </c>
      <c r="M98">
        <f ca="1"/>
        <v>-1.9103573631450943</v>
      </c>
      <c r="O98">
        <f ca="1"/>
        <v>2.2393475408178416</v>
      </c>
      <c r="P98">
        <f ca="1"/>
        <v>1.2046483002112953</v>
      </c>
      <c r="Q98">
        <f ca="1"/>
        <v>0.2157368704802301</v>
      </c>
      <c r="S98" s="10">
        <f ca="1"/>
        <v>0.83106186985245201</v>
      </c>
      <c r="T98" s="10">
        <f ca="1"/>
        <v>0.91202980437600478</v>
      </c>
      <c r="U98" s="10">
        <f ca="1"/>
        <v>1.9070975581039717E-2</v>
      </c>
    </row>
    <row r="99" spans="1:21" x14ac:dyDescent="0.25">
      <c r="A99" s="5">
        <f ca="1"/>
        <v>43251</v>
      </c>
      <c r="B99" s="10">
        <f ca="1"/>
        <v>9.2024086320404264E-2</v>
      </c>
      <c r="C99" s="10">
        <f ca="1"/>
        <v>7.1780358697047963E-2</v>
      </c>
      <c r="D99" s="10">
        <f ca="1"/>
        <v>4.7722116797694294E-2</v>
      </c>
      <c r="E99" s="10">
        <f ca="1"/>
        <v>2.4058241899353662E-2</v>
      </c>
      <c r="G99" s="10">
        <f ca="1"/>
        <v>0.56791700133574208</v>
      </c>
      <c r="H99" s="10">
        <f ca="1"/>
        <v>0.40655871544678435</v>
      </c>
      <c r="I99" s="10">
        <f ca="1"/>
        <v>5.7347385339499282E-3</v>
      </c>
      <c r="K99">
        <f ca="1"/>
        <v>-30.026039364924909</v>
      </c>
      <c r="L99">
        <f ca="1"/>
        <v>-23.591731498276118</v>
      </c>
      <c r="M99">
        <f ca="1"/>
        <v>-3.4114075405606261</v>
      </c>
      <c r="O99">
        <f ca="1"/>
        <v>2.2921738369517661</v>
      </c>
      <c r="P99">
        <f ca="1"/>
        <v>1.1674384351544453</v>
      </c>
      <c r="Q99">
        <f ca="1"/>
        <v>0.26422594748889716</v>
      </c>
      <c r="S99" s="10">
        <f ca="1"/>
        <v>0.90192510574353824</v>
      </c>
      <c r="T99" s="10">
        <f ca="1"/>
        <v>0.88375918935447961</v>
      </c>
      <c r="U99" s="10">
        <f ca="1"/>
        <v>0.33360638299904721</v>
      </c>
    </row>
    <row r="100" spans="1:21" x14ac:dyDescent="0.25">
      <c r="A100" s="5">
        <f ca="1"/>
        <v>43220</v>
      </c>
      <c r="B100" s="10">
        <f ca="1"/>
        <v>0.21807367685655477</v>
      </c>
      <c r="C100" s="10">
        <f ca="1"/>
        <v>7.0020984275971587E-2</v>
      </c>
      <c r="D100" s="10">
        <f ca="1"/>
        <v>4.6243601922613391E-2</v>
      </c>
      <c r="E100" s="10">
        <f ca="1"/>
        <v>2.3777382353358193E-2</v>
      </c>
      <c r="G100" s="10">
        <f ca="1"/>
        <v>0.55421578737756272</v>
      </c>
      <c r="H100" s="10">
        <f ca="1"/>
        <v>0.42108922932135973</v>
      </c>
      <c r="I100" s="10">
        <f ca="1"/>
        <v>3.6550577036254571E-3</v>
      </c>
      <c r="K100">
        <f ca="1"/>
        <v>-29.952392893749149</v>
      </c>
      <c r="L100">
        <f ca="1"/>
        <v>-24.516709367015117</v>
      </c>
      <c r="M100">
        <f ca="1"/>
        <v>-2.7530883131654429</v>
      </c>
      <c r="O100">
        <f ca="1"/>
        <v>2.2896587487074731</v>
      </c>
      <c r="P100">
        <f ca="1"/>
        <v>1.2059311516200979</v>
      </c>
      <c r="Q100">
        <f ca="1"/>
        <v>0.24924981489833609</v>
      </c>
      <c r="S100" s="10">
        <f ca="1"/>
        <v>0.8839909678135367</v>
      </c>
      <c r="T100" s="10">
        <f ca="1"/>
        <v>0.85348990167235161</v>
      </c>
      <c r="U100" s="10">
        <f ca="1"/>
        <v>0.54666857418106329</v>
      </c>
    </row>
    <row r="101" spans="1:21" x14ac:dyDescent="0.25">
      <c r="A101" s="5">
        <f ca="1"/>
        <v>43190</v>
      </c>
      <c r="B101" s="10">
        <f ca="1"/>
        <v>0.22337714465308789</v>
      </c>
      <c r="C101" s="10">
        <f ca="1"/>
        <v>7.0528680396101551E-2</v>
      </c>
      <c r="D101" s="10">
        <f ca="1"/>
        <v>4.586837372308436E-2</v>
      </c>
      <c r="E101" s="10">
        <f ca="1"/>
        <v>2.4660306673017184E-2</v>
      </c>
      <c r="G101" s="10">
        <f ca="1"/>
        <v>0.55601838416008287</v>
      </c>
      <c r="H101" s="10">
        <f ca="1"/>
        <v>0.46590031651543173</v>
      </c>
      <c r="I101" s="10">
        <f ca="1"/>
        <v>6.4550989886612243E-4</v>
      </c>
      <c r="K101">
        <f ca="1"/>
        <v>-30.048167545665184</v>
      </c>
      <c r="L101">
        <f ca="1"/>
        <v>-25.931883804983702</v>
      </c>
      <c r="M101">
        <f ca="1"/>
        <v>-1.2000021178103284</v>
      </c>
      <c r="O101">
        <f ca="1"/>
        <v>2.2966272045958429</v>
      </c>
      <c r="P101">
        <f ca="1"/>
        <v>1.2627475670928954</v>
      </c>
      <c r="Q101">
        <f ca="1"/>
        <v>0.20561587649217899</v>
      </c>
      <c r="S101" s="10">
        <f ca="1"/>
        <v>0.82195755659110892</v>
      </c>
      <c r="T101" s="10">
        <f ca="1"/>
        <v>0.79566892070705852</v>
      </c>
      <c r="U101" s="10">
        <f ca="1"/>
        <v>0.52344873127968639</v>
      </c>
    </row>
    <row r="102" spans="1:21" x14ac:dyDescent="0.25">
      <c r="A102" s="5">
        <f ca="1"/>
        <v>43159</v>
      </c>
      <c r="B102" s="10">
        <f ca="1"/>
        <v>0.15739747883986843</v>
      </c>
      <c r="C102" s="10">
        <f ca="1"/>
        <v>7.1518765800220402E-2</v>
      </c>
      <c r="D102" s="10">
        <f ca="1"/>
        <v>4.6459958370245531E-2</v>
      </c>
      <c r="E102" s="10">
        <f ca="1"/>
        <v>2.5058807429974864E-2</v>
      </c>
      <c r="G102" s="10">
        <f ca="1"/>
        <v>0.54745073411937395</v>
      </c>
      <c r="H102" s="10">
        <f ca="1"/>
        <v>0.52324680326658168</v>
      </c>
      <c r="I102" s="10">
        <f ca="1"/>
        <v>1.1800713241111565E-3</v>
      </c>
      <c r="K102">
        <f ca="1"/>
        <v>-30.260011019751438</v>
      </c>
      <c r="L102">
        <f ca="1"/>
        <v>-27.830660581231534</v>
      </c>
      <c r="M102">
        <f ca="1"/>
        <v>1.6631636532103902</v>
      </c>
      <c r="O102">
        <f ca="1"/>
        <v>2.312854429698179</v>
      </c>
      <c r="P102">
        <f ca="1"/>
        <v>1.3404599473842682</v>
      </c>
      <c r="Q102">
        <f ca="1"/>
        <v>0.12488179663619733</v>
      </c>
      <c r="S102" s="10">
        <f ca="1"/>
        <v>0.77754381809927853</v>
      </c>
      <c r="T102" s="10">
        <f ca="1"/>
        <v>0.76998289622767302</v>
      </c>
      <c r="U102" s="10">
        <f ca="1"/>
        <v>0.45992203899549422</v>
      </c>
    </row>
    <row r="103" spans="1:21" x14ac:dyDescent="0.25">
      <c r="A103" s="5">
        <f ca="1"/>
        <v>43131</v>
      </c>
      <c r="B103" s="10">
        <f ca="1"/>
        <v>7.5695602749476842E-2</v>
      </c>
      <c r="C103" s="10">
        <f ca="1"/>
        <v>7.3101565029681598E-2</v>
      </c>
      <c r="D103" s="10">
        <f ca="1"/>
        <v>4.7901852851232239E-2</v>
      </c>
      <c r="E103" s="10">
        <f ca="1"/>
        <v>2.5199712178449362E-2</v>
      </c>
      <c r="G103" s="10">
        <f ca="1"/>
        <v>0.51726312829136023</v>
      </c>
      <c r="H103" s="10">
        <f ca="1"/>
        <v>0.56935890437924908</v>
      </c>
      <c r="I103" s="10">
        <f ca="1"/>
        <v>9.855250159192341E-3</v>
      </c>
      <c r="K103">
        <f ca="1"/>
        <v>-30.372656928224398</v>
      </c>
      <c r="L103">
        <f ca="1"/>
        <v>-29.895627174649409</v>
      </c>
      <c r="M103">
        <f ca="1"/>
        <v>4.892553757776458</v>
      </c>
      <c r="O103">
        <f ca="1"/>
        <v>2.3237884406185523</v>
      </c>
      <c r="P103">
        <f ca="1"/>
        <v>1.4259267087770695</v>
      </c>
      <c r="Q103">
        <f ca="1"/>
        <v>3.4765766054932007E-2</v>
      </c>
      <c r="S103" s="10">
        <f ca="1"/>
        <v>0.73986232370624461</v>
      </c>
      <c r="T103" s="10">
        <f ca="1"/>
        <v>0.74512336198856632</v>
      </c>
      <c r="U103" s="10">
        <f ca="1"/>
        <v>0.41893589150943322</v>
      </c>
    </row>
    <row r="104" spans="1:21" x14ac:dyDescent="0.25">
      <c r="A104" s="5">
        <f ca="1"/>
        <v>43100</v>
      </c>
      <c r="B104" s="10">
        <f ca="1"/>
        <v>0.11337854062484798</v>
      </c>
      <c r="C104" s="10">
        <f ca="1"/>
        <v>7.1434089949852994E-2</v>
      </c>
      <c r="D104" s="10">
        <f ca="1"/>
        <v>4.5983446480052079E-2</v>
      </c>
      <c r="E104" s="10">
        <f ca="1"/>
        <v>2.5450643469800915E-2</v>
      </c>
      <c r="G104" s="10">
        <f ca="1"/>
        <v>0.50559840636645181</v>
      </c>
      <c r="H104" s="10">
        <f ca="1"/>
        <v>0.59377201274558389</v>
      </c>
      <c r="I104" s="10">
        <f ca="1"/>
        <v>1.334946975744992E-2</v>
      </c>
      <c r="K104">
        <f ca="1"/>
        <v>-30.667533933133299</v>
      </c>
      <c r="L104">
        <f ca="1"/>
        <v>-31.601567333681725</v>
      </c>
      <c r="M104">
        <f ca="1"/>
        <v>5.7968502502772452</v>
      </c>
      <c r="O104">
        <f ca="1"/>
        <v>2.3472576089707533</v>
      </c>
      <c r="P104">
        <f ca="1"/>
        <v>1.4959434286520905</v>
      </c>
      <c r="Q104">
        <f ca="1"/>
        <v>1.2442151115135858E-2</v>
      </c>
      <c r="S104" s="10">
        <f ca="1"/>
        <v>0.72303987945346238</v>
      </c>
      <c r="T104" s="10">
        <f ca="1"/>
        <v>0.73241774127495074</v>
      </c>
      <c r="U104" s="10">
        <f ca="1"/>
        <v>0.41819061531156421</v>
      </c>
    </row>
    <row r="105" spans="1:21" x14ac:dyDescent="0.25">
      <c r="A105" s="5">
        <f ca="1"/>
        <v>43069</v>
      </c>
      <c r="B105" s="10">
        <f ca="1"/>
        <v>0.10533392758670179</v>
      </c>
      <c r="C105" s="10">
        <f ca="1"/>
        <v>7.1007565039124532E-2</v>
      </c>
      <c r="D105" s="10">
        <f ca="1"/>
        <v>4.5290763144977333E-2</v>
      </c>
      <c r="E105" s="10">
        <f ca="1"/>
        <v>2.5716801894147202E-2</v>
      </c>
      <c r="G105" s="10">
        <f ca="1"/>
        <v>0.50041415207151874</v>
      </c>
      <c r="H105" s="10">
        <f ca="1"/>
        <v>0.61993156370300684</v>
      </c>
      <c r="I105" s="10">
        <f ca="1"/>
        <v>3.3349662917997673E-2</v>
      </c>
      <c r="K105">
        <f ca="1"/>
        <v>-31.282159412983638</v>
      </c>
      <c r="L105">
        <f ca="1"/>
        <v>-31.432651286452078</v>
      </c>
      <c r="M105">
        <f ca="1"/>
        <v>8.9511408449917411</v>
      </c>
      <c r="O105">
        <f ca="1"/>
        <v>2.3939214993576399</v>
      </c>
      <c r="P105">
        <f ca="1"/>
        <v>1.486933592912886</v>
      </c>
      <c r="Q105">
        <f ca="1"/>
        <v>-7.6110942088070455E-2</v>
      </c>
      <c r="S105" s="10">
        <f ca="1"/>
        <v>0.6991859731575879</v>
      </c>
      <c r="T105" s="10">
        <f ca="1"/>
        <v>0.70742733008509162</v>
      </c>
      <c r="U105" s="10">
        <f ca="1"/>
        <v>0.42741568567039018</v>
      </c>
    </row>
    <row r="106" spans="1:21" x14ac:dyDescent="0.25">
      <c r="A106" s="5">
        <f ca="1"/>
        <v>43039</v>
      </c>
      <c r="B106" s="10">
        <f ca="1"/>
        <v>0.15731227138230697</v>
      </c>
      <c r="C106" s="10">
        <f ca="1"/>
        <v>6.973939855624478E-2</v>
      </c>
      <c r="D106" s="10">
        <f ca="1"/>
        <v>4.4098958900134218E-2</v>
      </c>
      <c r="E106" s="10">
        <f ca="1"/>
        <v>2.5640439656110566E-2</v>
      </c>
      <c r="G106" s="10">
        <f ca="1"/>
        <v>0.52558296996844556</v>
      </c>
      <c r="H106" s="10">
        <f ca="1"/>
        <v>0.64697737146838585</v>
      </c>
      <c r="I106" s="10">
        <f ca="1"/>
        <v>4.4731805717089949E-2</v>
      </c>
      <c r="K106">
        <f ca="1"/>
        <v>-32.359596969297741</v>
      </c>
      <c r="L106">
        <f ca="1"/>
        <v>-31.704535025676829</v>
      </c>
      <c r="M106">
        <f ca="1"/>
        <v>10.741190413747811</v>
      </c>
      <c r="O106">
        <f ca="1"/>
        <v>2.4727248011213736</v>
      </c>
      <c r="P106">
        <f ca="1"/>
        <v>1.4973289866862765</v>
      </c>
      <c r="Q106">
        <f ca="1"/>
        <v>-0.12444703206192836</v>
      </c>
      <c r="S106" s="10">
        <f ca="1"/>
        <v>0.66475185934720882</v>
      </c>
      <c r="T106" s="10">
        <f ca="1"/>
        <v>0.67604962534646718</v>
      </c>
      <c r="U106" s="10">
        <f ca="1"/>
        <v>0.36663398445369172</v>
      </c>
    </row>
    <row r="107" spans="1:21" x14ac:dyDescent="0.25">
      <c r="A107" s="5">
        <f ca="1"/>
        <v>43008</v>
      </c>
      <c r="B107" s="10">
        <f ca="1"/>
        <v>0.16766162835005716</v>
      </c>
      <c r="C107" s="10">
        <f ca="1"/>
        <v>7.0085896269335757E-2</v>
      </c>
      <c r="D107" s="10">
        <f ca="1"/>
        <v>4.4137142857142854E-2</v>
      </c>
      <c r="E107" s="10">
        <f ca="1"/>
        <v>2.5948753412192903E-2</v>
      </c>
      <c r="G107" s="10">
        <f ca="1"/>
        <v>0.54971800543353566</v>
      </c>
      <c r="H107" s="10">
        <f ca="1"/>
        <v>0.65937421754393644</v>
      </c>
      <c r="I107" s="10">
        <f ca="1"/>
        <v>5.3119443275363984E-2</v>
      </c>
      <c r="K107">
        <f ca="1"/>
        <v>-32.4353137543618</v>
      </c>
      <c r="L107">
        <f ca="1"/>
        <v>-30.924362504668025</v>
      </c>
      <c r="M107">
        <f ca="1"/>
        <v>12.14428630654991</v>
      </c>
      <c r="O107">
        <f ca="1"/>
        <v>2.4789967878423451</v>
      </c>
      <c r="P107">
        <f ca="1"/>
        <v>1.4631146078133943</v>
      </c>
      <c r="Q107">
        <f ca="1"/>
        <v>-0.16329007697134024</v>
      </c>
      <c r="S107" s="10">
        <f ca="1"/>
        <v>0.64310686941645068</v>
      </c>
      <c r="T107" s="10">
        <f ca="1"/>
        <v>0.67790580441337622</v>
      </c>
      <c r="U107" s="10">
        <f ca="1"/>
        <v>0.28498809159725963</v>
      </c>
    </row>
    <row r="108" spans="1:21" x14ac:dyDescent="0.25">
      <c r="A108" s="5">
        <f ca="1"/>
        <v>42978</v>
      </c>
      <c r="B108" s="10">
        <f ca="1"/>
        <v>0.11345052899884678</v>
      </c>
      <c r="C108" s="10">
        <f ca="1"/>
        <v>6.9480087687248809E-2</v>
      </c>
      <c r="D108" s="10">
        <f ca="1"/>
        <v>4.3592765801972966E-2</v>
      </c>
      <c r="E108" s="10">
        <f ca="1"/>
        <v>2.588732188527585E-2</v>
      </c>
      <c r="G108" s="10">
        <f ca="1"/>
        <v>0.56680468805440642</v>
      </c>
      <c r="H108" s="10">
        <f ca="1"/>
        <v>0.67141411626840886</v>
      </c>
      <c r="I108" s="10">
        <f ca="1"/>
        <v>6.7428673165294564E-2</v>
      </c>
      <c r="K108">
        <f ca="1"/>
        <v>-32.745381468117394</v>
      </c>
      <c r="L108">
        <f ca="1"/>
        <v>-30.325842329565756</v>
      </c>
      <c r="M108">
        <f ca="1"/>
        <v>13.958814221787623</v>
      </c>
      <c r="O108">
        <f ca="1"/>
        <v>2.5018908583636041</v>
      </c>
      <c r="P108">
        <f ca="1"/>
        <v>1.436279074325324</v>
      </c>
      <c r="Q108">
        <f ca="1"/>
        <v>-0.21503731571433918</v>
      </c>
      <c r="S108" s="10">
        <f ca="1"/>
        <v>0.60406773878785092</v>
      </c>
      <c r="T108" s="10">
        <f ca="1"/>
        <v>0.6629766701655051</v>
      </c>
      <c r="U108" s="10">
        <f ca="1"/>
        <v>0.19918583306353849</v>
      </c>
    </row>
    <row r="109" spans="1:21" x14ac:dyDescent="0.25">
      <c r="A109" s="5">
        <f ca="1"/>
        <v>42947</v>
      </c>
      <c r="B109" s="10">
        <f ca="1"/>
        <v>0.19249888677488558</v>
      </c>
      <c r="C109" s="10">
        <f ca="1"/>
        <v>6.9912742656942028E-2</v>
      </c>
      <c r="D109" s="10">
        <f ca="1"/>
        <v>4.3659079390961371E-2</v>
      </c>
      <c r="E109" s="10">
        <f ca="1"/>
        <v>2.6253663265980654E-2</v>
      </c>
      <c r="G109" s="10">
        <f ca="1"/>
        <v>0.59186585519206991</v>
      </c>
      <c r="H109" s="10">
        <f ca="1"/>
        <v>0.66789327919578079</v>
      </c>
      <c r="I109" s="10">
        <f ca="1"/>
        <v>7.0131183541431927E-2</v>
      </c>
      <c r="K109">
        <f ca="1"/>
        <v>-32.141173269156717</v>
      </c>
      <c r="L109">
        <f ca="1"/>
        <v>-28.797814529350184</v>
      </c>
      <c r="M109">
        <f ca="1"/>
        <v>14.67815296117829</v>
      </c>
      <c r="O109">
        <f ca="1"/>
        <v>2.4604237834020322</v>
      </c>
      <c r="P109">
        <f ca="1"/>
        <v>1.3723871640496883</v>
      </c>
      <c r="Q109">
        <f ca="1"/>
        <v>-0.23348832863268573</v>
      </c>
      <c r="S109" s="10">
        <f ca="1"/>
        <v>0.54114067425617984</v>
      </c>
      <c r="T109" s="10">
        <f ca="1"/>
        <v>0.60538611277023657</v>
      </c>
      <c r="U109" s="10">
        <f ca="1"/>
        <v>0.12310324724764894</v>
      </c>
    </row>
    <row r="110" spans="1:21" x14ac:dyDescent="0.25">
      <c r="A110" s="5">
        <f ca="1"/>
        <v>42916</v>
      </c>
      <c r="B110" s="10">
        <f ca="1"/>
        <v>0.16959160851857513</v>
      </c>
      <c r="C110" s="10">
        <f ca="1"/>
        <v>6.9989152572389982E-2</v>
      </c>
      <c r="D110" s="10">
        <f ca="1"/>
        <v>4.3113580684199654E-2</v>
      </c>
      <c r="E110" s="10">
        <f ca="1"/>
        <v>2.6875571888190324E-2</v>
      </c>
      <c r="G110" s="10">
        <f ca="1"/>
        <v>0.60093448367958358</v>
      </c>
      <c r="H110" s="10">
        <f ca="1"/>
        <v>0.6739541768019488</v>
      </c>
      <c r="I110" s="10">
        <f ca="1"/>
        <v>8.2217843717314887E-2</v>
      </c>
      <c r="K110">
        <f ca="1"/>
        <v>-31.185946302012123</v>
      </c>
      <c r="L110">
        <f ca="1"/>
        <v>-27.752879413624555</v>
      </c>
      <c r="M110">
        <f ca="1"/>
        <v>16.395311123953189</v>
      </c>
      <c r="O110">
        <f ca="1"/>
        <v>2.3926210831932377</v>
      </c>
      <c r="P110">
        <f ca="1"/>
        <v>1.3270497977011126</v>
      </c>
      <c r="Q110">
        <f ca="1"/>
        <v>-0.28298429063909059</v>
      </c>
      <c r="S110" s="10">
        <f ca="1"/>
        <v>0.50301866910270321</v>
      </c>
      <c r="T110" s="10">
        <f ca="1"/>
        <v>0.5861855200476801</v>
      </c>
      <c r="U110" s="10">
        <f ca="1"/>
        <v>6.2248210395002869E-2</v>
      </c>
    </row>
    <row r="111" spans="1:21" x14ac:dyDescent="0.25">
      <c r="A111" s="5">
        <f ca="1"/>
        <v>42886</v>
      </c>
      <c r="B111" s="10">
        <f ca="1"/>
        <v>0.15452773861845914</v>
      </c>
      <c r="C111" s="10">
        <f ca="1"/>
        <v>7.0001110897160546E-2</v>
      </c>
      <c r="D111" s="10">
        <f ca="1"/>
        <v>4.3159391524595261E-2</v>
      </c>
      <c r="E111" s="10">
        <f ca="1"/>
        <v>2.6841719372565284E-2</v>
      </c>
      <c r="G111" s="10">
        <f ca="1"/>
        <v>0.61569622473158614</v>
      </c>
      <c r="H111" s="10">
        <f ca="1"/>
        <v>0.68255714139938384</v>
      </c>
      <c r="I111" s="10">
        <f ca="1"/>
        <v>9.7941607193020142E-2</v>
      </c>
      <c r="K111">
        <f ca="1"/>
        <v>-31.369030441183636</v>
      </c>
      <c r="L111">
        <f ca="1"/>
        <v>-27.25308373583022</v>
      </c>
      <c r="M111">
        <f ca="1"/>
        <v>18.07835975100431</v>
      </c>
      <c r="O111">
        <f ca="1"/>
        <v>2.4064413792962518</v>
      </c>
      <c r="P111">
        <f ca="1"/>
        <v>1.305264642526931</v>
      </c>
      <c r="Q111">
        <f ca="1"/>
        <v>-0.33147458493162008</v>
      </c>
      <c r="S111" s="10">
        <f ca="1"/>
        <v>0.4171219462265745</v>
      </c>
      <c r="T111" s="10">
        <f ca="1"/>
        <v>0.5274321214875265</v>
      </c>
      <c r="U111" s="10">
        <f ca="1"/>
        <v>6.6684968974043265E-3</v>
      </c>
    </row>
    <row r="112" spans="1:21" x14ac:dyDescent="0.25">
      <c r="A112" s="5">
        <f ca="1"/>
        <v>42855</v>
      </c>
      <c r="B112" s="10">
        <f ca="1"/>
        <v>0.13417498532002359</v>
      </c>
      <c r="C112" s="10">
        <f ca="1"/>
        <v>7.0378067800600325E-2</v>
      </c>
      <c r="D112" s="10">
        <f ca="1"/>
        <v>4.3463966217409215E-2</v>
      </c>
      <c r="E112" s="10">
        <f ca="1"/>
        <v>2.6914101583191102E-2</v>
      </c>
      <c r="G112" s="10">
        <f ca="1"/>
        <v>0.63526236833246952</v>
      </c>
      <c r="H112" s="10">
        <f ca="1"/>
        <v>0.69787649989903699</v>
      </c>
      <c r="I112" s="10">
        <f ca="1"/>
        <v>0.11463448300030255</v>
      </c>
      <c r="K112">
        <f ca="1"/>
        <v>-31.811608036538715</v>
      </c>
      <c r="L112">
        <f ca="1"/>
        <v>-27.155383368037384</v>
      </c>
      <c r="M112">
        <f ca="1"/>
        <v>20.006489727081284</v>
      </c>
      <c r="O112">
        <f ca="1"/>
        <v>2.4391323473769608</v>
      </c>
      <c r="P112">
        <f ca="1"/>
        <v>1.300604322320847</v>
      </c>
      <c r="Q112">
        <f ca="1"/>
        <v>-0.38661990789192691</v>
      </c>
      <c r="S112" s="10">
        <f ca="1"/>
        <v>0.33937515987272587</v>
      </c>
      <c r="T112" s="10">
        <f ca="1"/>
        <v>0.46935908982705765</v>
      </c>
      <c r="U112" s="10">
        <f ca="1"/>
        <v>9.5520713880750869E-4</v>
      </c>
    </row>
    <row r="113" spans="1:21" x14ac:dyDescent="0.25">
      <c r="A113" s="5">
        <f ca="1"/>
        <v>42825</v>
      </c>
      <c r="B113" s="10">
        <f ca="1"/>
        <v>6.1001726823322278E-2</v>
      </c>
      <c r="C113" s="10">
        <f ca="1"/>
        <v>7.0237145963858549E-2</v>
      </c>
      <c r="D113" s="10">
        <f ca="1"/>
        <v>4.2730211330635919E-2</v>
      </c>
      <c r="E113" s="10">
        <f ca="1"/>
        <v>2.7506934633222627E-2</v>
      </c>
      <c r="G113" s="10">
        <f ca="1"/>
        <v>0.63368793847293803</v>
      </c>
      <c r="H113" s="10">
        <f ca="1"/>
        <v>0.68343398427054225</v>
      </c>
      <c r="I113" s="10">
        <f ca="1"/>
        <v>0.11218487749140389</v>
      </c>
      <c r="K113">
        <f ca="1"/>
        <v>-31.234467165801135</v>
      </c>
      <c r="L113">
        <f ca="1"/>
        <v>-26.373497541267373</v>
      </c>
      <c r="M113">
        <f ca="1"/>
        <v>19.941968384737429</v>
      </c>
      <c r="O113">
        <f ca="1"/>
        <v>2.3986897158442919</v>
      </c>
      <c r="P113">
        <f ca="1"/>
        <v>1.2672789763691585</v>
      </c>
      <c r="Q113">
        <f ca="1"/>
        <v>-0.38409030280190631</v>
      </c>
      <c r="S113" s="10">
        <f ca="1"/>
        <v>0.34545504524019671</v>
      </c>
      <c r="T113" s="10">
        <f ca="1"/>
        <v>0.4755670548024683</v>
      </c>
      <c r="U113" s="10">
        <f ca="1"/>
        <v>3.7839307760892792E-3</v>
      </c>
    </row>
    <row r="114" spans="1:21" x14ac:dyDescent="0.25">
      <c r="A114" s="5">
        <f ca="1"/>
        <v>42794</v>
      </c>
      <c r="B114" s="10">
        <f ca="1"/>
        <v>0.16776243421163972</v>
      </c>
      <c r="C114" s="10">
        <f ca="1"/>
        <v>7.0426026626664168E-2</v>
      </c>
      <c r="D114" s="10">
        <f ca="1"/>
        <v>4.2650440652540783E-2</v>
      </c>
      <c r="E114" s="10">
        <f ca="1"/>
        <v>2.7775585974123381E-2</v>
      </c>
      <c r="G114" s="10">
        <f ca="1"/>
        <v>0.65136222440020397</v>
      </c>
      <c r="H114" s="10">
        <f ca="1"/>
        <v>0.67914783411204982</v>
      </c>
      <c r="I114" s="10">
        <f ca="1"/>
        <v>0.10744881361292875</v>
      </c>
      <c r="K114">
        <f ca="1"/>
        <v>-30.993027366187249</v>
      </c>
      <c r="L114">
        <f ca="1"/>
        <v>-25.551655370410657</v>
      </c>
      <c r="M114">
        <f ca="1"/>
        <v>19.314922793211355</v>
      </c>
      <c r="O114">
        <f ca="1"/>
        <v>2.3838450801262598</v>
      </c>
      <c r="P114">
        <f ca="1"/>
        <v>1.2346522708808585</v>
      </c>
      <c r="Q114">
        <f ca="1"/>
        <v>-0.36277238053557986</v>
      </c>
      <c r="S114" s="10">
        <f ca="1"/>
        <v>0.14412802948166728</v>
      </c>
      <c r="T114" s="10">
        <f ca="1"/>
        <v>0.20134739712732277</v>
      </c>
      <c r="U114" s="10">
        <f ca="1"/>
        <v>2.6526891510382832E-3</v>
      </c>
    </row>
    <row r="115" spans="1:21" x14ac:dyDescent="0.25">
      <c r="A115" s="5">
        <f ca="1"/>
        <v>42766</v>
      </c>
      <c r="B115" s="10">
        <f ca="1"/>
        <v>0.18994940474884481</v>
      </c>
      <c r="C115" s="10">
        <f ca="1"/>
        <v>6.957371505861136E-2</v>
      </c>
      <c r="D115" s="10">
        <f ca="1"/>
        <v>4.1595807033363394E-2</v>
      </c>
      <c r="E115" s="10">
        <f ca="1"/>
        <v>2.797790802524797E-2</v>
      </c>
      <c r="G115" s="10">
        <f ca="1"/>
        <v>0.65413597975138282</v>
      </c>
      <c r="H115" s="10">
        <f ca="1"/>
        <v>0.67714951594287776</v>
      </c>
      <c r="I115" s="10">
        <f ca="1"/>
        <v>0.11148092324047076</v>
      </c>
      <c r="K115">
        <f ca="1"/>
        <v>-30.660942203912985</v>
      </c>
      <c r="L115">
        <f ca="1"/>
        <v>-25.110598195477742</v>
      </c>
      <c r="M115">
        <f ca="1"/>
        <v>19.793570855972114</v>
      </c>
      <c r="O115">
        <f ca="1"/>
        <v>2.3605795497713991</v>
      </c>
      <c r="P115">
        <f ca="1"/>
        <v>1.2156177198614431</v>
      </c>
      <c r="Q115">
        <f ca="1"/>
        <v>-0.37610748639911629</v>
      </c>
      <c r="S115" s="10">
        <f ca="1"/>
        <v>1.559733414985745E-2</v>
      </c>
      <c r="T115" s="10">
        <f ca="1"/>
        <v>0.1214997903808591</v>
      </c>
      <c r="U115" s="10">
        <f ca="1"/>
        <v>7.7259896445562859E-2</v>
      </c>
    </row>
    <row r="116" spans="1:21" x14ac:dyDescent="0.25">
      <c r="A116" s="5">
        <f ca="1"/>
        <v>42735</v>
      </c>
      <c r="B116" s="10">
        <f ca="1"/>
        <v>0.30156376321560829</v>
      </c>
      <c r="C116" s="10">
        <f ca="1"/>
        <v>6.8093426384511491E-2</v>
      </c>
      <c r="D116" s="10">
        <f ca="1"/>
        <v>3.9724748611736457E-2</v>
      </c>
      <c r="E116" s="10">
        <f ca="1"/>
        <v>2.8368677772775026E-2</v>
      </c>
      <c r="G116" s="10">
        <f ca="1"/>
        <v>0.65488096667950713</v>
      </c>
      <c r="H116" s="10">
        <f ca="1"/>
        <v>0.67500730097931338</v>
      </c>
      <c r="I116" s="10">
        <f ca="1"/>
        <v>0.11663435327797288</v>
      </c>
      <c r="K116">
        <f ca="1"/>
        <v>-29.958476266424753</v>
      </c>
      <c r="L116">
        <f ca="1"/>
        <v>-24.497162624614319</v>
      </c>
      <c r="M116">
        <f ca="1"/>
        <v>20.480536716838962</v>
      </c>
      <c r="O116">
        <f ca="1"/>
        <v>2.3110347234996267</v>
      </c>
      <c r="P116">
        <f ca="1"/>
        <v>1.1897406106914072</v>
      </c>
      <c r="Q116">
        <f ca="1"/>
        <v>-0.395700124212511</v>
      </c>
      <c r="S116" s="10">
        <f ca="1"/>
        <v>3.1557591806083379E-3</v>
      </c>
      <c r="T116" s="10">
        <f ca="1"/>
        <v>0.12317421193060975</v>
      </c>
      <c r="U116" s="10">
        <f ca="1"/>
        <v>0.19690755079316666</v>
      </c>
    </row>
    <row r="117" spans="1:21" x14ac:dyDescent="0.25">
      <c r="A117" s="5">
        <f ca="1"/>
        <v>42704</v>
      </c>
      <c r="B117" s="10">
        <f ca="1"/>
        <v>0.31958650360877017</v>
      </c>
      <c r="C117" s="10">
        <f ca="1"/>
        <v>6.8595563423971426E-2</v>
      </c>
      <c r="D117" s="10">
        <f ca="1"/>
        <v>4.0853117859790879E-2</v>
      </c>
      <c r="E117" s="10">
        <f ca="1"/>
        <v>2.774244556418055E-2</v>
      </c>
      <c r="G117" s="10">
        <f ca="1"/>
        <v>0.65780235902878326</v>
      </c>
      <c r="H117" s="10">
        <f ca="1"/>
        <v>0.67669185833976175</v>
      </c>
      <c r="I117" s="10">
        <f ca="1"/>
        <v>0.13814162859680537</v>
      </c>
      <c r="K117">
        <f ca="1"/>
        <v>-29.680490181684775</v>
      </c>
      <c r="L117">
        <f ca="1"/>
        <v>-23.772681579696624</v>
      </c>
      <c r="M117">
        <f ca="1"/>
        <v>21.919177856063424</v>
      </c>
      <c r="O117">
        <f ca="1"/>
        <v>2.2906928137970111</v>
      </c>
      <c r="P117">
        <f ca="1"/>
        <v>1.1582735078091206</v>
      </c>
      <c r="Q117">
        <f ca="1"/>
        <v>-0.44066978118121142</v>
      </c>
      <c r="S117" s="10">
        <f ca="1"/>
        <v>4.7599311532729435E-2</v>
      </c>
      <c r="T117" s="10">
        <f ca="1"/>
        <v>0.26701520823655067</v>
      </c>
      <c r="U117" s="10">
        <f ca="1"/>
        <v>0.27480674822839224</v>
      </c>
    </row>
    <row r="118" spans="1:21" x14ac:dyDescent="0.25">
      <c r="A118" s="5">
        <f ca="1"/>
        <v>42674</v>
      </c>
      <c r="B118" s="10">
        <f ca="1"/>
        <v>0.32459610093361224</v>
      </c>
      <c r="C118" s="10">
        <f ca="1"/>
        <v>6.7818108289586121E-2</v>
      </c>
      <c r="D118" s="10">
        <f ca="1"/>
        <v>3.9964595287510681E-2</v>
      </c>
      <c r="E118" s="10">
        <f ca="1"/>
        <v>2.7853513002075447E-2</v>
      </c>
      <c r="G118" s="10">
        <f ca="1"/>
        <v>0.65831514614943443</v>
      </c>
      <c r="H118" s="10">
        <f ca="1"/>
        <v>0.68589874666573758</v>
      </c>
      <c r="I118" s="10">
        <f ca="1"/>
        <v>0.16367966665226238</v>
      </c>
      <c r="K118">
        <f ca="1"/>
        <v>-29.160720199603805</v>
      </c>
      <c r="L118">
        <f ca="1"/>
        <v>-23.281444208056826</v>
      </c>
      <c r="M118">
        <f ca="1"/>
        <v>23.770716177385069</v>
      </c>
      <c r="O118">
        <f ca="1"/>
        <v>2.2524598000613762</v>
      </c>
      <c r="P118">
        <f ca="1"/>
        <v>1.1351649633738765</v>
      </c>
      <c r="Q118">
        <f ca="1"/>
        <v>-0.49918518969657333</v>
      </c>
      <c r="S118" s="10">
        <f ca="1"/>
        <v>0.17183052529086965</v>
      </c>
      <c r="T118" s="10">
        <f ca="1"/>
        <v>0.33769077946192794</v>
      </c>
      <c r="U118" s="10">
        <f ca="1"/>
        <v>0.28499273122188329</v>
      </c>
    </row>
    <row r="119" spans="1:21" x14ac:dyDescent="0.25">
      <c r="A119" s="5">
        <f ca="1"/>
        <v>42643</v>
      </c>
      <c r="B119" s="10">
        <f ca="1"/>
        <v>0.25370456631323579</v>
      </c>
      <c r="C119" s="10">
        <f ca="1"/>
        <v>6.9609721700607793E-2</v>
      </c>
      <c r="D119" s="10">
        <f ca="1"/>
        <v>4.1435644702654227E-2</v>
      </c>
      <c r="E119" s="10">
        <f ca="1"/>
        <v>2.817407699795357E-2</v>
      </c>
      <c r="G119" s="10">
        <f ca="1"/>
        <v>0.66120487056767552</v>
      </c>
      <c r="H119" s="10">
        <f ca="1"/>
        <v>0.70384160736432955</v>
      </c>
      <c r="I119" s="10">
        <f ca="1"/>
        <v>0.19716389655720762</v>
      </c>
      <c r="K119">
        <f ca="1"/>
        <v>-29.193837736719075</v>
      </c>
      <c r="L119">
        <f ca="1"/>
        <v>-23.281795119121448</v>
      </c>
      <c r="M119">
        <f ca="1"/>
        <v>26.002036919165732</v>
      </c>
      <c r="O119">
        <f ca="1"/>
        <v>2.2545764301124414</v>
      </c>
      <c r="P119">
        <f ca="1"/>
        <v>1.1328628693942764</v>
      </c>
      <c r="Q119">
        <f ca="1"/>
        <v>-0.56922866693478602</v>
      </c>
      <c r="S119" s="10">
        <f ca="1"/>
        <v>0.36361773540319081</v>
      </c>
      <c r="T119" s="10">
        <f ca="1"/>
        <v>0.40038592842449128</v>
      </c>
      <c r="U119" s="10">
        <f ca="1"/>
        <v>0.27342826557411215</v>
      </c>
    </row>
    <row r="120" spans="1:21" x14ac:dyDescent="0.25">
      <c r="A120" s="5">
        <f ca="1"/>
        <v>42613</v>
      </c>
      <c r="B120" s="10">
        <f ca="1"/>
        <v>0.2461226651926578</v>
      </c>
      <c r="C120" s="10">
        <f ca="1"/>
        <v>6.7298036406215095E-2</v>
      </c>
      <c r="D120" s="10">
        <f ca="1"/>
        <v>3.9299376795852499E-2</v>
      </c>
      <c r="E120" s="10">
        <f ca="1"/>
        <v>2.7998659610362599E-2</v>
      </c>
      <c r="G120" s="10">
        <f ca="1"/>
        <v>0.65465845448958015</v>
      </c>
      <c r="H120" s="10">
        <f ca="1"/>
        <v>0.72368801514434022</v>
      </c>
      <c r="I120" s="10">
        <f ca="1"/>
        <v>0.23723123115822159</v>
      </c>
      <c r="K120">
        <f ca="1"/>
        <v>-29.577340621434693</v>
      </c>
      <c r="L120">
        <f ca="1"/>
        <v>-23.568692173309895</v>
      </c>
      <c r="M120">
        <f ca="1"/>
        <v>27.676110700694743</v>
      </c>
      <c r="O120">
        <f ca="1"/>
        <v>2.283053834862613</v>
      </c>
      <c r="P120">
        <f ca="1"/>
        <v>1.1428514178107485</v>
      </c>
      <c r="Q120">
        <f ca="1"/>
        <v>-0.62132439655479765</v>
      </c>
      <c r="S120" s="10">
        <f ca="1"/>
        <v>0.60983327284179467</v>
      </c>
      <c r="T120" s="10">
        <f ca="1"/>
        <v>0.44549822352083224</v>
      </c>
      <c r="U120" s="10">
        <f ca="1"/>
        <v>0.20363214609505467</v>
      </c>
    </row>
    <row r="121" spans="1:21" x14ac:dyDescent="0.25">
      <c r="A121" s="5">
        <f ca="1"/>
        <v>42582</v>
      </c>
      <c r="B121" s="10">
        <f ca="1"/>
        <v>0.21827843209422171</v>
      </c>
      <c r="C121" s="10">
        <f ca="1"/>
        <v>6.8674112478850066E-2</v>
      </c>
      <c r="D121" s="10">
        <f ca="1"/>
        <v>3.983336179196225E-2</v>
      </c>
      <c r="E121" s="10">
        <f ca="1"/>
        <v>2.8840750686887816E-2</v>
      </c>
      <c r="G121" s="10">
        <f ca="1"/>
        <v>0.65949307890569386</v>
      </c>
      <c r="H121" s="10">
        <f ca="1"/>
        <v>0.72674213374648944</v>
      </c>
      <c r="I121" s="10">
        <f ca="1"/>
        <v>0.25656351097983349</v>
      </c>
      <c r="K121">
        <f ca="1"/>
        <v>-29.872395142856526</v>
      </c>
      <c r="L121">
        <f ca="1"/>
        <v>-23.39379696102333</v>
      </c>
      <c r="M121">
        <f ca="1"/>
        <v>28.543261819627766</v>
      </c>
      <c r="O121">
        <f ca="1"/>
        <v>2.3050703321199877</v>
      </c>
      <c r="P121">
        <f ca="1"/>
        <v>1.1349592912635804</v>
      </c>
      <c r="Q121">
        <f ca="1"/>
        <v>-0.64956245024488812</v>
      </c>
      <c r="S121" s="10">
        <f ca="1"/>
        <v>0.56702977275960298</v>
      </c>
      <c r="T121" s="10">
        <f ca="1"/>
        <v>0.42451306130050193</v>
      </c>
      <c r="U121" s="10">
        <f ca="1"/>
        <v>0.18066134662653041</v>
      </c>
    </row>
    <row r="122" spans="1:21" x14ac:dyDescent="0.25">
      <c r="A122" s="5">
        <f ca="1"/>
        <v>42551</v>
      </c>
      <c r="B122" s="10">
        <f ca="1"/>
        <v>0.25824018753037348</v>
      </c>
      <c r="C122" s="10">
        <f ca="1"/>
        <v>6.7338449300453879E-2</v>
      </c>
      <c r="D122" s="10">
        <f ca="1"/>
        <v>3.8029416810943177E-2</v>
      </c>
      <c r="E122" s="10">
        <f ca="1"/>
        <v>2.9309032489510708E-2</v>
      </c>
      <c r="G122" s="10">
        <f ca="1"/>
        <v>0.6555533380905173</v>
      </c>
      <c r="H122" s="10">
        <f ca="1"/>
        <v>0.72595013257854113</v>
      </c>
      <c r="I122" s="10">
        <f ca="1"/>
        <v>0.24834789534589341</v>
      </c>
      <c r="K122">
        <f ca="1"/>
        <v>-29.701732005267612</v>
      </c>
      <c r="L122">
        <f ca="1"/>
        <v>-23.36653668737042</v>
      </c>
      <c r="M122">
        <f ca="1"/>
        <v>27.604261647708665</v>
      </c>
      <c r="O122">
        <f ca="1"/>
        <v>2.2949768763458782</v>
      </c>
      <c r="P122">
        <f ca="1"/>
        <v>1.1331283962199608</v>
      </c>
      <c r="Q122">
        <f ca="1"/>
        <v>-0.62300654854288051</v>
      </c>
      <c r="S122" s="10">
        <f ca="1"/>
        <v>0.5780831783801349</v>
      </c>
      <c r="T122" s="10">
        <f ca="1"/>
        <v>0.49950259006470277</v>
      </c>
      <c r="U122" s="10">
        <f ca="1"/>
        <v>0.2962353845659435</v>
      </c>
    </row>
    <row r="123" spans="1:21" x14ac:dyDescent="0.25">
      <c r="A123" s="5">
        <f ca="1"/>
        <v>42521</v>
      </c>
      <c r="B123" s="10">
        <f ca="1"/>
        <v>0.29417967199616601</v>
      </c>
      <c r="C123" s="10">
        <f ca="1"/>
        <v>6.7062438197485516E-2</v>
      </c>
      <c r="D123" s="10">
        <f ca="1"/>
        <v>3.8444460140321136E-2</v>
      </c>
      <c r="E123" s="10">
        <f ca="1"/>
        <v>2.8617978057164383E-2</v>
      </c>
      <c r="G123" s="10">
        <f ca="1"/>
        <v>0.653039901671014</v>
      </c>
      <c r="H123" s="10">
        <f ca="1"/>
        <v>0.7222380275966569</v>
      </c>
      <c r="I123" s="10">
        <f ca="1"/>
        <v>0.22768915975909063</v>
      </c>
      <c r="K123">
        <f ca="1"/>
        <v>-29.506549048530076</v>
      </c>
      <c r="L123">
        <f ca="1"/>
        <v>-23.311693728877128</v>
      </c>
      <c r="M123">
        <f ca="1"/>
        <v>25.728290090533257</v>
      </c>
      <c r="O123">
        <f ca="1"/>
        <v>2.2830623096110001</v>
      </c>
      <c r="P123">
        <f ca="1"/>
        <v>1.1297331702632483</v>
      </c>
      <c r="Q123">
        <f ca="1"/>
        <v>-0.56885794470960327</v>
      </c>
      <c r="S123" s="10">
        <f ca="1"/>
        <v>0.62682693393630817</v>
      </c>
      <c r="T123" s="10">
        <f ca="1"/>
        <v>0.60340401884215689</v>
      </c>
      <c r="U123" s="10">
        <f ca="1"/>
        <v>0.44534467650284354</v>
      </c>
    </row>
    <row r="124" spans="1:21" x14ac:dyDescent="0.25">
      <c r="A124" s="5">
        <f ca="1"/>
        <v>42490</v>
      </c>
      <c r="B124" s="10">
        <f ca="1"/>
        <v>0.36726380343731124</v>
      </c>
      <c r="C124" s="10">
        <f ca="1"/>
        <v>6.6991452324265247E-2</v>
      </c>
      <c r="D124" s="10">
        <f ca="1"/>
        <v>3.8654072830880917E-2</v>
      </c>
      <c r="E124" s="10">
        <f ca="1"/>
        <v>2.8337379493384333E-2</v>
      </c>
      <c r="G124" s="10">
        <f ca="1"/>
        <v>0.65510726985316614</v>
      </c>
      <c r="H124" s="10">
        <f ca="1"/>
        <v>0.71987902285110306</v>
      </c>
      <c r="I124" s="10">
        <f ca="1"/>
        <v>0.21526603663291266</v>
      </c>
      <c r="K124">
        <f ca="1"/>
        <v>-29.49733131718973</v>
      </c>
      <c r="L124">
        <f ca="1"/>
        <v>-23.339828246789089</v>
      </c>
      <c r="M124">
        <f ca="1"/>
        <v>24.931389967561017</v>
      </c>
      <c r="O124">
        <f ca="1"/>
        <v>2.2827413255258469</v>
      </c>
      <c r="P124">
        <f ca="1"/>
        <v>1.1283418792396889</v>
      </c>
      <c r="Q124">
        <f ca="1"/>
        <v>-0.54928091510264865</v>
      </c>
      <c r="S124" s="10">
        <f ca="1"/>
        <v>0.67775432797726187</v>
      </c>
      <c r="T124" s="10">
        <f ca="1"/>
        <v>0.66898482168959184</v>
      </c>
      <c r="U124" s="10">
        <f ca="1"/>
        <v>0.50343770689679701</v>
      </c>
    </row>
    <row r="125" spans="1:21" x14ac:dyDescent="0.25">
      <c r="A125" s="5">
        <f ca="1"/>
        <v>42460</v>
      </c>
      <c r="B125" s="10">
        <f ca="1"/>
        <v>0.2980327675707104</v>
      </c>
      <c r="C125" s="10">
        <f ca="1"/>
        <v>6.5985168991711626E-2</v>
      </c>
      <c r="D125" s="10">
        <f ca="1"/>
        <v>3.8053331865435733E-2</v>
      </c>
      <c r="E125" s="10">
        <f ca="1"/>
        <v>2.793183712627589E-2</v>
      </c>
      <c r="G125" s="10">
        <f ca="1"/>
        <v>0.65702315629198116</v>
      </c>
      <c r="H125" s="10">
        <f ca="1"/>
        <v>0.72941054163762808</v>
      </c>
      <c r="I125" s="10">
        <f ca="1"/>
        <v>0.2186507936479275</v>
      </c>
      <c r="K125">
        <f ca="1"/>
        <v>-29.309293102402325</v>
      </c>
      <c r="L125">
        <f ca="1"/>
        <v>-23.415150913272569</v>
      </c>
      <c r="M125">
        <f ca="1"/>
        <v>25.033486358353617</v>
      </c>
      <c r="O125">
        <f ca="1"/>
        <v>2.268412301601201</v>
      </c>
      <c r="P125">
        <f ca="1"/>
        <v>1.1271957924976692</v>
      </c>
      <c r="Q125">
        <f ca="1"/>
        <v>-0.55927360405447435</v>
      </c>
      <c r="S125" s="10">
        <f ca="1"/>
        <v>0.71124378787532305</v>
      </c>
      <c r="T125" s="10">
        <f ca="1"/>
        <v>0.67005592880967879</v>
      </c>
      <c r="U125" s="10">
        <f ca="1"/>
        <v>0.45634833817557535</v>
      </c>
    </row>
    <row r="126" spans="1:21" x14ac:dyDescent="0.25">
      <c r="A126" s="5">
        <f ca="1"/>
        <v>42429</v>
      </c>
      <c r="B126" s="10">
        <f ca="1"/>
        <v>0.37021991520787267</v>
      </c>
      <c r="C126" s="10">
        <f ca="1"/>
        <v>6.5461724813923469E-2</v>
      </c>
      <c r="D126" s="10">
        <f ca="1"/>
        <v>3.7785569704987011E-2</v>
      </c>
      <c r="E126" s="10">
        <f ca="1"/>
        <v>2.7676155108936455E-2</v>
      </c>
      <c r="G126" s="10">
        <f ca="1"/>
        <v>0.66066925161890255</v>
      </c>
      <c r="H126" s="10">
        <f ca="1"/>
        <v>0.72029417006294061</v>
      </c>
      <c r="I126" s="10">
        <f ca="1"/>
        <v>0.21395438099190556</v>
      </c>
      <c r="K126">
        <f ca="1"/>
        <v>-29.745400908448286</v>
      </c>
      <c r="L126">
        <f ca="1"/>
        <v>-23.445816696592718</v>
      </c>
      <c r="M126">
        <f ca="1"/>
        <v>25.139025036200117</v>
      </c>
      <c r="O126">
        <f ca="1"/>
        <v>2.2986465377292449</v>
      </c>
      <c r="P126">
        <f ca="1"/>
        <v>1.1251897469834267</v>
      </c>
      <c r="Q126">
        <f ca="1"/>
        <v>-0.56864876140974818</v>
      </c>
      <c r="S126" s="10">
        <f ca="1"/>
        <v>0.67745145767556225</v>
      </c>
      <c r="T126" s="10">
        <f ca="1"/>
        <v>0.67048853954229293</v>
      </c>
      <c r="U126" s="10">
        <f ca="1"/>
        <v>0.42295385339695324</v>
      </c>
    </row>
    <row r="127" spans="1:21" x14ac:dyDescent="0.25">
      <c r="A127" s="5">
        <f ca="1"/>
        <v>42400</v>
      </c>
      <c r="B127" s="10">
        <f ca="1"/>
        <v>0.32728941417649593</v>
      </c>
      <c r="C127" s="10">
        <f ca="1"/>
        <v>6.6400284581441454E-2</v>
      </c>
      <c r="D127" s="10">
        <f ca="1"/>
        <v>3.8946089403338234E-2</v>
      </c>
      <c r="E127" s="10">
        <f ca="1"/>
        <v>2.7454195178103217E-2</v>
      </c>
      <c r="G127" s="10">
        <f ca="1"/>
        <v>0.65983074639293626</v>
      </c>
      <c r="H127" s="10">
        <f ca="1"/>
        <v>0.71813514373773135</v>
      </c>
      <c r="I127" s="10">
        <f ca="1"/>
        <v>0.21128502341843863</v>
      </c>
      <c r="K127">
        <f ca="1"/>
        <v>-29.721388312655499</v>
      </c>
      <c r="L127">
        <f ca="1"/>
        <v>-23.385348016835142</v>
      </c>
      <c r="M127">
        <f ca="1"/>
        <v>24.8330214377375</v>
      </c>
      <c r="O127">
        <f ca="1"/>
        <v>2.2963771322146123</v>
      </c>
      <c r="P127">
        <f ca="1"/>
        <v>1.1183258923596555</v>
      </c>
      <c r="Q127">
        <f ca="1"/>
        <v>-0.5673060195537375</v>
      </c>
      <c r="S127" s="10">
        <f ca="1"/>
        <v>0.69769594826474435</v>
      </c>
      <c r="T127" s="10">
        <f ca="1"/>
        <v>0.6799967424556187</v>
      </c>
      <c r="U127" s="10">
        <f ca="1"/>
        <v>0.32896972305940486</v>
      </c>
    </row>
    <row r="128" spans="1:21" x14ac:dyDescent="0.25">
      <c r="A128" s="5">
        <f ca="1"/>
        <v>42369</v>
      </c>
      <c r="B128" s="10">
        <f ca="1"/>
        <v>0.23259981810750108</v>
      </c>
      <c r="C128" s="10">
        <f ca="1"/>
        <v>6.7822523679563332E-2</v>
      </c>
      <c r="D128" s="10">
        <f ca="1"/>
        <v>4.0411301974634772E-2</v>
      </c>
      <c r="E128" s="10">
        <f ca="1"/>
        <v>2.7411221704928559E-2</v>
      </c>
      <c r="G128" s="10">
        <f ca="1"/>
        <v>0.65190232095773271</v>
      </c>
      <c r="H128" s="10">
        <f ca="1"/>
        <v>0.70745652894065858</v>
      </c>
      <c r="I128" s="10">
        <f ca="1"/>
        <v>0.22468053962381818</v>
      </c>
      <c r="K128">
        <f ca="1"/>
        <v>-29.808016314441677</v>
      </c>
      <c r="L128">
        <f ca="1"/>
        <v>-23.160548039903645</v>
      </c>
      <c r="M128">
        <f ca="1"/>
        <v>25.897607418605237</v>
      </c>
      <c r="O128">
        <f ca="1"/>
        <v>2.3009769444092849</v>
      </c>
      <c r="P128">
        <f ca="1"/>
        <v>1.1049705726732959</v>
      </c>
      <c r="Q128">
        <f ca="1"/>
        <v>-0.60747955438246004</v>
      </c>
      <c r="S128" s="10">
        <f ca="1"/>
        <v>0.70825992568359708</v>
      </c>
      <c r="T128" s="10">
        <f ca="1"/>
        <v>0.68688631429449398</v>
      </c>
      <c r="U128" s="10">
        <f ca="1"/>
        <v>0.27963408178575505</v>
      </c>
    </row>
    <row r="129" spans="1:21" x14ac:dyDescent="0.25">
      <c r="A129" s="5">
        <f ca="1"/>
        <v>42338</v>
      </c>
      <c r="B129" s="10">
        <f ca="1"/>
        <v>0.18805913469905167</v>
      </c>
      <c r="C129" s="10">
        <f ca="1"/>
        <v>6.940081437980597E-2</v>
      </c>
      <c r="D129" s="10">
        <f ca="1"/>
        <v>4.1806722689075627E-2</v>
      </c>
      <c r="E129" s="10">
        <f ca="1"/>
        <v>2.7594091690730346E-2</v>
      </c>
      <c r="G129" s="10">
        <f ca="1"/>
        <v>0.65068927447681113</v>
      </c>
      <c r="H129" s="10">
        <f ca="1"/>
        <v>0.69237445315722179</v>
      </c>
      <c r="I129" s="10">
        <f ca="1"/>
        <v>0.22376579103363339</v>
      </c>
      <c r="K129">
        <f ca="1"/>
        <v>-29.957047343617734</v>
      </c>
      <c r="L129">
        <f ca="1"/>
        <v>-22.87397188626888</v>
      </c>
      <c r="M129">
        <f ca="1"/>
        <v>26.176474359422432</v>
      </c>
      <c r="O129">
        <f ca="1"/>
        <v>2.3111145864129496</v>
      </c>
      <c r="P129">
        <f ca="1"/>
        <v>1.0904819100367611</v>
      </c>
      <c r="Q129">
        <f ca="1"/>
        <v>-0.62091146011226206</v>
      </c>
      <c r="S129" s="10">
        <f ca="1"/>
        <v>0.69103000333514664</v>
      </c>
      <c r="T129" s="10">
        <f ca="1"/>
        <v>0.6873336615118254</v>
      </c>
      <c r="U129" s="10">
        <f ca="1"/>
        <v>0.2587251953031825</v>
      </c>
    </row>
    <row r="130" spans="1:21" x14ac:dyDescent="0.25">
      <c r="A130" s="5">
        <f ca="1"/>
        <v>42308</v>
      </c>
      <c r="B130" s="10">
        <f ca="1"/>
        <v>0.18800971086380591</v>
      </c>
      <c r="C130" s="10">
        <f ca="1"/>
        <v>6.9796574051307264E-2</v>
      </c>
      <c r="D130" s="10">
        <f ca="1"/>
        <v>4.2122858782067042E-2</v>
      </c>
      <c r="E130" s="10">
        <f ca="1"/>
        <v>2.7673715269240225E-2</v>
      </c>
      <c r="G130" s="10">
        <f ca="1"/>
        <v>0.64922551733038447</v>
      </c>
      <c r="H130" s="10">
        <f ca="1"/>
        <v>0.68634356803047025</v>
      </c>
      <c r="I130" s="10">
        <f ca="1"/>
        <v>0.22720183800682814</v>
      </c>
      <c r="K130">
        <f ca="1"/>
        <v>-29.894052893545517</v>
      </c>
      <c r="L130">
        <f ca="1"/>
        <v>-22.76058579928316</v>
      </c>
      <c r="M130">
        <f ca="1"/>
        <v>26.928043189936041</v>
      </c>
      <c r="O130">
        <f ca="1"/>
        <v>2.3064686786670063</v>
      </c>
      <c r="P130">
        <f ca="1"/>
        <v>1.0836408399945401</v>
      </c>
      <c r="Q130">
        <f ca="1"/>
        <v>-0.64733774398706212</v>
      </c>
      <c r="S130" s="10">
        <f ca="1"/>
        <v>0.70658170422695343</v>
      </c>
      <c r="T130" s="10">
        <f ca="1"/>
        <v>0.66053491901604078</v>
      </c>
      <c r="U130" s="10">
        <f ca="1"/>
        <v>0.17838205431048956</v>
      </c>
    </row>
    <row r="131" spans="1:21" x14ac:dyDescent="0.25">
      <c r="A131" s="5">
        <f ca="1"/>
        <v>42277</v>
      </c>
      <c r="B131" s="10">
        <f ca="1"/>
        <v>0.2621729676214799</v>
      </c>
      <c r="C131" s="10">
        <f ca="1"/>
        <v>6.8891144609011551E-2</v>
      </c>
      <c r="D131" s="10">
        <f ca="1"/>
        <v>4.0872470534085117E-2</v>
      </c>
      <c r="E131" s="10">
        <f ca="1"/>
        <v>2.8018674074926437E-2</v>
      </c>
      <c r="G131" s="10">
        <f ca="1"/>
        <v>0.63950123644208223</v>
      </c>
      <c r="H131" s="10">
        <f ca="1"/>
        <v>0.67461865035760471</v>
      </c>
      <c r="I131" s="10">
        <f ca="1"/>
        <v>0.22985917516591184</v>
      </c>
      <c r="K131">
        <f ca="1"/>
        <v>-29.599380332194858</v>
      </c>
      <c r="L131">
        <f ca="1"/>
        <v>-22.576722370026644</v>
      </c>
      <c r="M131">
        <f ca="1"/>
        <v>27.77440200041865</v>
      </c>
      <c r="O131">
        <f ca="1"/>
        <v>2.2845792873067916</v>
      </c>
      <c r="P131">
        <f ca="1"/>
        <v>1.0734130198255629</v>
      </c>
      <c r="Q131">
        <f ca="1"/>
        <v>-0.67718837074932103</v>
      </c>
      <c r="S131" s="10">
        <f ca="1"/>
        <v>0.70936780540793709</v>
      </c>
      <c r="T131" s="10">
        <f ca="1"/>
        <v>0.68611318680067046</v>
      </c>
      <c r="U131" s="10">
        <f ca="1"/>
        <v>0.17270758156540417</v>
      </c>
    </row>
    <row r="132" spans="1:21" x14ac:dyDescent="0.25">
      <c r="A132" s="5">
        <f ca="1"/>
        <v>42247</v>
      </c>
      <c r="B132" s="10">
        <f ca="1"/>
        <v>0.22291065436031166</v>
      </c>
      <c r="C132" s="10">
        <f ca="1"/>
        <v>7.1102616658677287E-2</v>
      </c>
      <c r="D132" s="10">
        <f ca="1"/>
        <v>4.2643436864637917E-2</v>
      </c>
      <c r="E132" s="10">
        <f ca="1"/>
        <v>2.8459179794039374E-2</v>
      </c>
      <c r="G132" s="10">
        <f ca="1"/>
        <v>0.62327755054710021</v>
      </c>
      <c r="H132" s="10">
        <f ca="1"/>
        <v>0.67040877904903728</v>
      </c>
      <c r="I132" s="10">
        <f ca="1"/>
        <v>0.25422906143186935</v>
      </c>
      <c r="K132">
        <f ca="1"/>
        <v>-28.9229591983988</v>
      </c>
      <c r="L132">
        <f ca="1"/>
        <v>-22.297936469245556</v>
      </c>
      <c r="M132">
        <f ca="1"/>
        <v>29.851780090818796</v>
      </c>
      <c r="O132">
        <f ca="1"/>
        <v>2.2347862924255262</v>
      </c>
      <c r="P132">
        <f ca="1"/>
        <v>1.0587428296178349</v>
      </c>
      <c r="Q132">
        <f ca="1"/>
        <v>-0.74698455670821962</v>
      </c>
      <c r="S132" s="10">
        <f ca="1"/>
        <v>0.68520803039514733</v>
      </c>
      <c r="T132" s="10">
        <f ca="1"/>
        <v>0.66919949794491684</v>
      </c>
      <c r="U132" s="10">
        <f ca="1"/>
        <v>0.14228424281419683</v>
      </c>
    </row>
    <row r="133" spans="1:21" x14ac:dyDescent="0.25">
      <c r="A133" s="5">
        <f ca="1"/>
        <v>42216</v>
      </c>
      <c r="B133" s="10">
        <f ca="1"/>
        <v>0.13326103714968096</v>
      </c>
      <c r="C133" s="10">
        <f ca="1"/>
        <v>7.2126076449729695E-2</v>
      </c>
      <c r="D133" s="10">
        <f ca="1"/>
        <v>4.4074772253548028E-2</v>
      </c>
      <c r="E133" s="10">
        <f ca="1"/>
        <v>2.8051304196181667E-2</v>
      </c>
      <c r="G133" s="10">
        <f ca="1"/>
        <v>0.60573720377777984</v>
      </c>
      <c r="H133" s="10">
        <f ca="1"/>
        <v>0.67166543422369895</v>
      </c>
      <c r="I133" s="10">
        <f ca="1"/>
        <v>0.27128101950423505</v>
      </c>
      <c r="K133">
        <f ca="1"/>
        <v>-27.749194433867672</v>
      </c>
      <c r="L133">
        <f ca="1"/>
        <v>-22.074887400082588</v>
      </c>
      <c r="M133">
        <f ca="1"/>
        <v>31.552838352356797</v>
      </c>
      <c r="O133">
        <f ca="1"/>
        <v>2.1494181088845732</v>
      </c>
      <c r="P133">
        <f ca="1"/>
        <v>1.046390333293489</v>
      </c>
      <c r="Q133">
        <f ca="1"/>
        <v>-0.80297251605663278</v>
      </c>
      <c r="S133" s="10">
        <f ca="1"/>
        <v>0.60803918478583185</v>
      </c>
      <c r="T133" s="10">
        <f ca="1"/>
        <v>0.62340962090517571</v>
      </c>
      <c r="U133" s="10">
        <f ca="1"/>
        <v>8.049453220116147E-2</v>
      </c>
    </row>
    <row r="134" spans="1:21" x14ac:dyDescent="0.25">
      <c r="A134" s="5">
        <f ca="1"/>
        <v>42185</v>
      </c>
      <c r="B134" s="10">
        <f ca="1"/>
        <v>0.14522244426038933</v>
      </c>
      <c r="C134" s="10">
        <f ca="1"/>
        <v>7.3975614231147735E-2</v>
      </c>
      <c r="D134" s="10">
        <f ca="1"/>
        <v>4.5698880789952129E-2</v>
      </c>
      <c r="E134" s="10">
        <f ca="1"/>
        <v>2.8276733441195603E-2</v>
      </c>
      <c r="G134" s="10">
        <f ca="1"/>
        <v>0.59146669991660428</v>
      </c>
      <c r="H134" s="10">
        <f ca="1"/>
        <v>0.66665199068323966</v>
      </c>
      <c r="I134" s="10">
        <f ca="1"/>
        <v>0.2704715349153769</v>
      </c>
      <c r="K134">
        <f ca="1"/>
        <v>-26.730516688229759</v>
      </c>
      <c r="L134">
        <f ca="1"/>
        <v>-21.888878486397019</v>
      </c>
      <c r="M134">
        <f ca="1"/>
        <v>32.472784422746457</v>
      </c>
      <c r="O134">
        <f ca="1"/>
        <v>2.0764742342640425</v>
      </c>
      <c r="P134">
        <f ca="1"/>
        <v>1.0368368301855733</v>
      </c>
      <c r="Q134">
        <f ca="1"/>
        <v>-0.83246023548615322</v>
      </c>
      <c r="S134" s="10">
        <f ca="1"/>
        <v>0.62193527195452947</v>
      </c>
      <c r="T134" s="10">
        <f ca="1"/>
        <v>0.624481292065029</v>
      </c>
      <c r="U134" s="10">
        <f ca="1"/>
        <v>2.0866183866531978E-2</v>
      </c>
    </row>
    <row r="135" spans="1:21" x14ac:dyDescent="0.25">
      <c r="A135" s="5">
        <f ca="1"/>
        <v>42155</v>
      </c>
      <c r="B135" s="10">
        <f ca="1"/>
        <v>0.12159596490632829</v>
      </c>
      <c r="C135" s="10">
        <f ca="1"/>
        <v>7.3489991369703467E-2</v>
      </c>
      <c r="D135" s="10">
        <f ca="1"/>
        <v>4.5386226717051954E-2</v>
      </c>
      <c r="E135" s="10">
        <f ca="1"/>
        <v>2.8103764652651513E-2</v>
      </c>
      <c r="G135" s="10">
        <f ca="1"/>
        <v>0.60247996723512509</v>
      </c>
      <c r="H135" s="10">
        <f ca="1"/>
        <v>0.68689729133145405</v>
      </c>
      <c r="I135" s="10">
        <f ca="1"/>
        <v>0.27594899716854482</v>
      </c>
      <c r="K135">
        <f ca="1"/>
        <v>-26.943953382432642</v>
      </c>
      <c r="L135">
        <f ca="1"/>
        <v>-22.553359079490647</v>
      </c>
      <c r="M135">
        <f ca="1"/>
        <v>34.08439212012415</v>
      </c>
      <c r="O135">
        <f ca="1"/>
        <v>2.0905184847753757</v>
      </c>
      <c r="P135">
        <f ca="1"/>
        <v>1.0599868536822314</v>
      </c>
      <c r="Q135">
        <f ca="1"/>
        <v>-0.88324628834380492</v>
      </c>
      <c r="S135" s="10">
        <f ca="1"/>
        <v>0.68383734669122576</v>
      </c>
      <c r="T135" s="10">
        <f ca="1"/>
        <v>0.66094138063520147</v>
      </c>
      <c r="U135" s="10">
        <f ca="1"/>
        <v>8.2440981818686463E-4</v>
      </c>
    </row>
    <row r="136" spans="1:21" x14ac:dyDescent="0.25">
      <c r="A136" s="5">
        <f ca="1"/>
        <v>42124</v>
      </c>
      <c r="B136" s="10">
        <f ca="1"/>
        <v>9.2715925279164946E-2</v>
      </c>
      <c r="C136" s="10">
        <f ca="1"/>
        <v>7.3596951285397255E-2</v>
      </c>
      <c r="D136" s="10">
        <f ca="1"/>
        <v>4.5711103538271007E-2</v>
      </c>
      <c r="E136" s="10">
        <f ca="1"/>
        <v>2.7885847747126245E-2</v>
      </c>
      <c r="G136" s="10">
        <f ca="1"/>
        <v>0.58640458791296901</v>
      </c>
      <c r="H136" s="10">
        <f ca="1"/>
        <v>0.68198376755880441</v>
      </c>
      <c r="I136" s="10">
        <f ca="1"/>
        <v>0.27284426109380611</v>
      </c>
      <c r="K136">
        <f ca="1"/>
        <v>-26.178798455034439</v>
      </c>
      <c r="L136">
        <f ca="1"/>
        <v>-22.592673955002336</v>
      </c>
      <c r="M136">
        <f ca="1"/>
        <v>35.042584237996238</v>
      </c>
      <c r="O136">
        <f ca="1"/>
        <v>2.0351505878546785</v>
      </c>
      <c r="P136">
        <f ca="1"/>
        <v>1.0583310099258587</v>
      </c>
      <c r="Q136">
        <f ca="1"/>
        <v>-0.91446597935935348</v>
      </c>
      <c r="S136" s="10">
        <f ca="1"/>
        <v>0.72719115299345927</v>
      </c>
      <c r="T136" s="10">
        <f ca="1"/>
        <v>0.70155213065549316</v>
      </c>
      <c r="U136" s="10">
        <f ca="1"/>
        <v>4.8718135095266847E-3</v>
      </c>
    </row>
    <row r="137" spans="1:21" x14ac:dyDescent="0.25">
      <c r="A137" s="5">
        <f ca="1"/>
        <v>42094</v>
      </c>
      <c r="B137" s="10">
        <f ca="1"/>
        <v>8.266402772962067E-2</v>
      </c>
      <c r="C137" s="10">
        <f ca="1"/>
        <v>7.1747809396645254E-2</v>
      </c>
      <c r="D137" s="10">
        <f ca="1"/>
        <v>4.3232496036051074E-2</v>
      </c>
      <c r="E137" s="10">
        <f ca="1"/>
        <v>2.8515313360594177E-2</v>
      </c>
      <c r="G137" s="10">
        <f ca="1"/>
        <v>0.54199530507143134</v>
      </c>
      <c r="H137" s="10">
        <f ca="1"/>
        <v>0.6534311706890783</v>
      </c>
      <c r="I137" s="10">
        <f ca="1"/>
        <v>0.26438034469249672</v>
      </c>
      <c r="K137">
        <f ca="1"/>
        <v>-25.173295890290749</v>
      </c>
      <c r="L137">
        <f ca="1"/>
        <v>-22.635756831041235</v>
      </c>
      <c r="M137">
        <f ca="1"/>
        <v>36.035590694241456</v>
      </c>
      <c r="O137">
        <f ca="1"/>
        <v>1.962140842287015</v>
      </c>
      <c r="P137">
        <f ca="1"/>
        <v>1.0558498116721515</v>
      </c>
      <c r="Q137">
        <f ca="1"/>
        <v>-0.94840122809962402</v>
      </c>
      <c r="S137" s="10">
        <f ca="1"/>
        <v>0.77901905761842483</v>
      </c>
      <c r="T137" s="10">
        <f ca="1"/>
        <v>0.75712275366514337</v>
      </c>
      <c r="U137" s="10">
        <f ca="1"/>
        <v>9.0688876631904913E-4</v>
      </c>
    </row>
    <row r="138" spans="1:21" x14ac:dyDescent="0.25">
      <c r="A138" s="5">
        <f ca="1"/>
        <v>42063</v>
      </c>
      <c r="B138" s="10">
        <f ca="1"/>
        <v>4.4813494891898342E-2</v>
      </c>
      <c r="C138" s="10">
        <f ca="1"/>
        <v>7.1101528614140735E-2</v>
      </c>
      <c r="D138" s="10">
        <f ca="1"/>
        <v>4.2525203183560026E-2</v>
      </c>
      <c r="E138" s="10">
        <f ca="1"/>
        <v>2.8576325430580706E-2</v>
      </c>
      <c r="G138" s="10">
        <f ca="1"/>
        <v>0.47094510543594192</v>
      </c>
      <c r="H138" s="10">
        <f ca="1"/>
        <v>0.59130280652463962</v>
      </c>
      <c r="I138" s="10">
        <f ca="1"/>
        <v>0.25287528465752146</v>
      </c>
      <c r="K138">
        <f ca="1"/>
        <v>-23.135677939062564</v>
      </c>
      <c r="L138">
        <f ca="1"/>
        <v>-21.685823011354159</v>
      </c>
      <c r="M138">
        <f ca="1"/>
        <v>36.590277454849279</v>
      </c>
      <c r="O138">
        <f ca="1"/>
        <v>1.8174607635567266</v>
      </c>
      <c r="P138">
        <f ca="1"/>
        <v>1.0164473249055201</v>
      </c>
      <c r="Q138">
        <f ca="1"/>
        <v>-0.96825399533529821</v>
      </c>
      <c r="S138" s="10">
        <f ca="1"/>
        <v>0.77140985330112066</v>
      </c>
      <c r="T138" s="10">
        <f ca="1"/>
        <v>0.73348143643734398</v>
      </c>
      <c r="U138" s="10">
        <f ca="1"/>
        <v>1.7296996745536444E-2</v>
      </c>
    </row>
    <row r="139" spans="1:21" x14ac:dyDescent="0.25">
      <c r="A139" s="5">
        <f ca="1"/>
        <v>42035</v>
      </c>
      <c r="B139" s="10">
        <f ca="1"/>
        <v>6.5744695666473341E-2</v>
      </c>
      <c r="C139" s="10">
        <f ca="1"/>
        <v>7.0234701150595658E-2</v>
      </c>
      <c r="D139" s="10">
        <f ca="1"/>
        <v>4.1227302039846585E-2</v>
      </c>
      <c r="E139" s="10">
        <f ca="1"/>
        <v>2.9007399110749076E-2</v>
      </c>
      <c r="G139" s="10">
        <f ca="1"/>
        <v>0.41914374624331202</v>
      </c>
      <c r="H139" s="10">
        <f ca="1"/>
        <v>0.5365209628679406</v>
      </c>
      <c r="I139" s="10">
        <f ca="1"/>
        <v>0.23237391178074593</v>
      </c>
      <c r="K139">
        <f ca="1"/>
        <v>-21.080958870600469</v>
      </c>
      <c r="L139">
        <f ca="1"/>
        <v>-20.382865581361379</v>
      </c>
      <c r="M139">
        <f ca="1"/>
        <v>36.085254742062496</v>
      </c>
      <c r="O139">
        <f ca="1"/>
        <v>1.6734661498345949</v>
      </c>
      <c r="P139">
        <f ca="1"/>
        <v>0.96567468817493796</v>
      </c>
      <c r="Q139">
        <f ca="1"/>
        <v>-0.95244394637986873</v>
      </c>
      <c r="S139" s="10">
        <f ca="1"/>
        <v>0.73846205948106136</v>
      </c>
      <c r="T139" s="10">
        <f ca="1"/>
        <v>0.69263409111781615</v>
      </c>
      <c r="U139" s="10">
        <f ca="1"/>
        <v>3.2051307590883892E-2</v>
      </c>
    </row>
    <row r="140" spans="1:21" x14ac:dyDescent="0.25">
      <c r="A140" s="5">
        <f ca="1"/>
        <v>42004</v>
      </c>
      <c r="B140" s="10">
        <f ca="1"/>
        <v>5.3120648328628617E-2</v>
      </c>
      <c r="C140" s="10">
        <f ca="1"/>
        <v>7.1802716759572713E-2</v>
      </c>
      <c r="D140" s="10">
        <f ca="1"/>
        <v>4.2062768854837479E-2</v>
      </c>
      <c r="E140" s="10">
        <f ca="1"/>
        <v>2.9739947904735237E-2</v>
      </c>
      <c r="G140" s="10">
        <f ca="1"/>
        <v>0.40139658331017147</v>
      </c>
      <c r="H140" s="10">
        <f ca="1"/>
        <v>0.50383643604082351</v>
      </c>
      <c r="I140" s="10">
        <f ca="1"/>
        <v>0.21013353741886084</v>
      </c>
      <c r="K140">
        <f ca="1"/>
        <v>-20.176600828983727</v>
      </c>
      <c r="L140">
        <f ca="1"/>
        <v>-19.46927495000098</v>
      </c>
      <c r="M140">
        <f ca="1"/>
        <v>35.113678057227055</v>
      </c>
      <c r="O140">
        <f ca="1"/>
        <v>1.6106747269337773</v>
      </c>
      <c r="P140">
        <f ca="1"/>
        <v>0.93053556149618444</v>
      </c>
      <c r="Q140">
        <f ca="1"/>
        <v>-0.92172848078000358</v>
      </c>
      <c r="S140" s="10">
        <f ca="1"/>
        <v>0.6902901723599485</v>
      </c>
      <c r="T140" s="10">
        <f ca="1"/>
        <v>0.61609437509709442</v>
      </c>
      <c r="U140" s="10">
        <f ca="1"/>
        <v>6.740720876403633E-2</v>
      </c>
    </row>
    <row r="141" spans="1:21" x14ac:dyDescent="0.25">
      <c r="A141" s="5">
        <f ca="1"/>
        <v>41973</v>
      </c>
      <c r="B141" s="10">
        <f ca="1"/>
        <v>5.0005774186105301E-2</v>
      </c>
      <c r="C141" s="10">
        <f ca="1"/>
        <v>7.2077387651308833E-2</v>
      </c>
      <c r="D141" s="10">
        <f ca="1"/>
        <v>4.2640613053152462E-2</v>
      </c>
      <c r="E141" s="10">
        <f ca="1"/>
        <v>2.9436774598156374E-2</v>
      </c>
      <c r="G141" s="10">
        <f ca="1"/>
        <v>0.32145592978160054</v>
      </c>
      <c r="H141" s="10">
        <f ca="1"/>
        <v>0.41033553115028926</v>
      </c>
      <c r="I141" s="10">
        <f ca="1"/>
        <v>0.17754261267854843</v>
      </c>
      <c r="K141">
        <f ca="1"/>
        <v>-17.968177725323184</v>
      </c>
      <c r="L141">
        <f ca="1"/>
        <v>-17.671024744839276</v>
      </c>
      <c r="M141">
        <f ca="1"/>
        <v>33.306807852954407</v>
      </c>
      <c r="O141">
        <f ca="1"/>
        <v>1.4549769405129211</v>
      </c>
      <c r="P141">
        <f ca="1"/>
        <v>0.86061120668838886</v>
      </c>
      <c r="Q141">
        <f ca="1"/>
        <v>-0.86550019248547994</v>
      </c>
      <c r="S141" s="10">
        <f ca="1"/>
        <v>0.70444734113975038</v>
      </c>
      <c r="T141" s="10">
        <f ca="1"/>
        <v>0.58871315766982302</v>
      </c>
      <c r="U141" s="10">
        <f ca="1"/>
        <v>0.15141527928210285</v>
      </c>
    </row>
    <row r="142" spans="1:21" x14ac:dyDescent="0.25">
      <c r="A142" s="5">
        <f ca="1"/>
        <v>41943</v>
      </c>
      <c r="B142" s="10">
        <f ca="1"/>
        <v>7.7079332726265992E-2</v>
      </c>
      <c r="C142" s="10">
        <f ca="1"/>
        <v>7.2358043482020851E-2</v>
      </c>
      <c r="D142" s="10">
        <f ca="1"/>
        <v>4.2624833526471451E-2</v>
      </c>
      <c r="E142" s="10">
        <f ca="1"/>
        <v>2.9733209955549407E-2</v>
      </c>
      <c r="G142" s="10">
        <f ca="1"/>
        <v>0.27505646659007538</v>
      </c>
      <c r="H142" s="10">
        <f ca="1"/>
        <v>0.34972123413420736</v>
      </c>
      <c r="I142" s="10">
        <f ca="1"/>
        <v>0.14821796401203938</v>
      </c>
      <c r="K142">
        <f ca="1"/>
        <v>-16.237595667750814</v>
      </c>
      <c r="L142">
        <f ca="1"/>
        <v>-16.1102772104758</v>
      </c>
      <c r="M142">
        <f ca="1"/>
        <v>31.082876851053097</v>
      </c>
      <c r="O142">
        <f ca="1"/>
        <v>1.3341983378567868</v>
      </c>
      <c r="P142">
        <f ca="1"/>
        <v>0.80119650398671194</v>
      </c>
      <c r="Q142">
        <f ca="1"/>
        <v>-0.79426332517990839</v>
      </c>
      <c r="S142" s="10">
        <f ca="1"/>
        <v>0.71324213817041504</v>
      </c>
      <c r="T142" s="10">
        <f ca="1"/>
        <v>0.57344542075936833</v>
      </c>
      <c r="U142" s="10">
        <f ca="1"/>
        <v>0.2062021764574247</v>
      </c>
    </row>
    <row r="143" spans="1:21" x14ac:dyDescent="0.25">
      <c r="A143" s="5">
        <f ca="1"/>
        <v>41912</v>
      </c>
      <c r="B143" s="10">
        <f ca="1"/>
        <v>6.4174111530606037E-2</v>
      </c>
      <c r="C143" s="10">
        <f ca="1"/>
        <v>7.3832617129734338E-2</v>
      </c>
      <c r="D143" s="10">
        <f ca="1"/>
        <v>4.3833487012648095E-2</v>
      </c>
      <c r="E143" s="10">
        <f ca="1"/>
        <v>2.9999130117086239E-2</v>
      </c>
      <c r="G143" s="10">
        <f ca="1"/>
        <v>0.26720605304220396</v>
      </c>
      <c r="H143" s="10">
        <f ca="1"/>
        <v>0.33486654348464673</v>
      </c>
      <c r="I143" s="10">
        <f ca="1"/>
        <v>0.12941550773995608</v>
      </c>
      <c r="K143">
        <f ca="1"/>
        <v>-15.916560453866511</v>
      </c>
      <c r="L143">
        <f ca="1"/>
        <v>-15.722705151591638</v>
      </c>
      <c r="M143">
        <f ca="1"/>
        <v>28.693001368158839</v>
      </c>
      <c r="O143">
        <f ca="1"/>
        <v>1.3135140148443605</v>
      </c>
      <c r="P143">
        <f ca="1"/>
        <v>0.78704925327174147</v>
      </c>
      <c r="Q143">
        <f ca="1"/>
        <v>-0.71642531981339774</v>
      </c>
      <c r="S143" s="10">
        <f ca="1"/>
        <v>0.72471650698786882</v>
      </c>
      <c r="T143" s="10">
        <f ca="1"/>
        <v>0.57231103072315392</v>
      </c>
      <c r="U143" s="10">
        <f ca="1"/>
        <v>0.26343686854374021</v>
      </c>
    </row>
    <row r="144" spans="1:21" x14ac:dyDescent="0.25">
      <c r="A144" s="5">
        <f ca="1"/>
        <v>41882</v>
      </c>
      <c r="B144" s="10">
        <f ca="1"/>
        <v>4.6711269652022436E-2</v>
      </c>
      <c r="C144" s="10">
        <f ca="1"/>
        <v>7.3118246695958289E-2</v>
      </c>
      <c r="D144" s="10">
        <f ca="1"/>
        <v>4.3762720451428622E-2</v>
      </c>
      <c r="E144" s="10">
        <f ca="1"/>
        <v>2.935552624452966E-2</v>
      </c>
      <c r="G144" s="10">
        <f ca="1"/>
        <v>0.25176804777967454</v>
      </c>
      <c r="H144" s="10">
        <f ca="1"/>
        <v>0.3135246100192407</v>
      </c>
      <c r="I144" s="10">
        <f ca="1"/>
        <v>0.11300117116715114</v>
      </c>
      <c r="K144">
        <f ca="1"/>
        <v>-15.312399694655605</v>
      </c>
      <c r="L144">
        <f ca="1"/>
        <v>-15.191725013040786</v>
      </c>
      <c r="M144">
        <f ca="1"/>
        <v>26.932282042341697</v>
      </c>
      <c r="O144">
        <f ca="1"/>
        <v>1.2726730269213156</v>
      </c>
      <c r="P144">
        <f ca="1"/>
        <v>0.7675361023442967</v>
      </c>
      <c r="Q144">
        <f ca="1"/>
        <v>-0.65773317815777255</v>
      </c>
      <c r="S144" s="10">
        <f ca="1"/>
        <v>0.73338458974778775</v>
      </c>
      <c r="T144" s="10">
        <f ca="1"/>
        <v>0.58492778100086706</v>
      </c>
      <c r="U144" s="10">
        <f ca="1"/>
        <v>0.38236003656021234</v>
      </c>
    </row>
    <row r="145" spans="1:21" x14ac:dyDescent="0.25">
      <c r="A145" s="5">
        <f ca="1"/>
        <v>41851</v>
      </c>
      <c r="B145" s="10">
        <f ca="1"/>
        <v>6.9732270050502532E-2</v>
      </c>
      <c r="C145" s="10">
        <f ca="1"/>
        <v>7.2922294042426478E-2</v>
      </c>
      <c r="D145" s="10">
        <f ca="1"/>
        <v>4.3676406187047837E-2</v>
      </c>
      <c r="E145" s="10">
        <f ca="1"/>
        <v>2.9245887855378634E-2</v>
      </c>
      <c r="G145" s="10">
        <f ca="1"/>
        <v>0.24490979341055485</v>
      </c>
      <c r="H145" s="10">
        <f ca="1"/>
        <v>0.29800604012668774</v>
      </c>
      <c r="I145" s="10">
        <f ca="1"/>
        <v>9.2049103595359061E-2</v>
      </c>
      <c r="K145">
        <f ca="1"/>
        <v>-14.706036970302774</v>
      </c>
      <c r="L145">
        <f ca="1"/>
        <v>-14.654574269544057</v>
      </c>
      <c r="M145">
        <f ca="1"/>
        <v>25.002004686890434</v>
      </c>
      <c r="O145">
        <f ca="1"/>
        <v>1.2328252010827816</v>
      </c>
      <c r="P145">
        <f ca="1"/>
        <v>0.74898539802144348</v>
      </c>
      <c r="Q145">
        <f ca="1"/>
        <v>-0.59182760256348099</v>
      </c>
      <c r="S145" s="10">
        <f ca="1"/>
        <v>0.72981167572626859</v>
      </c>
      <c r="T145" s="10">
        <f ca="1"/>
        <v>0.56907905161537919</v>
      </c>
      <c r="U145" s="10">
        <f ca="1"/>
        <v>0.45855598060689884</v>
      </c>
    </row>
    <row r="146" spans="1:21" x14ac:dyDescent="0.25">
      <c r="A146" s="5">
        <f ca="1"/>
        <v>41820</v>
      </c>
      <c r="B146" s="10">
        <f ca="1"/>
        <v>5.0764456598013208E-2</v>
      </c>
      <c r="C146" s="10">
        <f ca="1"/>
        <v>7.4576500928590916E-2</v>
      </c>
      <c r="D146" s="10">
        <f ca="1"/>
        <v>4.4208849339424185E-2</v>
      </c>
      <c r="E146" s="10">
        <f ca="1"/>
        <v>3.0367651589166732E-2</v>
      </c>
      <c r="G146" s="10">
        <f ca="1"/>
        <v>0.25116653758897395</v>
      </c>
      <c r="H146" s="10">
        <f ca="1"/>
        <v>0.29631795108757492</v>
      </c>
      <c r="I146" s="10">
        <f ca="1"/>
        <v>6.9050372674233668E-2</v>
      </c>
      <c r="K146">
        <f ca="1"/>
        <v>-14.521931479599781</v>
      </c>
      <c r="L146">
        <f ca="1"/>
        <v>-14.580991874043477</v>
      </c>
      <c r="M146">
        <f ca="1"/>
        <v>22.814970491875084</v>
      </c>
      <c r="O146">
        <f ca="1"/>
        <v>1.2223075027257331</v>
      </c>
      <c r="P146">
        <f ca="1"/>
        <v>0.74753684017251043</v>
      </c>
      <c r="Q146">
        <f ca="1"/>
        <v>-0.51634242567662247</v>
      </c>
      <c r="S146" s="10">
        <f ca="1"/>
        <v>0.71728909443340561</v>
      </c>
      <c r="T146" s="10">
        <f ca="1"/>
        <v>0.52387439554688919</v>
      </c>
      <c r="U146" s="10">
        <f ca="1"/>
        <v>0.55359159378706146</v>
      </c>
    </row>
    <row r="147" spans="1:21" x14ac:dyDescent="0.25">
      <c r="A147" s="5">
        <f ca="1"/>
        <v>41790</v>
      </c>
      <c r="B147" s="10">
        <f ca="1"/>
        <v>4.502063570080761E-3</v>
      </c>
      <c r="C147" s="10">
        <f ca="1"/>
        <v>7.2073472927766072E-2</v>
      </c>
      <c r="D147" s="10">
        <f ca="1"/>
        <v>4.2069667415968987E-2</v>
      </c>
      <c r="E147" s="10">
        <f ca="1"/>
        <v>3.0003805511797085E-2</v>
      </c>
      <c r="G147" s="10">
        <f ca="1"/>
        <v>0.2606613893100756</v>
      </c>
      <c r="H147" s="10">
        <f ca="1"/>
        <v>0.30100266077679205</v>
      </c>
      <c r="I147" s="10">
        <f ca="1"/>
        <v>5.5054463986530071E-2</v>
      </c>
      <c r="K147">
        <f ca="1"/>
        <v>-14.617868138166473</v>
      </c>
      <c r="L147">
        <f ca="1"/>
        <v>-14.718544640715633</v>
      </c>
      <c r="M147">
        <f ca="1"/>
        <v>21.022175426047635</v>
      </c>
      <c r="O147">
        <f ca="1"/>
        <v>1.2316272117251548</v>
      </c>
      <c r="P147">
        <f ca="1"/>
        <v>0.75436761605824809</v>
      </c>
      <c r="Q147">
        <f ca="1"/>
        <v>-0.45206571156459296</v>
      </c>
      <c r="S147" s="10">
        <f ca="1"/>
        <v>0.69231999883385698</v>
      </c>
      <c r="T147" s="10">
        <f ca="1"/>
        <v>0.4792243980706351</v>
      </c>
      <c r="U147" s="10">
        <f ca="1"/>
        <v>0.55175580043575501</v>
      </c>
    </row>
    <row r="148" spans="1:21" x14ac:dyDescent="0.25">
      <c r="A148" s="5">
        <f ca="1"/>
        <v>41759</v>
      </c>
      <c r="B148" s="10">
        <f ca="1"/>
        <v>2.9878733788806677E-2</v>
      </c>
      <c r="C148" s="10">
        <f ca="1"/>
        <v>7.2177362544468313E-2</v>
      </c>
      <c r="D148" s="10">
        <f ca="1"/>
        <v>4.1843806135747244E-2</v>
      </c>
      <c r="E148" s="10">
        <f ca="1"/>
        <v>3.0333556408721072E-2</v>
      </c>
      <c r="G148" s="10">
        <f ca="1"/>
        <v>0.27910329974588588</v>
      </c>
      <c r="H148" s="10">
        <f ca="1"/>
        <v>0.30375690180780923</v>
      </c>
      <c r="I148" s="10">
        <f ca="1"/>
        <v>2.6389776536428648E-2</v>
      </c>
      <c r="K148">
        <f ca="1"/>
        <v>-14.446539863790354</v>
      </c>
      <c r="L148">
        <f ca="1"/>
        <v>-14.411962650847611</v>
      </c>
      <c r="M148">
        <f ca="1"/>
        <v>15.019908075133563</v>
      </c>
      <c r="O148">
        <f ca="1"/>
        <v>1.2239275188662142</v>
      </c>
      <c r="P148">
        <f ca="1"/>
        <v>0.74695639874739972</v>
      </c>
      <c r="Q148">
        <f ca="1"/>
        <v>-0.24797448431815</v>
      </c>
      <c r="S148" s="10">
        <f ca="1"/>
        <v>0.55293712555766095</v>
      </c>
      <c r="T148" s="10">
        <f ca="1"/>
        <v>0.2508616709309307</v>
      </c>
      <c r="U148" s="10">
        <f ca="1"/>
        <v>0.60789148957114569</v>
      </c>
    </row>
    <row r="149" spans="1:21" x14ac:dyDescent="0.25">
      <c r="A149" s="5">
        <f ca="1"/>
        <v>41729</v>
      </c>
      <c r="B149" s="10">
        <f ca="1"/>
        <v>9.16500094632966E-2</v>
      </c>
      <c r="C149" s="10">
        <f ca="1"/>
        <v>7.4180409087691981E-2</v>
      </c>
      <c r="D149" s="10">
        <f ca="1"/>
        <v>4.3167598556161084E-2</v>
      </c>
      <c r="E149" s="10">
        <f ca="1"/>
        <v>3.1012810531530894E-2</v>
      </c>
      <c r="G149" s="10">
        <f ca="1"/>
        <v>0.29859638266321059</v>
      </c>
      <c r="H149" s="10">
        <f ca="1"/>
        <v>0.31328622565833592</v>
      </c>
      <c r="I149" s="10">
        <f ca="1"/>
        <v>1.4821210858742996E-2</v>
      </c>
      <c r="K149">
        <f ca="1"/>
        <v>-14.547910101199475</v>
      </c>
      <c r="L149">
        <f ca="1"/>
        <v>-14.372494783932257</v>
      </c>
      <c r="M149">
        <f ca="1"/>
        <v>11.646521526882443</v>
      </c>
      <c r="O149">
        <f ca="1"/>
        <v>1.2348275939301183</v>
      </c>
      <c r="P149">
        <f ca="1"/>
        <v>0.74884724034963435</v>
      </c>
      <c r="Q149">
        <f ca="1"/>
        <v>-0.13015007678689117</v>
      </c>
      <c r="S149" s="10">
        <f ca="1"/>
        <v>0.38890556838470941</v>
      </c>
      <c r="T149" s="10">
        <f ca="1"/>
        <v>6.157933690132629E-2</v>
      </c>
      <c r="U149" s="10">
        <f ca="1"/>
        <v>0.61091757901585531</v>
      </c>
    </row>
    <row r="150" spans="1:21" x14ac:dyDescent="0.25">
      <c r="A150" s="5">
        <f ca="1"/>
        <v>41698</v>
      </c>
      <c r="B150" s="10">
        <f ca="1"/>
        <v>0.11883081918835425</v>
      </c>
      <c r="C150" s="10">
        <f ca="1"/>
        <v>7.5718221665623045E-2</v>
      </c>
      <c r="D150" s="10">
        <f ca="1"/>
        <v>4.4913945791215673E-2</v>
      </c>
      <c r="E150" s="10">
        <f ca="1"/>
        <v>3.0804275874407372E-2</v>
      </c>
      <c r="G150" s="10">
        <f ca="1"/>
        <v>0.32098348250435921</v>
      </c>
      <c r="H150" s="10">
        <f ca="1"/>
        <v>0.33967443895921062</v>
      </c>
      <c r="I150" s="10">
        <f ca="1"/>
        <v>1.7843841641430339E-2</v>
      </c>
      <c r="K150">
        <f ca="1"/>
        <v>-15.555820618480185</v>
      </c>
      <c r="L150">
        <f ca="1"/>
        <v>-15.468368114410433</v>
      </c>
      <c r="M150">
        <f ca="1"/>
        <v>13.467122585593962</v>
      </c>
      <c r="O150">
        <f ca="1"/>
        <v>1.3068202665051276</v>
      </c>
      <c r="P150">
        <f ca="1"/>
        <v>0.78973708701096501</v>
      </c>
      <c r="Q150">
        <f ca="1"/>
        <v>-0.18292135970974166</v>
      </c>
      <c r="S150" s="10">
        <f ca="1"/>
        <v>0.26860627464486719</v>
      </c>
      <c r="T150" s="10">
        <f ca="1"/>
        <v>1.2423788209972069E-2</v>
      </c>
      <c r="U150" s="10">
        <f ca="1"/>
        <v>0.45866837015661432</v>
      </c>
    </row>
    <row r="151" spans="1:21" x14ac:dyDescent="0.25">
      <c r="A151" s="5">
        <f ca="1"/>
        <v>41670</v>
      </c>
      <c r="B151" s="10">
        <f ca="1"/>
        <v>0.16648256037108489</v>
      </c>
      <c r="C151" s="10">
        <f ca="1"/>
        <v>7.5070775701690531E-2</v>
      </c>
      <c r="D151" s="10">
        <f ca="1"/>
        <v>4.3817933439384546E-2</v>
      </c>
      <c r="E151" s="10">
        <f ca="1"/>
        <v>3.1252842262305985E-2</v>
      </c>
      <c r="G151" s="10">
        <f ca="1"/>
        <v>0.32349885449254479</v>
      </c>
      <c r="H151" s="10">
        <f ca="1"/>
        <v>0.37104448280007529</v>
      </c>
      <c r="I151" s="10">
        <f ca="1"/>
        <v>5.1843904945333752E-2</v>
      </c>
      <c r="K151">
        <f ca="1"/>
        <v>-16.705954319683407</v>
      </c>
      <c r="L151">
        <f ca="1"/>
        <v>-17.130791243094382</v>
      </c>
      <c r="M151">
        <f ca="1"/>
        <v>22.587753983774579</v>
      </c>
      <c r="O151">
        <f ca="1"/>
        <v>1.3881652469426631</v>
      </c>
      <c r="P151">
        <f ca="1"/>
        <v>0.84858413545046385</v>
      </c>
      <c r="Q151">
        <f ca="1"/>
        <v>-0.4786776770450768</v>
      </c>
      <c r="S151" s="10">
        <f ca="1"/>
        <v>0.13612490938694433</v>
      </c>
      <c r="T151" s="10">
        <f ca="1"/>
        <v>6.8912316073715604E-4</v>
      </c>
      <c r="U151" s="10">
        <f ca="1"/>
        <v>0.32019104162543605</v>
      </c>
    </row>
    <row r="152" spans="1:21" x14ac:dyDescent="0.25">
      <c r="A152" s="5">
        <f ca="1"/>
        <v>41639</v>
      </c>
      <c r="B152" s="10">
        <f ca="1"/>
        <v>3.8774938060395447E-2</v>
      </c>
      <c r="C152" s="10">
        <f ca="1"/>
        <v>7.484483378256962E-2</v>
      </c>
      <c r="D152" s="10">
        <f ca="1"/>
        <v>4.2992093441150042E-2</v>
      </c>
      <c r="E152" s="10">
        <f ca="1"/>
        <v>3.1852740341419584E-2</v>
      </c>
      <c r="G152" s="10">
        <f ca="1"/>
        <v>0.32555431076601976</v>
      </c>
      <c r="H152" s="10">
        <f ca="1"/>
        <v>0.38515217204288615</v>
      </c>
      <c r="I152" s="10">
        <f ca="1"/>
        <v>6.700629784635527E-2</v>
      </c>
      <c r="K152">
        <f ca="1"/>
        <v>-17.280897560402856</v>
      </c>
      <c r="L152">
        <f ca="1"/>
        <v>-17.760759092253821</v>
      </c>
      <c r="M152">
        <f ca="1"/>
        <v>23.53906923758537</v>
      </c>
      <c r="O152">
        <f ca="1"/>
        <v>1.4275772385986187</v>
      </c>
      <c r="P152">
        <f ca="1"/>
        <v>0.86863627249111919</v>
      </c>
      <c r="Q152">
        <f ca="1"/>
        <v>-0.50850915587740708</v>
      </c>
      <c r="S152" s="10">
        <f ca="1"/>
        <v>2.9950893609185777E-2</v>
      </c>
      <c r="T152" s="10">
        <f ca="1"/>
        <v>3.1148802717955669E-3</v>
      </c>
      <c r="U152" s="10">
        <f ca="1"/>
        <v>0.11760712527742846</v>
      </c>
    </row>
    <row r="153" spans="1:21" x14ac:dyDescent="0.25">
      <c r="A153" s="5">
        <f ca="1"/>
        <v>41608</v>
      </c>
      <c r="B153" s="10">
        <f ca="1"/>
        <v>9.2130395622421313E-2</v>
      </c>
      <c r="C153" s="10">
        <f ca="1"/>
        <v>7.3230904860580939E-2</v>
      </c>
      <c r="D153" s="10">
        <f ca="1"/>
        <v>4.1478350965208854E-2</v>
      </c>
      <c r="E153" s="10">
        <f ca="1"/>
        <v>3.1752553895372085E-2</v>
      </c>
      <c r="G153" s="10">
        <f ca="1"/>
        <v>0.29606869004868458</v>
      </c>
      <c r="H153" s="10">
        <f ca="1"/>
        <v>0.33216496228534176</v>
      </c>
      <c r="I153" s="10">
        <f ca="1"/>
        <v>3.1378042570104861E-2</v>
      </c>
      <c r="K153">
        <f ca="1"/>
        <v>-16.51993895013511</v>
      </c>
      <c r="L153">
        <f ca="1"/>
        <v>-16.247548359013543</v>
      </c>
      <c r="M153">
        <f ca="1"/>
        <v>12.441209964419077</v>
      </c>
      <c r="O153">
        <f ca="1"/>
        <v>1.3785137547647581</v>
      </c>
      <c r="P153">
        <f ca="1"/>
        <v>0.81704004403619535</v>
      </c>
      <c r="Q153">
        <f ca="1"/>
        <v>-0.13759590188501447</v>
      </c>
      <c r="S153" s="10">
        <f ca="1"/>
        <v>2.0000110285140118E-2</v>
      </c>
      <c r="T153" s="10">
        <f ca="1"/>
        <v>0.1776261364659304</v>
      </c>
      <c r="U153" s="10">
        <f ca="1"/>
        <v>8.1923055945788845E-2</v>
      </c>
    </row>
    <row r="154" spans="1:21" x14ac:dyDescent="0.25">
      <c r="A154" s="5">
        <f ca="1"/>
        <v>41578</v>
      </c>
      <c r="B154" s="10">
        <f ca="1"/>
        <v>0.19771826494400946</v>
      </c>
      <c r="C154" s="10">
        <f ca="1"/>
        <v>7.267927868732775E-2</v>
      </c>
      <c r="D154" s="10">
        <f ca="1"/>
        <v>4.0612349194181316E-2</v>
      </c>
      <c r="E154" s="10">
        <f ca="1"/>
        <v>3.2066929493146434E-2</v>
      </c>
      <c r="G154" s="10">
        <f ca="1"/>
        <v>0.2851883061634975</v>
      </c>
      <c r="H154" s="10">
        <f ca="1"/>
        <v>0.28310843315710965</v>
      </c>
      <c r="I154" s="10">
        <f ca="1"/>
        <v>2.0255377833245511E-3</v>
      </c>
      <c r="K154">
        <f ca="1"/>
        <v>-15.96250242513595</v>
      </c>
      <c r="L154">
        <f ca="1"/>
        <v>-15.128344431136972</v>
      </c>
      <c r="M154">
        <f ca="1"/>
        <v>2.3896350998761844</v>
      </c>
      <c r="O154">
        <f ca="1"/>
        <v>1.3428377687418203</v>
      </c>
      <c r="P154">
        <f ca="1"/>
        <v>0.77793661277822901</v>
      </c>
      <c r="Q154">
        <f ca="1"/>
        <v>0.1993074501817752</v>
      </c>
      <c r="S154" s="10">
        <f ca="1"/>
        <v>0.18079439046094153</v>
      </c>
      <c r="T154" s="10">
        <f ca="1"/>
        <v>0.3462114509539751</v>
      </c>
      <c r="U154" s="10">
        <f ca="1"/>
        <v>2.3531726726863777E-2</v>
      </c>
    </row>
    <row r="155" spans="1:21" x14ac:dyDescent="0.25">
      <c r="A155" s="5">
        <f ca="1"/>
        <v>41547</v>
      </c>
      <c r="B155" s="10">
        <f ca="1"/>
        <v>0.22690972466723247</v>
      </c>
      <c r="C155" s="10">
        <f ca="1"/>
        <v>7.2066829169205759E-2</v>
      </c>
      <c r="D155" s="10">
        <f ca="1"/>
        <v>3.9965652872417039E-2</v>
      </c>
      <c r="E155" s="10">
        <f ca="1"/>
        <v>3.2101176296788728E-2</v>
      </c>
      <c r="G155" s="10">
        <f ca="1"/>
        <v>0.2826808435792395</v>
      </c>
      <c r="H155" s="10">
        <f ca="1"/>
        <v>0.28211740403653413</v>
      </c>
      <c r="I155" s="10">
        <f ca="1"/>
        <v>3.944799696196699E-3</v>
      </c>
      <c r="K155">
        <f ca="1"/>
        <v>-14.425440595014249</v>
      </c>
      <c r="L155">
        <f ca="1"/>
        <v>-15.589581580887792</v>
      </c>
      <c r="M155">
        <f ca="1"/>
        <v>-2.630815243401929</v>
      </c>
      <c r="O155">
        <f ca="1"/>
        <v>1.2420248066555515</v>
      </c>
      <c r="P155">
        <f ca="1"/>
        <v>0.79065588159992017</v>
      </c>
      <c r="Q155">
        <f ca="1"/>
        <v>0.3680420508056314</v>
      </c>
      <c r="S155" s="10">
        <f ca="1"/>
        <v>0.14096837971172957</v>
      </c>
      <c r="T155" s="10">
        <f ca="1"/>
        <v>4.1989663722218185E-2</v>
      </c>
      <c r="U155" s="10">
        <f ca="1"/>
        <v>3.1584411780659023E-2</v>
      </c>
    </row>
    <row r="156" spans="1:21" x14ac:dyDescent="0.25">
      <c r="A156" s="5">
        <f ca="1"/>
        <v>41517</v>
      </c>
      <c r="B156" s="10">
        <f ca="1"/>
        <v>0.29052580903905145</v>
      </c>
      <c r="C156" s="10">
        <f ca="1"/>
        <v>7.0005853712926475E-2</v>
      </c>
      <c r="D156" s="10">
        <f ca="1"/>
        <v>3.8508325280606555E-2</v>
      </c>
      <c r="E156" s="10">
        <f ca="1"/>
        <v>3.1497528432319927E-2</v>
      </c>
      <c r="G156" s="10">
        <f ca="1"/>
        <v>0.38213679347835439</v>
      </c>
      <c r="H156" s="10">
        <f ca="1"/>
        <v>0.34851383194300622</v>
      </c>
      <c r="I156" s="10">
        <f ca="1"/>
        <v>6.4231768706802139E-2</v>
      </c>
      <c r="K156">
        <f ca="1"/>
        <v>-14.726610167314249</v>
      </c>
      <c r="L156">
        <f ca="1"/>
        <v>-18.039365596168444</v>
      </c>
      <c r="M156">
        <f ca="1"/>
        <v>-9.6893656233353163</v>
      </c>
      <c r="O156">
        <f ca="1"/>
        <v>1.2615344700033955</v>
      </c>
      <c r="P156">
        <f ca="1"/>
        <v>0.86663985575815294</v>
      </c>
      <c r="Q156">
        <f ca="1"/>
        <v>0.60457673253030686</v>
      </c>
      <c r="S156" s="10">
        <f ca="1"/>
        <v>3.6266207841860978E-2</v>
      </c>
      <c r="T156" s="10">
        <f ca="1"/>
        <v>4.0084392118289992E-2</v>
      </c>
      <c r="U156" s="10">
        <f ca="1"/>
        <v>0.18974991235973648</v>
      </c>
    </row>
    <row r="157" spans="1:21" x14ac:dyDescent="0.25">
      <c r="A157" s="5">
        <f ca="1"/>
        <v>41486</v>
      </c>
      <c r="B157" s="10">
        <f ca="1"/>
        <v>0.23715543647488757</v>
      </c>
      <c r="C157" s="10">
        <f ca="1"/>
        <v>7.018035772661467E-2</v>
      </c>
      <c r="D157" s="10">
        <f ca="1"/>
        <v>3.84907299304161E-2</v>
      </c>
      <c r="E157" s="10">
        <f ca="1"/>
        <v>3.168962779619857E-2</v>
      </c>
      <c r="G157" s="10">
        <f ca="1"/>
        <v>0.45210201533294198</v>
      </c>
      <c r="H157" s="10">
        <f ca="1"/>
        <v>0.40331374432480227</v>
      </c>
      <c r="I157" s="10">
        <f ca="1"/>
        <v>0.19111214464920112</v>
      </c>
      <c r="K157">
        <f ca="1"/>
        <v>-12.384997639332198</v>
      </c>
      <c r="L157">
        <f ca="1"/>
        <v>-20.484738828112825</v>
      </c>
      <c r="M157">
        <f ca="1"/>
        <v>-11.365232564133432</v>
      </c>
      <c r="O157">
        <f ca="1"/>
        <v>1.1052963481658613</v>
      </c>
      <c r="P157">
        <f ca="1"/>
        <v>0.94089953256422865</v>
      </c>
      <c r="Q157">
        <f ca="1"/>
        <v>0.66154031868634877</v>
      </c>
      <c r="S157" s="10">
        <f ca="1"/>
        <v>2.0786092286133696E-2</v>
      </c>
      <c r="T157" s="10">
        <f ca="1"/>
        <v>0.28837582561154479</v>
      </c>
      <c r="U157" s="10">
        <f ca="1"/>
        <v>0.29620598423703615</v>
      </c>
    </row>
    <row r="158" spans="1:21" x14ac:dyDescent="0.25">
      <c r="A158" s="5">
        <f ca="1"/>
        <v>41455</v>
      </c>
      <c r="B158" s="10">
        <f ca="1"/>
        <v>0.28737819985429391</v>
      </c>
      <c r="C158" s="10">
        <f ca="1"/>
        <v>7.1063303242498377E-2</v>
      </c>
      <c r="D158" s="10">
        <f ca="1"/>
        <v>3.8216391537069849E-2</v>
      </c>
      <c r="E158" s="10">
        <f ca="1"/>
        <v>3.2846911705428535E-2</v>
      </c>
      <c r="G158" s="10">
        <f ca="1"/>
        <v>0.47371133733126941</v>
      </c>
      <c r="H158" s="10">
        <f ca="1"/>
        <v>0.44916371227092095</v>
      </c>
      <c r="I158" s="10">
        <f ca="1"/>
        <v>0.25576926928605043</v>
      </c>
      <c r="K158">
        <f ca="1"/>
        <v>-10.803559418062791</v>
      </c>
      <c r="L158">
        <f ca="1"/>
        <v>-21.667198684983241</v>
      </c>
      <c r="M158">
        <f ca="1"/>
        <v>-11.063839914916215</v>
      </c>
      <c r="O158">
        <f ca="1"/>
        <v>1.0004472891841114</v>
      </c>
      <c r="P158">
        <f ca="1"/>
        <v>0.97693697839751126</v>
      </c>
      <c r="Q158">
        <f ca="1"/>
        <v>0.65252249710223298</v>
      </c>
      <c r="S158" s="10">
        <f ca="1"/>
        <v>7.1088845650607344E-2</v>
      </c>
      <c r="T158" s="10">
        <f ca="1"/>
        <v>0.45056448684318906</v>
      </c>
      <c r="U158" s="10">
        <f ca="1"/>
        <v>0.40334267972375137</v>
      </c>
    </row>
    <row r="159" spans="1:21" x14ac:dyDescent="0.25">
      <c r="A159" s="5">
        <f ca="1"/>
        <v>41425</v>
      </c>
      <c r="B159" s="10">
        <f ca="1"/>
        <v>0.29051842268093786</v>
      </c>
      <c r="C159" s="10">
        <f ca="1"/>
        <v>7.0554722497288627E-2</v>
      </c>
      <c r="D159" s="10">
        <f ca="1"/>
        <v>3.7874852642995234E-2</v>
      </c>
      <c r="E159" s="10">
        <f ca="1"/>
        <v>3.2679869854293393E-2</v>
      </c>
      <c r="G159" s="10">
        <f ca="1"/>
        <v>0.51237290154245685</v>
      </c>
      <c r="H159" s="10">
        <f ca="1"/>
        <v>0.50148070593624339</v>
      </c>
      <c r="I159" s="10">
        <f ca="1"/>
        <v>0.31382666902479583</v>
      </c>
      <c r="K159">
        <f ca="1"/>
        <v>-10.297489896369624</v>
      </c>
      <c r="L159">
        <f ca="1"/>
        <v>-22.912174070738018</v>
      </c>
      <c r="M159">
        <f ca="1"/>
        <v>-11.260382721723778</v>
      </c>
      <c r="O159">
        <f ca="1"/>
        <v>0.96612306413776272</v>
      </c>
      <c r="P159">
        <f ca="1"/>
        <v>1.014370573472781</v>
      </c>
      <c r="Q159">
        <f ca="1"/>
        <v>0.65919435092336942</v>
      </c>
      <c r="S159" s="10">
        <f ca="1"/>
        <v>0.11572547451167843</v>
      </c>
      <c r="T159" s="10">
        <f ca="1"/>
        <v>0.54741523541303938</v>
      </c>
      <c r="U159" s="10">
        <f ca="1"/>
        <v>0.53387311947250504</v>
      </c>
    </row>
    <row r="160" spans="1:21" x14ac:dyDescent="0.25">
      <c r="A160" s="5">
        <f ca="1"/>
        <v>41394</v>
      </c>
      <c r="B160" s="10">
        <f ca="1"/>
        <v>0.24876534818927531</v>
      </c>
      <c r="C160" s="10">
        <f ca="1"/>
        <v>6.9385076303716875E-2</v>
      </c>
      <c r="D160" s="10">
        <f ca="1"/>
        <v>3.8262054114783263E-2</v>
      </c>
      <c r="E160" s="10">
        <f ca="1"/>
        <v>3.1123022188933619E-2</v>
      </c>
      <c r="G160" s="10">
        <f ca="1"/>
        <v>0.56997106009458121</v>
      </c>
      <c r="H160" s="10">
        <f ca="1"/>
        <v>0.55360900023939297</v>
      </c>
      <c r="I160" s="10">
        <f ca="1"/>
        <v>0.38185324201256676</v>
      </c>
      <c r="K160">
        <f ca="1"/>
        <v>-10.698359300973303</v>
      </c>
      <c r="L160">
        <f ca="1"/>
        <v>-24.866033855989816</v>
      </c>
      <c r="M160">
        <f ca="1"/>
        <v>-12.312750823747141</v>
      </c>
      <c r="O160">
        <f ca="1"/>
        <v>0.99162693772071497</v>
      </c>
      <c r="P160">
        <f ca="1"/>
        <v>1.0734463386269115</v>
      </c>
      <c r="Q160">
        <f ca="1"/>
        <v>0.69444601893391567</v>
      </c>
      <c r="S160" s="10">
        <f ca="1"/>
        <v>0.20928307629719922</v>
      </c>
      <c r="T160" s="10">
        <f ca="1"/>
        <v>0.61859272085404093</v>
      </c>
      <c r="U160" s="10">
        <f ca="1"/>
        <v>0.59434212682476395</v>
      </c>
    </row>
    <row r="161" spans="1:21" x14ac:dyDescent="0.25">
      <c r="A161" s="5">
        <f ca="1"/>
        <v>41364</v>
      </c>
      <c r="B161" s="10">
        <f ca="1"/>
        <v>0.31207819271301229</v>
      </c>
      <c r="C161" s="10">
        <f ca="1"/>
        <v>7.0062049996714448E-2</v>
      </c>
      <c r="D161" s="10">
        <f ca="1"/>
        <v>3.7918368113248287E-2</v>
      </c>
      <c r="E161" s="10">
        <f ca="1"/>
        <v>3.2143681883466162E-2</v>
      </c>
      <c r="G161" s="10">
        <f ca="1"/>
        <v>0.61319106215232744</v>
      </c>
      <c r="H161" s="10">
        <f ca="1"/>
        <v>0.58723931067565671</v>
      </c>
      <c r="I161" s="10">
        <f ca="1"/>
        <v>0.44076636380162953</v>
      </c>
      <c r="K161">
        <f ca="1"/>
        <v>-11.078170378496832</v>
      </c>
      <c r="L161">
        <f ca="1"/>
        <v>-26.646387954829009</v>
      </c>
      <c r="M161">
        <f ca="1"/>
        <v>-13.231037822265801</v>
      </c>
      <c r="O161">
        <f ca="1"/>
        <v>1.0164833227115646</v>
      </c>
      <c r="P161">
        <f ca="1"/>
        <v>1.1267632319962644</v>
      </c>
      <c r="Q161">
        <f ca="1"/>
        <v>0.72651448108391525</v>
      </c>
      <c r="S161" s="10">
        <f ca="1"/>
        <v>0.34006890274371437</v>
      </c>
      <c r="T161" s="10">
        <f ca="1"/>
        <v>0.67353489850807924</v>
      </c>
      <c r="U161" s="10">
        <f ca="1"/>
        <v>0.57814027963188097</v>
      </c>
    </row>
    <row r="162" spans="1:21" x14ac:dyDescent="0.25">
      <c r="A162" s="5">
        <f ca="1"/>
        <v>41333</v>
      </c>
      <c r="B162" s="10">
        <f ca="1"/>
        <v>0.36501438275909392</v>
      </c>
      <c r="C162" s="10">
        <f ca="1"/>
        <v>7.0544630789438623E-2</v>
      </c>
      <c r="D162" s="10">
        <f ca="1"/>
        <v>3.7154346957034894E-2</v>
      </c>
      <c r="E162" s="10">
        <f ca="1"/>
        <v>3.3390283832403722E-2</v>
      </c>
      <c r="G162" s="10">
        <f ca="1"/>
        <v>0.6428076778682007</v>
      </c>
      <c r="H162" s="10">
        <f ca="1"/>
        <v>0.63344286434279673</v>
      </c>
      <c r="I162" s="10">
        <f ca="1"/>
        <v>0.4795503229323046</v>
      </c>
      <c r="K162">
        <f ca="1"/>
        <v>-10.979871007850324</v>
      </c>
      <c r="L162">
        <f ca="1"/>
        <v>-27.70108264236508</v>
      </c>
      <c r="M162">
        <f ca="1"/>
        <v>-13.441399545471842</v>
      </c>
      <c r="O162">
        <f ca="1"/>
        <v>1.0087748618578793</v>
      </c>
      <c r="P162">
        <f ca="1"/>
        <v>1.1574716752667762</v>
      </c>
      <c r="Q162">
        <f ca="1"/>
        <v>0.73342131415143519</v>
      </c>
      <c r="S162" s="10">
        <f ca="1"/>
        <v>0.43153383719783028</v>
      </c>
      <c r="T162" s="10">
        <f ca="1"/>
        <v>0.7206948505064239</v>
      </c>
      <c r="U162" s="10">
        <f ca="1"/>
        <v>0.58417641648710117</v>
      </c>
    </row>
    <row r="163" spans="1:21" x14ac:dyDescent="0.25">
      <c r="A163" s="5">
        <f ca="1"/>
        <v>41305</v>
      </c>
      <c r="B163" s="10">
        <f ca="1"/>
        <v>0.34706401303008882</v>
      </c>
      <c r="C163" s="10">
        <f ca="1"/>
        <v>6.9376578492622618E-2</v>
      </c>
      <c r="D163" s="10">
        <f ca="1"/>
        <v>3.6851085243348965E-2</v>
      </c>
      <c r="E163" s="10">
        <f ca="1"/>
        <v>3.2525493249273653E-2</v>
      </c>
      <c r="G163" s="10">
        <f ca="1"/>
        <v>0.67351280521446288</v>
      </c>
      <c r="H163" s="10">
        <f ca="1"/>
        <v>0.68188551230773797</v>
      </c>
      <c r="I163" s="10">
        <f ca="1"/>
        <v>0.51148519993718733</v>
      </c>
      <c r="K163">
        <f ca="1"/>
        <v>-10.91898405178474</v>
      </c>
      <c r="L163">
        <f ca="1"/>
        <v>-27.791047040751703</v>
      </c>
      <c r="M163">
        <f ca="1"/>
        <v>-13.769376075576821</v>
      </c>
      <c r="O163">
        <f ca="1"/>
        <v>1.0025160439060614</v>
      </c>
      <c r="P163">
        <f ca="1"/>
        <v>1.1572319680186953</v>
      </c>
      <c r="Q163">
        <f ca="1"/>
        <v>0.74274156126170676</v>
      </c>
      <c r="S163" s="10">
        <f ca="1"/>
        <v>0.488513444725378</v>
      </c>
      <c r="T163" s="10">
        <f ca="1"/>
        <v>0.75770541316046769</v>
      </c>
      <c r="U163" s="10">
        <f ca="1"/>
        <v>0.63815476656033865</v>
      </c>
    </row>
    <row r="164" spans="1:21" x14ac:dyDescent="0.25">
      <c r="A164" s="5">
        <f ca="1"/>
        <v>41274</v>
      </c>
      <c r="B164" s="10">
        <f ca="1"/>
        <v>0.38290839235465723</v>
      </c>
      <c r="C164" s="10">
        <f ca="1"/>
        <v>6.9037834867947401E-2</v>
      </c>
      <c r="D164" s="10">
        <f ca="1"/>
        <v>3.3629741199651397E-2</v>
      </c>
      <c r="E164" s="10">
        <f ca="1"/>
        <v>3.540809366829601E-2</v>
      </c>
      <c r="G164" s="10">
        <f ca="1"/>
        <v>0.70448594252112173</v>
      </c>
      <c r="H164" s="10">
        <f ca="1"/>
        <v>0.72674371413520389</v>
      </c>
      <c r="I164" s="10">
        <f ca="1"/>
        <v>0.54739080805307294</v>
      </c>
      <c r="K164">
        <f ca="1"/>
        <v>-10.982867969191195</v>
      </c>
      <c r="L164">
        <f ca="1"/>
        <v>-28.449875468573435</v>
      </c>
      <c r="M164">
        <f ca="1"/>
        <v>-14.181339767553897</v>
      </c>
      <c r="O164">
        <f ca="1"/>
        <v>1.0049271665752317</v>
      </c>
      <c r="P164">
        <f ca="1"/>
        <v>1.1750901054536897</v>
      </c>
      <c r="Q164">
        <f ca="1"/>
        <v>0.7556544868477475</v>
      </c>
      <c r="S164" s="10">
        <f ca="1"/>
        <v>0.55217849502933902</v>
      </c>
      <c r="T164" s="10">
        <f ca="1"/>
        <v>0.78144361626909242</v>
      </c>
      <c r="U164" s="10">
        <f ca="1"/>
        <v>0.6519557712394034</v>
      </c>
    </row>
    <row r="165" spans="1:21" x14ac:dyDescent="0.25">
      <c r="A165" s="5">
        <f ca="1"/>
        <v>41243</v>
      </c>
      <c r="B165" s="10">
        <f ca="1"/>
        <v>0.41462943915047035</v>
      </c>
      <c r="C165" s="10">
        <f ca="1"/>
        <v>6.6510017266159294E-2</v>
      </c>
      <c r="D165" s="10">
        <f ca="1"/>
        <v>3.3899644066325202E-2</v>
      </c>
      <c r="E165" s="10">
        <f ca="1"/>
        <v>3.2610373199834092E-2</v>
      </c>
      <c r="G165" s="10">
        <f ca="1"/>
        <v>0.7314997840630415</v>
      </c>
      <c r="H165" s="10">
        <f ca="1"/>
        <v>0.75458869368237214</v>
      </c>
      <c r="I165" s="10">
        <f ca="1"/>
        <v>0.57872833370264487</v>
      </c>
      <c r="K165">
        <f ca="1"/>
        <v>-11.175110447012161</v>
      </c>
      <c r="L165">
        <f ca="1"/>
        <v>-29.0370068584254</v>
      </c>
      <c r="M165">
        <f ca="1"/>
        <v>-14.662185734475084</v>
      </c>
      <c r="O165">
        <f ca="1"/>
        <v>1.0150201368250278</v>
      </c>
      <c r="P165">
        <f ca="1"/>
        <v>1.190528316590058</v>
      </c>
      <c r="Q165">
        <f ca="1"/>
        <v>0.76924205207284169</v>
      </c>
      <c r="S165" s="10">
        <f ca="1"/>
        <v>0.58583955338244531</v>
      </c>
      <c r="T165" s="10">
        <f ca="1"/>
        <v>0.79169875148471325</v>
      </c>
      <c r="U165" s="10">
        <f ca="1"/>
        <v>0.65496418081926999</v>
      </c>
    </row>
    <row r="166" spans="1:21" x14ac:dyDescent="0.25">
      <c r="A166" s="5">
        <f ca="1"/>
        <v>41213</v>
      </c>
      <c r="B166" s="10">
        <f ca="1"/>
        <v>0.36717510566486</v>
      </c>
      <c r="C166" s="10">
        <f ca="1"/>
        <v>6.4992454410032222E-2</v>
      </c>
      <c r="D166" s="10">
        <f ca="1"/>
        <v>3.3329601106037443E-2</v>
      </c>
      <c r="E166" s="10">
        <f ca="1"/>
        <v>3.1662853303994778E-2</v>
      </c>
      <c r="G166" s="10">
        <f ca="1"/>
        <v>0.7541731563058981</v>
      </c>
      <c r="H166" s="10">
        <f ca="1"/>
        <v>0.78806890862446333</v>
      </c>
      <c r="I166" s="10">
        <f ca="1"/>
        <v>0.59591029708213183</v>
      </c>
      <c r="K166">
        <f ca="1"/>
        <v>-11.357604972004756</v>
      </c>
      <c r="L166">
        <f ca="1"/>
        <v>-29.135310464549633</v>
      </c>
      <c r="M166">
        <f ca="1"/>
        <v>-15.142345239274436</v>
      </c>
      <c r="O166">
        <f ca="1"/>
        <v>1.0241328566828449</v>
      </c>
      <c r="P166">
        <f ca="1"/>
        <v>1.1900734131221407</v>
      </c>
      <c r="Q166">
        <f ca="1"/>
        <v>0.78200776225976343</v>
      </c>
      <c r="S166" s="10">
        <f ca="1"/>
        <v>0.64376778214115793</v>
      </c>
      <c r="T166" s="10">
        <f ca="1"/>
        <v>0.8097053301323347</v>
      </c>
      <c r="U166" s="10">
        <f ca="1"/>
        <v>0.61554196189195487</v>
      </c>
    </row>
    <row r="167" spans="1:21" x14ac:dyDescent="0.25">
      <c r="A167" s="5">
        <f ca="1"/>
        <v>41182</v>
      </c>
      <c r="B167" s="10">
        <f ca="1"/>
        <v>0.36063770375943438</v>
      </c>
      <c r="C167" s="10">
        <f ca="1"/>
        <v>6.6114894702753627E-2</v>
      </c>
      <c r="D167" s="10">
        <f ca="1"/>
        <v>3.3282860002747737E-2</v>
      </c>
      <c r="E167" s="10">
        <f ca="1"/>
        <v>3.283203470000589E-2</v>
      </c>
      <c r="G167" s="10">
        <f ca="1"/>
        <v>0.7647052931837508</v>
      </c>
      <c r="H167" s="10">
        <f ca="1"/>
        <v>0.81210679524550944</v>
      </c>
      <c r="I167" s="10">
        <f ca="1"/>
        <v>0.59574893168185583</v>
      </c>
      <c r="K167">
        <f ca="1"/>
        <v>-11.665676190883442</v>
      </c>
      <c r="L167">
        <f ca="1"/>
        <v>-29.440815102524301</v>
      </c>
      <c r="M167">
        <f ca="1"/>
        <v>-15.691086392794263</v>
      </c>
      <c r="O167">
        <f ca="1"/>
        <v>1.042252656431675</v>
      </c>
      <c r="P167">
        <f ca="1"/>
        <v>1.1970926096551813</v>
      </c>
      <c r="Q167">
        <f ca="1"/>
        <v>0.79697244052178484</v>
      </c>
      <c r="S167" s="10">
        <f ca="1"/>
        <v>0.63671607891901272</v>
      </c>
      <c r="T167" s="10">
        <f ca="1"/>
        <v>0.80056167111051535</v>
      </c>
      <c r="U167" s="10">
        <f ca="1"/>
        <v>0.54793254562050087</v>
      </c>
    </row>
    <row r="168" spans="1:21" x14ac:dyDescent="0.25">
      <c r="A168" s="5">
        <f ca="1"/>
        <v>41152</v>
      </c>
      <c r="B168" s="10">
        <f ca="1"/>
        <v>0.36755108588670127</v>
      </c>
      <c r="C168" s="10">
        <f ca="1"/>
        <v>6.3554641830971953E-2</v>
      </c>
      <c r="D168" s="10">
        <f ca="1"/>
        <v>3.1744278212622608E-2</v>
      </c>
      <c r="E168" s="10">
        <f ca="1"/>
        <v>3.1810363618349352E-2</v>
      </c>
      <c r="G168" s="10">
        <f ca="1"/>
        <v>0.76579026018427876</v>
      </c>
      <c r="H168" s="10">
        <f ca="1"/>
        <v>0.82718858405323581</v>
      </c>
      <c r="I168" s="10">
        <f ca="1"/>
        <v>0.58792388701186626</v>
      </c>
      <c r="K168">
        <f ca="1"/>
        <v>-12.006762126708717</v>
      </c>
      <c r="L168">
        <f ca="1"/>
        <v>-30.085172595316664</v>
      </c>
      <c r="M168">
        <f ca="1"/>
        <v>-16.202935967341229</v>
      </c>
      <c r="O168">
        <f ca="1"/>
        <v>1.0616822915212127</v>
      </c>
      <c r="P168">
        <f ca="1"/>
        <v>1.2145155106012715</v>
      </c>
      <c r="Q168">
        <f ca="1"/>
        <v>0.8095310218727827</v>
      </c>
      <c r="S168" s="10">
        <f ca="1"/>
        <v>0.62493075799096542</v>
      </c>
      <c r="T168" s="10">
        <f ca="1"/>
        <v>0.78326625747156553</v>
      </c>
      <c r="U168" s="10">
        <f ca="1"/>
        <v>0.52696405782785882</v>
      </c>
    </row>
    <row r="169" spans="1:21" x14ac:dyDescent="0.25">
      <c r="A169" s="5">
        <f ca="1"/>
        <v>41121</v>
      </c>
      <c r="B169" s="10">
        <f ca="1"/>
        <v>0.36585420680711755</v>
      </c>
      <c r="C169" s="10">
        <f ca="1"/>
        <v>6.3079822505858307E-2</v>
      </c>
      <c r="D169" s="10">
        <f ca="1"/>
        <v>3.1263399311960913E-2</v>
      </c>
      <c r="E169" s="10">
        <f ca="1"/>
        <v>3.1816423193897395E-2</v>
      </c>
      <c r="G169" s="10">
        <f ca="1"/>
        <v>0.76959608216669773</v>
      </c>
      <c r="H169" s="10">
        <f ca="1"/>
        <v>0.83898430640009303</v>
      </c>
      <c r="I169" s="10">
        <f ca="1"/>
        <v>0.58503081186876527</v>
      </c>
      <c r="K169">
        <f ca="1"/>
        <v>-12.273830817263326</v>
      </c>
      <c r="L169">
        <f ca="1"/>
        <v>-30.436059769791775</v>
      </c>
      <c r="M169">
        <f ca="1"/>
        <v>-16.650125725664445</v>
      </c>
      <c r="O169">
        <f ca="1"/>
        <v>1.076949432748447</v>
      </c>
      <c r="P169">
        <f ca="1"/>
        <v>1.2232650773555005</v>
      </c>
      <c r="Q169">
        <f ca="1"/>
        <v>0.82052731186837335</v>
      </c>
      <c r="S169" s="10">
        <f ca="1"/>
        <v>0.6660535034007149</v>
      </c>
      <c r="T169" s="10">
        <f ca="1"/>
        <v>0.79416795270145768</v>
      </c>
      <c r="U169" s="10">
        <f ca="1"/>
        <v>0.41410204792172955</v>
      </c>
    </row>
    <row r="170" spans="1:21" x14ac:dyDescent="0.25">
      <c r="A170" s="5">
        <f ca="1"/>
        <v>41090</v>
      </c>
      <c r="B170" s="10">
        <f ca="1"/>
        <v>0.3745374396833312</v>
      </c>
      <c r="C170" s="10">
        <f ca="1"/>
        <v>6.5316143767279719E-2</v>
      </c>
      <c r="D170" s="10">
        <f ca="1"/>
        <v>3.2150498858035823E-2</v>
      </c>
      <c r="E170" s="10">
        <f ca="1"/>
        <v>3.3165644909243897E-2</v>
      </c>
      <c r="G170" s="10">
        <f ca="1"/>
        <v>0.7809765615805544</v>
      </c>
      <c r="H170" s="10">
        <f ca="1"/>
        <v>0.84885936185589772</v>
      </c>
      <c r="I170" s="10">
        <f ca="1"/>
        <v>0.5823235062035923</v>
      </c>
      <c r="K170">
        <f ca="1"/>
        <v>-12.462780297870863</v>
      </c>
      <c r="L170">
        <f ca="1"/>
        <v>-29.674519667903567</v>
      </c>
      <c r="M170">
        <f ca="1"/>
        <v>-17.097468113331814</v>
      </c>
      <c r="O170">
        <f ca="1"/>
        <v>1.0880280790128252</v>
      </c>
      <c r="P170">
        <f ca="1"/>
        <v>1.19642768108257</v>
      </c>
      <c r="Q170">
        <f ca="1"/>
        <v>0.83155563486705941</v>
      </c>
      <c r="S170" s="10">
        <f ca="1"/>
        <v>0.70501984350479208</v>
      </c>
      <c r="T170" s="10">
        <f ca="1"/>
        <v>0.80822373881115961</v>
      </c>
      <c r="U170" s="10">
        <f ca="1"/>
        <v>0.30214274531697644</v>
      </c>
    </row>
    <row r="171" spans="1:21" x14ac:dyDescent="0.25">
      <c r="A171" s="5">
        <f ca="1"/>
        <v>41060</v>
      </c>
      <c r="B171" s="10">
        <f ca="1"/>
        <v>0.4190700155940501</v>
      </c>
      <c r="C171" s="10">
        <f ca="1"/>
        <v>6.4831610402196732E-2</v>
      </c>
      <c r="D171" s="10">
        <f ca="1"/>
        <v>3.1815033920206751E-2</v>
      </c>
      <c r="E171" s="10">
        <f ca="1"/>
        <v>3.3016576481989988E-2</v>
      </c>
      <c r="G171" s="10">
        <f ca="1"/>
        <v>0.78329248510488114</v>
      </c>
      <c r="H171" s="10">
        <f ca="1"/>
        <v>0.86407491203937703</v>
      </c>
      <c r="I171" s="10">
        <f ca="1"/>
        <v>0.56036131910326237</v>
      </c>
      <c r="K171">
        <f ca="1"/>
        <v>-12.760188458847692</v>
      </c>
      <c r="L171">
        <f ca="1"/>
        <v>-29.568768880911577</v>
      </c>
      <c r="M171">
        <f ca="1"/>
        <v>-17.42249156768391</v>
      </c>
      <c r="O171">
        <f ca="1"/>
        <v>1.1047817734770682</v>
      </c>
      <c r="P171">
        <f ca="1"/>
        <v>1.190344554870653</v>
      </c>
      <c r="Q171">
        <f ca="1"/>
        <v>0.8348789322189788</v>
      </c>
      <c r="S171" s="10">
        <f ca="1"/>
        <v>0.69982320078485005</v>
      </c>
      <c r="T171" s="10">
        <f ca="1"/>
        <v>0.7954510065609639</v>
      </c>
      <c r="U171" s="10">
        <f ca="1"/>
        <v>0.27981294602581425</v>
      </c>
    </row>
    <row r="172" spans="1:21" x14ac:dyDescent="0.25">
      <c r="A172" s="5">
        <f ca="1"/>
        <v>41029</v>
      </c>
      <c r="B172" s="10">
        <f ca="1"/>
        <v>0.2751821807090431</v>
      </c>
      <c r="C172" s="10">
        <f ca="1"/>
        <v>6.5791959567192471E-2</v>
      </c>
      <c r="D172" s="10">
        <f ca="1"/>
        <v>3.360916958313695E-2</v>
      </c>
      <c r="E172" s="10">
        <f ca="1"/>
        <v>3.2182789984055514E-2</v>
      </c>
      <c r="G172" s="10">
        <f ca="1"/>
        <v>0.77480302173977667</v>
      </c>
      <c r="H172" s="10">
        <f ca="1"/>
        <v>0.87543426201222352</v>
      </c>
      <c r="I172" s="10">
        <f ca="1"/>
        <v>0.53088671800201181</v>
      </c>
      <c r="K172">
        <f ca="1"/>
        <v>-13.055200570636423</v>
      </c>
      <c r="L172">
        <f ca="1"/>
        <v>-29.954689437658264</v>
      </c>
      <c r="M172">
        <f ca="1"/>
        <v>-17.623997504159117</v>
      </c>
      <c r="O172">
        <f ca="1"/>
        <v>1.1192066208955582</v>
      </c>
      <c r="P172">
        <f ca="1"/>
        <v>1.1990545181624628</v>
      </c>
      <c r="Q172">
        <f ca="1"/>
        <v>0.83129940968220972</v>
      </c>
      <c r="S172" s="10">
        <f ca="1"/>
        <v>0.68436535818047994</v>
      </c>
      <c r="T172" s="10">
        <f ca="1"/>
        <v>0.78701282219522217</v>
      </c>
      <c r="U172" s="10">
        <f ca="1"/>
        <v>0.23886595953842513</v>
      </c>
    </row>
    <row r="173" spans="1:21" x14ac:dyDescent="0.25">
      <c r="A173" s="5">
        <f ca="1"/>
        <v>40999</v>
      </c>
      <c r="B173" s="10">
        <f ca="1"/>
        <v>0.31231763814520175</v>
      </c>
      <c r="C173" s="10">
        <f ca="1"/>
        <v>6.6077609654866726E-2</v>
      </c>
      <c r="D173" s="10">
        <f ca="1"/>
        <v>3.3326113674369877E-2</v>
      </c>
      <c r="E173" s="10">
        <f ca="1"/>
        <v>3.2751495980496849E-2</v>
      </c>
      <c r="G173" s="10">
        <f ca="1"/>
        <v>0.75655519902204083</v>
      </c>
      <c r="H173" s="10">
        <f ca="1"/>
        <v>0.87242865848487394</v>
      </c>
      <c r="I173" s="10">
        <f ca="1"/>
        <v>0.50250293743841323</v>
      </c>
      <c r="K173">
        <f ca="1"/>
        <v>-13.276943806688577</v>
      </c>
      <c r="L173">
        <f ca="1"/>
        <v>-30.445267369100286</v>
      </c>
      <c r="M173">
        <f ca="1"/>
        <v>-17.739369021981176</v>
      </c>
      <c r="O173">
        <f ca="1"/>
        <v>1.1297402058653199</v>
      </c>
      <c r="P173">
        <f ca="1"/>
        <v>1.2116510700085699</v>
      </c>
      <c r="Q173">
        <f ca="1"/>
        <v>0.82728512741921534</v>
      </c>
      <c r="S173" s="10">
        <f ca="1"/>
        <v>0.61389091101594151</v>
      </c>
      <c r="T173" s="10">
        <f ca="1"/>
        <v>0.73726530604305174</v>
      </c>
      <c r="U173" s="10">
        <f ca="1"/>
        <v>0.20202368997146339</v>
      </c>
    </row>
    <row r="174" spans="1:21" x14ac:dyDescent="0.25">
      <c r="A174" s="5">
        <f ca="1"/>
        <v>40968</v>
      </c>
      <c r="B174" s="10">
        <f ca="1"/>
        <v>0.3222790020889974</v>
      </c>
      <c r="C174" s="10">
        <f ca="1"/>
        <v>6.5259654880696349E-2</v>
      </c>
      <c r="D174" s="10">
        <f ca="1"/>
        <v>3.2924035021557219E-2</v>
      </c>
      <c r="E174" s="10">
        <f ca="1"/>
        <v>3.2335619859139138E-2</v>
      </c>
      <c r="G174" s="10">
        <f ca="1"/>
        <v>0.74113034530815758</v>
      </c>
      <c r="H174" s="10">
        <f ca="1"/>
        <v>0.86844001555227246</v>
      </c>
      <c r="I174" s="10">
        <f ca="1"/>
        <v>0.48071850615882999</v>
      </c>
      <c r="K174">
        <f ca="1"/>
        <v>-13.381794940183976</v>
      </c>
      <c r="L174">
        <f ca="1"/>
        <v>-30.73377552780423</v>
      </c>
      <c r="M174">
        <f ca="1"/>
        <v>-17.721284680999716</v>
      </c>
      <c r="O174">
        <f ca="1"/>
        <v>1.1311449442597419</v>
      </c>
      <c r="P174">
        <f ca="1"/>
        <v>1.216422152373545</v>
      </c>
      <c r="Q174">
        <f ca="1"/>
        <v>0.81809211897298995</v>
      </c>
      <c r="S174" s="10">
        <f ca="1"/>
        <v>0.52140276231389893</v>
      </c>
      <c r="T174" s="10">
        <f ca="1"/>
        <v>0.66739305290404216</v>
      </c>
      <c r="U174" s="10">
        <f ca="1"/>
        <v>0.21459574114898347</v>
      </c>
    </row>
    <row r="175" spans="1:21" x14ac:dyDescent="0.25">
      <c r="A175" s="5">
        <f ca="1"/>
        <v>40939</v>
      </c>
      <c r="B175" s="10">
        <f ca="1"/>
        <v>0.33840796192967959</v>
      </c>
      <c r="C175" s="10">
        <f ca="1"/>
        <v>6.3559933378973504E-2</v>
      </c>
      <c r="D175" s="10">
        <f ca="1"/>
        <v>3.1659701431534633E-2</v>
      </c>
      <c r="E175" s="10">
        <f ca="1"/>
        <v>3.1900231947438872E-2</v>
      </c>
      <c r="G175" s="10">
        <f ca="1"/>
        <v>0.72841328049511289</v>
      </c>
      <c r="H175" s="10">
        <f ca="1"/>
        <v>0.86776266064050933</v>
      </c>
      <c r="I175" s="10">
        <f ca="1"/>
        <v>0.45950863299696693</v>
      </c>
      <c r="K175">
        <f ca="1"/>
        <v>-13.480813872439485</v>
      </c>
      <c r="L175">
        <f ca="1"/>
        <v>-30.971226855899896</v>
      </c>
      <c r="M175">
        <f ca="1"/>
        <v>-17.663231131209937</v>
      </c>
      <c r="O175">
        <f ca="1"/>
        <v>1.1324080690096494</v>
      </c>
      <c r="P175">
        <f ca="1"/>
        <v>1.2200340910107828</v>
      </c>
      <c r="Q175">
        <f ca="1"/>
        <v>0.80716131815582004</v>
      </c>
      <c r="S175" s="10">
        <f ca="1"/>
        <v>0.44110223810435373</v>
      </c>
      <c r="T175" s="10">
        <f ca="1"/>
        <v>0.60818364733407948</v>
      </c>
      <c r="U175" s="10">
        <f ca="1"/>
        <v>0.21517377563777582</v>
      </c>
    </row>
    <row r="176" spans="1:21" x14ac:dyDescent="0.25">
      <c r="A176" s="5">
        <f ca="1"/>
        <v>40908</v>
      </c>
      <c r="B176" s="10">
        <f ca="1"/>
        <v>0.33711043374078753</v>
      </c>
      <c r="C176" s="10">
        <f ca="1"/>
        <v>6.4929717537294304E-2</v>
      </c>
      <c r="D176" s="10">
        <f ca="1"/>
        <v>3.0923873481314399E-2</v>
      </c>
      <c r="E176" s="10">
        <f ca="1"/>
        <v>3.4005844055979902E-2</v>
      </c>
      <c r="G176" s="10">
        <f ca="1"/>
        <v>0.71491853770352765</v>
      </c>
      <c r="H176" s="10">
        <f ca="1"/>
        <v>0.8651356192321773</v>
      </c>
      <c r="I176" s="10">
        <f ca="1"/>
        <v>0.4385994160054596</v>
      </c>
      <c r="K176">
        <f ca="1"/>
        <v>-13.528401028300566</v>
      </c>
      <c r="L176">
        <f ca="1"/>
        <v>-31.124759538862445</v>
      </c>
      <c r="M176">
        <f ca="1"/>
        <v>-17.508947368869187</v>
      </c>
      <c r="O176">
        <f ca="1"/>
        <v>1.1298961152480325</v>
      </c>
      <c r="P176">
        <f ca="1"/>
        <v>1.2209490724490304</v>
      </c>
      <c r="Q176">
        <f ca="1"/>
        <v>0.79237811100403843</v>
      </c>
      <c r="S176" s="10">
        <f ca="1"/>
        <v>0.33596759575189183</v>
      </c>
      <c r="T176" s="10">
        <f ca="1"/>
        <v>0.51491380244764673</v>
      </c>
      <c r="U176" s="10">
        <f ca="1"/>
        <v>0.21348091747363754</v>
      </c>
    </row>
    <row r="177" spans="1:21" x14ac:dyDescent="0.25">
      <c r="A177" s="5">
        <f ca="1"/>
        <v>40877</v>
      </c>
      <c r="B177" s="10">
        <f ca="1"/>
        <v>0.30956086952094819</v>
      </c>
      <c r="C177" s="10">
        <f ca="1"/>
        <v>6.4733299506052666E-2</v>
      </c>
      <c r="D177" s="10">
        <f ca="1"/>
        <v>3.1472832896685274E-2</v>
      </c>
      <c r="E177" s="10">
        <f ca="1"/>
        <v>3.3260466609367392E-2</v>
      </c>
      <c r="G177" s="10">
        <f ca="1"/>
        <v>0.71023841336317817</v>
      </c>
      <c r="H177" s="10">
        <f ca="1"/>
        <v>0.8648670271051716</v>
      </c>
      <c r="I177" s="10">
        <f ca="1"/>
        <v>0.42984615257404707</v>
      </c>
      <c r="K177">
        <f ca="1"/>
        <v>-13.511712725527056</v>
      </c>
      <c r="L177">
        <f ca="1"/>
        <v>-31.094496558770988</v>
      </c>
      <c r="M177">
        <f ca="1"/>
        <v>-17.367173187703443</v>
      </c>
      <c r="O177">
        <f ca="1"/>
        <v>1.1244596292688551</v>
      </c>
      <c r="P177">
        <f ca="1"/>
        <v>1.2173286406009831</v>
      </c>
      <c r="Q177">
        <f ca="1"/>
        <v>0.78022447495047642</v>
      </c>
      <c r="S177" s="10">
        <f ca="1"/>
        <v>0.24707941598025221</v>
      </c>
      <c r="T177" s="10">
        <f ca="1"/>
        <v>0.40341728807178695</v>
      </c>
      <c r="U177" s="10">
        <f ca="1"/>
        <v>0.19819029717392028</v>
      </c>
    </row>
    <row r="178" spans="1:21" x14ac:dyDescent="0.25">
      <c r="A178" s="5">
        <f ca="1"/>
        <v>40847</v>
      </c>
      <c r="B178" s="10">
        <f ca="1"/>
        <v>0.34503304459691631</v>
      </c>
      <c r="C178" s="10">
        <f ca="1"/>
        <v>6.6733664142073656E-2</v>
      </c>
      <c r="D178" s="10">
        <f ca="1"/>
        <v>3.3118621049882474E-2</v>
      </c>
      <c r="E178" s="10">
        <f ca="1"/>
        <v>3.3615043092191176E-2</v>
      </c>
      <c r="G178" s="10">
        <f ca="1"/>
        <v>0.70685715686453288</v>
      </c>
      <c r="H178" s="10">
        <f ca="1"/>
        <v>0.86458367795265201</v>
      </c>
      <c r="I178" s="10">
        <f ca="1"/>
        <v>0.4226443515346886</v>
      </c>
      <c r="K178">
        <f ca="1"/>
        <v>-13.48273201094104</v>
      </c>
      <c r="L178">
        <f ca="1"/>
        <v>-30.997186664234576</v>
      </c>
      <c r="M178">
        <f ca="1"/>
        <v>-17.226516816582372</v>
      </c>
      <c r="O178">
        <f ca="1"/>
        <v>1.1197721241043637</v>
      </c>
      <c r="P178">
        <f ca="1"/>
        <v>1.2125283357749694</v>
      </c>
      <c r="Q178">
        <f ca="1"/>
        <v>0.77010907159792186</v>
      </c>
      <c r="S178" s="10">
        <f ca="1"/>
        <v>0.19237700200619934</v>
      </c>
      <c r="T178" s="10">
        <f ca="1"/>
        <v>0.32020040930827653</v>
      </c>
      <c r="U178" s="10">
        <f ca="1"/>
        <v>0.15244269869055846</v>
      </c>
    </row>
    <row r="179" spans="1:21" x14ac:dyDescent="0.25">
      <c r="A179" s="5">
        <f ca="1"/>
        <v>40816</v>
      </c>
      <c r="B179" s="10">
        <f ca="1"/>
        <v>0.41970264526666234</v>
      </c>
      <c r="C179" s="10">
        <f ca="1"/>
        <v>6.7664570054497913E-2</v>
      </c>
      <c r="D179" s="10">
        <f ca="1"/>
        <v>3.1320760660695349E-2</v>
      </c>
      <c r="E179" s="10">
        <f ca="1"/>
        <v>3.6343809393802572E-2</v>
      </c>
      <c r="G179" s="10">
        <f ca="1"/>
        <v>0.70044174568866102</v>
      </c>
      <c r="H179" s="10">
        <f ca="1"/>
        <v>0.86576986443332138</v>
      </c>
      <c r="I179" s="10">
        <f ca="1"/>
        <v>0.41200403318697398</v>
      </c>
      <c r="K179">
        <f ca="1"/>
        <v>-13.375079100516587</v>
      </c>
      <c r="L179">
        <f ca="1"/>
        <v>-30.854045084802515</v>
      </c>
      <c r="M179">
        <f ca="1"/>
        <v>-16.948626169070085</v>
      </c>
      <c r="O179">
        <f ca="1"/>
        <v>1.1063623549599213</v>
      </c>
      <c r="P179">
        <f ca="1"/>
        <v>1.2027796297552755</v>
      </c>
      <c r="Q179">
        <f ca="1"/>
        <v>0.75271046680806619</v>
      </c>
      <c r="S179" s="10">
        <f ca="1"/>
        <v>0.13222116777674781</v>
      </c>
      <c r="T179" s="10">
        <f ca="1"/>
        <v>0.23627668488559006</v>
      </c>
      <c r="U179" s="10">
        <f ca="1"/>
        <v>0.10747011754216648</v>
      </c>
    </row>
    <row r="180" spans="1:21" x14ac:dyDescent="0.25">
      <c r="A180" s="5">
        <f ca="1"/>
        <v>40786</v>
      </c>
      <c r="B180" s="10">
        <f ca="1"/>
        <v>0.33788936707692074</v>
      </c>
      <c r="C180" s="10">
        <f ca="1"/>
        <v>6.7253587205195517E-2</v>
      </c>
      <c r="D180" s="10">
        <f ca="1"/>
        <v>3.2563283465646117E-2</v>
      </c>
      <c r="E180" s="10">
        <f ca="1"/>
        <v>3.46903037395494E-2</v>
      </c>
      <c r="G180" s="10">
        <f ca="1"/>
        <v>0.69891569693233846</v>
      </c>
      <c r="H180" s="10">
        <f ca="1"/>
        <v>0.86783589400280503</v>
      </c>
      <c r="I180" s="10">
        <f ca="1"/>
        <v>0.40831449313474977</v>
      </c>
      <c r="K180">
        <f ca="1"/>
        <v>-13.216838335205086</v>
      </c>
      <c r="L180">
        <f ca="1"/>
        <v>-30.590566171237846</v>
      </c>
      <c r="M180">
        <f ca="1"/>
        <v>-16.658210223989308</v>
      </c>
      <c r="O180">
        <f ca="1"/>
        <v>1.0880206776241197</v>
      </c>
      <c r="P180">
        <f ca="1"/>
        <v>1.1884592821305517</v>
      </c>
      <c r="Q180">
        <f ca="1"/>
        <v>0.73349113881834027</v>
      </c>
      <c r="S180" s="10">
        <f ca="1"/>
        <v>5.2752288437936119E-2</v>
      </c>
      <c r="T180" s="10">
        <f ca="1"/>
        <v>0.22249932676219608</v>
      </c>
      <c r="U180" s="10">
        <f ca="1"/>
        <v>0.23693741874103894</v>
      </c>
    </row>
    <row r="181" spans="1:21" x14ac:dyDescent="0.25">
      <c r="A181" s="5">
        <f ca="1"/>
        <v>40755</v>
      </c>
      <c r="B181" s="10">
        <f ca="1"/>
        <v>0.23624130224954887</v>
      </c>
      <c r="C181" s="10">
        <f ca="1"/>
        <v>7.1643228354081712E-2</v>
      </c>
      <c r="D181" s="10">
        <f ca="1"/>
        <v>3.7075070745327579E-2</v>
      </c>
      <c r="E181" s="10">
        <f ca="1"/>
        <v>3.4568157608754126E-2</v>
      </c>
      <c r="G181" s="10">
        <f ca="1"/>
        <v>0.69714534726192057</v>
      </c>
      <c r="H181" s="10">
        <f ca="1"/>
        <v>0.86982132790915756</v>
      </c>
      <c r="I181" s="10">
        <f ca="1"/>
        <v>0.40395381257190033</v>
      </c>
      <c r="K181">
        <f ca="1"/>
        <v>-13.12004891640499</v>
      </c>
      <c r="L181">
        <f ca="1"/>
        <v>-30.415239437681393</v>
      </c>
      <c r="M181">
        <f ca="1"/>
        <v>-16.462596814292759</v>
      </c>
      <c r="O181">
        <f ca="1"/>
        <v>1.0776311064555228</v>
      </c>
      <c r="P181">
        <f ca="1"/>
        <v>1.1792519654403619</v>
      </c>
      <c r="Q181">
        <f ca="1"/>
        <v>0.72206230208112976</v>
      </c>
      <c r="S181" s="10">
        <f ca="1"/>
        <v>2.0043948983334094E-2</v>
      </c>
      <c r="T181" s="10">
        <f ca="1"/>
        <v>0.16117602476948809</v>
      </c>
      <c r="U181" s="10">
        <f ca="1"/>
        <v>0.20688583417557066</v>
      </c>
    </row>
    <row r="182" spans="1:21" x14ac:dyDescent="0.25">
      <c r="A182" s="5">
        <f ca="1"/>
        <v>40724</v>
      </c>
      <c r="B182" s="10">
        <f ca="1"/>
        <v>0.18820414647512784</v>
      </c>
      <c r="C182" s="10">
        <f ca="1"/>
        <v>7.3091770006342538E-2</v>
      </c>
      <c r="D182" s="10">
        <f ca="1"/>
        <v>3.7757036939833344E-2</v>
      </c>
      <c r="E182" s="10">
        <f ca="1"/>
        <v>3.5334733066509194E-2</v>
      </c>
      <c r="G182" s="10">
        <f ca="1"/>
        <v>0.69663237508922704</v>
      </c>
      <c r="H182" s="10">
        <f ca="1"/>
        <v>0.87572659014939658</v>
      </c>
      <c r="I182" s="10">
        <f ca="1"/>
        <v>0.40034044143851183</v>
      </c>
      <c r="K182">
        <f ca="1"/>
        <v>-13.078670837079986</v>
      </c>
      <c r="L182">
        <f ca="1"/>
        <v>-30.389060649220642</v>
      </c>
      <c r="M182">
        <f ca="1"/>
        <v>-16.375447548923649</v>
      </c>
      <c r="O182">
        <f ca="1"/>
        <v>1.072834215700855</v>
      </c>
      <c r="P182">
        <f ca="1"/>
        <v>1.1758129279780973</v>
      </c>
      <c r="Q182">
        <f ca="1"/>
        <v>0.71712560560504224</v>
      </c>
      <c r="S182" s="10">
        <f ca="1"/>
        <v>6.7031760557876546E-2</v>
      </c>
      <c r="T182" s="10">
        <f ca="1"/>
        <v>0.13817636196684147</v>
      </c>
      <c r="U182" s="10">
        <f ca="1"/>
        <v>1.7329046609795239E-2</v>
      </c>
    </row>
    <row r="183" spans="1:21" x14ac:dyDescent="0.25">
      <c r="A183" s="5">
        <f ca="1"/>
        <v>40694</v>
      </c>
      <c r="B183" s="10">
        <f ca="1"/>
        <v>0.12598878136400193</v>
      </c>
      <c r="C183" s="10">
        <f ca="1"/>
        <v>7.3417426634575039E-2</v>
      </c>
      <c r="D183" s="10">
        <f ca="1"/>
        <v>3.9275730342040766E-2</v>
      </c>
      <c r="E183" s="10">
        <f ca="1"/>
        <v>3.4141696292534281E-2</v>
      </c>
      <c r="G183" s="10">
        <f ca="1"/>
        <v>0.69597113801906296</v>
      </c>
      <c r="H183" s="10">
        <f ca="1"/>
        <v>0.88051015224022799</v>
      </c>
      <c r="I183" s="10">
        <f ca="1"/>
        <v>0.39748607460250474</v>
      </c>
      <c r="K183">
        <f ca="1"/>
        <v>-13.0501038188573</v>
      </c>
      <c r="L183">
        <f ca="1"/>
        <v>-30.381655645605967</v>
      </c>
      <c r="M183">
        <f ca="1"/>
        <v>-16.324494153236657</v>
      </c>
      <c r="O183">
        <f ca="1"/>
        <v>1.0690648747362337</v>
      </c>
      <c r="P183">
        <f ca="1"/>
        <v>1.172532638393188</v>
      </c>
      <c r="Q183">
        <f ca="1"/>
        <v>0.71403119384598512</v>
      </c>
      <c r="S183" s="10">
        <f ca="1"/>
        <v>0.22926676720480099</v>
      </c>
      <c r="T183" s="10">
        <f ca="1"/>
        <v>0.27406101279000139</v>
      </c>
      <c r="U183" s="10">
        <f ca="1"/>
        <v>2.1073551449531221E-2</v>
      </c>
    </row>
    <row r="184" spans="1:21" x14ac:dyDescent="0.25">
      <c r="A184" s="5">
        <f ca="1"/>
        <v>40663</v>
      </c>
      <c r="B184" s="10">
        <f ca="1"/>
        <v>9.8635241340891078E-2</v>
      </c>
      <c r="C184" s="10">
        <f ca="1"/>
        <v>7.3676836382046723E-2</v>
      </c>
      <c r="D184" s="10">
        <f ca="1"/>
        <v>3.9719452332210706E-2</v>
      </c>
      <c r="E184" s="10">
        <f ca="1"/>
        <v>3.395738404983601E-2</v>
      </c>
      <c r="G184" s="10">
        <f ca="1"/>
        <v>0.69524610199561943</v>
      </c>
      <c r="H184" s="10">
        <f ca="1"/>
        <v>0.88487105705259017</v>
      </c>
      <c r="I184" s="10">
        <f ca="1"/>
        <v>0.39617217595508136</v>
      </c>
      <c r="K184">
        <f ca="1"/>
        <v>-13.039983445619702</v>
      </c>
      <c r="L184">
        <f ca="1"/>
        <v>-30.431373390097374</v>
      </c>
      <c r="M184">
        <f ca="1"/>
        <v>-16.344481958571677</v>
      </c>
      <c r="O184">
        <f ca="1"/>
        <v>1.0675968396057978</v>
      </c>
      <c r="P184">
        <f ca="1"/>
        <v>1.172237637454598</v>
      </c>
      <c r="Q184">
        <f ca="1"/>
        <v>0.71485081175201792</v>
      </c>
      <c r="S184" s="10">
        <f ca="1"/>
        <v>0.46828718169254913</v>
      </c>
      <c r="T184" s="10">
        <f ca="1"/>
        <v>0.57035611606262637</v>
      </c>
      <c r="U184" s="10">
        <f ca="1"/>
        <v>4.0411342022375708E-2</v>
      </c>
    </row>
    <row r="185" spans="1:21" x14ac:dyDescent="0.25">
      <c r="A185" s="5">
        <f ca="1"/>
        <v>40633</v>
      </c>
      <c r="B185" s="10">
        <f ca="1"/>
        <v>7.5695970582987826E-2</v>
      </c>
      <c r="C185" s="10">
        <f ca="1"/>
        <v>7.2980983287000631E-2</v>
      </c>
      <c r="D185" s="10">
        <f ca="1"/>
        <v>3.9363931375915116E-2</v>
      </c>
      <c r="E185" s="10">
        <f ca="1"/>
        <v>3.3617051911085515E-2</v>
      </c>
      <c r="G185" s="10">
        <f ca="1"/>
        <v>0.69485115301504619</v>
      </c>
      <c r="H185" s="10">
        <f ca="1"/>
        <v>0.88804571688114065</v>
      </c>
      <c r="I185" s="10">
        <f ca="1"/>
        <v>0.39588397481738991</v>
      </c>
      <c r="K185">
        <f ca="1"/>
        <v>-13.038839068374498</v>
      </c>
      <c r="L185">
        <f ca="1"/>
        <v>-30.480064514436567</v>
      </c>
      <c r="M185">
        <f ca="1"/>
        <v>-16.388924906301384</v>
      </c>
      <c r="O185">
        <f ca="1"/>
        <v>1.0673132177489117</v>
      </c>
      <c r="P185">
        <f ca="1"/>
        <v>1.1727368293324254</v>
      </c>
      <c r="Q185">
        <f ca="1"/>
        <v>0.71699487705312126</v>
      </c>
      <c r="S185" s="10">
        <f ca="1"/>
        <v>0.60991820861828971</v>
      </c>
      <c r="T185" s="10">
        <f ca="1"/>
        <v>0.76352214740075453</v>
      </c>
      <c r="U185" s="10">
        <f ca="1"/>
        <v>4.6365613189683012E-2</v>
      </c>
    </row>
    <row r="186" spans="1:21" x14ac:dyDescent="0.25">
      <c r="A186" s="5">
        <f ca="1"/>
        <v>40602</v>
      </c>
      <c r="B186" s="10">
        <f ca="1"/>
        <v>6.7027384285584413E-2</v>
      </c>
      <c r="C186" s="10">
        <f ca="1"/>
        <v>7.4474236287961224E-2</v>
      </c>
      <c r="D186" s="10">
        <f ca="1"/>
        <v>3.9150857668532706E-2</v>
      </c>
      <c r="E186" s="10">
        <f ca="1"/>
        <v>3.5323378619428518E-2</v>
      </c>
      <c r="G186" s="10">
        <f ca="1"/>
        <v>0.69509286728449593</v>
      </c>
      <c r="H186" s="10">
        <f ca="1"/>
        <v>0.88728696799217244</v>
      </c>
      <c r="I186" s="10">
        <f ca="1"/>
        <v>0.39861638191489362</v>
      </c>
      <c r="K186">
        <f ca="1"/>
        <v>-13.06703183323012</v>
      </c>
      <c r="L186">
        <f ca="1"/>
        <v>-30.506927537026151</v>
      </c>
      <c r="M186">
        <f ca="1"/>
        <v>-16.533494903923255</v>
      </c>
      <c r="O186">
        <f ca="1"/>
        <v>1.0712436581914599</v>
      </c>
      <c r="P186">
        <f ca="1"/>
        <v>1.1740928361498439</v>
      </c>
      <c r="Q186">
        <f ca="1"/>
        <v>0.72532589666996372</v>
      </c>
      <c r="S186" s="10">
        <f ca="1"/>
        <v>0.71965279057364473</v>
      </c>
      <c r="T186" s="10">
        <f ca="1"/>
        <v>0.82428786287716183</v>
      </c>
      <c r="U186" s="10">
        <f ca="1"/>
        <v>7.8829151526246408E-2</v>
      </c>
    </row>
    <row r="187" spans="1:21" x14ac:dyDescent="0.25">
      <c r="A187" s="5">
        <f ca="1"/>
        <v>40574</v>
      </c>
      <c r="B187" s="10">
        <f ca="1"/>
        <v>9.8000217352203878E-2</v>
      </c>
      <c r="C187" s="10">
        <f ca="1"/>
        <v>7.112116262040219E-2</v>
      </c>
      <c r="D187" s="10">
        <f ca="1"/>
        <v>3.6823973412944293E-2</v>
      </c>
      <c r="E187" s="10">
        <f ca="1"/>
        <v>3.4297189207457897E-2</v>
      </c>
      <c r="G187" s="10">
        <f ca="1"/>
        <v>0.69532467579542201</v>
      </c>
      <c r="H187" s="10">
        <f ca="1"/>
        <v>0.88653364869399209</v>
      </c>
      <c r="I187" s="10">
        <f ca="1"/>
        <v>0.40104373401662574</v>
      </c>
      <c r="K187">
        <f ca="1"/>
        <v>-13.094625808275383</v>
      </c>
      <c r="L187">
        <f ca="1"/>
        <v>-30.551140679178879</v>
      </c>
      <c r="M187">
        <f ca="1"/>
        <v>-16.653269237784325</v>
      </c>
      <c r="O187">
        <f ca="1"/>
        <v>1.0751430195118801</v>
      </c>
      <c r="P187">
        <f ca="1"/>
        <v>1.1762028622284528</v>
      </c>
      <c r="Q187">
        <f ca="1"/>
        <v>0.7327276488912059</v>
      </c>
      <c r="S187" s="10">
        <f ca="1"/>
        <v>0.79041441984493743</v>
      </c>
      <c r="T187" s="10">
        <f ca="1"/>
        <v>0.89042475030993862</v>
      </c>
      <c r="U187" s="10">
        <f ca="1"/>
        <v>0.13487446152091012</v>
      </c>
    </row>
    <row r="188" spans="1:21" x14ac:dyDescent="0.25">
      <c r="A188" s="5">
        <f ca="1"/>
        <v>40543</v>
      </c>
      <c r="B188" s="10">
        <f ca="1"/>
        <v>0.14553451477769186</v>
      </c>
      <c r="C188" s="10">
        <f ca="1"/>
        <v>7.0074105775295076E-2</v>
      </c>
      <c r="D188" s="10">
        <f ca="1"/>
        <v>3.532728173709343E-2</v>
      </c>
      <c r="E188" s="10">
        <f ca="1"/>
        <v>3.4746824038201639E-2</v>
      </c>
      <c r="G188" s="10">
        <f ca="1"/>
        <v>0.69400990103040672</v>
      </c>
      <c r="H188" s="10">
        <f ca="1"/>
        <v>0.87944360209480921</v>
      </c>
      <c r="I188" s="10">
        <f ca="1"/>
        <v>0.40306132311830561</v>
      </c>
      <c r="K188">
        <f ca="1"/>
        <v>-13.146163464391639</v>
      </c>
      <c r="L188">
        <f ca="1"/>
        <v>-30.525193806772133</v>
      </c>
      <c r="M188">
        <f ca="1"/>
        <v>-16.807245912721648</v>
      </c>
      <c r="O188">
        <f ca="1"/>
        <v>1.0822688178979962</v>
      </c>
      <c r="P188">
        <f ca="1"/>
        <v>1.1777486369356414</v>
      </c>
      <c r="Q188">
        <f ca="1"/>
        <v>0.74222161926276242</v>
      </c>
      <c r="S188" s="10">
        <f ca="1"/>
        <v>0.77869645936402243</v>
      </c>
      <c r="T188" s="10">
        <f ca="1"/>
        <v>0.87970327313205299</v>
      </c>
      <c r="U188" s="10">
        <f ca="1"/>
        <v>0.12940841215363599</v>
      </c>
    </row>
    <row r="189" spans="1:21" x14ac:dyDescent="0.25">
      <c r="A189" s="5">
        <f ca="1"/>
        <v>40512</v>
      </c>
      <c r="B189" s="10">
        <f ca="1"/>
        <v>0.19146152037428643</v>
      </c>
      <c r="C189" s="10">
        <f ca="1"/>
        <v>6.8844946784317296E-2</v>
      </c>
      <c r="D189" s="10">
        <f ca="1"/>
        <v>3.5174656599654325E-2</v>
      </c>
      <c r="E189" s="10">
        <f ca="1"/>
        <v>3.3670290184662964E-2</v>
      </c>
      <c r="G189" s="10">
        <f ca="1"/>
        <v>0.69194106055832416</v>
      </c>
      <c r="H189" s="10">
        <f ca="1"/>
        <v>0.87549356459029104</v>
      </c>
      <c r="I189" s="10">
        <f ca="1"/>
        <v>0.40215692856749008</v>
      </c>
      <c r="K189">
        <f ca="1"/>
        <v>-13.189548016568166</v>
      </c>
      <c r="L189">
        <f ca="1"/>
        <v>-30.548872659701718</v>
      </c>
      <c r="M189">
        <f ca="1"/>
        <v>-16.895552219644127</v>
      </c>
      <c r="O189">
        <f ca="1"/>
        <v>1.0882511205585654</v>
      </c>
      <c r="P189">
        <f ca="1"/>
        <v>1.1804561036328498</v>
      </c>
      <c r="Q189">
        <f ca="1"/>
        <v>0.7485311966228243</v>
      </c>
      <c r="S189" s="10">
        <f ca="1"/>
        <v>0.7740280256394152</v>
      </c>
      <c r="T189" s="10">
        <f ca="1"/>
        <v>0.8639806499631455</v>
      </c>
      <c r="U189" s="10">
        <f ca="1"/>
        <v>0.14026248764336874</v>
      </c>
    </row>
    <row r="190" spans="1:21" x14ac:dyDescent="0.25">
      <c r="A190" s="5">
        <f ca="1"/>
        <v>40482</v>
      </c>
      <c r="B190" s="10">
        <f ca="1"/>
        <v>0.16569472043788203</v>
      </c>
      <c r="C190" s="10">
        <f ca="1"/>
        <v>6.813833869840652E-2</v>
      </c>
      <c r="D190" s="10">
        <f ca="1"/>
        <v>3.4759717274008228E-2</v>
      </c>
      <c r="E190" s="10">
        <f ca="1"/>
        <v>3.3378621424398291E-2</v>
      </c>
      <c r="G190" s="10">
        <f ca="1"/>
        <v>0.69118343303012586</v>
      </c>
      <c r="H190" s="10">
        <f ca="1"/>
        <v>0.87423924146496013</v>
      </c>
      <c r="I190" s="10">
        <f ca="1"/>
        <v>0.40130787830683273</v>
      </c>
      <c r="K190">
        <f ca="1"/>
        <v>-13.203634302858358</v>
      </c>
      <c r="L190">
        <f ca="1"/>
        <v>-30.532187168357961</v>
      </c>
      <c r="M190">
        <f ca="1"/>
        <v>-16.922394159216044</v>
      </c>
      <c r="O190">
        <f ca="1"/>
        <v>1.0900471046543787</v>
      </c>
      <c r="P190">
        <f ca="1"/>
        <v>1.1802864324451992</v>
      </c>
      <c r="Q190">
        <f ca="1"/>
        <v>0.75021803925162756</v>
      </c>
      <c r="S190" s="10">
        <f ca="1"/>
        <v>0.76021805343928017</v>
      </c>
      <c r="T190" s="10">
        <f ca="1"/>
        <v>0.85381443336195528</v>
      </c>
      <c r="U190" s="10">
        <f ca="1"/>
        <v>0.10817842783442642</v>
      </c>
    </row>
    <row r="191" spans="1:21" x14ac:dyDescent="0.25">
      <c r="A191" s="5">
        <f ca="1"/>
        <v>40451</v>
      </c>
      <c r="B191" s="10">
        <f ca="1"/>
        <v>0.19362083110931572</v>
      </c>
      <c r="C191" s="10">
        <f ca="1"/>
        <v>6.6498038763267181E-2</v>
      </c>
      <c r="D191" s="10">
        <f ca="1"/>
        <v>3.3287955699123212E-2</v>
      </c>
      <c r="E191" s="10">
        <f ca="1"/>
        <v>3.3210083064143976E-2</v>
      </c>
      <c r="G191" s="10">
        <f ca="1"/>
        <v>0.6908680793381089</v>
      </c>
      <c r="H191" s="10">
        <f ca="1"/>
        <v>0.87141183342379192</v>
      </c>
      <c r="I191" s="10">
        <f ca="1"/>
        <v>0.40178305417718024</v>
      </c>
      <c r="K191">
        <f ca="1"/>
        <v>-13.252368801886883</v>
      </c>
      <c r="L191">
        <f ca="1"/>
        <v>-30.546713646259828</v>
      </c>
      <c r="M191">
        <f ca="1"/>
        <v>-17.02147487743359</v>
      </c>
      <c r="O191">
        <f ca="1"/>
        <v>1.0957034165989463</v>
      </c>
      <c r="P191">
        <f ca="1"/>
        <v>1.1822512918744259</v>
      </c>
      <c r="Q191">
        <f ca="1"/>
        <v>0.75607070583925529</v>
      </c>
      <c r="S191" s="10">
        <f ca="1"/>
        <v>0.72642558615821173</v>
      </c>
      <c r="T191" s="10">
        <f ca="1"/>
        <v>0.82581808219878883</v>
      </c>
      <c r="U191" s="10">
        <f ca="1"/>
        <v>6.5390313667289299E-2</v>
      </c>
    </row>
    <row r="192" spans="1:21" x14ac:dyDescent="0.25">
      <c r="A192" s="5">
        <f ca="1"/>
        <v>40421</v>
      </c>
      <c r="B192" s="10">
        <f ca="1"/>
        <v>0.24873015250733665</v>
      </c>
      <c r="C192" s="10">
        <f ca="1"/>
        <v>6.3694747458354101E-2</v>
      </c>
      <c r="D192" s="10">
        <f ca="1"/>
        <v>3.1110789098454727E-2</v>
      </c>
      <c r="E192" s="10">
        <f ca="1"/>
        <v>3.2583958359899377E-2</v>
      </c>
      <c r="G192" s="10">
        <f ca="1"/>
        <v>0.68963296471372493</v>
      </c>
      <c r="H192" s="10">
        <f ca="1"/>
        <v>0.86553602267853025</v>
      </c>
      <c r="I192" s="10">
        <f ca="1"/>
        <v>0.40168216912303589</v>
      </c>
      <c r="K192">
        <f ca="1"/>
        <v>-13.307953782221256</v>
      </c>
      <c r="L192">
        <f ca="1"/>
        <v>-30.547391718973333</v>
      </c>
      <c r="M192">
        <f ca="1"/>
        <v>-17.102385897343026</v>
      </c>
      <c r="O192">
        <f ca="1"/>
        <v>1.1021989996190509</v>
      </c>
      <c r="P192">
        <f ca="1"/>
        <v>1.184718524073314</v>
      </c>
      <c r="Q192">
        <f ca="1"/>
        <v>0.76089321685313049</v>
      </c>
      <c r="S192" s="10">
        <f ca="1"/>
        <v>0.67378627901048427</v>
      </c>
      <c r="T192" s="10">
        <f ca="1"/>
        <v>0.78386552577428092</v>
      </c>
      <c r="U192" s="10">
        <f ca="1"/>
        <v>4.7012208644109238E-2</v>
      </c>
    </row>
    <row r="193" spans="1:21" x14ac:dyDescent="0.25">
      <c r="A193" s="5">
        <f ca="1"/>
        <v>40390</v>
      </c>
      <c r="B193" s="10">
        <f ca="1"/>
        <v>0.26898154063242696</v>
      </c>
      <c r="C193" s="10">
        <f ca="1"/>
        <v>6.3500244259892522E-2</v>
      </c>
      <c r="D193" s="10">
        <f ca="1"/>
        <v>3.1110335682880869E-2</v>
      </c>
      <c r="E193" s="10">
        <f ca="1"/>
        <v>3.2389908577011656E-2</v>
      </c>
      <c r="G193" s="10">
        <f ca="1"/>
        <v>0.68853981690217736</v>
      </c>
      <c r="H193" s="10">
        <f ca="1"/>
        <v>0.86118516596547701</v>
      </c>
      <c r="I193" s="10">
        <f ca="1"/>
        <v>0.40105104750765458</v>
      </c>
      <c r="K193">
        <f ca="1"/>
        <v>-13.361243666668846</v>
      </c>
      <c r="L193">
        <f ca="1"/>
        <v>-30.614431387307416</v>
      </c>
      <c r="M193">
        <f ca="1"/>
        <v>-17.137048010181957</v>
      </c>
      <c r="O193">
        <f ca="1"/>
        <v>1.1079128731061876</v>
      </c>
      <c r="P193">
        <f ca="1"/>
        <v>1.1894706338407885</v>
      </c>
      <c r="Q193">
        <f ca="1"/>
        <v>0.76297674286976191</v>
      </c>
      <c r="S193" s="10">
        <f ca="1"/>
        <v>0.61101637890339411</v>
      </c>
      <c r="T193" s="10">
        <f ca="1"/>
        <v>0.74135314694622956</v>
      </c>
      <c r="U193" s="10">
        <f ca="1"/>
        <v>3.0395332277327696E-2</v>
      </c>
    </row>
    <row r="194" spans="1:21" x14ac:dyDescent="0.25">
      <c r="A194" s="5">
        <f ca="1"/>
        <v>40359</v>
      </c>
      <c r="B194" s="10">
        <f ca="1"/>
        <v>0.3665046657956248</v>
      </c>
      <c r="C194" s="10">
        <f ca="1"/>
        <v>6.3809374746385636E-2</v>
      </c>
      <c r="D194" s="10">
        <f ca="1"/>
        <v>3.0515112517825467E-2</v>
      </c>
      <c r="E194" s="10">
        <f ca="1"/>
        <v>3.3294262228560169E-2</v>
      </c>
      <c r="G194" s="10">
        <f ca="1"/>
        <v>0.68653113132959032</v>
      </c>
      <c r="H194" s="10">
        <f ca="1"/>
        <v>0.85823997301878674</v>
      </c>
      <c r="I194" s="10">
        <f ca="1"/>
        <v>0.39814434685597738</v>
      </c>
      <c r="K194">
        <f ca="1"/>
        <v>-13.369474708833001</v>
      </c>
      <c r="L194">
        <f ca="1"/>
        <v>-30.619055095510515</v>
      </c>
      <c r="M194">
        <f ca="1"/>
        <v>-17.072323709190023</v>
      </c>
      <c r="O194">
        <f ca="1"/>
        <v>1.1089034963448039</v>
      </c>
      <c r="P194">
        <f ca="1"/>
        <v>1.1908740769512549</v>
      </c>
      <c r="Q194">
        <f ca="1"/>
        <v>0.75961481594739988</v>
      </c>
      <c r="S194" s="10">
        <f ca="1"/>
        <v>0.58706201852575612</v>
      </c>
      <c r="T194" s="10">
        <f ca="1"/>
        <v>0.72177872646594987</v>
      </c>
      <c r="U194" s="10">
        <f ca="1"/>
        <v>2.8555506505921955E-2</v>
      </c>
    </row>
    <row r="195" spans="1:21" x14ac:dyDescent="0.25">
      <c r="A195" s="5">
        <f ca="1"/>
        <v>40329</v>
      </c>
      <c r="B195" s="10">
        <f ca="1"/>
        <v>0.25359599311867664</v>
      </c>
      <c r="C195" s="10">
        <f ca="1"/>
        <v>6.3852493316285022E-2</v>
      </c>
      <c r="D195" s="10">
        <f ca="1"/>
        <v>3.1217714750668372E-2</v>
      </c>
      <c r="E195" s="10">
        <f ca="1"/>
        <v>3.2634778565616647E-2</v>
      </c>
      <c r="G195" s="10">
        <f ca="1"/>
        <v>0.68314411166024369</v>
      </c>
      <c r="H195" s="10">
        <f ca="1"/>
        <v>0.85753230185203821</v>
      </c>
      <c r="I195" s="10">
        <f ca="1"/>
        <v>0.39296875309754659</v>
      </c>
      <c r="K195">
        <f ca="1"/>
        <v>-13.278035800638422</v>
      </c>
      <c r="L195">
        <f ca="1"/>
        <v>-30.472428858695366</v>
      </c>
      <c r="M195">
        <f ca="1"/>
        <v>-16.859871932400544</v>
      </c>
      <c r="O195">
        <f ca="1"/>
        <v>1.1000540066141427</v>
      </c>
      <c r="P195">
        <f ca="1"/>
        <v>1.1843723862421855</v>
      </c>
      <c r="Q195">
        <f ca="1"/>
        <v>0.74834920367812963</v>
      </c>
      <c r="S195" s="10">
        <f ca="1"/>
        <v>0.60676093574641143</v>
      </c>
      <c r="T195" s="10">
        <f ca="1"/>
        <v>0.74335207980293672</v>
      </c>
      <c r="U195" s="10">
        <f ca="1"/>
        <v>2.597856511094979E-2</v>
      </c>
    </row>
    <row r="196" spans="1:21" x14ac:dyDescent="0.25">
      <c r="A196" s="5">
        <f ca="1"/>
        <v>40298</v>
      </c>
      <c r="B196" s="10">
        <f ca="1"/>
        <v>0.10594182050996337</v>
      </c>
      <c r="C196" s="10">
        <f ca="1"/>
        <v>6.5811102347592104E-2</v>
      </c>
      <c r="D196" s="10">
        <f ca="1"/>
        <v>3.428018001299063E-2</v>
      </c>
      <c r="E196" s="10">
        <f ca="1"/>
        <v>3.1530922334601467E-2</v>
      </c>
      <c r="G196" s="10">
        <f ca="1"/>
        <v>0.68119910447515797</v>
      </c>
      <c r="H196" s="10">
        <f ca="1"/>
        <v>0.85655312657907023</v>
      </c>
      <c r="I196" s="10">
        <f ca="1"/>
        <v>0.38985947805045235</v>
      </c>
      <c r="K196">
        <f ca="1"/>
        <v>-13.271978787367818</v>
      </c>
      <c r="L196">
        <f ca="1"/>
        <v>-30.469089115261959</v>
      </c>
      <c r="M196">
        <f ca="1"/>
        <v>-16.794215201754248</v>
      </c>
      <c r="O196">
        <f ca="1"/>
        <v>1.09942613690922</v>
      </c>
      <c r="P196">
        <f ca="1"/>
        <v>1.1844101854818609</v>
      </c>
      <c r="Q196">
        <f ca="1"/>
        <v>0.74491737240206457</v>
      </c>
      <c r="S196" s="10">
        <f ca="1"/>
        <v>0.57264029466894506</v>
      </c>
      <c r="T196" s="10">
        <f ca="1"/>
        <v>0.72416008823706313</v>
      </c>
      <c r="U196" s="10">
        <f ca="1"/>
        <v>1.400837714927384E-2</v>
      </c>
    </row>
    <row r="197" spans="1:21" x14ac:dyDescent="0.25">
      <c r="A197" s="5">
        <f ca="1"/>
        <v>40268</v>
      </c>
      <c r="B197" s="10">
        <f ca="1"/>
        <v>7.539563533125504E-2</v>
      </c>
      <c r="C197" s="10">
        <f ca="1"/>
        <v>6.3852373196835732E-2</v>
      </c>
      <c r="D197" s="10">
        <f ca="1"/>
        <v>3.2317124243834344E-2</v>
      </c>
      <c r="E197" s="10">
        <f ca="1"/>
        <v>3.1535248953001395E-2</v>
      </c>
      <c r="G197" s="10">
        <f ca="1"/>
        <v>0.68688824446053875</v>
      </c>
      <c r="H197" s="10">
        <f ca="1"/>
        <v>0.85689267178333095</v>
      </c>
      <c r="I197" s="10">
        <f ca="1"/>
        <v>0.3968662066284801</v>
      </c>
      <c r="K197">
        <f ca="1"/>
        <v>-13.407572385312447</v>
      </c>
      <c r="L197">
        <f ca="1"/>
        <v>-30.583501430752623</v>
      </c>
      <c r="M197">
        <f ca="1"/>
        <v>-17.096552011850026</v>
      </c>
      <c r="O197">
        <f ca="1"/>
        <v>1.1131439003888981</v>
      </c>
      <c r="P197">
        <f ca="1"/>
        <v>1.1906010347744669</v>
      </c>
      <c r="Q197">
        <f ca="1"/>
        <v>0.76100990516518752</v>
      </c>
      <c r="S197" s="10">
        <f ca="1"/>
        <v>0.45052098070986407</v>
      </c>
      <c r="T197" s="10">
        <f ca="1"/>
        <v>0.6640365743710368</v>
      </c>
      <c r="U197" s="10">
        <f ca="1"/>
        <v>9.1044447705381122E-3</v>
      </c>
    </row>
    <row r="198" spans="1:21" x14ac:dyDescent="0.25">
      <c r="A198" s="5">
        <f ca="1"/>
        <v>40237</v>
      </c>
      <c r="B198" s="10">
        <f ca="1"/>
        <v>0.12899163592500007</v>
      </c>
      <c r="C198" s="10">
        <f ca="1"/>
        <v>6.2660428904756871E-2</v>
      </c>
      <c r="D198" s="10">
        <f ca="1"/>
        <v>3.0914090072343969E-2</v>
      </c>
      <c r="E198" s="10">
        <f ca="1"/>
        <v>3.1746338832412908E-2</v>
      </c>
      <c r="G198" s="10">
        <f ca="1"/>
        <v>0.695732166300987</v>
      </c>
      <c r="H198" s="10">
        <f ca="1"/>
        <v>0.8599238874045475</v>
      </c>
      <c r="I198" s="10">
        <f ca="1"/>
        <v>0.40461038619111056</v>
      </c>
      <c r="K198">
        <f ca="1"/>
        <v>-13.612224113367262</v>
      </c>
      <c r="L198">
        <f ca="1"/>
        <v>-30.818193922435672</v>
      </c>
      <c r="M198">
        <f ca="1"/>
        <v>-17.434306806613421</v>
      </c>
      <c r="O198">
        <f ca="1"/>
        <v>1.1335389048637843</v>
      </c>
      <c r="P198">
        <f ca="1"/>
        <v>1.2030512559657229</v>
      </c>
      <c r="Q198">
        <f ca="1"/>
        <v>0.77901300658707862</v>
      </c>
      <c r="S198" s="10">
        <f ca="1"/>
        <v>0.27941390323768861</v>
      </c>
      <c r="T198" s="10">
        <f ca="1"/>
        <v>0.5076024872469912</v>
      </c>
      <c r="U198" s="10">
        <f ca="1"/>
        <v>3.7298103267148185E-2</v>
      </c>
    </row>
    <row r="199" spans="1:21" x14ac:dyDescent="0.25">
      <c r="A199" s="5">
        <f ca="1"/>
        <v>40209</v>
      </c>
      <c r="B199" s="10">
        <f ca="1"/>
        <v>0.1670873145974705</v>
      </c>
      <c r="C199" s="10">
        <f ca="1"/>
        <v>6.4530539119775576E-2</v>
      </c>
      <c r="D199" s="10">
        <f ca="1"/>
        <v>3.1406025317649279E-2</v>
      </c>
      <c r="E199" s="10">
        <f ca="1"/>
        <v>3.3124513802126304E-2</v>
      </c>
      <c r="G199" s="10">
        <f ca="1"/>
        <v>0.70122072868223839</v>
      </c>
      <c r="H199" s="10">
        <f ca="1"/>
        <v>0.86320407743500427</v>
      </c>
      <c r="I199" s="10">
        <f ca="1"/>
        <v>0.40770197644775086</v>
      </c>
      <c r="K199">
        <f ca="1"/>
        <v>-13.762325268739144</v>
      </c>
      <c r="L199">
        <f ca="1"/>
        <v>-31.055897307152826</v>
      </c>
      <c r="M199">
        <f ca="1"/>
        <v>-17.605974433894513</v>
      </c>
      <c r="O199">
        <f ca="1"/>
        <v>1.1479535262401925</v>
      </c>
      <c r="P199">
        <f ca="1"/>
        <v>1.2147116965960481</v>
      </c>
      <c r="Q199">
        <f ca="1"/>
        <v>0.7879470078723777</v>
      </c>
      <c r="S199" s="10">
        <f ca="1"/>
        <v>0.17978361552437655</v>
      </c>
      <c r="T199" s="10">
        <f ca="1"/>
        <v>0.39179231039572771</v>
      </c>
      <c r="U199" s="10">
        <f ca="1"/>
        <v>6.4339847724105698E-2</v>
      </c>
    </row>
    <row r="200" spans="1:21" x14ac:dyDescent="0.25">
      <c r="A200" s="5">
        <f ca="1"/>
        <v>40178</v>
      </c>
      <c r="B200" s="10">
        <f ca="1"/>
        <v>1.4635520327040075E-2</v>
      </c>
      <c r="C200" s="10">
        <f ca="1"/>
        <v>6.3486214953271031E-2</v>
      </c>
      <c r="D200" s="10">
        <f ca="1"/>
        <v>3.0654088785046728E-2</v>
      </c>
      <c r="E200" s="10">
        <f ca="1"/>
        <v>3.2832126168224299E-2</v>
      </c>
      <c r="G200" s="10">
        <f ca="1"/>
        <v>0.70304900062459119</v>
      </c>
      <c r="H200" s="10">
        <f ca="1"/>
        <v>0.86428660185718365</v>
      </c>
      <c r="I200" s="10">
        <f ca="1"/>
        <v>0.40796910569746214</v>
      </c>
      <c r="K200">
        <f ca="1"/>
        <v>-13.844669190682504</v>
      </c>
      <c r="L200">
        <f ca="1"/>
        <v>-31.191793523053228</v>
      </c>
      <c r="M200">
        <f ca="1"/>
        <v>-17.68210829074</v>
      </c>
      <c r="O200">
        <f ca="1"/>
        <v>1.1559797220077734</v>
      </c>
      <c r="P200">
        <f ca="1"/>
        <v>1.2214192325045576</v>
      </c>
      <c r="Q200">
        <f ca="1"/>
        <v>0.79206415597997626</v>
      </c>
      <c r="S200" s="10">
        <f ca="1"/>
        <v>0.1602546094217962</v>
      </c>
      <c r="T200" s="10">
        <f ca="1"/>
        <v>0.36291270086027377</v>
      </c>
      <c r="U200" s="10">
        <f ca="1"/>
        <v>7.4538756914383331E-2</v>
      </c>
    </row>
    <row r="201" spans="1:21" x14ac:dyDescent="0.25">
      <c r="A201" s="5">
        <f ca="1"/>
        <v>40147</v>
      </c>
      <c r="B201" s="10">
        <f ca="1"/>
        <v>0.11250149157681566</v>
      </c>
      <c r="C201" s="10">
        <f ca="1"/>
        <v>6.2820259941530759E-2</v>
      </c>
      <c r="D201" s="10">
        <f ca="1"/>
        <v>2.9468023904288917E-2</v>
      </c>
      <c r="E201" s="10">
        <f ca="1"/>
        <v>3.3352236037241849E-2</v>
      </c>
      <c r="G201" s="10">
        <f ca="1"/>
        <v>0.71710651172335393</v>
      </c>
      <c r="H201" s="10">
        <f ca="1"/>
        <v>0.87707428827531908</v>
      </c>
      <c r="I201" s="10">
        <f ca="1"/>
        <v>0.41678271265585742</v>
      </c>
      <c r="K201">
        <f ca="1"/>
        <v>-14.074873509541716</v>
      </c>
      <c r="L201">
        <f ca="1"/>
        <v>-31.580864369010545</v>
      </c>
      <c r="M201">
        <f ca="1"/>
        <v>-17.982539510137261</v>
      </c>
      <c r="O201">
        <f ca="1"/>
        <v>1.1778715355580525</v>
      </c>
      <c r="P201">
        <f ca="1"/>
        <v>1.2393773530856846</v>
      </c>
      <c r="Q201">
        <f ca="1"/>
        <v>0.80773024015213002</v>
      </c>
      <c r="S201" s="10">
        <f ca="1"/>
        <v>9.7632310245699391E-2</v>
      </c>
      <c r="T201" s="10">
        <f ca="1"/>
        <v>0.17414756361561484</v>
      </c>
      <c r="U201" s="10">
        <f ca="1"/>
        <v>4.9103695675722795E-3</v>
      </c>
    </row>
    <row r="202" spans="1:21" x14ac:dyDescent="0.25">
      <c r="A202" s="5">
        <f ca="1"/>
        <v>40117</v>
      </c>
      <c r="B202" s="10">
        <f ca="1"/>
        <v>0.24714589252148222</v>
      </c>
      <c r="C202" s="10">
        <f ca="1"/>
        <v>6.6950373090133838E-2</v>
      </c>
      <c r="D202" s="10">
        <f ca="1"/>
        <v>3.1434798057562476E-2</v>
      </c>
      <c r="E202" s="10">
        <f ca="1"/>
        <v>3.5515575032571363E-2</v>
      </c>
      <c r="G202" s="10">
        <f ca="1"/>
        <v>0.72144624638661892</v>
      </c>
      <c r="H202" s="10">
        <f ca="1"/>
        <v>0.88368454018158626</v>
      </c>
      <c r="I202" s="10">
        <f ca="1"/>
        <v>0.41768182350864752</v>
      </c>
      <c r="K202">
        <f ca="1"/>
        <v>-14.18531227829391</v>
      </c>
      <c r="L202">
        <f ca="1"/>
        <v>-31.889168421440459</v>
      </c>
      <c r="M202">
        <f ca="1"/>
        <v>-18.044313078073852</v>
      </c>
      <c r="O202">
        <f ca="1"/>
        <v>1.1880400583288455</v>
      </c>
      <c r="P202">
        <f ca="1"/>
        <v>1.2529906755911857</v>
      </c>
      <c r="Q202">
        <f ca="1"/>
        <v>0.81084795550666966</v>
      </c>
      <c r="S202" s="10">
        <f ca="1"/>
        <v>7.8746871028890789E-2</v>
      </c>
      <c r="T202" s="10">
        <f ca="1"/>
        <v>0.11339729272830483</v>
      </c>
      <c r="U202" s="10">
        <f ca="1"/>
        <v>1.3876603749318215E-3</v>
      </c>
    </row>
    <row r="203" spans="1:21" x14ac:dyDescent="0.25">
      <c r="A203" s="5">
        <f ca="1"/>
        <v>40086</v>
      </c>
      <c r="B203" s="10">
        <f ca="1"/>
        <v>0.24932840423673142</v>
      </c>
      <c r="C203" s="10">
        <f ca="1"/>
        <v>6.4347376429471484E-2</v>
      </c>
      <c r="D203" s="10">
        <f ca="1"/>
        <v>3.0206961318085639E-2</v>
      </c>
      <c r="E203" s="10">
        <f ca="1"/>
        <v>3.4140415111385845E-2</v>
      </c>
      <c r="G203" s="10">
        <f ca="1"/>
        <v>0.71568734342765161</v>
      </c>
      <c r="H203" s="10">
        <f ca="1"/>
        <v>0.87917539981456494</v>
      </c>
      <c r="I203" s="10">
        <f ca="1"/>
        <v>0.41353568976498506</v>
      </c>
      <c r="K203">
        <f ca="1"/>
        <v>-14.051948043241216</v>
      </c>
      <c r="L203">
        <f ca="1"/>
        <v>-31.662987427881099</v>
      </c>
      <c r="M203">
        <f ca="1"/>
        <v>-17.851838612150306</v>
      </c>
      <c r="O203">
        <f ca="1"/>
        <v>1.1748239852080584</v>
      </c>
      <c r="P203">
        <f ca="1"/>
        <v>1.2421868346638176</v>
      </c>
      <c r="Q203">
        <f ca="1"/>
        <v>0.80018433640606956</v>
      </c>
      <c r="S203" s="10">
        <f ca="1"/>
        <v>0.11414577715542215</v>
      </c>
      <c r="T203" s="10">
        <f ca="1"/>
        <v>0.17313714713427189</v>
      </c>
      <c r="U203" s="10">
        <f ca="1"/>
        <v>1.8641175053415234E-4</v>
      </c>
    </row>
    <row r="204" spans="1:21" x14ac:dyDescent="0.25">
      <c r="A204" s="5">
        <f ca="1"/>
        <v>40056</v>
      </c>
      <c r="B204" s="10">
        <f ca="1"/>
        <v>0.31802233701821692</v>
      </c>
      <c r="C204" s="10">
        <f ca="1"/>
        <v>6.1661471099159988E-2</v>
      </c>
      <c r="D204" s="10">
        <f ca="1"/>
        <v>2.8109725626442664E-2</v>
      </c>
      <c r="E204" s="10">
        <f ca="1"/>
        <v>3.3551745472717324E-2</v>
      </c>
      <c r="G204" s="10">
        <f ca="1"/>
        <v>0.71064665289067086</v>
      </c>
      <c r="H204" s="10">
        <f ca="1"/>
        <v>0.87459887288306326</v>
      </c>
      <c r="I204" s="10">
        <f ca="1"/>
        <v>0.40934200116372088</v>
      </c>
      <c r="K204">
        <f ca="1"/>
        <v>-13.961180161497808</v>
      </c>
      <c r="L204">
        <f ca="1"/>
        <v>-31.476078090422696</v>
      </c>
      <c r="M204">
        <f ca="1"/>
        <v>-17.708571705973853</v>
      </c>
      <c r="O204">
        <f ca="1"/>
        <v>1.1658222563660825</v>
      </c>
      <c r="P204">
        <f ca="1"/>
        <v>1.233363180258505</v>
      </c>
      <c r="Q204">
        <f ca="1"/>
        <v>0.79235741686657657</v>
      </c>
      <c r="S204" s="10">
        <f ca="1"/>
        <v>0.16237177059351804</v>
      </c>
      <c r="T204" s="10">
        <f ca="1"/>
        <v>0.23132208853216249</v>
      </c>
      <c r="U204" s="10">
        <f ca="1"/>
        <v>4.0627848844074151E-4</v>
      </c>
    </row>
    <row r="205" spans="1:21" x14ac:dyDescent="0.25">
      <c r="A205" s="5">
        <f ca="1"/>
        <v>40025</v>
      </c>
      <c r="B205" s="10">
        <f ca="1"/>
        <v>0.38089886612614032</v>
      </c>
      <c r="C205" s="10">
        <f ca="1"/>
        <v>6.0031807068764986E-2</v>
      </c>
      <c r="D205" s="10">
        <f ca="1"/>
        <v>2.7146858458543997E-2</v>
      </c>
      <c r="E205" s="10">
        <f ca="1"/>
        <v>3.2884948610220989E-2</v>
      </c>
      <c r="G205" s="10">
        <f ca="1"/>
        <v>0.70330859063853912</v>
      </c>
      <c r="H205" s="10">
        <f ca="1"/>
        <v>0.86828772877829352</v>
      </c>
      <c r="I205" s="10">
        <f ca="1"/>
        <v>0.40331302774156019</v>
      </c>
      <c r="K205">
        <f ca="1"/>
        <v>-13.823632119624607</v>
      </c>
      <c r="L205">
        <f ca="1"/>
        <v>-31.243127005044133</v>
      </c>
      <c r="M205">
        <f ca="1"/>
        <v>-17.470067881853666</v>
      </c>
      <c r="O205">
        <f ca="1"/>
        <v>1.1524044219721625</v>
      </c>
      <c r="P205">
        <f ca="1"/>
        <v>1.2224943753614719</v>
      </c>
      <c r="Q205">
        <f ca="1"/>
        <v>0.77952289328188373</v>
      </c>
      <c r="S205" s="10">
        <f ca="1"/>
        <v>0.20967860617521819</v>
      </c>
      <c r="T205" s="10">
        <f ca="1"/>
        <v>0.2990793281329297</v>
      </c>
      <c r="U205" s="10">
        <f ca="1"/>
        <v>2.3344622094613678E-3</v>
      </c>
    </row>
    <row r="206" spans="1:21" x14ac:dyDescent="0.25">
      <c r="A206" s="5">
        <f ca="1"/>
        <v>39994</v>
      </c>
      <c r="B206" s="10">
        <f ca="1"/>
        <v>0.44218546914220047</v>
      </c>
      <c r="C206" s="10">
        <f ca="1"/>
        <v>5.9222213028522798E-2</v>
      </c>
      <c r="D206" s="10">
        <f ca="1"/>
        <v>2.566697005874774E-2</v>
      </c>
      <c r="E206" s="10">
        <f ca="1"/>
        <v>3.3555242969775058E-2</v>
      </c>
      <c r="G206" s="10">
        <f ca="1"/>
        <v>0.69651776258329745</v>
      </c>
      <c r="H206" s="10">
        <f ca="1"/>
        <v>0.86319129863665411</v>
      </c>
      <c r="I206" s="10">
        <f ca="1"/>
        <v>0.3968064712929702</v>
      </c>
      <c r="K206">
        <f ca="1"/>
        <v>-13.680398954159557</v>
      </c>
      <c r="L206">
        <f ca="1"/>
        <v>-31.012176987101526</v>
      </c>
      <c r="M206">
        <f ca="1"/>
        <v>-17.192945959405339</v>
      </c>
      <c r="O206">
        <f ca="1"/>
        <v>1.1386242491583753</v>
      </c>
      <c r="P206">
        <f ca="1"/>
        <v>1.2118520124769856</v>
      </c>
      <c r="Q206">
        <f ca="1"/>
        <v>0.76494454603210038</v>
      </c>
      <c r="S206" s="10">
        <f ca="1"/>
        <v>0.26553112366784953</v>
      </c>
      <c r="T206" s="10">
        <f ca="1"/>
        <v>0.36928717877062772</v>
      </c>
      <c r="U206" s="10">
        <f ca="1"/>
        <v>6.743602659540043E-4</v>
      </c>
    </row>
    <row r="207" spans="1:21" x14ac:dyDescent="0.25">
      <c r="A207" s="5">
        <f ca="1"/>
        <v>39964</v>
      </c>
      <c r="B207" s="10">
        <f ca="1"/>
        <v>0.44398018751339929</v>
      </c>
      <c r="C207" s="10">
        <f ca="1"/>
        <v>5.7975588677502986E-2</v>
      </c>
      <c r="D207" s="10">
        <f ca="1"/>
        <v>2.5382211225419976E-2</v>
      </c>
      <c r="E207" s="10">
        <f ca="1"/>
        <v>3.259337745208301E-2</v>
      </c>
      <c r="G207" s="10">
        <f ca="1"/>
        <v>0.6858186098121507</v>
      </c>
      <c r="H207" s="10">
        <f ca="1"/>
        <v>0.85491127720289084</v>
      </c>
      <c r="I207" s="10">
        <f ca="1"/>
        <v>0.3888388690521547</v>
      </c>
      <c r="K207">
        <f ca="1"/>
        <v>-13.42493989306397</v>
      </c>
      <c r="L207">
        <f ca="1"/>
        <v>-30.691754619615914</v>
      </c>
      <c r="M207">
        <f ca="1"/>
        <v>-16.738175909127978</v>
      </c>
      <c r="O207">
        <f ca="1"/>
        <v>1.1141339915880706</v>
      </c>
      <c r="P207">
        <f ca="1"/>
        <v>1.1970847812652998</v>
      </c>
      <c r="Q207">
        <f ca="1"/>
        <v>0.74055438101124238</v>
      </c>
      <c r="S207" s="10">
        <f ca="1"/>
        <v>0.31399194467145225</v>
      </c>
      <c r="T207" s="10">
        <f ca="1"/>
        <v>0.44510320572185486</v>
      </c>
      <c r="U207" s="10">
        <f ca="1"/>
        <v>4.1178986981374975E-3</v>
      </c>
    </row>
    <row r="208" spans="1:21" x14ac:dyDescent="0.25">
      <c r="A208" s="5">
        <f ca="1"/>
        <v>39933</v>
      </c>
      <c r="B208" s="10">
        <f ca="1"/>
        <v>0.47353948593015449</v>
      </c>
      <c r="C208" s="10">
        <f ca="1"/>
        <v>5.8354571030047993E-2</v>
      </c>
      <c r="D208" s="10">
        <f ca="1"/>
        <v>2.4588051726991182E-2</v>
      </c>
      <c r="E208" s="10">
        <f ca="1"/>
        <v>3.3766519303056811E-2</v>
      </c>
      <c r="G208" s="10">
        <f ca="1"/>
        <v>0.67439192921744873</v>
      </c>
      <c r="H208" s="10">
        <f ca="1"/>
        <v>0.84665300508079733</v>
      </c>
      <c r="I208" s="10">
        <f ca="1"/>
        <v>0.379295749286093</v>
      </c>
      <c r="K208">
        <f ca="1"/>
        <v>-13.178107488409264</v>
      </c>
      <c r="L208">
        <f ca="1"/>
        <v>-30.391254792798581</v>
      </c>
      <c r="M208">
        <f ca="1"/>
        <v>-16.267106604112104</v>
      </c>
      <c r="O208">
        <f ca="1"/>
        <v>1.0906743783705215</v>
      </c>
      <c r="P208">
        <f ca="1"/>
        <v>1.18332010832197</v>
      </c>
      <c r="Q208">
        <f ca="1"/>
        <v>0.71577800847193507</v>
      </c>
      <c r="S208" s="10">
        <f ca="1"/>
        <v>0.36369065725574184</v>
      </c>
      <c r="T208" s="10">
        <f ca="1"/>
        <v>0.49848192689191417</v>
      </c>
      <c r="U208" s="10">
        <f ca="1"/>
        <v>1.6675244524381377E-2</v>
      </c>
    </row>
    <row r="209" spans="1:21" x14ac:dyDescent="0.25">
      <c r="A209" s="5">
        <f ca="1"/>
        <v>39903</v>
      </c>
      <c r="B209" s="10">
        <f ca="1"/>
        <v>0.57624678499624848</v>
      </c>
      <c r="C209" s="10">
        <f ca="1"/>
        <v>5.8626013761142501E-2</v>
      </c>
      <c r="D209" s="10">
        <f ca="1"/>
        <v>2.4113564892535407E-2</v>
      </c>
      <c r="E209" s="10">
        <f ca="1"/>
        <v>3.4512448868607097E-2</v>
      </c>
      <c r="G209" s="10">
        <f ca="1"/>
        <v>0.66377580313567941</v>
      </c>
      <c r="H209" s="10">
        <f ca="1"/>
        <v>0.83856183040298016</v>
      </c>
      <c r="I209" s="10">
        <f ca="1"/>
        <v>0.37310694126608179</v>
      </c>
      <c r="K209">
        <f ca="1"/>
        <v>-12.892941345733128</v>
      </c>
      <c r="L209">
        <f ca="1"/>
        <v>-30.130995164544686</v>
      </c>
      <c r="M209">
        <f ca="1"/>
        <v>-15.774110530957728</v>
      </c>
      <c r="O209">
        <f ca="1"/>
        <v>1.0637886880252094</v>
      </c>
      <c r="P209">
        <f ca="1"/>
        <v>1.1716156264790938</v>
      </c>
      <c r="Q209">
        <f ca="1"/>
        <v>0.68938005714761896</v>
      </c>
      <c r="S209" s="10">
        <f ca="1"/>
        <v>0.4126787381306099</v>
      </c>
      <c r="T209" s="10">
        <f ca="1"/>
        <v>0.55813765669261473</v>
      </c>
      <c r="U209" s="10">
        <f ca="1"/>
        <v>5.8785868518821636E-2</v>
      </c>
    </row>
    <row r="210" spans="1:21" x14ac:dyDescent="0.25">
      <c r="A210" s="5">
        <f ca="1"/>
        <v>39872</v>
      </c>
      <c r="B210" s="10">
        <f ca="1"/>
        <v>0.60599383163748999</v>
      </c>
      <c r="C210" s="10">
        <f ca="1"/>
        <v>6.1305277831186306E-2</v>
      </c>
      <c r="D210" s="10">
        <f ca="1"/>
        <v>2.3992381272832149E-2</v>
      </c>
      <c r="E210" s="10">
        <f ca="1"/>
        <v>3.731289655835416E-2</v>
      </c>
      <c r="G210" s="10">
        <f ca="1"/>
        <v>0.65129874141683786</v>
      </c>
      <c r="H210" s="10">
        <f ca="1"/>
        <v>0.82537437504953803</v>
      </c>
      <c r="I210" s="10">
        <f ca="1"/>
        <v>0.37008125665050912</v>
      </c>
      <c r="K210">
        <f ca="1"/>
        <v>-12.328269664450641</v>
      </c>
      <c r="L210">
        <f ca="1"/>
        <v>-29.280343130765985</v>
      </c>
      <c r="M210">
        <f ca="1"/>
        <v>-15.018915262489871</v>
      </c>
      <c r="O210">
        <f ca="1"/>
        <v>1.010687758575207</v>
      </c>
      <c r="P210">
        <f ca="1"/>
        <v>1.1342160316247241</v>
      </c>
      <c r="Q210">
        <f ca="1"/>
        <v>0.64840088543142638</v>
      </c>
      <c r="S210" s="10">
        <f ca="1"/>
        <v>0.48288073281386423</v>
      </c>
      <c r="T210" s="10">
        <f ca="1"/>
        <v>0.63532458791376445</v>
      </c>
      <c r="U210" s="10">
        <f ca="1"/>
        <v>0.19104563745747596</v>
      </c>
    </row>
    <row r="211" spans="1:21" x14ac:dyDescent="0.25">
      <c r="A211" s="5">
        <f ca="1"/>
        <v>39844</v>
      </c>
      <c r="B211" s="10">
        <f ca="1"/>
        <v>0.43272630741740525</v>
      </c>
      <c r="C211" s="10">
        <f ca="1"/>
        <v>6.2924505547515677E-2</v>
      </c>
      <c r="D211" s="10">
        <f ca="1"/>
        <v>2.4723468403280269E-2</v>
      </c>
      <c r="E211" s="10">
        <f ca="1"/>
        <v>3.8201037144235409E-2</v>
      </c>
      <c r="G211" s="10">
        <f ca="1"/>
        <v>0.64777524010903398</v>
      </c>
      <c r="H211" s="10">
        <f ca="1"/>
        <v>0.81156136715777405</v>
      </c>
      <c r="I211" s="10">
        <f ca="1"/>
        <v>0.38276361068681375</v>
      </c>
      <c r="K211">
        <f ca="1"/>
        <v>-11.693454777983433</v>
      </c>
      <c r="L211">
        <f ca="1"/>
        <v>-28.189722805786374</v>
      </c>
      <c r="M211">
        <f ca="1"/>
        <v>-14.385752746497925</v>
      </c>
      <c r="O211">
        <f ca="1"/>
        <v>0.95042034475147763</v>
      </c>
      <c r="P211">
        <f ca="1"/>
        <v>1.0866579722004486</v>
      </c>
      <c r="Q211">
        <f ca="1"/>
        <v>0.61126374823773322</v>
      </c>
      <c r="S211" s="10">
        <f ca="1"/>
        <v>0.47939519742077119</v>
      </c>
      <c r="T211" s="10">
        <f ca="1"/>
        <v>0.71947002201743515</v>
      </c>
      <c r="U211" s="10">
        <f ca="1"/>
        <v>0.37357385068689059</v>
      </c>
    </row>
    <row r="212" spans="1:21" x14ac:dyDescent="0.25">
      <c r="A212" s="5">
        <f ca="1"/>
        <v>39813</v>
      </c>
      <c r="B212" s="10">
        <f ca="1"/>
        <v>0.26343753243496271</v>
      </c>
      <c r="C212" s="10">
        <f ca="1"/>
        <v>6.7429798279982051E-2</v>
      </c>
      <c r="D212" s="10">
        <f ca="1"/>
        <v>2.5495202629759465E-2</v>
      </c>
      <c r="E212" s="10">
        <f ca="1"/>
        <v>4.1934595650222582E-2</v>
      </c>
      <c r="G212" s="10">
        <f ca="1"/>
        <v>0.63660472017571823</v>
      </c>
      <c r="H212" s="10">
        <f ca="1"/>
        <v>0.79427997202395451</v>
      </c>
      <c r="I212" s="10">
        <f ca="1"/>
        <v>0.38835855183030316</v>
      </c>
      <c r="K212">
        <f ca="1"/>
        <v>-11.2541697033441</v>
      </c>
      <c r="L212">
        <f ca="1"/>
        <v>-27.648220510925139</v>
      </c>
      <c r="M212">
        <f ca="1"/>
        <v>-13.950636729671992</v>
      </c>
      <c r="O212">
        <f ca="1"/>
        <v>0.90835839853640632</v>
      </c>
      <c r="P212">
        <f ca="1"/>
        <v>1.0624527233520515</v>
      </c>
      <c r="Q212">
        <f ca="1"/>
        <v>0.58504177361498089</v>
      </c>
      <c r="S212" s="10">
        <f ca="1"/>
        <v>0.46259296217835694</v>
      </c>
      <c r="T212" s="10">
        <f ca="1"/>
        <v>0.74251820934659318</v>
      </c>
      <c r="U212" s="10">
        <f ca="1"/>
        <v>0.35701923736832164</v>
      </c>
    </row>
    <row r="213" spans="1:21" x14ac:dyDescent="0.25">
      <c r="A213" s="5">
        <f ca="1"/>
        <v>39782</v>
      </c>
      <c r="B213" s="10">
        <f ca="1"/>
        <v>0.17081358507589095</v>
      </c>
      <c r="C213" s="10">
        <f ca="1"/>
        <v>7.3728251657610044E-2</v>
      </c>
      <c r="D213" s="10">
        <f ca="1"/>
        <v>2.8333167156887183E-2</v>
      </c>
      <c r="E213" s="10">
        <f ca="1"/>
        <v>4.5395084500722868E-2</v>
      </c>
      <c r="G213" s="10">
        <f ca="1"/>
        <v>0.63019385318753263</v>
      </c>
      <c r="H213" s="10">
        <f ca="1"/>
        <v>0.78663456977767499</v>
      </c>
      <c r="I213" s="10">
        <f ca="1"/>
        <v>0.39867002548340619</v>
      </c>
      <c r="K213">
        <f ca="1"/>
        <v>-11.014641089794067</v>
      </c>
      <c r="L213">
        <f ca="1"/>
        <v>-27.650414177410934</v>
      </c>
      <c r="M213">
        <f ca="1"/>
        <v>-13.859595459076687</v>
      </c>
      <c r="O213">
        <f ca="1"/>
        <v>0.88506629801464831</v>
      </c>
      <c r="P213">
        <f ca="1"/>
        <v>1.0618480485093242</v>
      </c>
      <c r="Q213">
        <f ca="1"/>
        <v>0.57631938348781431</v>
      </c>
      <c r="S213" s="10">
        <f ca="1"/>
        <v>0.40816995863802352</v>
      </c>
      <c r="T213" s="10">
        <f ca="1"/>
        <v>0.69355172481787919</v>
      </c>
      <c r="U213" s="10">
        <f ca="1"/>
        <v>0.14036679163419269</v>
      </c>
    </row>
    <row r="214" spans="1:21" x14ac:dyDescent="0.25">
      <c r="A214" s="5">
        <f ca="1"/>
        <v>39752</v>
      </c>
      <c r="B214" s="10">
        <f ca="1"/>
        <v>0.13713545866935739</v>
      </c>
      <c r="C214" s="10">
        <f ca="1"/>
        <v>8.3337157698320646E-2</v>
      </c>
      <c r="D214" s="10">
        <f ca="1"/>
        <v>3.4995209037268646E-2</v>
      </c>
      <c r="E214" s="10">
        <f ca="1"/>
        <v>4.8341948661051994E-2</v>
      </c>
      <c r="G214" s="10">
        <f ca="1"/>
        <v>0.63138348658429699</v>
      </c>
      <c r="H214" s="10">
        <f ca="1"/>
        <v>0.78800796845010279</v>
      </c>
      <c r="I214" s="10">
        <f ca="1"/>
        <v>0.41449408198707127</v>
      </c>
      <c r="K214">
        <f ca="1"/>
        <v>-10.872812764383323</v>
      </c>
      <c r="L214">
        <f ca="1"/>
        <v>-27.797442935044391</v>
      </c>
      <c r="M214">
        <f ca="1"/>
        <v>-13.945834167132782</v>
      </c>
      <c r="O214">
        <f ca="1"/>
        <v>0.87069200312772244</v>
      </c>
      <c r="P214">
        <f ca="1"/>
        <v>1.0680911894195972</v>
      </c>
      <c r="Q214">
        <f ca="1"/>
        <v>0.5762559929338309</v>
      </c>
      <c r="S214" s="10">
        <f ca="1"/>
        <v>0.33232552474541799</v>
      </c>
      <c r="T214" s="10">
        <f ca="1"/>
        <v>0.67332406985335402</v>
      </c>
      <c r="U214" s="10">
        <f ca="1"/>
        <v>1.9746423098265502E-2</v>
      </c>
    </row>
    <row r="215" spans="1:21" x14ac:dyDescent="0.25">
      <c r="A215" s="5">
        <f ca="1"/>
        <v>39721</v>
      </c>
      <c r="B215" s="10">
        <f ca="1"/>
        <v>-0.11630202177518367</v>
      </c>
      <c r="C215" s="10">
        <f ca="1"/>
        <v>9.2922909880564605E-2</v>
      </c>
      <c r="D215" s="10">
        <f ca="1"/>
        <v>4.4164910263779777E-2</v>
      </c>
      <c r="E215" s="10">
        <f ca="1"/>
        <v>4.8757999616784828E-2</v>
      </c>
      <c r="G215" s="10">
        <f ca="1"/>
        <v>0.64278328032904131</v>
      </c>
      <c r="H215" s="10">
        <f ca="1"/>
        <v>0.78715228843533858</v>
      </c>
      <c r="I215" s="10">
        <f ca="1"/>
        <v>0.43545482399236102</v>
      </c>
      <c r="K215">
        <f ca="1"/>
        <v>-10.842744192194692</v>
      </c>
      <c r="L215">
        <f ca="1"/>
        <v>-27.456687653336271</v>
      </c>
      <c r="M215">
        <f ca="1"/>
        <v>-14.224288275843108</v>
      </c>
      <c r="O215">
        <f ca="1"/>
        <v>0.86474298725121623</v>
      </c>
      <c r="P215">
        <f ca="1"/>
        <v>1.0526060488057059</v>
      </c>
      <c r="Q215">
        <f ca="1"/>
        <v>0.5848518292172209</v>
      </c>
      <c r="S215" s="10">
        <f ca="1"/>
        <v>0.26191357804628373</v>
      </c>
      <c r="T215" s="10">
        <f ca="1"/>
        <v>0.67506541102324613</v>
      </c>
      <c r="U215" s="10">
        <f ca="1"/>
        <v>7.7663851537483413E-4</v>
      </c>
    </row>
    <row r="216" spans="1:21" x14ac:dyDescent="0.25">
      <c r="A216" s="5">
        <f ca="1"/>
        <v>39691</v>
      </c>
      <c r="B216" s="10">
        <f ca="1"/>
        <v>-0.15077596291082718</v>
      </c>
      <c r="C216" s="10">
        <f ca="1"/>
        <v>0.11018741460648089</v>
      </c>
      <c r="D216" s="10">
        <f ca="1"/>
        <v>4.186718568740172E-2</v>
      </c>
      <c r="E216" s="10">
        <f ca="1"/>
        <v>6.8320228919079171E-2</v>
      </c>
      <c r="G216" s="10">
        <f ca="1"/>
        <v>0.64712768959267697</v>
      </c>
      <c r="H216" s="10">
        <f ca="1"/>
        <v>0.78823254075995552</v>
      </c>
      <c r="I216" s="10">
        <f ca="1"/>
        <v>0.4412432541435759</v>
      </c>
      <c r="K216">
        <f ca="1"/>
        <v>-10.830666777957619</v>
      </c>
      <c r="L216">
        <f ca="1"/>
        <v>-27.257196005666632</v>
      </c>
      <c r="M216">
        <f ca="1"/>
        <v>-14.311562553165428</v>
      </c>
      <c r="O216">
        <f ca="1"/>
        <v>0.86292552622100338</v>
      </c>
      <c r="P216">
        <f ca="1"/>
        <v>1.0427628107409521</v>
      </c>
      <c r="Q216">
        <f ca="1"/>
        <v>0.58960312565128037</v>
      </c>
      <c r="S216" s="10">
        <f ca="1"/>
        <v>0.41777293483724098</v>
      </c>
      <c r="T216" s="10">
        <f ca="1"/>
        <v>0.73162202154465583</v>
      </c>
      <c r="U216" s="10">
        <f ca="1"/>
        <v>6.7366331880047106E-2</v>
      </c>
    </row>
    <row r="217" spans="1:21" x14ac:dyDescent="0.25">
      <c r="A217" s="5">
        <f ca="1"/>
        <v>39660</v>
      </c>
      <c r="B217" s="10">
        <f ca="1"/>
        <v>-6.3666826970353751E-2</v>
      </c>
      <c r="C217" s="10">
        <f ca="1"/>
        <v>0.11114127773625751</v>
      </c>
      <c r="D217" s="10">
        <f ca="1"/>
        <v>4.4235883823415714E-2</v>
      </c>
      <c r="E217" s="10">
        <f ca="1"/>
        <v>6.6905393912841796E-2</v>
      </c>
      <c r="G217" s="10">
        <f ca="1"/>
        <v>0.65977852687836602</v>
      </c>
      <c r="H217" s="10">
        <f ca="1"/>
        <v>0.78644342665788347</v>
      </c>
      <c r="I217" s="10">
        <f ca="1"/>
        <v>0.4655737376096038</v>
      </c>
      <c r="K217">
        <f ca="1"/>
        <v>-11.09364577032353</v>
      </c>
      <c r="L217">
        <f ca="1"/>
        <v>-26.824489823235329</v>
      </c>
      <c r="M217">
        <f ca="1"/>
        <v>-15.43912949560821</v>
      </c>
      <c r="O217">
        <f ca="1"/>
        <v>0.88020052063132914</v>
      </c>
      <c r="P217">
        <f ca="1"/>
        <v>1.025050302790302</v>
      </c>
      <c r="Q217">
        <f ca="1"/>
        <v>0.63317951516639726</v>
      </c>
      <c r="S217" s="10">
        <f ca="1"/>
        <v>0.5018555302392862</v>
      </c>
      <c r="T217" s="10">
        <f ca="1"/>
        <v>0.78452777933864559</v>
      </c>
      <c r="U217" s="10">
        <f ca="1"/>
        <v>0.23693183256110528</v>
      </c>
    </row>
    <row r="218" spans="1:21" x14ac:dyDescent="0.25">
      <c r="A218" s="5">
        <f ca="1"/>
        <v>39629</v>
      </c>
      <c r="B218" s="10">
        <f ca="1"/>
        <v>-8.6382770538328102E-2</v>
      </c>
      <c r="C218" s="10">
        <f ca="1"/>
        <v>0.10927851287678306</v>
      </c>
      <c r="D218" s="10">
        <f ca="1"/>
        <v>4.4780481507777706E-2</v>
      </c>
      <c r="E218" s="10">
        <f ca="1"/>
        <v>6.4498031369005351E-2</v>
      </c>
      <c r="G218" s="10">
        <f ca="1"/>
        <v>0.69204157470920757</v>
      </c>
      <c r="H218" s="10">
        <f ca="1"/>
        <v>0.78947556688472198</v>
      </c>
      <c r="I218" s="10">
        <f ca="1"/>
        <v>0.51199931186048231</v>
      </c>
      <c r="K218">
        <f ca="1"/>
        <v>-11.652640188151841</v>
      </c>
      <c r="L218">
        <f ca="1"/>
        <v>-26.764981007955541</v>
      </c>
      <c r="M218">
        <f ca="1"/>
        <v>-17.127924561385495</v>
      </c>
      <c r="O218">
        <f ca="1"/>
        <v>0.9193670147366132</v>
      </c>
      <c r="P218">
        <f ca="1"/>
        <v>1.0197639707249058</v>
      </c>
      <c r="Q218">
        <f ca="1"/>
        <v>0.69773825004129941</v>
      </c>
      <c r="S218" s="10">
        <f ca="1"/>
        <v>0.54486259606125764</v>
      </c>
      <c r="T218" s="10">
        <f ca="1"/>
        <v>0.7774700518453016</v>
      </c>
      <c r="U218" s="10">
        <f ca="1"/>
        <v>0.34399943222221274</v>
      </c>
    </row>
    <row r="219" spans="1:21" x14ac:dyDescent="0.25">
      <c r="A219" s="5">
        <f ca="1"/>
        <v>39599</v>
      </c>
      <c r="B219" s="10">
        <f ca="1"/>
        <v>-0.21129265886168613</v>
      </c>
      <c r="C219" s="10">
        <f ca="1"/>
        <v>0.10511433380810566</v>
      </c>
      <c r="D219" s="10">
        <f ca="1"/>
        <v>4.4232811083775733E-2</v>
      </c>
      <c r="E219" s="10">
        <f ca="1"/>
        <v>6.0881522724329923E-2</v>
      </c>
      <c r="G219" s="10">
        <f ca="1"/>
        <v>0.72072560693444165</v>
      </c>
      <c r="H219" s="10">
        <f ca="1"/>
        <v>0.79395092768953313</v>
      </c>
      <c r="I219" s="10">
        <f ca="1"/>
        <v>0.55502057384981396</v>
      </c>
      <c r="K219">
        <f ca="1"/>
        <v>-12.181933009840913</v>
      </c>
      <c r="L219">
        <f ca="1"/>
        <v>-26.778980133740156</v>
      </c>
      <c r="M219">
        <f ca="1"/>
        <v>-18.804570019751662</v>
      </c>
      <c r="O219">
        <f ca="1"/>
        <v>0.95630738009268901</v>
      </c>
      <c r="P219">
        <f ca="1"/>
        <v>1.0177995726267246</v>
      </c>
      <c r="Q219">
        <f ca="1"/>
        <v>0.76131148714436003</v>
      </c>
      <c r="S219" s="10">
        <f ca="1"/>
        <v>0.62427870709365008</v>
      </c>
      <c r="T219" s="10">
        <f ca="1"/>
        <v>0.79523121197225988</v>
      </c>
      <c r="U219" s="10">
        <f ca="1"/>
        <v>0.46011442091045063</v>
      </c>
    </row>
    <row r="220" spans="1:21" x14ac:dyDescent="0.25">
      <c r="A220" s="5">
        <f ca="1"/>
        <v>39568</v>
      </c>
      <c r="B220" s="10">
        <f ca="1"/>
        <v>-0.22497273969400655</v>
      </c>
      <c r="C220" s="10">
        <f ca="1"/>
        <v>0.10341657134778753</v>
      </c>
      <c r="D220" s="10">
        <f ca="1"/>
        <v>4.2707527406855246E-2</v>
      </c>
      <c r="E220" s="10">
        <f ca="1"/>
        <v>6.0709043940932281E-2</v>
      </c>
      <c r="G220" s="10">
        <f ca="1"/>
        <v>0.72616969891614846</v>
      </c>
      <c r="H220" s="10">
        <f ca="1"/>
        <v>0.79384455322632985</v>
      </c>
      <c r="I220" s="10">
        <f ca="1"/>
        <v>0.56698218547505475</v>
      </c>
      <c r="K220">
        <f ca="1"/>
        <v>-12.35226025978803</v>
      </c>
      <c r="L220">
        <f ca="1"/>
        <v>-26.442102910814825</v>
      </c>
      <c r="M220">
        <f ca="1"/>
        <v>-19.709865008575765</v>
      </c>
      <c r="O220">
        <f ca="1"/>
        <v>0.96724833199671767</v>
      </c>
      <c r="P220">
        <f ca="1"/>
        <v>1.0045584687576647</v>
      </c>
      <c r="Q220">
        <f ca="1"/>
        <v>0.79557817352665028</v>
      </c>
      <c r="S220" s="10">
        <f ca="1"/>
        <v>0.70323665785546741</v>
      </c>
      <c r="T220" s="10">
        <f ca="1"/>
        <v>0.83170012787705616</v>
      </c>
      <c r="U220" s="10">
        <f ca="1"/>
        <v>0.56022199253381966</v>
      </c>
    </row>
    <row r="221" spans="1:21" x14ac:dyDescent="0.25">
      <c r="A221" s="5">
        <f ca="1"/>
        <v>39538</v>
      </c>
      <c r="B221" s="10">
        <f ca="1"/>
        <v>-0.15695167706176405</v>
      </c>
      <c r="C221" s="10">
        <f ca="1"/>
        <v>0.10839486377096452</v>
      </c>
      <c r="D221" s="10">
        <f ca="1"/>
        <v>4.5183686136578173E-2</v>
      </c>
      <c r="E221" s="10">
        <f ca="1"/>
        <v>6.3211177634386356E-2</v>
      </c>
      <c r="G221" s="10">
        <f ca="1"/>
        <v>0.73015914495735079</v>
      </c>
      <c r="H221" s="10">
        <f ca="1"/>
        <v>0.79666573371936389</v>
      </c>
      <c r="I221" s="10">
        <f ca="1"/>
        <v>0.58038608001489544</v>
      </c>
      <c r="K221">
        <f ca="1"/>
        <v>-12.454026510781848</v>
      </c>
      <c r="L221">
        <f ca="1"/>
        <v>-26.013843679935455</v>
      </c>
      <c r="M221">
        <f ca="1"/>
        <v>-20.725353381886489</v>
      </c>
      <c r="O221">
        <f ca="1"/>
        <v>0.97314443538241446</v>
      </c>
      <c r="P221">
        <f ca="1"/>
        <v>0.98887897688328763</v>
      </c>
      <c r="Q221">
        <f ca="1"/>
        <v>0.83361822015757914</v>
      </c>
      <c r="S221" s="10">
        <f ca="1"/>
        <v>0.74842308232071719</v>
      </c>
      <c r="T221" s="10">
        <f ca="1"/>
        <v>0.84793200262579016</v>
      </c>
      <c r="U221" s="10">
        <f ca="1"/>
        <v>0.62620500779791721</v>
      </c>
    </row>
    <row r="222" spans="1:21" x14ac:dyDescent="0.25">
      <c r="A222" s="5">
        <f ca="1"/>
        <v>39507</v>
      </c>
      <c r="B222" s="10">
        <f ca="1"/>
        <v>-0.17660807221966768</v>
      </c>
      <c r="C222" s="10">
        <f ca="1"/>
        <v>0.10947569979075369</v>
      </c>
      <c r="D222" s="10">
        <f ca="1"/>
        <v>4.962533064866359E-2</v>
      </c>
      <c r="E222" s="10">
        <f ca="1"/>
        <v>5.9850369142090097E-2</v>
      </c>
      <c r="G222" s="10">
        <f ca="1"/>
        <v>0.75269480683564083</v>
      </c>
      <c r="H222" s="10">
        <f ca="1"/>
        <v>0.80366359288154543</v>
      </c>
      <c r="I222" s="10">
        <f ca="1"/>
        <v>0.62207716772009825</v>
      </c>
      <c r="K222">
        <f ca="1"/>
        <v>-13.156253308127919</v>
      </c>
      <c r="L222">
        <f ca="1"/>
        <v>-26.332581525921334</v>
      </c>
      <c r="M222">
        <f ca="1"/>
        <v>-23.305578274824654</v>
      </c>
      <c r="O222">
        <f ca="1"/>
        <v>1.0251179913491129</v>
      </c>
      <c r="P222">
        <f ca="1"/>
        <v>1.0014943193530372</v>
      </c>
      <c r="Q222">
        <f ca="1"/>
        <v>0.93239832170345205</v>
      </c>
      <c r="S222" s="10">
        <f ca="1"/>
        <v>0.83657221194003817</v>
      </c>
      <c r="T222" s="10">
        <f ca="1"/>
        <v>0.89212060655156888</v>
      </c>
      <c r="U222" s="10">
        <f ca="1"/>
        <v>0.74083011065805549</v>
      </c>
    </row>
    <row r="223" spans="1:21" x14ac:dyDescent="0.25">
      <c r="A223" s="5">
        <f ca="1"/>
        <v>39478</v>
      </c>
      <c r="B223" s="10">
        <f ca="1"/>
        <v>-0.2483479709082046</v>
      </c>
      <c r="C223" s="10">
        <f ca="1"/>
        <v>0.11179261979852823</v>
      </c>
      <c r="D223" s="10">
        <f ca="1"/>
        <v>4.8650245518783185E-2</v>
      </c>
      <c r="E223" s="10">
        <f ca="1"/>
        <v>6.3142374279745034E-2</v>
      </c>
      <c r="G223" s="10">
        <f ca="1"/>
        <v>0.77600034268992002</v>
      </c>
      <c r="H223" s="10">
        <f ca="1"/>
        <v>0.81401393133258326</v>
      </c>
      <c r="I223" s="10">
        <f ca="1"/>
        <v>0.65166524884902977</v>
      </c>
      <c r="K223">
        <f ca="1"/>
        <v>-13.901034730853747</v>
      </c>
      <c r="L223">
        <f ca="1"/>
        <v>-26.86647975194834</v>
      </c>
      <c r="M223">
        <f ca="1"/>
        <v>-25.530758978865283</v>
      </c>
      <c r="O223">
        <f ca="1"/>
        <v>1.0786499851888827</v>
      </c>
      <c r="P223">
        <f ca="1"/>
        <v>1.0194042973449762</v>
      </c>
      <c r="Q223">
        <f ca="1"/>
        <v>1.0162488978876154</v>
      </c>
      <c r="S223" s="10">
        <f ca="1"/>
        <v>0.8910542697020889</v>
      </c>
      <c r="T223" s="10">
        <f ca="1"/>
        <v>0.90956739708152878</v>
      </c>
      <c r="U223" s="10">
        <f ca="1"/>
        <v>0.80808250473127674</v>
      </c>
    </row>
    <row r="224" spans="1:21" x14ac:dyDescent="0.25">
      <c r="A224" s="5">
        <f ca="1"/>
        <v>39447</v>
      </c>
      <c r="B224" s="10">
        <f ca="1"/>
        <v>-0.28009482238675953</v>
      </c>
      <c r="C224" s="10">
        <f ca="1"/>
        <v>0.10798177343178342</v>
      </c>
      <c r="D224" s="10">
        <f ca="1"/>
        <v>4.7268276458458061E-2</v>
      </c>
      <c r="E224" s="10">
        <f ca="1"/>
        <v>6.071349697332535E-2</v>
      </c>
      <c r="G224" s="10">
        <f ca="1"/>
        <v>0.793089035502068</v>
      </c>
      <c r="H224" s="10">
        <f ca="1"/>
        <v>0.81375203123007467</v>
      </c>
      <c r="I224" s="10">
        <f ca="1"/>
        <v>0.69424053488472448</v>
      </c>
      <c r="K224">
        <f ca="1"/>
        <v>-14.599254282265944</v>
      </c>
      <c r="L224">
        <f ca="1"/>
        <v>-26.857714975571639</v>
      </c>
      <c r="M224">
        <f ca="1"/>
        <v>-28.896216488703242</v>
      </c>
      <c r="O224">
        <f ca="1"/>
        <v>1.1268437439558161</v>
      </c>
      <c r="P224">
        <f ca="1"/>
        <v>1.017701467758491</v>
      </c>
      <c r="Q224">
        <f ca="1"/>
        <v>1.1396524482295642</v>
      </c>
      <c r="S224" s="10">
        <f ca="1"/>
        <v>0.90453517893039637</v>
      </c>
      <c r="T224" s="10">
        <f ca="1"/>
        <v>0.91754080849696673</v>
      </c>
      <c r="U224" s="10">
        <f ca="1"/>
        <v>0.83066663482365066</v>
      </c>
    </row>
    <row r="225" spans="1:21" x14ac:dyDescent="0.25">
      <c r="A225" s="5">
        <f ca="1"/>
        <v>39416</v>
      </c>
      <c r="B225" s="10">
        <f ca="1"/>
        <v>-0.31092267778651428</v>
      </c>
      <c r="C225" s="10">
        <f ca="1"/>
        <v>0.10825186279116601</v>
      </c>
      <c r="D225" s="10">
        <f ca="1"/>
        <v>5.0962341411022356E-2</v>
      </c>
      <c r="E225" s="10">
        <f ca="1"/>
        <v>5.7289521380143656E-2</v>
      </c>
      <c r="G225" s="10">
        <f ca="1"/>
        <v>0.79827570097281375</v>
      </c>
      <c r="H225" s="10">
        <f ca="1"/>
        <v>0.80740663897660225</v>
      </c>
      <c r="I225" s="10">
        <f ca="1"/>
        <v>0.73081156610587428</v>
      </c>
      <c r="K225">
        <f ca="1"/>
        <v>-15.03387131329694</v>
      </c>
      <c r="L225">
        <f ca="1"/>
        <v>-26.442548532713104</v>
      </c>
      <c r="M225">
        <f ca="1"/>
        <v>-32.388234803737582</v>
      </c>
      <c r="O225">
        <f ca="1"/>
        <v>1.155117814236541</v>
      </c>
      <c r="P225">
        <f ca="1"/>
        <v>1.0015076059706931</v>
      </c>
      <c r="Q225">
        <f ca="1"/>
        <v>1.2655682866968465</v>
      </c>
      <c r="S225" s="10">
        <f ca="1"/>
        <v>0.91488485901092131</v>
      </c>
      <c r="T225" s="10">
        <f ca="1"/>
        <v>0.9232827236596669</v>
      </c>
      <c r="U225" s="10">
        <f ca="1"/>
        <v>0.84708654450594667</v>
      </c>
    </row>
    <row r="226" spans="1:21" x14ac:dyDescent="0.25">
      <c r="A226" s="5">
        <f ca="1"/>
        <v>39386</v>
      </c>
      <c r="B226" s="10">
        <f ca="1"/>
        <v>-0.36266120812405878</v>
      </c>
      <c r="C226" s="10">
        <f ca="1"/>
        <v>0.10413863101199014</v>
      </c>
      <c r="D226" s="10">
        <f ca="1"/>
        <v>5.1016185346577529E-2</v>
      </c>
      <c r="E226" s="10">
        <f ca="1"/>
        <v>5.3122445665412618E-2</v>
      </c>
      <c r="G226" s="10">
        <f ca="1"/>
        <v>0.79227976950949575</v>
      </c>
      <c r="H226" s="10">
        <f ca="1"/>
        <v>0.790509161960951</v>
      </c>
      <c r="I226" s="10">
        <f ca="1"/>
        <v>0.746933406219083</v>
      </c>
      <c r="K226">
        <f ca="1"/>
        <v>-15.320209385116778</v>
      </c>
      <c r="L226">
        <f ca="1"/>
        <v>-26.038239317183244</v>
      </c>
      <c r="M226">
        <f ca="1"/>
        <v>-34.976758150895485</v>
      </c>
      <c r="O226">
        <f ca="1"/>
        <v>1.170614483997132</v>
      </c>
      <c r="P226">
        <f ca="1"/>
        <v>0.98355957549277051</v>
      </c>
      <c r="Q226">
        <f ca="1"/>
        <v>1.3550543559040666</v>
      </c>
      <c r="S226" s="10">
        <f ca="1"/>
        <v>0.91813647493637407</v>
      </c>
      <c r="T226" s="10">
        <f ca="1"/>
        <v>0.92802687595130884</v>
      </c>
      <c r="U226" s="10">
        <f ca="1"/>
        <v>0.83489821513559448</v>
      </c>
    </row>
    <row r="227" spans="1:21" x14ac:dyDescent="0.25">
      <c r="A227" s="5">
        <f ca="1"/>
        <v>39355</v>
      </c>
      <c r="B227" s="10">
        <f ca="1"/>
        <v>-0.39785819071608386</v>
      </c>
      <c r="C227" s="10">
        <f ca="1"/>
        <v>9.9827581532789339E-2</v>
      </c>
      <c r="D227" s="10">
        <f ca="1"/>
        <v>4.8676227397186002E-2</v>
      </c>
      <c r="E227" s="10">
        <f ca="1"/>
        <v>5.115135413560333E-2</v>
      </c>
      <c r="G227" s="10">
        <f ca="1"/>
        <v>0.78179509149102577</v>
      </c>
      <c r="H227" s="10">
        <f ca="1"/>
        <v>0.77664819705345611</v>
      </c>
      <c r="I227" s="10">
        <f ca="1"/>
        <v>0.7418567114894371</v>
      </c>
      <c r="K227">
        <f ca="1"/>
        <v>-15.42022220394712</v>
      </c>
      <c r="L227">
        <f ca="1"/>
        <v>-25.645732916528029</v>
      </c>
      <c r="M227">
        <f ca="1"/>
        <v>-36.337701589657641</v>
      </c>
      <c r="O227">
        <f ca="1"/>
        <v>1.1756367933319669</v>
      </c>
      <c r="P227">
        <f ca="1"/>
        <v>0.96836944138834091</v>
      </c>
      <c r="Q227">
        <f ca="1"/>
        <v>1.4025996075969132</v>
      </c>
      <c r="S227" s="10">
        <f ca="1"/>
        <v>0.90264563001970266</v>
      </c>
      <c r="T227" s="10">
        <f ca="1"/>
        <v>0.93103258996366989</v>
      </c>
      <c r="U227" s="10">
        <f ca="1"/>
        <v>0.77872748800584357</v>
      </c>
    </row>
    <row r="228" spans="1:21" x14ac:dyDescent="0.25">
      <c r="A228" s="5">
        <f ca="1"/>
        <v>39325</v>
      </c>
      <c r="B228" s="10">
        <f ca="1"/>
        <v>-0.37642723441949222</v>
      </c>
      <c r="C228" s="10">
        <f ca="1"/>
        <v>0.10113432470639408</v>
      </c>
      <c r="D228" s="10">
        <f ca="1"/>
        <v>4.9270742714223575E-2</v>
      </c>
      <c r="E228" s="10">
        <f ca="1"/>
        <v>5.1863581992170511E-2</v>
      </c>
      <c r="G228" s="10">
        <f ca="1"/>
        <v>0.77035687435155287</v>
      </c>
      <c r="H228" s="10">
        <f ca="1"/>
        <v>0.77146055236457667</v>
      </c>
      <c r="I228" s="10">
        <f ca="1"/>
        <v>0.72390126011794564</v>
      </c>
      <c r="K228">
        <f ca="1"/>
        <v>-15.454733542186691</v>
      </c>
      <c r="L228">
        <f ca="1"/>
        <v>-25.316194566482014</v>
      </c>
      <c r="M228">
        <f ca="1"/>
        <v>-37.366486474641462</v>
      </c>
      <c r="O228">
        <f ca="1"/>
        <v>1.1801303105185115</v>
      </c>
      <c r="P228">
        <f ca="1"/>
        <v>0.95974973922338358</v>
      </c>
      <c r="Q228">
        <f ca="1"/>
        <v>1.4416616527169634</v>
      </c>
      <c r="S228" s="10">
        <f ca="1"/>
        <v>0.86414623563466486</v>
      </c>
      <c r="T228" s="10">
        <f ca="1"/>
        <v>0.9253120836996962</v>
      </c>
      <c r="U228" s="10">
        <f ca="1"/>
        <v>0.69022894290891068</v>
      </c>
    </row>
    <row r="229" spans="1:21" x14ac:dyDescent="0.25">
      <c r="A229" s="5">
        <f ca="1"/>
        <v>39294</v>
      </c>
      <c r="B229" s="10">
        <f ca="1"/>
        <v>-0.40024188924078119</v>
      </c>
      <c r="C229" s="10">
        <f ca="1"/>
        <v>0.10926523788642842</v>
      </c>
      <c r="D229" s="10">
        <f ca="1"/>
        <v>5.7060266388949794E-2</v>
      </c>
      <c r="E229" s="10">
        <f ca="1"/>
        <v>5.2204971497478624E-2</v>
      </c>
      <c r="G229" s="10">
        <f ca="1"/>
        <v>0.75034729988611826</v>
      </c>
      <c r="H229" s="10">
        <f ca="1"/>
        <v>0.75369918436522676</v>
      </c>
      <c r="I229" s="10">
        <f ca="1"/>
        <v>0.70868612670996978</v>
      </c>
      <c r="K229">
        <f ca="1"/>
        <v>-15.322222069215993</v>
      </c>
      <c r="L229">
        <f ca="1"/>
        <v>-24.609523466458448</v>
      </c>
      <c r="M229">
        <f ca="1"/>
        <v>-38.631321403595855</v>
      </c>
      <c r="O229">
        <f ca="1"/>
        <v>1.1691598231547646</v>
      </c>
      <c r="P229">
        <f ca="1"/>
        <v>0.93524842719585155</v>
      </c>
      <c r="Q229">
        <f ca="1"/>
        <v>1.4842197204084224</v>
      </c>
      <c r="S229" s="10">
        <f ca="1"/>
        <v>0.8338457795637283</v>
      </c>
      <c r="T229" s="10">
        <f ca="1"/>
        <v>0.92081690626278412</v>
      </c>
      <c r="U229" s="10">
        <f ca="1"/>
        <v>0.61009203806211454</v>
      </c>
    </row>
    <row r="230" spans="1:21" x14ac:dyDescent="0.25">
      <c r="A230" s="5">
        <f ca="1"/>
        <v>39263</v>
      </c>
      <c r="B230" s="10">
        <f ca="1"/>
        <v>-0.46927195391996923</v>
      </c>
      <c r="C230" s="10">
        <f ca="1"/>
        <v>0.10365235392503633</v>
      </c>
      <c r="D230" s="10">
        <f ca="1"/>
        <v>5.5995722628938059E-2</v>
      </c>
      <c r="E230" s="10">
        <f ca="1"/>
        <v>4.7656631296098269E-2</v>
      </c>
      <c r="G230" s="10">
        <f ca="1"/>
        <v>0.73049493925037978</v>
      </c>
      <c r="H230" s="10">
        <f ca="1"/>
        <v>0.72930924163935507</v>
      </c>
      <c r="I230" s="10">
        <f ca="1"/>
        <v>0.6898923178596289</v>
      </c>
      <c r="K230">
        <f ca="1"/>
        <v>-15.817636809711599</v>
      </c>
      <c r="L230">
        <f ca="1"/>
        <v>-24.929071983790017</v>
      </c>
      <c r="M230">
        <f ca="1"/>
        <v>-40.757072407764774</v>
      </c>
      <c r="O230">
        <f ca="1"/>
        <v>1.2007916500977469</v>
      </c>
      <c r="P230">
        <f ca="1"/>
        <v>0.94340925297328071</v>
      </c>
      <c r="Q230">
        <f ca="1"/>
        <v>1.5577677408248873</v>
      </c>
      <c r="S230" s="10">
        <f ca="1"/>
        <v>0.81300304964521297</v>
      </c>
      <c r="T230" s="10">
        <f ca="1"/>
        <v>0.90725147540470441</v>
      </c>
      <c r="U230" s="10">
        <f ca="1"/>
        <v>0.51032929670664351</v>
      </c>
    </row>
    <row r="231" spans="1:21" x14ac:dyDescent="0.25">
      <c r="A231" s="5">
        <f ca="1"/>
        <v>39233</v>
      </c>
      <c r="B231" s="10">
        <f ca="1"/>
        <v>-0.51974361422138116</v>
      </c>
      <c r="C231" s="10">
        <f ca="1"/>
        <v>9.8848445560122483E-2</v>
      </c>
      <c r="D231" s="10">
        <f ca="1"/>
        <v>5.2731235000413781E-2</v>
      </c>
      <c r="E231" s="10">
        <f ca="1"/>
        <v>4.6117210559708695E-2</v>
      </c>
      <c r="G231" s="10">
        <f ca="1"/>
        <v>0.68312523476560039</v>
      </c>
      <c r="H231" s="10">
        <f ca="1"/>
        <v>0.68139025402522357</v>
      </c>
      <c r="I231" s="10">
        <f ca="1"/>
        <v>0.64050525809175807</v>
      </c>
      <c r="K231">
        <f ca="1"/>
        <v>-15.482500501427079</v>
      </c>
      <c r="L231">
        <f ca="1"/>
        <v>-24.519262002235287</v>
      </c>
      <c r="M231">
        <f ca="1"/>
        <v>-39.216820992789245</v>
      </c>
      <c r="O231">
        <f ca="1"/>
        <v>1.1764266488074933</v>
      </c>
      <c r="P231">
        <f ca="1"/>
        <v>0.92820704923408826</v>
      </c>
      <c r="Q231">
        <f ca="1"/>
        <v>1.5028997080244482</v>
      </c>
      <c r="S231" s="10">
        <f ca="1"/>
        <v>0.74158692814839544</v>
      </c>
      <c r="T231" s="10">
        <f ca="1"/>
        <v>0.9045653532161928</v>
      </c>
      <c r="U231" s="10">
        <f ca="1"/>
        <v>0.31226970194018133</v>
      </c>
    </row>
    <row r="232" spans="1:21" x14ac:dyDescent="0.25">
      <c r="A232" s="5">
        <f ca="1"/>
        <v>39202</v>
      </c>
      <c r="B232" s="10">
        <f ca="1"/>
        <v>-0.4428651365022257</v>
      </c>
      <c r="C232" s="10">
        <f ca="1"/>
        <v>8.9903776399895968E-2</v>
      </c>
      <c r="D232" s="10">
        <f ca="1"/>
        <v>4.6822978688457272E-2</v>
      </c>
      <c r="E232" s="10">
        <f ca="1"/>
        <v>4.3080797711438704E-2</v>
      </c>
      <c r="G232" s="10">
        <f ca="1"/>
        <v>0.61209264624397042</v>
      </c>
      <c r="H232" s="10">
        <f ca="1"/>
        <v>0.61092919904379028</v>
      </c>
      <c r="I232" s="10">
        <f ca="1"/>
        <v>0.56747893712125974</v>
      </c>
      <c r="K232">
        <f ca="1"/>
        <v>-14.246104462853156</v>
      </c>
      <c r="L232">
        <f ca="1"/>
        <v>-22.707495803570119</v>
      </c>
      <c r="M232">
        <f ca="1"/>
        <v>-35.332025783372224</v>
      </c>
      <c r="O232">
        <f ca="1"/>
        <v>1.0923482894149061</v>
      </c>
      <c r="P232">
        <f ca="1"/>
        <v>0.86888115604292371</v>
      </c>
      <c r="Q232">
        <f ca="1"/>
        <v>1.3666741709721573</v>
      </c>
      <c r="S232" s="10">
        <f ca="1"/>
        <v>0.58824447368723698</v>
      </c>
      <c r="T232" s="10">
        <f ca="1"/>
        <v>0.8970800042333319</v>
      </c>
      <c r="U232" s="10">
        <f ca="1"/>
        <v>9.9411703412667904E-2</v>
      </c>
    </row>
    <row r="233" spans="1:21" x14ac:dyDescent="0.25">
      <c r="A233" s="5">
        <f ca="1"/>
        <v>39172</v>
      </c>
      <c r="B233" s="10">
        <f ca="1"/>
        <v>-0.36429344952204346</v>
      </c>
      <c r="C233" s="10">
        <f ca="1"/>
        <v>8.6356279791597379E-2</v>
      </c>
      <c r="D233" s="10">
        <f ca="1"/>
        <v>4.4027408269593171E-2</v>
      </c>
      <c r="E233" s="10">
        <f ca="1"/>
        <v>4.2328871522004215E-2</v>
      </c>
      <c r="G233" s="10">
        <f ca="1"/>
        <v>0.55391963369367359</v>
      </c>
      <c r="H233" s="10">
        <f ca="1"/>
        <v>0.55342525280447219</v>
      </c>
      <c r="I233" s="10">
        <f ca="1"/>
        <v>0.50925055991256163</v>
      </c>
      <c r="K233">
        <f ca="1"/>
        <v>-12.786940127323712</v>
      </c>
      <c r="L233">
        <f ca="1"/>
        <v>-20.462602352709517</v>
      </c>
      <c r="M233">
        <f ca="1"/>
        <v>-31.293284510549611</v>
      </c>
      <c r="O233">
        <f ca="1"/>
        <v>0.99518932744494704</v>
      </c>
      <c r="P233">
        <f ca="1"/>
        <v>0.79736732987860315</v>
      </c>
      <c r="Q233">
        <f ca="1"/>
        <v>1.227016072984537</v>
      </c>
      <c r="S233" s="10">
        <f ca="1"/>
        <v>0.33417573882547758</v>
      </c>
      <c r="T233" s="10">
        <f ca="1"/>
        <v>0.82796813414568704</v>
      </c>
      <c r="U233" s="10">
        <f ca="1"/>
        <v>3.5899145573156229E-7</v>
      </c>
    </row>
    <row r="234" spans="1:21" x14ac:dyDescent="0.25">
      <c r="A234" s="5">
        <f ca="1"/>
        <v>39141</v>
      </c>
      <c r="B234" s="10">
        <f ca="1"/>
        <v>-0.36293198529172399</v>
      </c>
      <c r="C234" s="10">
        <f ca="1"/>
        <v>8.726793841658706E-2</v>
      </c>
      <c r="D234" s="10">
        <f ca="1"/>
        <v>4.5115890318593019E-2</v>
      </c>
      <c r="E234" s="10">
        <f ca="1"/>
        <v>4.2152048097994041E-2</v>
      </c>
      <c r="G234" s="10">
        <f ca="1"/>
        <v>0.48514346048547891</v>
      </c>
      <c r="H234" s="10">
        <f ca="1"/>
        <v>0.4877124134658804</v>
      </c>
      <c r="I234" s="10">
        <f ca="1"/>
        <v>0.43858289996572841</v>
      </c>
      <c r="K234">
        <f ca="1"/>
        <v>-11.391385732221787</v>
      </c>
      <c r="L234">
        <f ca="1"/>
        <v>-18.256566590791216</v>
      </c>
      <c r="M234">
        <f ca="1"/>
        <v>-27.628540145897876</v>
      </c>
      <c r="O234">
        <f ca="1"/>
        <v>0.90196196275300433</v>
      </c>
      <c r="P234">
        <f ca="1"/>
        <v>0.72672368708249746</v>
      </c>
      <c r="Q234">
        <f ca="1"/>
        <v>1.1000147874802801</v>
      </c>
      <c r="S234" s="10">
        <f ca="1"/>
        <v>9.8274839293237451E-2</v>
      </c>
      <c r="T234" s="10">
        <f ca="1"/>
        <v>0.72268667950658882</v>
      </c>
      <c r="U234" s="10">
        <f ca="1"/>
        <v>7.4659681521721866E-2</v>
      </c>
    </row>
    <row r="235" spans="1:21" x14ac:dyDescent="0.25">
      <c r="A235" s="5">
        <f ca="1"/>
        <v>39113</v>
      </c>
      <c r="B235" s="10">
        <f ca="1"/>
        <v>-0.32643369216695917</v>
      </c>
      <c r="C235" s="10">
        <f ca="1"/>
        <v>8.4991627854620166E-2</v>
      </c>
      <c r="D235" s="10">
        <f ca="1"/>
        <v>4.3831487709127752E-2</v>
      </c>
      <c r="E235" s="10">
        <f ca="1"/>
        <v>4.1160140145492408E-2</v>
      </c>
      <c r="G235" s="10">
        <f ca="1"/>
        <v>0.39826072276128127</v>
      </c>
      <c r="H235" s="10">
        <f ca="1"/>
        <v>0.39076378700593328</v>
      </c>
      <c r="I235" s="10">
        <f ca="1"/>
        <v>0.37060906409598338</v>
      </c>
      <c r="K235">
        <f ca="1"/>
        <v>-9.7678710713455761</v>
      </c>
      <c r="L235">
        <f ca="1"/>
        <v>-15.462792401637499</v>
      </c>
      <c r="M235">
        <f ca="1"/>
        <v>-23.90827213683956</v>
      </c>
      <c r="O235">
        <f ca="1"/>
        <v>0.79444008411367861</v>
      </c>
      <c r="P235">
        <f ca="1"/>
        <v>0.63770672052281896</v>
      </c>
      <c r="Q235">
        <f ca="1"/>
        <v>0.97267909669718811</v>
      </c>
      <c r="S235" s="10">
        <f ca="1"/>
        <v>2.3603790458728391E-3</v>
      </c>
      <c r="T235" s="10">
        <f ca="1"/>
        <v>0.58968670019616742</v>
      </c>
      <c r="U235" s="10">
        <f ca="1"/>
        <v>0.26119123220642754</v>
      </c>
    </row>
    <row r="236" spans="1:21" x14ac:dyDescent="0.25">
      <c r="A236" s="5">
        <f ca="1"/>
        <v>39082</v>
      </c>
      <c r="B236" s="10">
        <f ca="1"/>
        <v>-0.17763523570680773</v>
      </c>
      <c r="C236" s="10">
        <f ca="1"/>
        <v>8.4729904622569852E-2</v>
      </c>
      <c r="D236" s="10">
        <f ca="1"/>
        <v>4.2664941057310862E-2</v>
      </c>
      <c r="E236" s="10">
        <f ca="1"/>
        <v>4.2064963565258982E-2</v>
      </c>
      <c r="G236" s="10">
        <f ca="1"/>
        <v>0.31221142791137635</v>
      </c>
      <c r="H236" s="10">
        <f ca="1"/>
        <v>0.29284384153683546</v>
      </c>
      <c r="I236" s="10">
        <f ca="1"/>
        <v>0.30861282972325754</v>
      </c>
      <c r="K236">
        <f ca="1"/>
        <v>-8.1738638454682935</v>
      </c>
      <c r="L236">
        <f ca="1"/>
        <v>-12.676780127613847</v>
      </c>
      <c r="M236">
        <f ca="1"/>
        <v>-20.444024810964248</v>
      </c>
      <c r="O236">
        <f ca="1"/>
        <v>0.68972886977681547</v>
      </c>
      <c r="P236">
        <f ca="1"/>
        <v>0.54997691590437914</v>
      </c>
      <c r="Q236">
        <f ca="1"/>
        <v>0.8546910437737737</v>
      </c>
      <c r="S236" s="10">
        <f ca="1"/>
        <v>0.18874510502819022</v>
      </c>
      <c r="T236" s="10">
        <f ca="1"/>
        <v>0.39663326761463935</v>
      </c>
      <c r="U236" s="10">
        <f ca="1"/>
        <v>0.54600617802780027</v>
      </c>
    </row>
    <row r="237" spans="1:21" x14ac:dyDescent="0.25">
      <c r="A237" s="5">
        <f ca="1"/>
        <v>39051</v>
      </c>
      <c r="B237" s="10">
        <f ca="1"/>
        <v>-8.4105044456745159E-2</v>
      </c>
      <c r="C237" s="10">
        <f ca="1"/>
        <v>8.3286037220808393E-2</v>
      </c>
      <c r="D237" s="10">
        <f ca="1"/>
        <v>4.1926582026529421E-2</v>
      </c>
      <c r="E237" s="10">
        <f ca="1"/>
        <v>4.1359455194278971E-2</v>
      </c>
      <c r="G237" s="10">
        <f ca="1"/>
        <v>0.22450749614632023</v>
      </c>
      <c r="H237" s="10">
        <f ca="1"/>
        <v>0.19499516799246802</v>
      </c>
      <c r="I237" s="10">
        <f ca="1"/>
        <v>0.24359939036709277</v>
      </c>
      <c r="K237">
        <f ca="1"/>
        <v>-7.1531537688749633</v>
      </c>
      <c r="L237">
        <f ca="1"/>
        <v>-10.604583315292574</v>
      </c>
      <c r="M237">
        <f ca="1"/>
        <v>-18.741318012159581</v>
      </c>
      <c r="O237">
        <f ca="1"/>
        <v>0.62055439947978819</v>
      </c>
      <c r="P237">
        <f ca="1"/>
        <v>0.48269582783952952</v>
      </c>
      <c r="Q237">
        <f ca="1"/>
        <v>0.79473334901552972</v>
      </c>
      <c r="S237" s="10">
        <f ca="1"/>
        <v>0.16198418523409064</v>
      </c>
      <c r="T237" s="10">
        <f ca="1"/>
        <v>0.39987404881704319</v>
      </c>
      <c r="U237" s="10">
        <f ca="1"/>
        <v>0.50847682444620257</v>
      </c>
    </row>
    <row r="238" spans="1:21" x14ac:dyDescent="0.25">
      <c r="A238" s="5">
        <f ca="1"/>
        <v>39021</v>
      </c>
      <c r="B238" s="10">
        <f ca="1"/>
        <v>-8.0235671527605579E-2</v>
      </c>
      <c r="C238" s="10">
        <f ca="1"/>
        <v>7.6773397601423071E-2</v>
      </c>
      <c r="D238" s="10">
        <f ca="1"/>
        <v>3.8404487289837606E-2</v>
      </c>
      <c r="E238" s="10">
        <f ca="1"/>
        <v>3.8368910311585472E-2</v>
      </c>
      <c r="G238" s="10">
        <f ca="1"/>
        <v>0.16151533561498255</v>
      </c>
      <c r="H238" s="10">
        <f ca="1"/>
        <v>0.13055060164724686</v>
      </c>
      <c r="I238" s="10">
        <f ca="1"/>
        <v>0.19058706574280798</v>
      </c>
      <c r="K238">
        <f ca="1"/>
        <v>-6.4265229065465244</v>
      </c>
      <c r="L238">
        <f ca="1"/>
        <v>-9.144344233261215</v>
      </c>
      <c r="M238">
        <f ca="1"/>
        <v>-17.555973937706444</v>
      </c>
      <c r="O238">
        <f ca="1"/>
        <v>0.57011760081071861</v>
      </c>
      <c r="P238">
        <f ca="1"/>
        <v>0.43433583807915377</v>
      </c>
      <c r="Q238">
        <f ca="1"/>
        <v>0.75149333695503118</v>
      </c>
      <c r="S238" s="10">
        <f ca="1"/>
        <v>3.1889023448597148E-2</v>
      </c>
      <c r="T238" s="10">
        <f ca="1"/>
        <v>0.41419376297768901</v>
      </c>
      <c r="U238" s="10">
        <f ca="1"/>
        <v>0.26022571682063239</v>
      </c>
    </row>
    <row r="239" spans="1:21" x14ac:dyDescent="0.25">
      <c r="A239" s="5">
        <f ca="1"/>
        <v>38990</v>
      </c>
      <c r="B239" s="10">
        <f ca="1"/>
        <v>-4.180856878141781E-2</v>
      </c>
      <c r="C239" s="10">
        <f ca="1"/>
        <v>7.6558359075031029E-2</v>
      </c>
      <c r="D239" s="10">
        <f ca="1"/>
        <v>3.7785299806576404E-2</v>
      </c>
      <c r="E239" s="10">
        <f ca="1"/>
        <v>3.8773059268454632E-2</v>
      </c>
      <c r="G239" s="10">
        <f ca="1"/>
        <v>0.12239650737609435</v>
      </c>
      <c r="H239" s="10">
        <f ca="1"/>
        <v>8.8064877051750895E-2</v>
      </c>
      <c r="I239" s="10">
        <f ca="1"/>
        <v>0.16471065124685333</v>
      </c>
      <c r="K239">
        <f ca="1"/>
        <v>-5.6871408239286598</v>
      </c>
      <c r="L239">
        <f ca="1"/>
        <v>-7.6221948300824982</v>
      </c>
      <c r="M239">
        <f ca="1"/>
        <v>-16.524138059532383</v>
      </c>
      <c r="O239">
        <f ca="1"/>
        <v>0.52060657479772554</v>
      </c>
      <c r="P239">
        <f ca="1"/>
        <v>0.38574309119304095</v>
      </c>
      <c r="Q239">
        <f ca="1"/>
        <v>0.71539254890854698</v>
      </c>
      <c r="S239" s="10">
        <f ca="1"/>
        <v>8.6928986231932879E-3</v>
      </c>
      <c r="T239" s="10">
        <f ca="1"/>
        <v>0.47767011359336925</v>
      </c>
      <c r="U239" s="10">
        <f ca="1"/>
        <v>6.3222135959485934E-2</v>
      </c>
    </row>
    <row r="240" spans="1:21" x14ac:dyDescent="0.25">
      <c r="A240" s="5">
        <f ca="1"/>
        <v>38960</v>
      </c>
      <c r="B240" s="10">
        <f ca="1"/>
        <v>7.4059350655418132E-2</v>
      </c>
      <c r="C240" s="10">
        <f ca="1"/>
        <v>7.5184922176168803E-2</v>
      </c>
      <c r="D240" s="10">
        <f ca="1"/>
        <v>3.6139242340801715E-2</v>
      </c>
      <c r="E240" s="10">
        <f ca="1"/>
        <v>3.9045679835367088E-2</v>
      </c>
      <c r="G240" s="10">
        <f ca="1"/>
        <v>0.10647118207504326</v>
      </c>
      <c r="H240" s="10">
        <f ca="1"/>
        <v>6.1048970377505292E-2</v>
      </c>
      <c r="I240" s="10">
        <f ca="1"/>
        <v>0.17131807051876455</v>
      </c>
      <c r="K240">
        <f ca="1"/>
        <v>-5.4389745212085741</v>
      </c>
      <c r="L240">
        <f ca="1"/>
        <v>-6.5034850122418861</v>
      </c>
      <c r="M240">
        <f ca="1"/>
        <v>-16.814876432197799</v>
      </c>
      <c r="O240">
        <f ca="1"/>
        <v>0.50333356314021516</v>
      </c>
      <c r="P240">
        <f ca="1"/>
        <v>0.34968966085685549</v>
      </c>
      <c r="Q240">
        <f ca="1"/>
        <v>0.72521214570210302</v>
      </c>
      <c r="S240" s="10">
        <f ca="1"/>
        <v>0.10654003985180382</v>
      </c>
      <c r="T240" s="10">
        <f ca="1"/>
        <v>0.56336258187015997</v>
      </c>
      <c r="U240" s="10">
        <f ca="1"/>
        <v>1.3158394346040509E-5</v>
      </c>
    </row>
    <row r="241" spans="1:21" x14ac:dyDescent="0.25">
      <c r="A241" s="5">
        <f ca="1"/>
        <v>38929</v>
      </c>
      <c r="B241" s="10">
        <f ca="1"/>
        <v>8.5324149518483328E-2</v>
      </c>
      <c r="C241" s="10">
        <f ca="1"/>
        <v>7.6355127962911828E-2</v>
      </c>
      <c r="D241" s="10">
        <f ca="1"/>
        <v>3.7206760743507393E-2</v>
      </c>
      <c r="E241" s="10">
        <f ca="1"/>
        <v>3.9148367219404435E-2</v>
      </c>
      <c r="G241" s="10">
        <f ca="1"/>
        <v>0.10423010505810677</v>
      </c>
      <c r="H241" s="10">
        <f ca="1"/>
        <v>5.7210108253751682E-2</v>
      </c>
      <c r="I241" s="10">
        <f ca="1"/>
        <v>0.17432692989553153</v>
      </c>
      <c r="K241">
        <f ca="1"/>
        <v>-5.7452366757943185</v>
      </c>
      <c r="L241">
        <f ca="1"/>
        <v>-6.693082020613522</v>
      </c>
      <c r="M241">
        <f ca="1"/>
        <v>-18.169737794866435</v>
      </c>
      <c r="O241">
        <f ca="1"/>
        <v>0.51899064028639186</v>
      </c>
      <c r="P241">
        <f ca="1"/>
        <v>0.35140582836668222</v>
      </c>
      <c r="Q241">
        <f ca="1"/>
        <v>0.7672071640469601</v>
      </c>
      <c r="S241" s="10">
        <f ca="1"/>
        <v>0.2263140952670897</v>
      </c>
      <c r="T241" s="10">
        <f ca="1"/>
        <v>0.63682019160974235</v>
      </c>
      <c r="U241" s="10">
        <f ca="1"/>
        <v>2.7450997501691946E-2</v>
      </c>
    </row>
    <row r="242" spans="1:21" x14ac:dyDescent="0.25">
      <c r="A242" s="5">
        <f ca="1"/>
        <v>38898</v>
      </c>
      <c r="B242" s="10">
        <f ca="1"/>
        <v>4.1332075278040836E-2</v>
      </c>
      <c r="C242" s="10">
        <f ca="1"/>
        <v>7.7528794284881186E-2</v>
      </c>
      <c r="D242" s="10">
        <f ca="1"/>
        <v>3.6666423676920835E-2</v>
      </c>
      <c r="E242" s="10">
        <f ca="1"/>
        <v>4.0862370607960344E-2</v>
      </c>
      <c r="G242" s="10">
        <f ca="1"/>
        <v>0.10380983118568225</v>
      </c>
      <c r="H242" s="10">
        <f ca="1"/>
        <v>5.9449474766705049E-2</v>
      </c>
      <c r="I242" s="10">
        <f ca="1"/>
        <v>0.16680125971478743</v>
      </c>
      <c r="K242">
        <f ca="1"/>
        <v>-6.3232506156290311</v>
      </c>
      <c r="L242">
        <f ca="1"/>
        <v>-7.4849274578749663</v>
      </c>
      <c r="M242">
        <f ca="1"/>
        <v>-19.682485044508777</v>
      </c>
      <c r="O242">
        <f ca="1"/>
        <v>0.55041843790219469</v>
      </c>
      <c r="P242">
        <f ca="1"/>
        <v>0.36993245718746604</v>
      </c>
      <c r="Q242">
        <f ca="1"/>
        <v>0.81241795822268315</v>
      </c>
      <c r="S242" s="10">
        <f ca="1"/>
        <v>0.31419794120855821</v>
      </c>
      <c r="T242" s="10">
        <f ca="1"/>
        <v>0.68146194498902313</v>
      </c>
      <c r="U242" s="10">
        <f ca="1"/>
        <v>7.8537999185913823E-2</v>
      </c>
    </row>
    <row r="243" spans="1:21" x14ac:dyDescent="0.25">
      <c r="A243" s="5">
        <f ca="1"/>
        <v>38868</v>
      </c>
      <c r="B243" s="10">
        <f ca="1"/>
        <v>4.7665945477648908E-2</v>
      </c>
      <c r="C243" s="10">
        <f ca="1"/>
        <v>7.6399664962087804E-2</v>
      </c>
      <c r="D243" s="10">
        <f ca="1"/>
        <v>3.7560688884970314E-2</v>
      </c>
      <c r="E243" s="10">
        <f ca="1"/>
        <v>3.8838976077117497E-2</v>
      </c>
      <c r="G243" s="10">
        <f ca="1"/>
        <v>0.10911183875063674</v>
      </c>
      <c r="H243" s="10">
        <f ca="1"/>
        <v>6.7255940318725657E-2</v>
      </c>
      <c r="I243" s="10">
        <f ca="1"/>
        <v>0.16651621867358513</v>
      </c>
      <c r="K243">
        <f ca="1"/>
        <v>-7.2251702739957633</v>
      </c>
      <c r="L243">
        <f ca="1"/>
        <v>-8.7439482525373631</v>
      </c>
      <c r="M243">
        <f ca="1"/>
        <v>-22.472080001538568</v>
      </c>
      <c r="O243">
        <f ca="1"/>
        <v>0.60249822882878712</v>
      </c>
      <c r="P243">
        <f ca="1"/>
        <v>0.40267153369783532</v>
      </c>
      <c r="Q243">
        <f ca="1"/>
        <v>0.90033092453524488</v>
      </c>
      <c r="S243" s="10">
        <f ca="1"/>
        <v>0.42561896109693553</v>
      </c>
      <c r="T243" s="10">
        <f ca="1"/>
        <v>0.72027263022029753</v>
      </c>
      <c r="U243" s="10">
        <f ca="1"/>
        <v>0.16167566721916116</v>
      </c>
    </row>
    <row r="244" spans="1:21" x14ac:dyDescent="0.25">
      <c r="A244" s="5">
        <f ca="1"/>
        <v>38837</v>
      </c>
      <c r="B244" s="10">
        <f ca="1"/>
        <v>5.1838505913973876E-2</v>
      </c>
      <c r="C244" s="10">
        <f ca="1"/>
        <v>7.6382885769208375E-2</v>
      </c>
      <c r="D244" s="10">
        <f ca="1"/>
        <v>3.8615366691908896E-2</v>
      </c>
      <c r="E244" s="10">
        <f ca="1"/>
        <v>3.7767519077299472E-2</v>
      </c>
      <c r="G244" s="10">
        <f ca="1"/>
        <v>0.12089449411133993</v>
      </c>
      <c r="H244" s="10">
        <f ca="1"/>
        <v>8.2753679961504761E-2</v>
      </c>
      <c r="I244" s="10">
        <f ca="1"/>
        <v>0.16398712485741293</v>
      </c>
      <c r="K244">
        <f ca="1"/>
        <v>-8.3754353951818334</v>
      </c>
      <c r="L244">
        <f ca="1"/>
        <v>-10.600836354117357</v>
      </c>
      <c r="M244">
        <f ca="1"/>
        <v>-24.741278456860876</v>
      </c>
      <c r="O244">
        <f ca="1"/>
        <v>0.67023666075323984</v>
      </c>
      <c r="P244">
        <f ca="1"/>
        <v>0.45326568724636751</v>
      </c>
      <c r="Q244">
        <f ca="1"/>
        <v>0.97026366592045266</v>
      </c>
      <c r="S244" s="10">
        <f ca="1"/>
        <v>0.54040324238433712</v>
      </c>
      <c r="T244" s="10">
        <f ca="1"/>
        <v>0.77981575280763882</v>
      </c>
      <c r="U244" s="10">
        <f ca="1"/>
        <v>0.25404543897108439</v>
      </c>
    </row>
    <row r="245" spans="1:21" x14ac:dyDescent="0.25">
      <c r="A245" s="5">
        <f ca="1"/>
        <v>38807</v>
      </c>
      <c r="B245" s="10">
        <f ca="1"/>
        <v>0.13398255491947553</v>
      </c>
      <c r="C245" s="10">
        <f ca="1"/>
        <v>7.6184442615239878E-2</v>
      </c>
      <c r="D245" s="10">
        <f ca="1"/>
        <v>3.8124706020696141E-2</v>
      </c>
      <c r="E245" s="10">
        <f ca="1"/>
        <v>3.8059736594543744E-2</v>
      </c>
      <c r="G245" s="10">
        <f ca="1"/>
        <v>0.13227837518142044</v>
      </c>
      <c r="H245" s="10">
        <f ca="1"/>
        <v>8.9473020500622003E-2</v>
      </c>
      <c r="I245" s="10">
        <f ca="1"/>
        <v>0.17943190264804593</v>
      </c>
      <c r="K245">
        <f ca="1"/>
        <v>-9.5186886945918907</v>
      </c>
      <c r="L245">
        <f ca="1"/>
        <v>-12.037773101044916</v>
      </c>
      <c r="M245">
        <f ca="1"/>
        <v>-27.758593606397945</v>
      </c>
      <c r="O245">
        <f ca="1"/>
        <v>0.73740841993925121</v>
      </c>
      <c r="P245">
        <f ca="1"/>
        <v>0.49045167711284166</v>
      </c>
      <c r="Q245">
        <f ca="1"/>
        <v>1.0665954100478752</v>
      </c>
      <c r="S245" s="10">
        <f ca="1"/>
        <v>0.63662998815432481</v>
      </c>
      <c r="T245" s="10">
        <f ca="1"/>
        <v>0.79487277645295118</v>
      </c>
      <c r="U245" s="10">
        <f ca="1"/>
        <v>0.36979308925009735</v>
      </c>
    </row>
    <row r="246" spans="1:21" x14ac:dyDescent="0.25">
      <c r="A246" s="5">
        <f ca="1"/>
        <v>38776</v>
      </c>
      <c r="B246" s="10">
        <f ca="1"/>
        <v>0.15654426242571451</v>
      </c>
      <c r="C246" s="10">
        <f ca="1"/>
        <v>7.5356888149292756E-2</v>
      </c>
      <c r="D246" s="10">
        <f ca="1"/>
        <v>3.7086800190181859E-2</v>
      </c>
      <c r="E246" s="10">
        <f ca="1"/>
        <v>3.8270087959110903E-2</v>
      </c>
      <c r="G246" s="10">
        <f ca="1"/>
        <v>0.16481306398557463</v>
      </c>
      <c r="H246" s="10">
        <f ca="1"/>
        <v>0.10842643008651953</v>
      </c>
      <c r="I246" s="10">
        <f ca="1"/>
        <v>0.22478634181585622</v>
      </c>
      <c r="K246">
        <f ca="1"/>
        <v>-11.190785085433944</v>
      </c>
      <c r="L246">
        <f ca="1"/>
        <v>-14.086442454286679</v>
      </c>
      <c r="M246">
        <f ca="1"/>
        <v>-31.973703093947112</v>
      </c>
      <c r="O246">
        <f ca="1"/>
        <v>0.83889100410364525</v>
      </c>
      <c r="P246">
        <f ca="1"/>
        <v>0.54618001941950611</v>
      </c>
      <c r="Q246">
        <f ca="1"/>
        <v>1.2044020880173059</v>
      </c>
      <c r="S246" s="10">
        <f ca="1"/>
        <v>0.69372208273115854</v>
      </c>
      <c r="T246" s="10">
        <f ca="1"/>
        <v>0.79167713532527173</v>
      </c>
      <c r="U246" s="10">
        <f ca="1"/>
        <v>0.48806399770099196</v>
      </c>
    </row>
    <row r="247" spans="1:21" x14ac:dyDescent="0.25">
      <c r="A247" s="5">
        <f ca="1"/>
        <v>38748</v>
      </c>
      <c r="B247" s="10">
        <f ca="1"/>
        <v>0.21037752177459645</v>
      </c>
      <c r="C247" s="10">
        <f ca="1"/>
        <v>7.6212423655593622E-2</v>
      </c>
      <c r="D247" s="10">
        <f ca="1"/>
        <v>3.8104424251452405E-2</v>
      </c>
      <c r="E247" s="10">
        <f ca="1"/>
        <v>3.8107999404141217E-2</v>
      </c>
      <c r="G247" s="10">
        <f ca="1"/>
        <v>0.21780200857489476</v>
      </c>
      <c r="H247" s="10">
        <f ca="1"/>
        <v>0.15506320333030837</v>
      </c>
      <c r="I247" s="10">
        <f ca="1"/>
        <v>0.27412731577874722</v>
      </c>
      <c r="K247">
        <f ca="1"/>
        <v>-13.121355362720172</v>
      </c>
      <c r="L247">
        <f ca="1"/>
        <v>-17.083740175382175</v>
      </c>
      <c r="M247">
        <f ca="1"/>
        <v>-36.441500254165661</v>
      </c>
      <c r="O247">
        <f ca="1"/>
        <v>0.95778335783379842</v>
      </c>
      <c r="P247">
        <f ca="1"/>
        <v>0.6320588857678735</v>
      </c>
      <c r="Q247">
        <f ca="1"/>
        <v>1.3501730124000533</v>
      </c>
      <c r="S247" s="10">
        <f ca="1"/>
        <v>0.74765279093196024</v>
      </c>
      <c r="T247" s="10">
        <f ca="1"/>
        <v>0.8019414240692323</v>
      </c>
      <c r="U247" s="10">
        <f ca="1"/>
        <v>0.58396858172149857</v>
      </c>
    </row>
    <row r="248" spans="1:21" x14ac:dyDescent="0.25">
      <c r="A248" s="5">
        <f ca="1"/>
        <v>38717</v>
      </c>
      <c r="B248" s="10">
        <f ca="1"/>
        <v>0.22307312581507976</v>
      </c>
      <c r="C248" s="10">
        <f ca="1"/>
        <v>7.5548854041013275E-2</v>
      </c>
      <c r="D248" s="10">
        <f ca="1"/>
        <v>3.6351695483179201E-2</v>
      </c>
      <c r="E248" s="10">
        <f ca="1"/>
        <v>3.9197158557834073E-2</v>
      </c>
      <c r="G248" s="10">
        <f ca="1"/>
        <v>0.30060274392644853</v>
      </c>
      <c r="H248" s="10">
        <f ca="1"/>
        <v>0.23868436264304888</v>
      </c>
      <c r="I248" s="10">
        <f ca="1"/>
        <v>0.32874027557712415</v>
      </c>
      <c r="K248">
        <f ca="1"/>
        <v>-15.922462958204225</v>
      </c>
      <c r="L248">
        <f ca="1"/>
        <v>-21.530038596349417</v>
      </c>
      <c r="M248">
        <f ca="1"/>
        <v>-42.183766429971492</v>
      </c>
      <c r="O248">
        <f ca="1"/>
        <v>1.1307083902871535</v>
      </c>
      <c r="P248">
        <f ca="1"/>
        <v>0.76046552754311048</v>
      </c>
      <c r="Q248">
        <f ca="1"/>
        <v>1.5361853261506666</v>
      </c>
      <c r="S248" s="10">
        <f ca="1"/>
        <v>0.7520870682502433</v>
      </c>
      <c r="T248" s="10">
        <f ca="1"/>
        <v>0.78371911999296529</v>
      </c>
      <c r="U248" s="10">
        <f ca="1"/>
        <v>0.61481747167164402</v>
      </c>
    </row>
    <row r="249" spans="1:21" x14ac:dyDescent="0.25">
      <c r="A249" s="5">
        <f ca="1"/>
        <v>38686</v>
      </c>
      <c r="B249" s="10">
        <f ca="1"/>
        <v>0.1796827586476446</v>
      </c>
      <c r="C249" s="10">
        <f ca="1"/>
        <v>7.2748412472040003E-2</v>
      </c>
      <c r="D249" s="10">
        <f ca="1"/>
        <v>3.6464954288202005E-2</v>
      </c>
      <c r="E249" s="10">
        <f ca="1"/>
        <v>3.6283458183837991E-2</v>
      </c>
      <c r="G249" s="10">
        <f ca="1"/>
        <v>0.39595279891633339</v>
      </c>
      <c r="H249" s="10">
        <f ca="1"/>
        <v>0.32089147894971159</v>
      </c>
      <c r="I249" s="10">
        <f ca="1"/>
        <v>0.43239783868655984</v>
      </c>
      <c r="K249">
        <f ca="1"/>
        <v>-18.461756143676933</v>
      </c>
      <c r="L249">
        <f ca="1"/>
        <v>-24.995612983606353</v>
      </c>
      <c r="M249">
        <f ca="1"/>
        <v>-50.224631767558655</v>
      </c>
      <c r="O249">
        <f ca="1"/>
        <v>1.2873436743980748</v>
      </c>
      <c r="P249">
        <f ca="1"/>
        <v>0.85945866366032753</v>
      </c>
      <c r="Q249">
        <f ca="1"/>
        <v>1.8007908591907482</v>
      </c>
      <c r="S249" s="10">
        <f ca="1"/>
        <v>0.73941298032207547</v>
      </c>
      <c r="T249" s="10">
        <f ca="1"/>
        <v>0.77969218238338278</v>
      </c>
      <c r="U249" s="10">
        <f ca="1"/>
        <v>0.60003424068187983</v>
      </c>
    </row>
    <row r="250" spans="1:21" x14ac:dyDescent="0.25">
      <c r="A250" s="5">
        <f ca="1"/>
        <v>38656</v>
      </c>
      <c r="B250" s="10">
        <f ca="1"/>
        <v>0.20568181519375939</v>
      </c>
      <c r="C250" s="10">
        <f ca="1"/>
        <v>7.2963762971466548E-2</v>
      </c>
      <c r="D250" s="10">
        <f ca="1"/>
        <v>3.6232194915638262E-2</v>
      </c>
      <c r="E250" s="10">
        <f ca="1"/>
        <v>3.6731568055828286E-2</v>
      </c>
      <c r="G250" s="10">
        <f ca="1"/>
        <v>0.45535200520867819</v>
      </c>
      <c r="H250" s="10">
        <f ca="1"/>
        <v>0.38241305777311457</v>
      </c>
      <c r="I250" s="10">
        <f ca="1"/>
        <v>0.47078278334746348</v>
      </c>
      <c r="K250">
        <f ca="1"/>
        <v>-18.954198239577263</v>
      </c>
      <c r="L250">
        <f ca="1"/>
        <v>-25.19589904836419</v>
      </c>
      <c r="M250">
        <f ca="1"/>
        <v>-53.218549578554445</v>
      </c>
      <c r="O250">
        <f ca="1"/>
        <v>1.3157368582684987</v>
      </c>
      <c r="P250">
        <f ca="1"/>
        <v>0.86272764109947719</v>
      </c>
      <c r="Q250">
        <f ca="1"/>
        <v>1.8964902157900172</v>
      </c>
      <c r="S250" s="10">
        <f ca="1"/>
        <v>0.74657506147043939</v>
      </c>
      <c r="T250" s="10">
        <f ca="1"/>
        <v>0.7747838197454987</v>
      </c>
      <c r="U250" s="10">
        <f ca="1"/>
        <v>0.65106956335786115</v>
      </c>
    </row>
    <row r="251" spans="1:21" x14ac:dyDescent="0.25">
      <c r="A251" s="5">
        <f ca="1"/>
        <v>38625</v>
      </c>
      <c r="B251" s="10">
        <f ca="1"/>
        <v>0.22341932756179861</v>
      </c>
      <c r="C251" s="10">
        <f ca="1"/>
        <v>7.3345770012436681E-2</v>
      </c>
      <c r="D251" s="10">
        <f ca="1"/>
        <v>3.7108168774835443E-2</v>
      </c>
      <c r="E251" s="10">
        <f ca="1"/>
        <v>3.6237601237601239E-2</v>
      </c>
      <c r="G251" s="10">
        <f ca="1"/>
        <v>0.52254581820662294</v>
      </c>
      <c r="H251" s="10">
        <f ca="1"/>
        <v>0.44786673355650658</v>
      </c>
      <c r="I251" s="10">
        <f ca="1"/>
        <v>0.48598282043174756</v>
      </c>
      <c r="K251">
        <f ca="1"/>
        <v>-19.702822220880243</v>
      </c>
      <c r="L251">
        <f ca="1"/>
        <v>-25.025325633929295</v>
      </c>
      <c r="M251">
        <f ca="1"/>
        <v>-56.346949476183902</v>
      </c>
      <c r="O251">
        <f ca="1"/>
        <v>1.3597554152832829</v>
      </c>
      <c r="P251">
        <f ca="1"/>
        <v>0.85441033163164803</v>
      </c>
      <c r="Q251">
        <f ca="1"/>
        <v>1.9926928048511601</v>
      </c>
      <c r="S251" s="10">
        <f ca="1"/>
        <v>0.82963330163471949</v>
      </c>
      <c r="T251" s="10">
        <f ca="1"/>
        <v>0.8195933349518868</v>
      </c>
      <c r="U251" s="10">
        <f ca="1"/>
        <v>0.78095641093937251</v>
      </c>
    </row>
    <row r="252" spans="1:21" x14ac:dyDescent="0.25">
      <c r="A252" s="5">
        <f ca="1"/>
        <v>38595</v>
      </c>
      <c r="B252" s="10">
        <f ca="1"/>
        <v>0.25426732952263453</v>
      </c>
      <c r="C252" s="10">
        <f ca="1"/>
        <v>6.9623995976284464E-2</v>
      </c>
      <c r="D252" s="10">
        <f ca="1"/>
        <v>3.5268476322567861E-2</v>
      </c>
      <c r="E252" s="10">
        <f ca="1"/>
        <v>3.4355519653716603E-2</v>
      </c>
      <c r="G252" s="10">
        <f ca="1"/>
        <v>0.57671063730667615</v>
      </c>
      <c r="H252" s="10">
        <f ca="1"/>
        <v>0.48764174060227033</v>
      </c>
      <c r="I252" s="10">
        <f ca="1"/>
        <v>0.47033054011328607</v>
      </c>
      <c r="K252">
        <f ca="1"/>
        <v>-19.806748994102097</v>
      </c>
      <c r="L252">
        <f ca="1"/>
        <v>-23.37450909532981</v>
      </c>
      <c r="M252">
        <f ca="1"/>
        <v>-56.97690049274469</v>
      </c>
      <c r="O252">
        <f ca="1"/>
        <v>1.3628308606650605</v>
      </c>
      <c r="P252">
        <f ca="1"/>
        <v>0.80110639899801772</v>
      </c>
      <c r="Q252">
        <f ca="1"/>
        <v>2.0024279219888781</v>
      </c>
      <c r="S252" s="10">
        <f ca="1"/>
        <v>0.8780487124448354</v>
      </c>
      <c r="T252" s="10">
        <f ca="1"/>
        <v>0.85814725969729566</v>
      </c>
      <c r="U252" s="10">
        <f ca="1"/>
        <v>0.7955301561385193</v>
      </c>
    </row>
    <row r="253" spans="1:21" x14ac:dyDescent="0.25">
      <c r="A253" s="5">
        <f ca="1"/>
        <v>38564</v>
      </c>
      <c r="B253" s="10">
        <f ca="1"/>
        <v>0.20109702847651034</v>
      </c>
      <c r="C253" s="10">
        <f ca="1"/>
        <v>7.0038397992901735E-2</v>
      </c>
      <c r="D253" s="10">
        <f ca="1"/>
        <v>3.5733845306572025E-2</v>
      </c>
      <c r="E253" s="10">
        <f ca="1"/>
        <v>3.4304552686329703E-2</v>
      </c>
      <c r="G253" s="10">
        <f ca="1"/>
        <v>0.61435356023757282</v>
      </c>
      <c r="H253" s="10">
        <f ca="1"/>
        <v>0.51980071305015607</v>
      </c>
      <c r="I253" s="10">
        <f ca="1"/>
        <v>0.43545063043101823</v>
      </c>
      <c r="K253">
        <f ca="1"/>
        <v>-19.639519974484664</v>
      </c>
      <c r="L253">
        <f ca="1"/>
        <v>-22.171341340110931</v>
      </c>
      <c r="M253">
        <f ca="1"/>
        <v>-55.564967349490253</v>
      </c>
      <c r="O253">
        <f ca="1"/>
        <v>1.3486081297735815</v>
      </c>
      <c r="P253">
        <f ca="1"/>
        <v>0.76123267513829063</v>
      </c>
      <c r="Q253">
        <f ca="1"/>
        <v>1.9435490944376526</v>
      </c>
      <c r="S253" s="10">
        <f ca="1"/>
        <v>0.89297554364727971</v>
      </c>
      <c r="T253" s="10">
        <f ca="1"/>
        <v>0.87903469822027636</v>
      </c>
      <c r="U253" s="10">
        <f ca="1"/>
        <v>0.73721481660630916</v>
      </c>
    </row>
    <row r="254" spans="1:21" x14ac:dyDescent="0.25">
      <c r="A254" s="5">
        <f ca="1"/>
        <v>38533</v>
      </c>
      <c r="B254" s="10">
        <f ca="1"/>
        <v>0.19266705091257941</v>
      </c>
      <c r="C254" s="10">
        <f ca="1"/>
        <v>7.0348748005400752E-2</v>
      </c>
      <c r="D254" s="10">
        <f ca="1"/>
        <v>3.4391954093531359E-2</v>
      </c>
      <c r="E254" s="10">
        <f ca="1"/>
        <v>3.59567939118694E-2</v>
      </c>
      <c r="G254" s="10">
        <f ca="1"/>
        <v>0.63315297558597905</v>
      </c>
      <c r="H254" s="10">
        <f ca="1"/>
        <v>0.53510491623648482</v>
      </c>
      <c r="I254" s="10">
        <f ca="1"/>
        <v>0.42859509797923745</v>
      </c>
      <c r="K254">
        <f ca="1"/>
        <v>-19.069191320273674</v>
      </c>
      <c r="L254">
        <f ca="1"/>
        <v>-20.96970494875842</v>
      </c>
      <c r="M254">
        <f ca="1"/>
        <v>-55.770866132806241</v>
      </c>
      <c r="O254">
        <f ca="1"/>
        <v>1.3096480247591793</v>
      </c>
      <c r="P254">
        <f ca="1"/>
        <v>0.722177814863177</v>
      </c>
      <c r="Q254">
        <f ca="1"/>
        <v>1.9429296163585894</v>
      </c>
      <c r="S254" s="10">
        <f ca="1"/>
        <v>0.85606146887594581</v>
      </c>
      <c r="T254" s="10">
        <f ca="1"/>
        <v>0.852545506585353</v>
      </c>
      <c r="U254" s="10">
        <f ca="1"/>
        <v>0.67187595461470517</v>
      </c>
    </row>
    <row r="255" spans="1:21" x14ac:dyDescent="0.25">
      <c r="A255" s="5">
        <f ca="1"/>
        <v>38503</v>
      </c>
      <c r="B255" s="10">
        <f ca="1"/>
        <v>0.18071334140919859</v>
      </c>
      <c r="C255" s="10">
        <f ca="1"/>
        <v>6.8724305931482488E-2</v>
      </c>
      <c r="D255" s="10">
        <f ca="1"/>
        <v>3.3934575825535537E-2</v>
      </c>
      <c r="E255" s="10">
        <f ca="1"/>
        <v>3.478973010594695E-2</v>
      </c>
      <c r="G255" s="10">
        <f ca="1"/>
        <v>0.64831066861397835</v>
      </c>
      <c r="H255" s="10">
        <f ca="1"/>
        <v>0.53805733566739311</v>
      </c>
      <c r="I255" s="10">
        <f ca="1"/>
        <v>0.416433660107217</v>
      </c>
      <c r="K255">
        <f ca="1"/>
        <v>-18.628933946966683</v>
      </c>
      <c r="L255">
        <f ca="1"/>
        <v>-19.719477867796989</v>
      </c>
      <c r="M255">
        <f ca="1"/>
        <v>-55.408509678044794</v>
      </c>
      <c r="O255">
        <f ca="1"/>
        <v>1.2791230534640132</v>
      </c>
      <c r="P255">
        <f ca="1"/>
        <v>0.68205527010709266</v>
      </c>
      <c r="Q255">
        <f ca="1"/>
        <v>1.9203604696864507</v>
      </c>
      <c r="S255" s="10">
        <f ca="1"/>
        <v>0.82347083655414299</v>
      </c>
      <c r="T255" s="10">
        <f ca="1"/>
        <v>0.81680235536125434</v>
      </c>
      <c r="U255" s="10">
        <f ca="1"/>
        <v>0.63744717993369016</v>
      </c>
    </row>
    <row r="256" spans="1:21" x14ac:dyDescent="0.25">
      <c r="A256" s="5">
        <f ca="1"/>
        <v>38472</v>
      </c>
      <c r="B256" s="10">
        <f ca="1"/>
        <v>0.24323812126625755</v>
      </c>
      <c r="C256" s="10">
        <f ca="1"/>
        <v>6.7741123374729428E-2</v>
      </c>
      <c r="D256" s="10">
        <f ca="1"/>
        <v>3.3379948728182611E-2</v>
      </c>
      <c r="E256" s="10">
        <f ca="1"/>
        <v>3.4361174646546824E-2</v>
      </c>
      <c r="G256" s="10">
        <f ca="1"/>
        <v>0.66062449257660905</v>
      </c>
      <c r="H256" s="10">
        <f ca="1"/>
        <v>0.54608021628715164</v>
      </c>
      <c r="I256" s="10">
        <f ca="1"/>
        <v>0.3993883165705569</v>
      </c>
      <c r="K256">
        <f ca="1"/>
        <v>-18.2874062226776</v>
      </c>
      <c r="L256">
        <f ca="1"/>
        <v>-18.956008514215949</v>
      </c>
      <c r="M256">
        <f ca="1"/>
        <v>-54.585140678134366</v>
      </c>
      <c r="O256">
        <f ca="1"/>
        <v>1.2551825159846468</v>
      </c>
      <c r="P256">
        <f ca="1"/>
        <v>0.65687157965539111</v>
      </c>
      <c r="Q256">
        <f ca="1"/>
        <v>1.883618096417444</v>
      </c>
      <c r="S256" s="10">
        <f ca="1"/>
        <v>0.7392856387821729</v>
      </c>
      <c r="T256" s="10">
        <f ca="1"/>
        <v>0.72795378964214741</v>
      </c>
      <c r="U256" s="10">
        <f ca="1"/>
        <v>0.57876696473817346</v>
      </c>
    </row>
    <row r="257" spans="1:21" x14ac:dyDescent="0.25">
      <c r="A257" s="5">
        <f ca="1"/>
        <v>38442</v>
      </c>
      <c r="B257" s="10">
        <f ca="1"/>
        <v>0.20134855444298294</v>
      </c>
      <c r="C257" s="10">
        <f ca="1"/>
        <v>7.1299718762555239E-2</v>
      </c>
      <c r="D257" s="10">
        <f ca="1"/>
        <v>3.5058256327842506E-2</v>
      </c>
      <c r="E257" s="10">
        <f ca="1"/>
        <v>3.6241462434712733E-2</v>
      </c>
      <c r="G257" s="10">
        <f ca="1"/>
        <v>0.67366298468568497</v>
      </c>
      <c r="H257" s="10">
        <f ca="1"/>
        <v>0.55493778524732518</v>
      </c>
      <c r="I257" s="10">
        <f ca="1"/>
        <v>0.38756240206170889</v>
      </c>
      <c r="K257">
        <f ca="1"/>
        <v>-17.821746130494525</v>
      </c>
      <c r="L257">
        <f ca="1"/>
        <v>-18.135729193076852</v>
      </c>
      <c r="M257">
        <f ca="1"/>
        <v>-53.82129959265523</v>
      </c>
      <c r="O257">
        <f ca="1"/>
        <v>1.2224558399144014</v>
      </c>
      <c r="P257">
        <f ca="1"/>
        <v>0.62888315086668445</v>
      </c>
      <c r="Q257">
        <f ca="1"/>
        <v>1.8484009684464979</v>
      </c>
      <c r="S257" s="10">
        <f ca="1"/>
        <v>0.68323924720413887</v>
      </c>
      <c r="T257" s="10">
        <f ca="1"/>
        <v>0.62319607151176148</v>
      </c>
      <c r="U257" s="10">
        <f ca="1"/>
        <v>0.60062596434698667</v>
      </c>
    </row>
    <row r="258" spans="1:21" x14ac:dyDescent="0.25">
      <c r="A258" s="5">
        <f ca="1"/>
        <v>38411</v>
      </c>
      <c r="B258" s="10">
        <f ca="1"/>
        <v>0.16370059263332171</v>
      </c>
      <c r="C258" s="10">
        <f ca="1"/>
        <v>6.980052403381265E-2</v>
      </c>
      <c r="D258" s="10">
        <f ca="1"/>
        <v>3.4803799245141771E-2</v>
      </c>
      <c r="E258" s="10">
        <f ca="1"/>
        <v>3.4996724788670885E-2</v>
      </c>
      <c r="G258" s="10">
        <f ca="1"/>
        <v>0.67049336205557608</v>
      </c>
      <c r="H258" s="10">
        <f ca="1"/>
        <v>0.55079970777025478</v>
      </c>
      <c r="I258" s="10">
        <f ca="1"/>
        <v>0.41714286591335331</v>
      </c>
      <c r="K258">
        <f ca="1"/>
        <v>-16.634996581489652</v>
      </c>
      <c r="L258">
        <f ca="1"/>
        <v>-16.739104706350638</v>
      </c>
      <c r="M258">
        <f ca="1"/>
        <v>-56.361338344570022</v>
      </c>
      <c r="O258">
        <f ca="1"/>
        <v>1.1430269151284957</v>
      </c>
      <c r="P258">
        <f ca="1"/>
        <v>0.58294504201078579</v>
      </c>
      <c r="Q258">
        <f ca="1"/>
        <v>1.9265050915513389</v>
      </c>
      <c r="S258" s="10">
        <f ca="1"/>
        <v>0.58455297813684559</v>
      </c>
      <c r="T258" s="10">
        <f ca="1"/>
        <v>0.49991670515757392</v>
      </c>
      <c r="U258" s="10">
        <f ca="1"/>
        <v>0.51639606184565012</v>
      </c>
    </row>
    <row r="259" spans="1:21" x14ac:dyDescent="0.25">
      <c r="A259" s="5">
        <f ca="1"/>
        <v>38383</v>
      </c>
      <c r="B259" s="10">
        <f ca="1"/>
        <v>0.16649023392047346</v>
      </c>
      <c r="C259" s="10">
        <f ca="1"/>
        <v>7.0313704079244976E-2</v>
      </c>
      <c r="D259" s="10">
        <f ca="1"/>
        <v>3.4337727166367675E-2</v>
      </c>
      <c r="E259" s="10">
        <f ca="1"/>
        <v>3.5975976912877308E-2</v>
      </c>
      <c r="G259" s="10">
        <f ca="1"/>
        <v>0.66361645946146774</v>
      </c>
      <c r="H259" s="10">
        <f ca="1"/>
        <v>0.53971422774257649</v>
      </c>
      <c r="I259" s="10">
        <f ca="1"/>
        <v>0.41538601445612616</v>
      </c>
      <c r="K259">
        <f ca="1"/>
        <v>-15.868328179841958</v>
      </c>
      <c r="L259">
        <f ca="1"/>
        <v>-15.666881329192757</v>
      </c>
      <c r="M259">
        <f ca="1"/>
        <v>-56.355505402383372</v>
      </c>
      <c r="O259">
        <f ca="1"/>
        <v>1.0919310104122808</v>
      </c>
      <c r="P259">
        <f ca="1"/>
        <v>0.54797679379604136</v>
      </c>
      <c r="Q259">
        <f ca="1"/>
        <v>1.9187816502305699</v>
      </c>
      <c r="S259" s="10">
        <f ca="1"/>
        <v>0.45746810560418499</v>
      </c>
      <c r="T259" s="10">
        <f ca="1"/>
        <v>0.35874134121545204</v>
      </c>
      <c r="U259" s="10">
        <f ca="1"/>
        <v>0.41011911914473814</v>
      </c>
    </row>
    <row r="260" spans="1:21" x14ac:dyDescent="0.25">
      <c r="A260" s="5">
        <f ca="1"/>
        <v>38352</v>
      </c>
      <c r="B260" s="10">
        <f ca="1"/>
        <v>0.1022591649175022</v>
      </c>
      <c r="C260" s="10">
        <f ca="1"/>
        <v>7.0620729194105711E-2</v>
      </c>
      <c r="D260" s="10">
        <f ca="1"/>
        <v>3.3712908873979271E-2</v>
      </c>
      <c r="E260" s="10">
        <f ca="1"/>
        <v>3.690782032012644E-2</v>
      </c>
      <c r="G260" s="10">
        <f ca="1"/>
        <v>0.67873917325798849</v>
      </c>
      <c r="H260" s="10">
        <f ca="1"/>
        <v>0.55118446475649285</v>
      </c>
      <c r="I260" s="10">
        <f ca="1"/>
        <v>0.40508077612648252</v>
      </c>
      <c r="K260">
        <f ca="1"/>
        <v>-15.781689630972295</v>
      </c>
      <c r="L260">
        <f ca="1"/>
        <v>-15.405322878399909</v>
      </c>
      <c r="M260">
        <f ca="1"/>
        <v>-56.034090420021933</v>
      </c>
      <c r="O260">
        <f ca="1"/>
        <v>1.0837773839242792</v>
      </c>
      <c r="P260">
        <f ca="1"/>
        <v>0.53773323442424192</v>
      </c>
      <c r="Q260">
        <f ca="1"/>
        <v>1.8972153921544985</v>
      </c>
      <c r="S260" s="10">
        <f ca="1"/>
        <v>0.4423640003926822</v>
      </c>
      <c r="T260" s="10">
        <f ca="1"/>
        <v>0.28114032317848392</v>
      </c>
      <c r="U260" s="10">
        <f ca="1"/>
        <v>0.45577257713553965</v>
      </c>
    </row>
    <row r="261" spans="1:21" x14ac:dyDescent="0.25">
      <c r="A261" s="5">
        <f ca="1"/>
        <v>38321</v>
      </c>
      <c r="B261" s="10">
        <f ca="1"/>
        <v>0.1107495237331626</v>
      </c>
      <c r="C261" s="10">
        <f ca="1"/>
        <v>6.7835363476145175E-2</v>
      </c>
      <c r="D261" s="10">
        <f ca="1"/>
        <v>3.2910460564280923E-2</v>
      </c>
      <c r="E261" s="10">
        <f ca="1"/>
        <v>3.4924902911864251E-2</v>
      </c>
      <c r="G261" s="10">
        <f ca="1"/>
        <v>0.69135938293505828</v>
      </c>
      <c r="H261" s="10">
        <f ca="1"/>
        <v>0.56421036231971444</v>
      </c>
      <c r="I261" s="10">
        <f ca="1"/>
        <v>0.38708956891458501</v>
      </c>
      <c r="K261">
        <f ca="1"/>
        <v>-15.920002570286272</v>
      </c>
      <c r="L261">
        <f ca="1"/>
        <v>-15.462079109348455</v>
      </c>
      <c r="M261">
        <f ca="1"/>
        <v>-55.799522623048645</v>
      </c>
      <c r="O261">
        <f ca="1"/>
        <v>1.0900296537871679</v>
      </c>
      <c r="P261">
        <f ca="1"/>
        <v>0.53781062740157837</v>
      </c>
      <c r="Q261">
        <f ca="1"/>
        <v>1.8776229182522759</v>
      </c>
      <c r="S261" s="10">
        <f ca="1"/>
        <v>0.36401539239702912</v>
      </c>
      <c r="T261" s="10">
        <f ca="1"/>
        <v>0.14914230056166478</v>
      </c>
      <c r="U261" s="10">
        <f ca="1"/>
        <v>0.45824752354822823</v>
      </c>
    </row>
    <row r="262" spans="1:21" x14ac:dyDescent="0.25">
      <c r="A262" s="5">
        <f ca="1"/>
        <v>38291</v>
      </c>
      <c r="B262" s="10">
        <f ca="1"/>
        <v>0.12958776263965399</v>
      </c>
      <c r="C262" s="10">
        <f ca="1"/>
        <v>6.5401204004966906E-2</v>
      </c>
      <c r="D262" s="10">
        <f ca="1"/>
        <v>3.1121642225051475E-2</v>
      </c>
      <c r="E262" s="10">
        <f ca="1"/>
        <v>3.4279561779915438E-2</v>
      </c>
      <c r="G262" s="10">
        <f ca="1"/>
        <v>0.69528117098092868</v>
      </c>
      <c r="H262" s="10">
        <f ca="1"/>
        <v>0.56901380576185212</v>
      </c>
      <c r="I262" s="10">
        <f ca="1"/>
        <v>0.33713945949687413</v>
      </c>
      <c r="K262">
        <f ca="1"/>
        <v>-15.964784271920513</v>
      </c>
      <c r="L262">
        <f ca="1"/>
        <v>-15.420629182085213</v>
      </c>
      <c r="M262">
        <f ca="1"/>
        <v>-50.68692635292912</v>
      </c>
      <c r="O262">
        <f ca="1"/>
        <v>1.0903420949340386</v>
      </c>
      <c r="P262">
        <f ca="1"/>
        <v>0.53516267463366596</v>
      </c>
      <c r="Q262">
        <f ca="1"/>
        <v>1.695143414792772</v>
      </c>
      <c r="S262" s="10">
        <f ca="1"/>
        <v>0.23572133016698724</v>
      </c>
      <c r="T262" s="10">
        <f ca="1"/>
        <v>8.2966394149395661E-2</v>
      </c>
      <c r="U262" s="10">
        <f ca="1"/>
        <v>0.34170062562678594</v>
      </c>
    </row>
    <row r="263" spans="1:21" x14ac:dyDescent="0.25">
      <c r="A263" s="5">
        <f ca="1"/>
        <v>38260</v>
      </c>
      <c r="B263" s="10">
        <f ca="1"/>
        <v>0.139622100928535</v>
      </c>
      <c r="C263" s="10">
        <f ca="1"/>
        <v>6.5373685123562897E-2</v>
      </c>
      <c r="D263" s="10">
        <f ca="1"/>
        <v>3.0542667444684507E-2</v>
      </c>
      <c r="E263" s="10">
        <f ca="1"/>
        <v>3.483101767887839E-2</v>
      </c>
      <c r="G263" s="10">
        <f ca="1"/>
        <v>0.69404407654306988</v>
      </c>
      <c r="H263" s="10">
        <f ca="1"/>
        <v>0.56960207496291981</v>
      </c>
      <c r="I263" s="10">
        <f ca="1"/>
        <v>0.28997684643835786</v>
      </c>
      <c r="K263">
        <f ca="1"/>
        <v>-15.938549769615358</v>
      </c>
      <c r="L263">
        <f ca="1"/>
        <v>-15.371009692085345</v>
      </c>
      <c r="M263">
        <f ca="1"/>
        <v>-44.693725368588559</v>
      </c>
      <c r="O263">
        <f ca="1"/>
        <v>1.0855952120203056</v>
      </c>
      <c r="P263">
        <f ca="1"/>
        <v>0.53230675953982454</v>
      </c>
      <c r="Q263">
        <f ca="1"/>
        <v>1.4844551489454654</v>
      </c>
      <c r="S263" s="10">
        <f ca="1"/>
        <v>0.11884033692936405</v>
      </c>
      <c r="T263" s="10">
        <f ca="1"/>
        <v>2.248872660773242E-2</v>
      </c>
      <c r="U263" s="10">
        <f ca="1"/>
        <v>0.24034371047496667</v>
      </c>
    </row>
    <row r="264" spans="1:21" x14ac:dyDescent="0.25">
      <c r="A264" s="5">
        <f ca="1"/>
        <v>38230</v>
      </c>
      <c r="B264" s="10">
        <f ca="1"/>
        <v>0.15019377766850073</v>
      </c>
      <c r="C264" s="10">
        <f ca="1"/>
        <v>6.4325708216420155E-2</v>
      </c>
      <c r="D264" s="10">
        <f ca="1"/>
        <v>2.977568523010098E-2</v>
      </c>
      <c r="E264" s="10">
        <f ca="1"/>
        <v>3.4550022986319179E-2</v>
      </c>
      <c r="G264" s="10">
        <f ca="1"/>
        <v>0.69436379098530221</v>
      </c>
      <c r="H264" s="10">
        <f ca="1"/>
        <v>0.56719771790439566</v>
      </c>
      <c r="I264" s="10">
        <f ca="1"/>
        <v>0.26605081046347945</v>
      </c>
      <c r="K264">
        <f ca="1"/>
        <v>-15.896457415087411</v>
      </c>
      <c r="L264">
        <f ca="1"/>
        <v>-15.268747771262388</v>
      </c>
      <c r="M264">
        <f ca="1"/>
        <v>-40.725476148357991</v>
      </c>
      <c r="O264">
        <f ca="1"/>
        <v>1.0803840369910978</v>
      </c>
      <c r="P264">
        <f ca="1"/>
        <v>0.52843841163697547</v>
      </c>
      <c r="Q264">
        <f ca="1"/>
        <v>1.3430325329645618</v>
      </c>
      <c r="S264" s="10">
        <f ca="1"/>
        <v>2.5381308086409111E-2</v>
      </c>
      <c r="T264" s="10">
        <f ca="1"/>
        <v>1.2410558714109953E-3</v>
      </c>
      <c r="U264" s="10">
        <f ca="1"/>
        <v>9.2292842335241668E-2</v>
      </c>
    </row>
    <row r="265" spans="1:21" x14ac:dyDescent="0.25">
      <c r="A265" s="5">
        <f ca="1"/>
        <v>38199</v>
      </c>
      <c r="B265" s="10">
        <f ca="1"/>
        <v>0.18960354736524021</v>
      </c>
      <c r="C265" s="10">
        <f ca="1"/>
        <v>6.4914569346781636E-2</v>
      </c>
      <c r="D265" s="10">
        <f ca="1"/>
        <v>2.9883865220019727E-2</v>
      </c>
      <c r="E265" s="10">
        <f ca="1"/>
        <v>3.5030704126761909E-2</v>
      </c>
      <c r="G265" s="10">
        <f ca="1"/>
        <v>0.69339104409574515</v>
      </c>
      <c r="H265" s="10">
        <f ca="1"/>
        <v>0.56446296152236486</v>
      </c>
      <c r="I265" s="10">
        <f ca="1"/>
        <v>0.24127283837744459</v>
      </c>
      <c r="K265">
        <f ca="1"/>
        <v>-15.833663436723354</v>
      </c>
      <c r="L265">
        <f ca="1"/>
        <v>-15.168179585772746</v>
      </c>
      <c r="M265">
        <f ca="1"/>
        <v>-36.675521558544617</v>
      </c>
      <c r="O265">
        <f ca="1"/>
        <v>1.0734811181430455</v>
      </c>
      <c r="P265">
        <f ca="1"/>
        <v>0.52446664933845211</v>
      </c>
      <c r="Q265">
        <f ca="1"/>
        <v>1.1994269650641496</v>
      </c>
      <c r="S265" s="10">
        <f ca="1"/>
        <v>1.1020305384462359E-3</v>
      </c>
      <c r="T265" s="10">
        <f ca="1"/>
        <v>1.6837478019548338E-2</v>
      </c>
      <c r="U265" s="10">
        <f ca="1"/>
        <v>1.6188169415646596E-2</v>
      </c>
    </row>
    <row r="266" spans="1:21" x14ac:dyDescent="0.25">
      <c r="A266" s="5">
        <f ca="1"/>
        <v>38168</v>
      </c>
      <c r="B266" s="10">
        <f ca="1"/>
        <v>0.13501458040710057</v>
      </c>
      <c r="C266" s="10">
        <f ca="1"/>
        <v>6.6044711951848661E-2</v>
      </c>
      <c r="D266" s="10">
        <f ca="1"/>
        <v>3.0889621349638546E-2</v>
      </c>
      <c r="E266" s="10">
        <f ca="1"/>
        <v>3.5155090602210122E-2</v>
      </c>
      <c r="G266" s="10">
        <f ca="1"/>
        <v>0.69478939564463971</v>
      </c>
      <c r="H266" s="10">
        <f ca="1"/>
        <v>0.56222840747183922</v>
      </c>
      <c r="I266" s="10">
        <f ca="1"/>
        <v>0.22454350357077368</v>
      </c>
      <c r="K266">
        <f ca="1"/>
        <v>-15.752942393293463</v>
      </c>
      <c r="L266">
        <f ca="1"/>
        <v>-15.031533558083346</v>
      </c>
      <c r="M266">
        <f ca="1"/>
        <v>-33.503407597996173</v>
      </c>
      <c r="O266">
        <f ca="1"/>
        <v>1.0644096210128653</v>
      </c>
      <c r="P266">
        <f ca="1"/>
        <v>0.51844816081752831</v>
      </c>
      <c r="Q266">
        <f ca="1"/>
        <v>1.0846909191912308</v>
      </c>
      <c r="S266" s="10">
        <f ca="1"/>
        <v>5.8193487167310036E-2</v>
      </c>
      <c r="T266" s="10">
        <f ca="1"/>
        <v>0.12114158655023671</v>
      </c>
      <c r="U266" s="10">
        <f ca="1"/>
        <v>8.7053607908610083E-5</v>
      </c>
    </row>
    <row r="267" spans="1:21" x14ac:dyDescent="0.25">
      <c r="A267" s="5">
        <f ca="1"/>
        <v>38138</v>
      </c>
      <c r="B267" s="10">
        <f ca="1"/>
        <v>0.14275259021431119</v>
      </c>
      <c r="C267" s="10">
        <f ca="1"/>
        <v>6.6082210608748471E-2</v>
      </c>
      <c r="D267" s="10">
        <f ca="1"/>
        <v>3.0979687075482251E-2</v>
      </c>
      <c r="E267" s="10">
        <f ca="1"/>
        <v>3.5102523533266212E-2</v>
      </c>
      <c r="G267" s="10">
        <f ca="1"/>
        <v>0.69082409807455691</v>
      </c>
      <c r="H267" s="10">
        <f ca="1"/>
        <v>0.56262824403060407</v>
      </c>
      <c r="I267" s="10">
        <f ca="1"/>
        <v>0.1988305190005567</v>
      </c>
      <c r="K267">
        <f ca="1"/>
        <v>-15.693408978183264</v>
      </c>
      <c r="L267">
        <f ca="1"/>
        <v>-15.009825615330866</v>
      </c>
      <c r="M267">
        <f ca="1"/>
        <v>-30.420737988654256</v>
      </c>
      <c r="O267">
        <f ca="1"/>
        <v>1.0559292920439651</v>
      </c>
      <c r="P267">
        <f ca="1"/>
        <v>0.51555682643502188</v>
      </c>
      <c r="Q267">
        <f ca="1"/>
        <v>0.97346255846269869</v>
      </c>
      <c r="S267" s="10">
        <f ca="1"/>
        <v>0.16142035215974102</v>
      </c>
      <c r="T267" s="10">
        <f ca="1"/>
        <v>0.25643279686032144</v>
      </c>
      <c r="U267" s="10">
        <f ca="1"/>
        <v>1.4247983267418871E-2</v>
      </c>
    </row>
    <row r="268" spans="1:21" x14ac:dyDescent="0.25">
      <c r="A268" s="5">
        <f ca="1"/>
        <v>38107</v>
      </c>
      <c r="B268" s="10">
        <f ca="1"/>
        <v>0.15603711695797973</v>
      </c>
      <c r="C268" s="10">
        <f ca="1"/>
        <v>6.6751553590877061E-2</v>
      </c>
      <c r="D268" s="10">
        <f ca="1"/>
        <v>3.1837081171119226E-2</v>
      </c>
      <c r="E268" s="10">
        <f ca="1"/>
        <v>3.4914472419757835E-2</v>
      </c>
      <c r="G268" s="10">
        <f ca="1"/>
        <v>0.69275308782517175</v>
      </c>
      <c r="H268" s="10">
        <f ca="1"/>
        <v>0.55939815408225047</v>
      </c>
      <c r="I268" s="10">
        <f ca="1"/>
        <v>0.19219102060393478</v>
      </c>
      <c r="K268">
        <f ca="1"/>
        <v>-15.647225747932794</v>
      </c>
      <c r="L268">
        <f ca="1"/>
        <v>-14.881958807718792</v>
      </c>
      <c r="M268">
        <f ca="1"/>
        <v>-28.753000210981547</v>
      </c>
      <c r="O268">
        <f ca="1"/>
        <v>1.050109137206702</v>
      </c>
      <c r="P268">
        <f ca="1"/>
        <v>0.51063836814996255</v>
      </c>
      <c r="Q268">
        <f ca="1"/>
        <v>0.91093071045774421</v>
      </c>
      <c r="S268" s="10">
        <f ca="1"/>
        <v>0.2504366862545877</v>
      </c>
      <c r="T268" s="10">
        <f ca="1"/>
        <v>0.34253916439286758</v>
      </c>
      <c r="U268" s="10">
        <f ca="1"/>
        <v>3.9728152604389146E-2</v>
      </c>
    </row>
    <row r="269" spans="1:21" x14ac:dyDescent="0.25">
      <c r="A269" s="5">
        <f ca="1"/>
        <v>38077</v>
      </c>
      <c r="B269" s="10">
        <f ca="1"/>
        <v>0.10839903957462416</v>
      </c>
      <c r="C269" s="10">
        <f ca="1"/>
        <v>6.4017485631020804E-2</v>
      </c>
      <c r="D269" s="10">
        <f ca="1"/>
        <v>3.0996680968185867E-2</v>
      </c>
      <c r="E269" s="10">
        <f ca="1"/>
        <v>3.3020804662834941E-2</v>
      </c>
      <c r="G269" s="10">
        <f ca="1"/>
        <v>0.69722489332211246</v>
      </c>
      <c r="H269" s="10">
        <f ca="1"/>
        <v>0.55446789136990882</v>
      </c>
      <c r="I269" s="10">
        <f ca="1"/>
        <v>0.19581887803508985</v>
      </c>
      <c r="K269">
        <f ca="1"/>
        <v>-15.608998647744713</v>
      </c>
      <c r="L269">
        <f ca="1"/>
        <v>-14.736090562177322</v>
      </c>
      <c r="M269">
        <f ca="1"/>
        <v>-27.808816182996136</v>
      </c>
      <c r="O269">
        <f ca="1"/>
        <v>1.0450306048509077</v>
      </c>
      <c r="P269">
        <f ca="1"/>
        <v>0.50536607204154993</v>
      </c>
      <c r="Q269">
        <f ca="1"/>
        <v>0.87321561839477924</v>
      </c>
      <c r="S269" s="10">
        <f ca="1"/>
        <v>0.23867271097067122</v>
      </c>
      <c r="T269" s="10">
        <f ca="1"/>
        <v>0.33345044263846557</v>
      </c>
      <c r="U269" s="10">
        <f ca="1"/>
        <v>2.2491316937154202E-2</v>
      </c>
    </row>
    <row r="270" spans="1:21" x14ac:dyDescent="0.25">
      <c r="A270" s="5">
        <f ca="1"/>
        <v>38046</v>
      </c>
      <c r="B270" s="10">
        <f ca="1"/>
        <v>9.1306133432728975E-2</v>
      </c>
      <c r="C270" s="10">
        <f ca="1"/>
        <v>6.4097596981874838E-2</v>
      </c>
      <c r="D270" s="10">
        <f ca="1"/>
        <v>3.1238907569917165E-2</v>
      </c>
      <c r="E270" s="10">
        <f ca="1"/>
        <v>3.285868941195768E-2</v>
      </c>
      <c r="G270" s="10">
        <f ca="1"/>
        <v>0.69606432030681931</v>
      </c>
      <c r="H270" s="10">
        <f ca="1"/>
        <v>0.55150581736290394</v>
      </c>
      <c r="I270" s="10">
        <f ca="1"/>
        <v>0.19166322022477952</v>
      </c>
      <c r="K270">
        <f ca="1"/>
        <v>-15.530181082913</v>
      </c>
      <c r="L270">
        <f ca="1"/>
        <v>-14.684679772349584</v>
      </c>
      <c r="M270">
        <f ca="1"/>
        <v>-26.386954955287628</v>
      </c>
      <c r="O270">
        <f ca="1"/>
        <v>1.0376971408672353</v>
      </c>
      <c r="P270">
        <f ca="1"/>
        <v>0.50366796674626457</v>
      </c>
      <c r="Q270">
        <f ca="1"/>
        <v>0.82191441512913466</v>
      </c>
      <c r="S270" s="10">
        <f ca="1"/>
        <v>0.24594267519517643</v>
      </c>
      <c r="T270" s="10">
        <f ca="1"/>
        <v>0.33253145719255423</v>
      </c>
      <c r="U270" s="10">
        <f ca="1"/>
        <v>1.6253632789124714E-2</v>
      </c>
    </row>
    <row r="271" spans="1:21" x14ac:dyDescent="0.25">
      <c r="A271" s="5">
        <f ca="1"/>
        <v>38017</v>
      </c>
      <c r="B271" s="10">
        <f ca="1"/>
        <v>6.7083363145929109E-2</v>
      </c>
      <c r="C271" s="10">
        <f ca="1"/>
        <v>6.397774297254967E-2</v>
      </c>
      <c r="D271" s="10">
        <f ca="1"/>
        <v>3.1230566317698459E-2</v>
      </c>
      <c r="E271" s="10">
        <f ca="1"/>
        <v>3.2747176654851211E-2</v>
      </c>
      <c r="G271" s="10">
        <f ca="1"/>
        <v>0.69613096329357205</v>
      </c>
      <c r="H271" s="10">
        <f ca="1"/>
        <v>0.54787890982879339</v>
      </c>
      <c r="I271" s="10">
        <f ca="1"/>
        <v>0.19293093195702285</v>
      </c>
      <c r="K271">
        <f ca="1"/>
        <v>-15.486660011664915</v>
      </c>
      <c r="L271">
        <f ca="1"/>
        <v>-14.648101456107119</v>
      </c>
      <c r="M271">
        <f ca="1"/>
        <v>-25.56176825853661</v>
      </c>
      <c r="O271">
        <f ca="1"/>
        <v>1.0335738444923224</v>
      </c>
      <c r="P271">
        <f ca="1"/>
        <v>0.50321402556242045</v>
      </c>
      <c r="Q271">
        <f ca="1"/>
        <v>0.7912499429258979</v>
      </c>
      <c r="S271" s="10">
        <f ca="1"/>
        <v>0.31944351912339097</v>
      </c>
      <c r="T271" s="10">
        <f ca="1"/>
        <v>0.37076554580834215</v>
      </c>
      <c r="U271" s="10">
        <f ca="1"/>
        <v>7.4148568706799117E-2</v>
      </c>
    </row>
    <row r="272" spans="1:21" x14ac:dyDescent="0.25">
      <c r="A272" s="5">
        <f ca="1"/>
        <v>37986</v>
      </c>
      <c r="B272" s="10">
        <f ca="1"/>
        <v>0.10512447840556183</v>
      </c>
      <c r="C272" s="10">
        <f ca="1"/>
        <v>6.2366873597484065E-2</v>
      </c>
      <c r="D272" s="10">
        <f ca="1"/>
        <v>2.9722527067533703E-2</v>
      </c>
      <c r="E272" s="10">
        <f ca="1"/>
        <v>3.2644346529950366E-2</v>
      </c>
      <c r="G272" s="10">
        <f ca="1"/>
        <v>0.69732082584068478</v>
      </c>
      <c r="H272" s="10">
        <f ca="1"/>
        <v>0.54208258613075766</v>
      </c>
      <c r="I272" s="10">
        <f ca="1"/>
        <v>0.19995874595112537</v>
      </c>
      <c r="K272">
        <f ca="1"/>
        <v>-15.499955773723102</v>
      </c>
      <c r="L272">
        <f ca="1"/>
        <v>-14.630680808773077</v>
      </c>
      <c r="M272">
        <f ca="1"/>
        <v>-25.191701998998862</v>
      </c>
      <c r="O272">
        <f ca="1"/>
        <v>1.0345834997270917</v>
      </c>
      <c r="P272">
        <f ca="1"/>
        <v>0.50476845259343472</v>
      </c>
      <c r="Q272">
        <f ca="1"/>
        <v>0.77660028407419401</v>
      </c>
      <c r="S272" s="10">
        <f ca="1"/>
        <v>0.35318798738464591</v>
      </c>
      <c r="T272" s="10">
        <f ca="1"/>
        <v>0.35590595904547406</v>
      </c>
      <c r="U272" s="10">
        <f ca="1"/>
        <v>0.13281141183507536</v>
      </c>
    </row>
    <row r="273" spans="1:21" x14ac:dyDescent="0.25">
      <c r="A273" s="5">
        <f ca="1"/>
        <v>37955</v>
      </c>
      <c r="B273" s="10">
        <f ca="1"/>
        <v>0.15321301489691308</v>
      </c>
      <c r="C273" s="10">
        <f ca="1"/>
        <v>6.0407002547875399E-2</v>
      </c>
      <c r="D273" s="10">
        <f ca="1"/>
        <v>3.0013479082764857E-2</v>
      </c>
      <c r="E273" s="10">
        <f ca="1"/>
        <v>3.0393523465110546E-2</v>
      </c>
      <c r="G273" s="10">
        <f ca="1"/>
        <v>0.69912426811836303</v>
      </c>
      <c r="H273" s="10">
        <f ca="1"/>
        <v>0.53744536743161597</v>
      </c>
      <c r="I273" s="10">
        <f ca="1"/>
        <v>0.21326656828025239</v>
      </c>
      <c r="K273">
        <f ca="1"/>
        <v>-15.529073372494198</v>
      </c>
      <c r="L273">
        <f ca="1"/>
        <v>-14.661350020663267</v>
      </c>
      <c r="M273">
        <f ca="1"/>
        <v>-25.501032475733854</v>
      </c>
      <c r="O273">
        <f ca="1"/>
        <v>1.0368094012896456</v>
      </c>
      <c r="P273">
        <f ca="1"/>
        <v>0.50794706336627971</v>
      </c>
      <c r="Q273">
        <f ca="1"/>
        <v>0.78449149946668928</v>
      </c>
      <c r="S273" s="10">
        <f ca="1"/>
        <v>0.32942477778355256</v>
      </c>
      <c r="T273" s="10">
        <f ca="1"/>
        <v>0.32980293491810453</v>
      </c>
      <c r="U273" s="10">
        <f ca="1"/>
        <v>0.13196268400854383</v>
      </c>
    </row>
    <row r="274" spans="1:21" x14ac:dyDescent="0.25">
      <c r="A274" s="5">
        <f ca="1"/>
        <v>37925</v>
      </c>
      <c r="B274" s="10">
        <f ca="1"/>
        <v>0.17461535494508684</v>
      </c>
      <c r="C274" s="10">
        <f ca="1"/>
        <v>6.0611095512577012E-2</v>
      </c>
      <c r="D274" s="10">
        <f ca="1"/>
        <v>2.8973855021718665E-2</v>
      </c>
      <c r="E274" s="10">
        <f ca="1"/>
        <v>3.1637240490858344E-2</v>
      </c>
      <c r="G274" s="10">
        <f ca="1"/>
        <v>0.6967740974207719</v>
      </c>
      <c r="H274" s="10">
        <f ca="1"/>
        <v>0.52277160634693831</v>
      </c>
      <c r="I274" s="10">
        <f ca="1"/>
        <v>0.23283116774010604</v>
      </c>
      <c r="K274">
        <f ca="1"/>
        <v>-15.684660437603229</v>
      </c>
      <c r="L274">
        <f ca="1"/>
        <v>-14.689371870239938</v>
      </c>
      <c r="M274">
        <f ca="1"/>
        <v>-26.351796700109016</v>
      </c>
      <c r="O274">
        <f ca="1"/>
        <v>1.0496812749086428</v>
      </c>
      <c r="P274">
        <f ca="1"/>
        <v>0.51252385270940548</v>
      </c>
      <c r="Q274">
        <f ca="1"/>
        <v>0.81180182177917937</v>
      </c>
      <c r="S274" s="10">
        <f ca="1"/>
        <v>0.22435128343300162</v>
      </c>
      <c r="T274" s="10">
        <f ca="1"/>
        <v>0.23378502004057175</v>
      </c>
      <c r="U274" s="10">
        <f ca="1"/>
        <v>0.10879898992946205</v>
      </c>
    </row>
    <row r="275" spans="1:21" x14ac:dyDescent="0.25">
      <c r="A275" s="5">
        <f ca="1"/>
        <v>37894</v>
      </c>
      <c r="B275" s="10">
        <f ca="1"/>
        <v>0.19615047752257708</v>
      </c>
      <c r="C275" s="10">
        <f ca="1"/>
        <v>5.9469253957533726E-2</v>
      </c>
      <c r="D275" s="10">
        <f ca="1"/>
        <v>2.820004282866885E-2</v>
      </c>
      <c r="E275" s="10">
        <f ca="1"/>
        <v>3.1269211128864875E-2</v>
      </c>
      <c r="G275" s="10">
        <f ca="1"/>
        <v>0.69771830297219917</v>
      </c>
      <c r="H275" s="10">
        <f ca="1"/>
        <v>0.51351321764241276</v>
      </c>
      <c r="I275" s="10">
        <f ca="1"/>
        <v>0.25468811105562478</v>
      </c>
      <c r="K275">
        <f ca="1"/>
        <v>-15.814033876834198</v>
      </c>
      <c r="L275">
        <f ca="1"/>
        <v>-14.762441929192802</v>
      </c>
      <c r="M275">
        <f ca="1"/>
        <v>-27.282893393660281</v>
      </c>
      <c r="O275">
        <f ca="1"/>
        <v>1.059876231597789</v>
      </c>
      <c r="P275">
        <f ca="1"/>
        <v>0.51815224040347296</v>
      </c>
      <c r="Q275">
        <f ca="1"/>
        <v>0.84071611041373184</v>
      </c>
      <c r="S275" s="10">
        <f ca="1"/>
        <v>0.11161653968337305</v>
      </c>
      <c r="T275" s="10">
        <f ca="1"/>
        <v>0.11563668741103837</v>
      </c>
      <c r="U275" s="10">
        <f ca="1"/>
        <v>6.9149911554916052E-2</v>
      </c>
    </row>
    <row r="276" spans="1:21" x14ac:dyDescent="0.25">
      <c r="A276" s="5">
        <f ca="1"/>
        <v>37864</v>
      </c>
      <c r="B276" s="10">
        <f ca="1"/>
        <v>0.18203191283491793</v>
      </c>
      <c r="C276" s="10">
        <f ca="1"/>
        <v>5.8265061821521108E-2</v>
      </c>
      <c r="D276" s="10">
        <f ca="1"/>
        <v>2.7417926601292185E-2</v>
      </c>
      <c r="E276" s="10">
        <f ca="1"/>
        <v>3.084713522022892E-2</v>
      </c>
      <c r="G276" s="10">
        <f ca="1"/>
        <v>0.68816657274738602</v>
      </c>
      <c r="H276" s="10">
        <f ca="1"/>
        <v>0.48791923776117169</v>
      </c>
      <c r="I276" s="10">
        <f ca="1"/>
        <v>0.28503959216479324</v>
      </c>
      <c r="K276">
        <f ca="1"/>
        <v>-16.081578002870266</v>
      </c>
      <c r="L276">
        <f ca="1"/>
        <v>-14.8214905262037</v>
      </c>
      <c r="M276">
        <f ca="1"/>
        <v>-28.872035282432922</v>
      </c>
      <c r="O276">
        <f ca="1"/>
        <v>1.0818751861711429</v>
      </c>
      <c r="P276">
        <f ca="1"/>
        <v>0.52566064415747149</v>
      </c>
      <c r="Q276">
        <f ca="1"/>
        <v>0.89185633059010416</v>
      </c>
      <c r="S276" s="10">
        <f ca="1"/>
        <v>1.8553698054439821E-2</v>
      </c>
      <c r="T276" s="10">
        <f ca="1"/>
        <v>2.3367396408663092E-2</v>
      </c>
      <c r="U276" s="10">
        <f ca="1"/>
        <v>8.7117272903162353E-3</v>
      </c>
    </row>
    <row r="277" spans="1:21" x14ac:dyDescent="0.25">
      <c r="A277" s="5">
        <f ca="1"/>
        <v>37833</v>
      </c>
      <c r="B277" s="10">
        <f ca="1"/>
        <v>0.16816954129304573</v>
      </c>
      <c r="C277" s="10">
        <f ca="1"/>
        <v>6.1969313272754359E-2</v>
      </c>
      <c r="D277" s="10">
        <f ca="1"/>
        <v>2.8870516576460267E-2</v>
      </c>
      <c r="E277" s="10">
        <f ca="1"/>
        <v>3.3098796696294092E-2</v>
      </c>
      <c r="G277" s="10">
        <f ca="1"/>
        <v>0.66749917513703982</v>
      </c>
      <c r="H277" s="10">
        <f ca="1"/>
        <v>0.44784256742357242</v>
      </c>
      <c r="I277" s="10">
        <f ca="1"/>
        <v>0.31737555024401026</v>
      </c>
      <c r="K277">
        <f ca="1"/>
        <v>-16.390312198919222</v>
      </c>
      <c r="L277">
        <f ca="1"/>
        <v>-14.75288308455478</v>
      </c>
      <c r="M277">
        <f ca="1"/>
        <v>-30.608257302533534</v>
      </c>
      <c r="O277">
        <f ca="1"/>
        <v>1.1087714719564719</v>
      </c>
      <c r="P277">
        <f ca="1"/>
        <v>0.53049389108048084</v>
      </c>
      <c r="Q277">
        <f ca="1"/>
        <v>0.94826653890536983</v>
      </c>
      <c r="S277" s="10">
        <f ca="1"/>
        <v>1.3932411796316709E-4</v>
      </c>
      <c r="T277" s="10">
        <f ca="1"/>
        <v>4.3025575408415232E-4</v>
      </c>
      <c r="U277" s="10">
        <f ca="1"/>
        <v>1.9252826185457041E-8</v>
      </c>
    </row>
    <row r="278" spans="1:21" x14ac:dyDescent="0.25">
      <c r="A278" s="5">
        <f ca="1"/>
        <v>37802</v>
      </c>
      <c r="B278" s="10">
        <f ca="1"/>
        <v>0.21148277662422776</v>
      </c>
      <c r="C278" s="10">
        <f ca="1"/>
        <v>5.9732766524964578E-2</v>
      </c>
      <c r="D278" s="10">
        <f ca="1"/>
        <v>2.8053846795032093E-2</v>
      </c>
      <c r="E278" s="10">
        <f ca="1"/>
        <v>3.1678919729932482E-2</v>
      </c>
      <c r="G278" s="10">
        <f ca="1"/>
        <v>0.66612308526716524</v>
      </c>
      <c r="H278" s="10">
        <f ca="1"/>
        <v>0.42815646495420928</v>
      </c>
      <c r="I278" s="10">
        <f ca="1"/>
        <v>0.34513043379220931</v>
      </c>
      <c r="K278">
        <f ca="1"/>
        <v>-16.50164747394993</v>
      </c>
      <c r="L278">
        <f ca="1"/>
        <v>-14.627358663745065</v>
      </c>
      <c r="M278">
        <f ca="1"/>
        <v>-31.103674640376958</v>
      </c>
      <c r="O278">
        <f ca="1"/>
        <v>1.1181507172678096</v>
      </c>
      <c r="P278">
        <f ca="1"/>
        <v>0.53027940217277336</v>
      </c>
      <c r="Q278">
        <f ca="1"/>
        <v>0.96033725549141524</v>
      </c>
      <c r="S278" s="10">
        <f ca="1"/>
        <v>1.145880885137961E-2</v>
      </c>
      <c r="T278" s="10">
        <f ca="1"/>
        <v>2.1689742929773062E-2</v>
      </c>
      <c r="U278" s="10">
        <f ca="1"/>
        <v>2.1372430226145483E-3</v>
      </c>
    </row>
    <row r="279" spans="1:21" x14ac:dyDescent="0.25">
      <c r="A279" s="5">
        <f ca="1"/>
        <v>37772</v>
      </c>
      <c r="B279" s="10">
        <f ca="1"/>
        <v>0.24907890497134688</v>
      </c>
      <c r="C279" s="10">
        <f ca="1"/>
        <v>5.596564718549174E-2</v>
      </c>
      <c r="D279" s="10">
        <f ca="1"/>
        <v>2.5861343830961274E-2</v>
      </c>
      <c r="E279" s="10">
        <f ca="1"/>
        <v>3.0104303354530466E-2</v>
      </c>
      <c r="G279" s="10">
        <f ca="1"/>
        <v>0.66646551870427684</v>
      </c>
      <c r="H279" s="10">
        <f ca="1"/>
        <v>0.4099635083890763</v>
      </c>
      <c r="I279" s="10">
        <f ca="1"/>
        <v>0.37211630054191347</v>
      </c>
      <c r="K279">
        <f ca="1"/>
        <v>-16.617875461449721</v>
      </c>
      <c r="L279">
        <f ca="1"/>
        <v>-14.52805207520742</v>
      </c>
      <c r="M279">
        <f ca="1"/>
        <v>-31.305566588015022</v>
      </c>
      <c r="O279">
        <f ca="1"/>
        <v>1.1275026816886109</v>
      </c>
      <c r="P279">
        <f ca="1"/>
        <v>0.53056868446043026</v>
      </c>
      <c r="Q279">
        <f ca="1"/>
        <v>0.96296645059314701</v>
      </c>
      <c r="S279" s="10">
        <f ca="1"/>
        <v>0.13950572109013532</v>
      </c>
      <c r="T279" s="10">
        <f ca="1"/>
        <v>0.1907321667043648</v>
      </c>
      <c r="U279" s="10">
        <f ca="1"/>
        <v>6.3758579063206408E-2</v>
      </c>
    </row>
    <row r="280" spans="1:21" x14ac:dyDescent="0.25">
      <c r="A280" s="5">
        <f ca="1"/>
        <v>37741</v>
      </c>
      <c r="B280" s="10">
        <f ca="1"/>
        <v>0.28830218726621015</v>
      </c>
      <c r="C280" s="10">
        <f ca="1"/>
        <v>5.2478133620399645E-2</v>
      </c>
      <c r="D280" s="10">
        <f ca="1"/>
        <v>2.4092881652425485E-2</v>
      </c>
      <c r="E280" s="10">
        <f ca="1"/>
        <v>2.8385251967974163E-2</v>
      </c>
      <c r="G280" s="10">
        <f ca="1"/>
        <v>0.66670417655579417</v>
      </c>
      <c r="H280" s="10">
        <f ca="1"/>
        <v>0.39566275925549471</v>
      </c>
      <c r="I280" s="10">
        <f ca="1"/>
        <v>0.38479996913130732</v>
      </c>
      <c r="K280">
        <f ca="1"/>
        <v>-16.616564801617454</v>
      </c>
      <c r="L280">
        <f ca="1"/>
        <v>-14.416423255436056</v>
      </c>
      <c r="M280">
        <f ca="1"/>
        <v>-30.35278077956816</v>
      </c>
      <c r="O280">
        <f ca="1"/>
        <v>1.1273750236816973</v>
      </c>
      <c r="P280">
        <f ca="1"/>
        <v>0.52894435976771947</v>
      </c>
      <c r="Q280">
        <f ca="1"/>
        <v>0.92785023251226828</v>
      </c>
      <c r="S280" s="10">
        <f ca="1"/>
        <v>0.33726928946971957</v>
      </c>
      <c r="T280" s="10">
        <f ca="1"/>
        <v>0.45419009245535075</v>
      </c>
      <c r="U280" s="10">
        <f ca="1"/>
        <v>0.17962029058342024</v>
      </c>
    </row>
    <row r="281" spans="1:21" x14ac:dyDescent="0.25">
      <c r="A281" s="5">
        <f ca="1"/>
        <v>37711</v>
      </c>
      <c r="B281" s="10">
        <f ca="1"/>
        <v>0.42884771441262881</v>
      </c>
      <c r="C281" s="10">
        <f ca="1"/>
        <v>5.4544250492426817E-2</v>
      </c>
      <c r="D281" s="10">
        <f ca="1"/>
        <v>2.4496875636758814E-2</v>
      </c>
      <c r="E281" s="10">
        <f ca="1"/>
        <v>3.0047374855668003E-2</v>
      </c>
      <c r="G281" s="10">
        <f ca="1"/>
        <v>0.66445348290404693</v>
      </c>
      <c r="H281" s="10">
        <f ca="1"/>
        <v>0.3806973939361542</v>
      </c>
      <c r="I281" s="10">
        <f ca="1"/>
        <v>0.39507313340780426</v>
      </c>
      <c r="K281">
        <f ca="1"/>
        <v>-16.633063803970721</v>
      </c>
      <c r="L281">
        <f ca="1"/>
        <v>-14.291319158368205</v>
      </c>
      <c r="M281">
        <f ca="1"/>
        <v>-29.683802493371498</v>
      </c>
      <c r="O281">
        <f ca="1"/>
        <v>1.1288236241048211</v>
      </c>
      <c r="P281">
        <f ca="1"/>
        <v>0.5262916947711973</v>
      </c>
      <c r="Q281">
        <f ca="1"/>
        <v>0.90264796553925841</v>
      </c>
      <c r="S281" s="10">
        <f ca="1"/>
        <v>0.61095974762289906</v>
      </c>
      <c r="T281" s="10">
        <f ca="1"/>
        <v>0.75874150074017621</v>
      </c>
      <c r="U281" s="10">
        <f ca="1"/>
        <v>0.39104396128362473</v>
      </c>
    </row>
    <row r="282" spans="1:21" x14ac:dyDescent="0.25">
      <c r="A282" s="5">
        <f ca="1"/>
        <v>37680</v>
      </c>
      <c r="B282" s="10">
        <f ca="1"/>
        <v>0.395494159447636</v>
      </c>
      <c r="C282" s="10">
        <f ca="1"/>
        <v>5.4978296302650762E-2</v>
      </c>
      <c r="D282" s="10">
        <f ca="1"/>
        <v>2.4108432701381143E-2</v>
      </c>
      <c r="E282" s="10">
        <f ca="1"/>
        <v>3.0869863601269622E-2</v>
      </c>
      <c r="G282" s="10">
        <f ca="1"/>
        <v>0.66401963851235535</v>
      </c>
      <c r="H282" s="10">
        <f ca="1"/>
        <v>0.35773586702134308</v>
      </c>
      <c r="I282" s="10">
        <f ca="1"/>
        <v>0.43195510444007784</v>
      </c>
      <c r="K282">
        <f ca="1"/>
        <v>-16.493367285750349</v>
      </c>
      <c r="L282">
        <f ca="1"/>
        <v>-13.889352821641813</v>
      </c>
      <c r="M282">
        <f ca="1"/>
        <v>-29.782456616282058</v>
      </c>
      <c r="O282">
        <f ca="1"/>
        <v>1.1180824619586618</v>
      </c>
      <c r="P282">
        <f ca="1"/>
        <v>0.51203211528142822</v>
      </c>
      <c r="Q282">
        <f ca="1"/>
        <v>0.89947466437277424</v>
      </c>
      <c r="S282" s="10">
        <f ca="1"/>
        <v>0.60451441887439306</v>
      </c>
      <c r="T282" s="10">
        <f ca="1"/>
        <v>0.74879152888266143</v>
      </c>
      <c r="U282" s="10">
        <f ca="1"/>
        <v>0.3647650752332442</v>
      </c>
    </row>
    <row r="283" spans="1:21" x14ac:dyDescent="0.25">
      <c r="A283" s="5">
        <f ca="1"/>
        <v>37652</v>
      </c>
      <c r="B283" s="10">
        <f ca="1"/>
        <v>0.32078992059010925</v>
      </c>
      <c r="C283" s="10">
        <f ca="1"/>
        <v>5.5320370274603091E-2</v>
      </c>
      <c r="D283" s="10">
        <f ca="1"/>
        <v>2.4373136129354777E-2</v>
      </c>
      <c r="E283" s="10">
        <f ca="1"/>
        <v>3.0947234145248314E-2</v>
      </c>
      <c r="G283" s="10">
        <f ca="1"/>
        <v>0.66526471864833248</v>
      </c>
      <c r="H283" s="10">
        <f ca="1"/>
        <v>0.33688551754520846</v>
      </c>
      <c r="I283" s="10">
        <f ca="1"/>
        <v>0.47365345230899214</v>
      </c>
      <c r="K283">
        <f ca="1"/>
        <v>-16.37411214697817</v>
      </c>
      <c r="L283">
        <f ca="1"/>
        <v>-13.567485514259483</v>
      </c>
      <c r="M283">
        <f ca="1"/>
        <v>-29.980536543453496</v>
      </c>
      <c r="O283">
        <f ca="1"/>
        <v>1.108612949320134</v>
      </c>
      <c r="P283">
        <f ca="1"/>
        <v>0.50097643534563208</v>
      </c>
      <c r="Q283">
        <f ca="1"/>
        <v>0.89897483208373696</v>
      </c>
      <c r="S283" s="10">
        <f ca="1"/>
        <v>0.64027083889585235</v>
      </c>
      <c r="T283" s="10">
        <f ca="1"/>
        <v>0.80747882961267525</v>
      </c>
      <c r="U283" s="10">
        <f ca="1"/>
        <v>0.34869559758463697</v>
      </c>
    </row>
    <row r="284" spans="1:21" x14ac:dyDescent="0.25">
      <c r="A284" s="5">
        <f ca="1"/>
        <v>37621</v>
      </c>
      <c r="B284" s="10">
        <f ca="1"/>
        <v>0.26682724509123434</v>
      </c>
      <c r="C284" s="10">
        <f ca="1"/>
        <v>5.5780091198485759E-2</v>
      </c>
      <c r="D284" s="10">
        <f ca="1"/>
        <v>2.3995698184633915E-2</v>
      </c>
      <c r="E284" s="10">
        <f ca="1"/>
        <v>3.1784393013851844E-2</v>
      </c>
      <c r="G284" s="10">
        <f ca="1"/>
        <v>0.66749326222848671</v>
      </c>
      <c r="H284" s="10">
        <f ca="1"/>
        <v>0.32161984670058791</v>
      </c>
      <c r="I284" s="10">
        <f ca="1"/>
        <v>0.51358137694516171</v>
      </c>
      <c r="K284">
        <f ca="1"/>
        <v>-16.466230950421345</v>
      </c>
      <c r="L284">
        <f ca="1"/>
        <v>-13.530405491955994</v>
      </c>
      <c r="M284">
        <f ca="1"/>
        <v>-30.630587754731692</v>
      </c>
      <c r="O284">
        <f ca="1"/>
        <v>1.1155346003937361</v>
      </c>
      <c r="P284">
        <f ca="1"/>
        <v>0.50260085718937364</v>
      </c>
      <c r="Q284">
        <f ca="1"/>
        <v>0.91467772716361129</v>
      </c>
      <c r="S284" s="10">
        <f ca="1"/>
        <v>0.66476393756470153</v>
      </c>
      <c r="T284" s="10">
        <f ca="1"/>
        <v>0.82295855351614389</v>
      </c>
      <c r="U284" s="10">
        <f ca="1"/>
        <v>0.35446149547867617</v>
      </c>
    </row>
    <row r="285" spans="1:21" x14ac:dyDescent="0.25">
      <c r="A285" s="5">
        <f ca="1"/>
        <v>37590</v>
      </c>
      <c r="B285" s="10">
        <f ca="1"/>
        <v>0.17935298470982852</v>
      </c>
      <c r="C285" s="10">
        <f ca="1"/>
        <v>5.4733646724140925E-2</v>
      </c>
      <c r="D285" s="10">
        <f ca="1"/>
        <v>2.4193307776370795E-2</v>
      </c>
      <c r="E285" s="10">
        <f ca="1"/>
        <v>3.0540338947770126E-2</v>
      </c>
      <c r="G285" s="10">
        <f ca="1"/>
        <v>0.66924767697750065</v>
      </c>
      <c r="H285" s="10">
        <f ca="1"/>
        <v>0.31169087448669658</v>
      </c>
      <c r="I285" s="10">
        <f ca="1"/>
        <v>0.54708144513545742</v>
      </c>
      <c r="K285">
        <f ca="1"/>
        <v>-16.5288114287879</v>
      </c>
      <c r="L285">
        <f ca="1"/>
        <v>-13.575637714849977</v>
      </c>
      <c r="M285">
        <f ca="1"/>
        <v>-31.207960420742637</v>
      </c>
      <c r="O285">
        <f ca="1"/>
        <v>1.1203410876798565</v>
      </c>
      <c r="P285">
        <f ca="1"/>
        <v>0.50716243176029119</v>
      </c>
      <c r="Q285">
        <f ca="1"/>
        <v>0.92797019848309703</v>
      </c>
      <c r="S285" s="10">
        <f ca="1"/>
        <v>0.66960382233596061</v>
      </c>
      <c r="T285" s="10">
        <f ca="1"/>
        <v>0.79595222410444599</v>
      </c>
      <c r="U285" s="10">
        <f ca="1"/>
        <v>0.34544523148979678</v>
      </c>
    </row>
    <row r="286" spans="1:21" x14ac:dyDescent="0.25">
      <c r="A286" s="5">
        <f ca="1"/>
        <v>37560</v>
      </c>
      <c r="B286" s="10">
        <f ca="1"/>
        <v>0.24381317575472705</v>
      </c>
      <c r="C286" s="10">
        <f ca="1"/>
        <v>5.6170347335687557E-2</v>
      </c>
      <c r="D286" s="10">
        <f ca="1"/>
        <v>2.4358650011419736E-2</v>
      </c>
      <c r="E286" s="10">
        <f ca="1"/>
        <v>3.1811697324267821E-2</v>
      </c>
      <c r="G286" s="10">
        <f ca="1"/>
        <v>0.67637515827726347</v>
      </c>
      <c r="H286" s="10">
        <f ca="1"/>
        <v>0.30613059096419437</v>
      </c>
      <c r="I286" s="10">
        <f ca="1"/>
        <v>0.57263292641018837</v>
      </c>
      <c r="K286">
        <f ca="1"/>
        <v>-16.822633230856994</v>
      </c>
      <c r="L286">
        <f ca="1"/>
        <v>-13.884492394050792</v>
      </c>
      <c r="M286">
        <f ca="1"/>
        <v>-31.536335760669822</v>
      </c>
      <c r="O286">
        <f ca="1"/>
        <v>1.1432212162641231</v>
      </c>
      <c r="P286">
        <f ca="1"/>
        <v>0.52447573027628314</v>
      </c>
      <c r="Q286">
        <f ca="1"/>
        <v>0.9353326485184732</v>
      </c>
      <c r="S286" s="10">
        <f ca="1"/>
        <v>0.59286442810795281</v>
      </c>
      <c r="T286" s="10">
        <f ca="1"/>
        <v>0.68942740292222227</v>
      </c>
      <c r="U286" s="10">
        <f ca="1"/>
        <v>0.31562766935377695</v>
      </c>
    </row>
    <row r="287" spans="1:21" x14ac:dyDescent="0.25">
      <c r="A287" s="5">
        <f ca="1"/>
        <v>37529</v>
      </c>
      <c r="B287" s="10">
        <f ca="1"/>
        <v>0.39932283979065319</v>
      </c>
      <c r="C287" s="10">
        <f ca="1"/>
        <v>5.6095809230660369E-2</v>
      </c>
      <c r="D287" s="10">
        <f ca="1"/>
        <v>2.4077376213978666E-2</v>
      </c>
      <c r="E287" s="10">
        <f ca="1"/>
        <v>3.2018433016681704E-2</v>
      </c>
      <c r="G287" s="10">
        <f ca="1"/>
        <v>0.67750255438035978</v>
      </c>
      <c r="H287" s="10">
        <f ca="1"/>
        <v>0.29330243699298292</v>
      </c>
      <c r="I287" s="10">
        <f ca="1"/>
        <v>0.60936136945129893</v>
      </c>
      <c r="K287">
        <f ca="1"/>
        <v>-17.120375651113786</v>
      </c>
      <c r="L287">
        <f ca="1"/>
        <v>-14.088225622761255</v>
      </c>
      <c r="M287">
        <f ca="1"/>
        <v>-32.492510087762938</v>
      </c>
      <c r="O287">
        <f ca="1"/>
        <v>1.1665282525323208</v>
      </c>
      <c r="P287">
        <f ca="1"/>
        <v>0.53804816652688403</v>
      </c>
      <c r="Q287">
        <f ca="1"/>
        <v>0.96123762770624033</v>
      </c>
      <c r="S287" s="10">
        <f ca="1"/>
        <v>0.62219627688996015</v>
      </c>
      <c r="T287" s="10">
        <f ca="1"/>
        <v>0.68469152622223006</v>
      </c>
      <c r="U287" s="10">
        <f ca="1"/>
        <v>0.34939147054756148</v>
      </c>
    </row>
    <row r="288" spans="1:21" x14ac:dyDescent="0.25">
      <c r="A288" s="5">
        <f ca="1"/>
        <v>37499</v>
      </c>
      <c r="B288" s="10">
        <f ca="1"/>
        <v>0.22335634258387493</v>
      </c>
      <c r="C288" s="10">
        <f ca="1"/>
        <v>5.5813552697036459E-2</v>
      </c>
      <c r="D288" s="10">
        <f ca="1"/>
        <v>2.4722123516452279E-2</v>
      </c>
      <c r="E288" s="10">
        <f ca="1"/>
        <v>3.109142918058418E-2</v>
      </c>
      <c r="G288" s="10">
        <f ca="1"/>
        <v>0.6834107045890816</v>
      </c>
      <c r="H288" s="10">
        <f ca="1"/>
        <v>0.27424247639933153</v>
      </c>
      <c r="I288" s="10">
        <f ca="1"/>
        <v>0.67235585119170294</v>
      </c>
      <c r="K288">
        <f ca="1"/>
        <v>-17.168209656708655</v>
      </c>
      <c r="L288">
        <f ca="1"/>
        <v>-13.933971901560371</v>
      </c>
      <c r="M288">
        <f ca="1"/>
        <v>-33.408684284156799</v>
      </c>
      <c r="O288">
        <f ca="1"/>
        <v>1.1694000778501861</v>
      </c>
      <c r="P288">
        <f ca="1"/>
        <v>0.53503964995872832</v>
      </c>
      <c r="Q288">
        <f ca="1"/>
        <v>0.98185100059249386</v>
      </c>
      <c r="S288" s="10">
        <f ca="1"/>
        <v>0.60730143878005538</v>
      </c>
      <c r="T288" s="10">
        <f ca="1"/>
        <v>0.69255489585352392</v>
      </c>
      <c r="U288" s="10">
        <f ca="1"/>
        <v>0.26756610598826952</v>
      </c>
    </row>
    <row r="289" spans="1:21" x14ac:dyDescent="0.25">
      <c r="A289" s="5">
        <f ca="1"/>
        <v>37468</v>
      </c>
      <c r="B289" s="10">
        <f ca="1"/>
        <v>0.21465090142716492</v>
      </c>
      <c r="C289" s="10">
        <f ca="1"/>
        <v>5.8585802524393514E-2</v>
      </c>
      <c r="D289" s="10">
        <f ca="1"/>
        <v>2.5764031868230237E-2</v>
      </c>
      <c r="E289" s="10">
        <f ca="1"/>
        <v>3.2821770656163277E-2</v>
      </c>
      <c r="G289" s="10">
        <f ca="1"/>
        <v>0.69166427215170312</v>
      </c>
      <c r="H289" s="10">
        <f ca="1"/>
        <v>0.27211412561751408</v>
      </c>
      <c r="I289" s="10">
        <f ca="1"/>
        <v>0.70368571415485959</v>
      </c>
      <c r="K289">
        <f ca="1"/>
        <v>-17.416148552302889</v>
      </c>
      <c r="L289">
        <f ca="1"/>
        <v>-14.347710838821063</v>
      </c>
      <c r="M289">
        <f ca="1"/>
        <v>-33.915375367552258</v>
      </c>
      <c r="O289">
        <f ca="1"/>
        <v>1.1882923526424787</v>
      </c>
      <c r="P289">
        <f ca="1"/>
        <v>0.55649641044413733</v>
      </c>
      <c r="Q289">
        <f ca="1"/>
        <v>0.99319701907502811</v>
      </c>
      <c r="S289" s="10">
        <f ca="1"/>
        <v>0.60094671542365385</v>
      </c>
      <c r="T289" s="10">
        <f ca="1"/>
        <v>0.66563156964813597</v>
      </c>
      <c r="U289" s="10">
        <f ca="1"/>
        <v>0.25751703482128913</v>
      </c>
    </row>
    <row r="290" spans="1:21" x14ac:dyDescent="0.25">
      <c r="A290" s="5">
        <f ca="1"/>
        <v>37437</v>
      </c>
      <c r="B290" s="10">
        <f ca="1"/>
        <v>0.13779268210791584</v>
      </c>
      <c r="C290" s="10">
        <f ca="1"/>
        <v>6.0007214226454567E-2</v>
      </c>
      <c r="D290" s="10">
        <f ca="1"/>
        <v>2.7769721891570176E-2</v>
      </c>
      <c r="E290" s="10">
        <f ca="1"/>
        <v>3.2237492334884391E-2</v>
      </c>
      <c r="G290" s="10">
        <f ca="1"/>
        <v>0.69933495166606707</v>
      </c>
      <c r="H290" s="10">
        <f ca="1"/>
        <v>0.2730529333691824</v>
      </c>
      <c r="I290" s="10">
        <f ca="1"/>
        <v>0.73922644108825009</v>
      </c>
      <c r="K290">
        <f ca="1"/>
        <v>-17.519617601862347</v>
      </c>
      <c r="L290">
        <f ca="1"/>
        <v>-14.730394371297209</v>
      </c>
      <c r="M290">
        <f ca="1"/>
        <v>-34.574719745598905</v>
      </c>
      <c r="O290">
        <f ca="1"/>
        <v>1.1958582081733615</v>
      </c>
      <c r="P290">
        <f ca="1"/>
        <v>0.57577613927610583</v>
      </c>
      <c r="Q290">
        <f ca="1"/>
        <v>1.0075803949517641</v>
      </c>
      <c r="S290" s="10">
        <f ca="1"/>
        <v>0.65250396793934951</v>
      </c>
      <c r="T290" s="10">
        <f ca="1"/>
        <v>0.67817974487393906</v>
      </c>
      <c r="U290" s="10">
        <f ca="1"/>
        <v>0.25599086524249304</v>
      </c>
    </row>
    <row r="291" spans="1:21" x14ac:dyDescent="0.25">
      <c r="A291" s="5">
        <f ca="1"/>
        <v>37407</v>
      </c>
      <c r="B291" s="10">
        <f ca="1"/>
        <v>7.2905078705572279E-2</v>
      </c>
      <c r="C291" s="10">
        <f ca="1"/>
        <v>6.0145461809465006E-2</v>
      </c>
      <c r="D291" s="10">
        <f ca="1"/>
        <v>2.8656884465913631E-2</v>
      </c>
      <c r="E291" s="10">
        <f ca="1"/>
        <v>3.1488577343551372E-2</v>
      </c>
      <c r="G291" s="10">
        <f ca="1"/>
        <v>0.7093082248372401</v>
      </c>
      <c r="H291" s="10">
        <f ca="1"/>
        <v>0.28072788534338</v>
      </c>
      <c r="I291" s="10">
        <f ca="1"/>
        <v>0.76294524358034599</v>
      </c>
      <c r="K291">
        <f ca="1"/>
        <v>-17.755216178815992</v>
      </c>
      <c r="L291">
        <f ca="1"/>
        <v>-15.348992754174528</v>
      </c>
      <c r="M291">
        <f ca="1"/>
        <v>-35.224305039922903</v>
      </c>
      <c r="O291">
        <f ca="1"/>
        <v>1.2139649003621138</v>
      </c>
      <c r="P291">
        <f ca="1"/>
        <v>0.60593661472381455</v>
      </c>
      <c r="Q291">
        <f ca="1"/>
        <v>1.0237599881442085</v>
      </c>
      <c r="S291" s="10">
        <f ca="1"/>
        <v>0.63449598299973942</v>
      </c>
      <c r="T291" s="10">
        <f ca="1"/>
        <v>0.65394789627229422</v>
      </c>
      <c r="U291" s="10">
        <f ca="1"/>
        <v>0.23221283840803775</v>
      </c>
    </row>
    <row r="292" spans="1:21" x14ac:dyDescent="0.25">
      <c r="A292" s="5">
        <f ca="1"/>
        <v>37376</v>
      </c>
      <c r="B292" s="10">
        <f ca="1"/>
        <v>5.0337962639177114E-2</v>
      </c>
      <c r="C292" s="10">
        <f ca="1"/>
        <v>6.0431392368506552E-2</v>
      </c>
      <c r="D292" s="10">
        <f ca="1"/>
        <v>2.8712320854842786E-2</v>
      </c>
      <c r="E292" s="10">
        <f ca="1"/>
        <v>3.1719071513663766E-2</v>
      </c>
      <c r="G292" s="10">
        <f ca="1"/>
        <v>0.72269687367504354</v>
      </c>
      <c r="H292" s="10">
        <f ca="1"/>
        <v>0.29662087024131062</v>
      </c>
      <c r="I292" s="10">
        <f ca="1"/>
        <v>0.77871793488053398</v>
      </c>
      <c r="K292">
        <f ca="1"/>
        <v>-17.946623328081031</v>
      </c>
      <c r="L292">
        <f ca="1"/>
        <v>-16.141985668743082</v>
      </c>
      <c r="M292">
        <f ca="1"/>
        <v>-35.568447980534451</v>
      </c>
      <c r="O292">
        <f ca="1"/>
        <v>1.2292190300643162</v>
      </c>
      <c r="P292">
        <f ca="1"/>
        <v>0.64347041652610959</v>
      </c>
      <c r="Q292">
        <f ca="1"/>
        <v>1.0317457247884356</v>
      </c>
      <c r="S292" s="10">
        <f ca="1"/>
        <v>0.5967438088333501</v>
      </c>
      <c r="T292" s="10">
        <f ca="1"/>
        <v>0.62697267780312427</v>
      </c>
      <c r="U292" s="10">
        <f ca="1"/>
        <v>0.17330861920414772</v>
      </c>
    </row>
    <row r="293" spans="1:21" x14ac:dyDescent="0.25">
      <c r="A293" s="5">
        <f ca="1"/>
        <v>37346</v>
      </c>
      <c r="B293" s="10">
        <f ca="1"/>
        <v>-3.0913612852032646E-2</v>
      </c>
      <c r="C293" s="10">
        <f ca="1"/>
        <v>6.1646911927037154E-2</v>
      </c>
      <c r="D293" s="10">
        <f ca="1"/>
        <v>2.8969616908850727E-2</v>
      </c>
      <c r="E293" s="10">
        <f ca="1"/>
        <v>3.2677295018186427E-2</v>
      </c>
      <c r="G293" s="10">
        <f ca="1"/>
        <v>0.74039834121071912</v>
      </c>
      <c r="H293" s="10">
        <f ca="1"/>
        <v>0.32186284947440896</v>
      </c>
      <c r="I293" s="10">
        <f ca="1"/>
        <v>0.79395508180818952</v>
      </c>
      <c r="K293">
        <f ca="1"/>
        <v>-18.329177534727464</v>
      </c>
      <c r="L293">
        <f ca="1"/>
        <v>-17.338654172108761</v>
      </c>
      <c r="M293">
        <f ca="1"/>
        <v>-36.3678941485433</v>
      </c>
      <c r="O293">
        <f ca="1"/>
        <v>1.2589492306632697</v>
      </c>
      <c r="P293">
        <f ca="1"/>
        <v>0.69877957569033322</v>
      </c>
      <c r="Q293">
        <f ca="1"/>
        <v>1.0546318340830454</v>
      </c>
      <c r="S293" s="10">
        <f ca="1"/>
        <v>0.5541556327296483</v>
      </c>
      <c r="T293" s="10">
        <f ca="1"/>
        <v>0.59065906242845323</v>
      </c>
      <c r="U293" s="10">
        <f ca="1"/>
        <v>0.12758713566292934</v>
      </c>
    </row>
    <row r="294" spans="1:21" x14ac:dyDescent="0.25">
      <c r="A294" s="5">
        <f ca="1"/>
        <v>37315</v>
      </c>
      <c r="B294" s="10">
        <f ca="1"/>
        <v>-4.3849927401727551E-2</v>
      </c>
      <c r="C294" s="10">
        <f ca="1"/>
        <v>6.2413276856788137E-2</v>
      </c>
      <c r="D294" s="10">
        <f ca="1"/>
        <v>2.8286533265171984E-2</v>
      </c>
      <c r="E294" s="10">
        <f ca="1"/>
        <v>3.4126743591616153E-2</v>
      </c>
      <c r="G294" s="10">
        <f ca="1"/>
        <v>0.7569444446692275</v>
      </c>
      <c r="H294" s="10">
        <f ca="1"/>
        <v>0.35126382786500882</v>
      </c>
      <c r="I294" s="10">
        <f ca="1"/>
        <v>0.80108899141935275</v>
      </c>
      <c r="K294">
        <f ca="1"/>
        <v>-18.790559959641399</v>
      </c>
      <c r="L294">
        <f ca="1"/>
        <v>-18.68868430342771</v>
      </c>
      <c r="M294">
        <f ca="1"/>
        <v>-37.281291232683195</v>
      </c>
      <c r="O294">
        <f ca="1"/>
        <v>1.2958356919458851</v>
      </c>
      <c r="P294">
        <f ca="1"/>
        <v>0.76193855013239398</v>
      </c>
      <c r="Q294">
        <f ca="1"/>
        <v>1.0823763185816582</v>
      </c>
      <c r="S294" s="10">
        <f ca="1"/>
        <v>0.5680446456047924</v>
      </c>
      <c r="T294" s="10">
        <f ca="1"/>
        <v>0.57491012382010465</v>
      </c>
      <c r="U294" s="10">
        <f ca="1"/>
        <v>0.15853174489709984</v>
      </c>
    </row>
    <row r="295" spans="1:21" x14ac:dyDescent="0.25">
      <c r="A295" s="5">
        <f ca="1"/>
        <v>37287</v>
      </c>
      <c r="B295" s="10">
        <f ca="1"/>
        <v>-7.0332678878598953E-2</v>
      </c>
      <c r="C295" s="10">
        <f ca="1"/>
        <v>6.4265271721206343E-2</v>
      </c>
      <c r="D295" s="10">
        <f ca="1"/>
        <v>2.9481842500641283E-2</v>
      </c>
      <c r="E295" s="10">
        <f ca="1"/>
        <v>3.4783429220565064E-2</v>
      </c>
      <c r="G295" s="10">
        <f ca="1"/>
        <v>0.77052311803272255</v>
      </c>
      <c r="H295" s="10">
        <f ca="1"/>
        <v>0.38093673868746925</v>
      </c>
      <c r="I295" s="10">
        <f ca="1"/>
        <v>0.81168923005515869</v>
      </c>
      <c r="K295">
        <f ca="1"/>
        <v>-18.882018946380107</v>
      </c>
      <c r="L295">
        <f ca="1"/>
        <v>-19.751990264332125</v>
      </c>
      <c r="M295">
        <f ca="1"/>
        <v>-37.715711261326376</v>
      </c>
      <c r="O295">
        <f ca="1"/>
        <v>1.3049656719400742</v>
      </c>
      <c r="P295">
        <f ca="1"/>
        <v>0.81171883216871732</v>
      </c>
      <c r="Q295">
        <f ca="1"/>
        <v>1.0927545560426288</v>
      </c>
      <c r="S295" s="10">
        <f ca="1"/>
        <v>0.62023448846022666</v>
      </c>
      <c r="T295" s="10">
        <f ca="1"/>
        <v>0.59307172209028947</v>
      </c>
      <c r="U295" s="10">
        <f ca="1"/>
        <v>0.31480762714289384</v>
      </c>
    </row>
    <row r="296" spans="1:21" x14ac:dyDescent="0.25">
      <c r="A296" s="5">
        <f ca="1"/>
        <v>37256</v>
      </c>
      <c r="B296" s="10">
        <f ca="1"/>
        <v>-0.13249075950623002</v>
      </c>
      <c r="C296" s="10">
        <f ca="1"/>
        <v>6.5409934936764377E-2</v>
      </c>
      <c r="D296" s="10">
        <f ca="1"/>
        <v>2.9328350025586664E-2</v>
      </c>
      <c r="E296" s="10">
        <f ca="1"/>
        <v>3.6081584911177716E-2</v>
      </c>
      <c r="G296" s="10">
        <f ca="1"/>
        <v>0.77936472731635065</v>
      </c>
      <c r="H296" s="10">
        <f ca="1"/>
        <v>0.40861867698801807</v>
      </c>
      <c r="I296" s="10">
        <f ca="1"/>
        <v>0.81964138585678292</v>
      </c>
      <c r="K296">
        <f ca="1"/>
        <v>-18.805009130184416</v>
      </c>
      <c r="L296">
        <f ca="1"/>
        <v>-20.560684738077047</v>
      </c>
      <c r="M296">
        <f ca="1"/>
        <v>-37.997832376410351</v>
      </c>
      <c r="O296">
        <f ca="1"/>
        <v>1.3015165701406359</v>
      </c>
      <c r="P296">
        <f ca="1"/>
        <v>0.85024906105130138</v>
      </c>
      <c r="Q296">
        <f ca="1"/>
        <v>1.0977589025100387</v>
      </c>
      <c r="S296" s="10">
        <f ca="1"/>
        <v>0.69817979315535506</v>
      </c>
      <c r="T296" s="10">
        <f ca="1"/>
        <v>0.66481662853567536</v>
      </c>
      <c r="U296" s="10">
        <f ca="1"/>
        <v>0.42974330455131715</v>
      </c>
    </row>
    <row r="297" spans="1:21" x14ac:dyDescent="0.25">
      <c r="A297" s="5">
        <f ca="1"/>
        <v>37225</v>
      </c>
      <c r="B297" s="10">
        <f ca="1"/>
        <v>-0.11535385233118767</v>
      </c>
      <c r="C297" s="10">
        <f ca="1"/>
        <v>6.4523972920337569E-2</v>
      </c>
      <c r="D297" s="10">
        <f ca="1"/>
        <v>2.9572475192432533E-2</v>
      </c>
      <c r="E297" s="10">
        <f ca="1"/>
        <v>3.4951497727905033E-2</v>
      </c>
      <c r="G297" s="10" t="e">
        <f ca="1"/>
        <v>#N/A</v>
      </c>
      <c r="H297" s="10" t="e">
        <f ca="1"/>
        <v>#N/A</v>
      </c>
      <c r="I297" s="10" t="e">
        <f ca="1"/>
        <v>#N/A</v>
      </c>
      <c r="K297" t="e">
        <f ca="1"/>
        <v>#N/A</v>
      </c>
      <c r="L297" t="e">
        <f ca="1"/>
        <v>#N/A</v>
      </c>
      <c r="M297" t="e">
        <f ca="1"/>
        <v>#N/A</v>
      </c>
      <c r="O297" t="e">
        <f ca="1"/>
        <v>#N/A</v>
      </c>
      <c r="P297" t="e">
        <f ca="1"/>
        <v>#N/A</v>
      </c>
      <c r="Q297" t="e">
        <f ca="1"/>
        <v>#N/A</v>
      </c>
      <c r="S297" s="10" t="e">
        <f ca="1"/>
        <v>#N/A</v>
      </c>
      <c r="T297" s="10" t="e">
        <f ca="1"/>
        <v>#N/A</v>
      </c>
      <c r="U297" s="10" t="e">
        <f ca="1"/>
        <v>#N/A</v>
      </c>
    </row>
    <row r="298" spans="1:21" x14ac:dyDescent="0.25">
      <c r="A298" s="5">
        <f ca="1"/>
        <v>37195</v>
      </c>
      <c r="B298" s="10">
        <f ca="1"/>
        <v>-6.5551368980199087E-2</v>
      </c>
      <c r="C298" s="10">
        <f ca="1"/>
        <v>6.3692478042189027E-2</v>
      </c>
      <c r="D298" s="10">
        <f ca="1"/>
        <v>2.8595263118384506E-2</v>
      </c>
      <c r="E298" s="10">
        <f ca="1"/>
        <v>3.5097214923804521E-2</v>
      </c>
      <c r="G298" s="10" t="e">
        <f ca="1"/>
        <v>#N/A</v>
      </c>
      <c r="H298" s="10" t="e">
        <f ca="1"/>
        <v>#N/A</v>
      </c>
      <c r="I298" s="10" t="e">
        <f ca="1"/>
        <v>#N/A</v>
      </c>
      <c r="K298" t="e">
        <f ca="1"/>
        <v>#N/A</v>
      </c>
      <c r="L298" t="e">
        <f ca="1"/>
        <v>#N/A</v>
      </c>
      <c r="M298" t="e">
        <f ca="1"/>
        <v>#N/A</v>
      </c>
      <c r="O298" t="e">
        <f ca="1"/>
        <v>#N/A</v>
      </c>
      <c r="P298" t="e">
        <f ca="1"/>
        <v>#N/A</v>
      </c>
      <c r="Q298" t="e">
        <f ca="1"/>
        <v>#N/A</v>
      </c>
      <c r="S298" s="10" t="e">
        <f ca="1"/>
        <v>#N/A</v>
      </c>
      <c r="T298" s="10" t="e">
        <f ca="1"/>
        <v>#N/A</v>
      </c>
      <c r="U298" s="10" t="e">
        <f ca="1"/>
        <v>#N/A</v>
      </c>
    </row>
    <row r="299" spans="1:21" x14ac:dyDescent="0.25">
      <c r="A299" s="5">
        <f ca="1"/>
        <v>37164</v>
      </c>
      <c r="B299" s="10">
        <f ca="1"/>
        <v>-6.3826872966843307E-2</v>
      </c>
      <c r="C299" s="10">
        <f ca="1"/>
        <v>6.9098122882862656E-2</v>
      </c>
      <c r="D299" s="10">
        <f ca="1"/>
        <v>2.9556828177343588E-2</v>
      </c>
      <c r="E299" s="10">
        <f ca="1"/>
        <v>3.9541294705519064E-2</v>
      </c>
      <c r="G299" s="10" t="e">
        <f ca="1"/>
        <v>#N/A</v>
      </c>
      <c r="H299" s="10" t="e">
        <f ca="1"/>
        <v>#N/A</v>
      </c>
      <c r="I299" s="10" t="e">
        <f ca="1"/>
        <v>#N/A</v>
      </c>
      <c r="K299" t="e">
        <f ca="1"/>
        <v>#N/A</v>
      </c>
      <c r="L299" t="e">
        <f ca="1"/>
        <v>#N/A</v>
      </c>
      <c r="M299" t="e">
        <f ca="1"/>
        <v>#N/A</v>
      </c>
      <c r="O299" t="e">
        <f ca="1"/>
        <v>#N/A</v>
      </c>
      <c r="P299" t="e">
        <f ca="1"/>
        <v>#N/A</v>
      </c>
      <c r="Q299" t="e">
        <f ca="1"/>
        <v>#N/A</v>
      </c>
      <c r="S299" s="10" t="e">
        <f ca="1"/>
        <v>#N/A</v>
      </c>
      <c r="T299" s="10" t="e">
        <f ca="1"/>
        <v>#N/A</v>
      </c>
      <c r="U299" s="10" t="e">
        <f ca="1"/>
        <v>#N/A</v>
      </c>
    </row>
    <row r="300" spans="1:21" x14ac:dyDescent="0.25">
      <c r="A300" s="5">
        <f ca="1"/>
        <v>37134</v>
      </c>
      <c r="B300" s="10">
        <f ca="1"/>
        <v>-0.1499584817914863</v>
      </c>
      <c r="C300" s="10">
        <f ca="1"/>
        <v>6.8914863521675973E-2</v>
      </c>
      <c r="D300" s="10">
        <f ca="1"/>
        <v>3.2364095114305373E-2</v>
      </c>
      <c r="E300" s="10">
        <f ca="1"/>
        <v>3.6550768407370593E-2</v>
      </c>
      <c r="G300" s="10" t="e">
        <f ca="1"/>
        <v>#N/A</v>
      </c>
      <c r="H300" s="10" t="e">
        <f ca="1"/>
        <v>#N/A</v>
      </c>
      <c r="I300" s="10" t="e">
        <f ca="1"/>
        <v>#N/A</v>
      </c>
      <c r="K300" t="e">
        <f ca="1"/>
        <v>#N/A</v>
      </c>
      <c r="L300" t="e">
        <f ca="1"/>
        <v>#N/A</v>
      </c>
      <c r="M300" t="e">
        <f ca="1"/>
        <v>#N/A</v>
      </c>
      <c r="O300" t="e">
        <f ca="1"/>
        <v>#N/A</v>
      </c>
      <c r="P300" t="e">
        <f ca="1"/>
        <v>#N/A</v>
      </c>
      <c r="Q300" t="e">
        <f ca="1"/>
        <v>#N/A</v>
      </c>
      <c r="S300" s="10" t="e">
        <f ca="1"/>
        <v>#N/A</v>
      </c>
      <c r="T300" s="10" t="e">
        <f ca="1"/>
        <v>#N/A</v>
      </c>
      <c r="U300" s="10" t="e">
        <f ca="1"/>
        <v>#N/A</v>
      </c>
    </row>
    <row r="301" spans="1:21" x14ac:dyDescent="0.25">
      <c r="A301" s="5">
        <f ca="1"/>
        <v>37103</v>
      </c>
      <c r="B301" s="10">
        <f ca="1"/>
        <v>-0.24298440618576422</v>
      </c>
      <c r="C301" s="10">
        <f ca="1"/>
        <v>6.905325557672691E-2</v>
      </c>
      <c r="D301" s="10">
        <f ca="1"/>
        <v>3.3427642088650233E-2</v>
      </c>
      <c r="E301" s="10">
        <f ca="1"/>
        <v>3.5625613488076677E-2</v>
      </c>
      <c r="G301" s="10" t="e">
        <f ca="1"/>
        <v>#N/A</v>
      </c>
      <c r="H301" s="10" t="e">
        <f ca="1"/>
        <v>#N/A</v>
      </c>
      <c r="I301" s="10" t="e">
        <f ca="1"/>
        <v>#N/A</v>
      </c>
      <c r="K301" t="e">
        <f ca="1"/>
        <v>#N/A</v>
      </c>
      <c r="L301" t="e">
        <f ca="1"/>
        <v>#N/A</v>
      </c>
      <c r="M301" t="e">
        <f ca="1"/>
        <v>#N/A</v>
      </c>
      <c r="O301" t="e">
        <f ca="1"/>
        <v>#N/A</v>
      </c>
      <c r="P301" t="e">
        <f ca="1"/>
        <v>#N/A</v>
      </c>
      <c r="Q301" t="e">
        <f ca="1"/>
        <v>#N/A</v>
      </c>
      <c r="S301" s="10" t="e">
        <f ca="1"/>
        <v>#N/A</v>
      </c>
      <c r="T301" s="10" t="e">
        <f ca="1"/>
        <v>#N/A</v>
      </c>
      <c r="U301" s="10" t="e">
        <f ca="1"/>
        <v>#N/A</v>
      </c>
    </row>
    <row r="302" spans="1:21" x14ac:dyDescent="0.25">
      <c r="A302" s="5">
        <f ca="1"/>
        <v>37072</v>
      </c>
      <c r="B302" s="10">
        <f ca="1"/>
        <v>-0.30725755950501377</v>
      </c>
      <c r="C302" s="10">
        <f ca="1"/>
        <v>7.1062491532968203E-2</v>
      </c>
      <c r="D302" s="10">
        <f ca="1"/>
        <v>3.4755472121693019E-2</v>
      </c>
      <c r="E302" s="10">
        <f ca="1"/>
        <v>3.6307019411275183E-2</v>
      </c>
      <c r="G302" s="10" t="e">
        <f ca="1"/>
        <v>#N/A</v>
      </c>
      <c r="H302" s="10" t="e">
        <f ca="1"/>
        <v>#N/A</v>
      </c>
      <c r="I302" s="10" t="e">
        <f ca="1"/>
        <v>#N/A</v>
      </c>
      <c r="K302" t="e">
        <f ca="1"/>
        <v>#N/A</v>
      </c>
      <c r="L302" t="e">
        <f ca="1"/>
        <v>#N/A</v>
      </c>
      <c r="M302" t="e">
        <f ca="1"/>
        <v>#N/A</v>
      </c>
      <c r="O302" t="e">
        <f ca="1"/>
        <v>#N/A</v>
      </c>
      <c r="P302" t="e">
        <f ca="1"/>
        <v>#N/A</v>
      </c>
      <c r="Q302" t="e">
        <f ca="1"/>
        <v>#N/A</v>
      </c>
      <c r="S302" s="10" t="e">
        <f ca="1"/>
        <v>#N/A</v>
      </c>
      <c r="T302" s="10" t="e">
        <f ca="1"/>
        <v>#N/A</v>
      </c>
      <c r="U302" s="10" t="e">
        <f ca="1"/>
        <v>#N/A</v>
      </c>
    </row>
    <row r="303" spans="1:21" x14ac:dyDescent="0.25">
      <c r="A303" s="5">
        <f ca="1"/>
        <v>37042</v>
      </c>
      <c r="B303" s="10">
        <f ca="1"/>
        <v>-0.33019854725221154</v>
      </c>
      <c r="C303" s="10">
        <f ca="1"/>
        <v>7.1653047660007047E-2</v>
      </c>
      <c r="D303" s="10">
        <f ca="1"/>
        <v>3.5782343511748839E-2</v>
      </c>
      <c r="E303" s="10">
        <f ca="1"/>
        <v>3.5870704148258201E-2</v>
      </c>
      <c r="G303" s="10" t="e">
        <f ca="1"/>
        <v>#N/A</v>
      </c>
      <c r="H303" s="10" t="e">
        <f ca="1"/>
        <v>#N/A</v>
      </c>
      <c r="I303" s="10" t="e">
        <f ca="1"/>
        <v>#N/A</v>
      </c>
      <c r="K303" t="e">
        <f ca="1"/>
        <v>#N/A</v>
      </c>
      <c r="L303" t="e">
        <f ca="1"/>
        <v>#N/A</v>
      </c>
      <c r="M303" t="e">
        <f ca="1"/>
        <v>#N/A</v>
      </c>
      <c r="O303" t="e">
        <f ca="1"/>
        <v>#N/A</v>
      </c>
      <c r="P303" t="e">
        <f ca="1"/>
        <v>#N/A</v>
      </c>
      <c r="Q303" t="e">
        <f ca="1"/>
        <v>#N/A</v>
      </c>
      <c r="S303" s="10" t="e">
        <f ca="1"/>
        <v>#N/A</v>
      </c>
      <c r="T303" s="10" t="e">
        <f ca="1"/>
        <v>#N/A</v>
      </c>
      <c r="U303" s="10" t="e">
        <f ca="1"/>
        <v>#N/A</v>
      </c>
    </row>
    <row r="304" spans="1:21" x14ac:dyDescent="0.25">
      <c r="A304" s="5">
        <f ca="1"/>
        <v>37011</v>
      </c>
      <c r="B304" s="10">
        <f ca="1"/>
        <v>-0.31514411108861895</v>
      </c>
      <c r="C304" s="10">
        <f ca="1"/>
        <v>7.0931548653764442E-2</v>
      </c>
      <c r="D304" s="10">
        <f ca="1"/>
        <v>3.4012438675783213E-2</v>
      </c>
      <c r="E304" s="10">
        <f ca="1"/>
        <v>3.6919109977981229E-2</v>
      </c>
      <c r="G304" s="10" t="e">
        <f ca="1"/>
        <v>#N/A</v>
      </c>
      <c r="H304" s="10" t="e">
        <f ca="1"/>
        <v>#N/A</v>
      </c>
      <c r="I304" s="10" t="e">
        <f ca="1"/>
        <v>#N/A</v>
      </c>
      <c r="K304" t="e">
        <f ca="1"/>
        <v>#N/A</v>
      </c>
      <c r="L304" t="e">
        <f ca="1"/>
        <v>#N/A</v>
      </c>
      <c r="M304" t="e">
        <f ca="1"/>
        <v>#N/A</v>
      </c>
      <c r="O304" t="e">
        <f ca="1"/>
        <v>#N/A</v>
      </c>
      <c r="P304" t="e">
        <f ca="1"/>
        <v>#N/A</v>
      </c>
      <c r="Q304" t="e">
        <f ca="1"/>
        <v>#N/A</v>
      </c>
      <c r="S304" s="10" t="e">
        <f ca="1"/>
        <v>#N/A</v>
      </c>
      <c r="T304" s="10" t="e">
        <f ca="1"/>
        <v>#N/A</v>
      </c>
      <c r="U304" s="10" t="e">
        <f ca="1"/>
        <v>#N/A</v>
      </c>
    </row>
    <row r="305" spans="1:21" x14ac:dyDescent="0.25">
      <c r="A305" s="5">
        <f ca="1"/>
        <v>36981</v>
      </c>
      <c r="B305" s="10">
        <f ca="1"/>
        <v>-0.24175015672632494</v>
      </c>
      <c r="C305" s="10">
        <f ca="1"/>
        <v>7.3194150395985258E-2</v>
      </c>
      <c r="D305" s="10">
        <f ca="1"/>
        <v>3.4265859013565436E-2</v>
      </c>
      <c r="E305" s="10">
        <f ca="1"/>
        <v>3.8928291382419822E-2</v>
      </c>
      <c r="G305" s="10" t="e">
        <f ca="1"/>
        <v>#N/A</v>
      </c>
      <c r="H305" s="10" t="e">
        <f ca="1"/>
        <v>#N/A</v>
      </c>
      <c r="I305" s="10" t="e">
        <f ca="1"/>
        <v>#N/A</v>
      </c>
      <c r="K305" t="e">
        <f ca="1"/>
        <v>#N/A</v>
      </c>
      <c r="L305" t="e">
        <f ca="1"/>
        <v>#N/A</v>
      </c>
      <c r="M305" t="e">
        <f ca="1"/>
        <v>#N/A</v>
      </c>
      <c r="O305" t="e">
        <f ca="1"/>
        <v>#N/A</v>
      </c>
      <c r="P305" t="e">
        <f ca="1"/>
        <v>#N/A</v>
      </c>
      <c r="Q305" t="e">
        <f ca="1"/>
        <v>#N/A</v>
      </c>
      <c r="S305" s="10" t="e">
        <f ca="1"/>
        <v>#N/A</v>
      </c>
      <c r="T305" s="10" t="e">
        <f ca="1"/>
        <v>#N/A</v>
      </c>
      <c r="U305" s="10" t="e">
        <f ca="1"/>
        <v>#N/A</v>
      </c>
    </row>
    <row r="306" spans="1:21" x14ac:dyDescent="0.25">
      <c r="A306" s="5">
        <f ca="1"/>
        <v>36950</v>
      </c>
      <c r="B306" s="10">
        <f ca="1"/>
        <v>-0.24487471828942053</v>
      </c>
      <c r="C306" s="10">
        <f ca="1"/>
        <v>7.8259993214791754E-2</v>
      </c>
      <c r="D306" s="10">
        <f ca="1"/>
        <v>3.96908738949091E-2</v>
      </c>
      <c r="E306" s="10">
        <f ca="1"/>
        <v>3.8569119319882654E-2</v>
      </c>
      <c r="G306" s="10" t="e">
        <f ca="1"/>
        <v>#N/A</v>
      </c>
      <c r="H306" s="10" t="e">
        <f ca="1"/>
        <v>#N/A</v>
      </c>
      <c r="I306" s="10" t="e">
        <f ca="1"/>
        <v>#N/A</v>
      </c>
      <c r="K306" t="e">
        <f ca="1"/>
        <v>#N/A</v>
      </c>
      <c r="L306" t="e">
        <f ca="1"/>
        <v>#N/A</v>
      </c>
      <c r="M306" t="e">
        <f ca="1"/>
        <v>#N/A</v>
      </c>
      <c r="O306" t="e">
        <f ca="1"/>
        <v>#N/A</v>
      </c>
      <c r="P306" t="e">
        <f ca="1"/>
        <v>#N/A</v>
      </c>
      <c r="Q306" t="e">
        <f ca="1"/>
        <v>#N/A</v>
      </c>
      <c r="S306" s="10" t="e">
        <f ca="1"/>
        <v>#N/A</v>
      </c>
      <c r="T306" s="10" t="e">
        <f ca="1"/>
        <v>#N/A</v>
      </c>
      <c r="U306" s="10" t="e">
        <f ca="1"/>
        <v>#N/A</v>
      </c>
    </row>
    <row r="307" spans="1:21" x14ac:dyDescent="0.25">
      <c r="A307" s="5">
        <f ca="1"/>
        <v>36922</v>
      </c>
      <c r="B307" s="10">
        <f ca="1"/>
        <v>-0.35157136226431918</v>
      </c>
      <c r="C307" s="10">
        <f ca="1"/>
        <v>7.9474867512445799E-2</v>
      </c>
      <c r="D307" s="10">
        <f ca="1"/>
        <v>4.189156094427493E-2</v>
      </c>
      <c r="E307" s="10">
        <f ca="1"/>
        <v>3.7583306568170868E-2</v>
      </c>
      <c r="G307" s="10" t="e">
        <f ca="1"/>
        <v>#N/A</v>
      </c>
      <c r="H307" s="10" t="e">
        <f ca="1"/>
        <v>#N/A</v>
      </c>
      <c r="I307" s="10" t="e">
        <f ca="1"/>
        <v>#N/A</v>
      </c>
      <c r="K307" t="e">
        <f ca="1"/>
        <v>#N/A</v>
      </c>
      <c r="L307" t="e">
        <f ca="1"/>
        <v>#N/A</v>
      </c>
      <c r="M307" t="e">
        <f ca="1"/>
        <v>#N/A</v>
      </c>
      <c r="O307" t="e">
        <f ca="1"/>
        <v>#N/A</v>
      </c>
      <c r="P307" t="e">
        <f ca="1"/>
        <v>#N/A</v>
      </c>
      <c r="Q307" t="e">
        <f ca="1"/>
        <v>#N/A</v>
      </c>
      <c r="S307" s="10" t="e">
        <f ca="1"/>
        <v>#N/A</v>
      </c>
      <c r="T307" s="10" t="e">
        <f ca="1"/>
        <v>#N/A</v>
      </c>
      <c r="U307" s="10" t="e">
        <f ca="1"/>
        <v>#N/A</v>
      </c>
    </row>
    <row r="308" spans="1:21" x14ac:dyDescent="0.25">
      <c r="A308" s="5">
        <f ca="1"/>
        <v>36891</v>
      </c>
      <c r="B308" s="10">
        <f ca="1"/>
        <v>-0.38249461386532113</v>
      </c>
      <c r="C308" s="10">
        <f ca="1"/>
        <v>8.2446574513167198E-2</v>
      </c>
      <c r="D308" s="10">
        <f ca="1"/>
        <v>4.2454848148521844E-2</v>
      </c>
      <c r="E308" s="10">
        <f ca="1"/>
        <v>3.9991726364645347E-2</v>
      </c>
      <c r="G308" s="10" t="e">
        <f ca="1"/>
        <v>#N/A</v>
      </c>
      <c r="H308" s="10" t="e">
        <f ca="1"/>
        <v>#N/A</v>
      </c>
      <c r="I308" s="10" t="e">
        <f ca="1"/>
        <v>#N/A</v>
      </c>
      <c r="K308" t="e">
        <f ca="1"/>
        <v>#N/A</v>
      </c>
      <c r="L308" t="e">
        <f ca="1"/>
        <v>#N/A</v>
      </c>
      <c r="M308" t="e">
        <f ca="1"/>
        <v>#N/A</v>
      </c>
      <c r="O308" t="e">
        <f ca="1"/>
        <v>#N/A</v>
      </c>
      <c r="P308" t="e">
        <f ca="1"/>
        <v>#N/A</v>
      </c>
      <c r="Q308" t="e">
        <f ca="1"/>
        <v>#N/A</v>
      </c>
      <c r="S308" s="10" t="e">
        <f ca="1"/>
        <v>#N/A</v>
      </c>
      <c r="T308" s="10" t="e">
        <f ca="1"/>
        <v>#N/A</v>
      </c>
      <c r="U308" s="10" t="e">
        <f ca="1"/>
        <v>#N/A</v>
      </c>
    </row>
    <row r="309" spans="1:21" x14ac:dyDescent="0.25">
      <c r="A309" s="5">
        <f ca="1"/>
        <v>36860</v>
      </c>
      <c r="B309" s="10">
        <f ca="1"/>
        <v>-0.30334230096908266</v>
      </c>
      <c r="C309" s="10">
        <f ca="1"/>
        <v>8.6883138154123324E-2</v>
      </c>
      <c r="D309" s="10">
        <f ca="1"/>
        <v>4.8708746212431417E-2</v>
      </c>
      <c r="E309" s="10">
        <f ca="1"/>
        <v>3.8174391941691914E-2</v>
      </c>
      <c r="G309" s="10" t="e">
        <f ca="1"/>
        <v>#N/A</v>
      </c>
      <c r="H309" s="10" t="e">
        <f ca="1"/>
        <v>#N/A</v>
      </c>
      <c r="I309" s="10" t="e">
        <f ca="1"/>
        <v>#N/A</v>
      </c>
      <c r="K309" t="e">
        <f ca="1"/>
        <v>#N/A</v>
      </c>
      <c r="L309" t="e">
        <f ca="1"/>
        <v>#N/A</v>
      </c>
      <c r="M309" t="e">
        <f ca="1"/>
        <v>#N/A</v>
      </c>
      <c r="O309" t="e">
        <f ca="1"/>
        <v>#N/A</v>
      </c>
      <c r="P309" t="e">
        <f ca="1"/>
        <v>#N/A</v>
      </c>
      <c r="Q309" t="e">
        <f ca="1"/>
        <v>#N/A</v>
      </c>
      <c r="S309" s="10" t="e">
        <f ca="1"/>
        <v>#N/A</v>
      </c>
      <c r="T309" s="10" t="e">
        <f ca="1"/>
        <v>#N/A</v>
      </c>
      <c r="U309" s="10" t="e">
        <f ca="1"/>
        <v>#N/A</v>
      </c>
    </row>
    <row r="310" spans="1:21" x14ac:dyDescent="0.25">
      <c r="A310" s="5">
        <f ca="1"/>
        <v>36830</v>
      </c>
      <c r="B310" s="10">
        <f ca="1"/>
        <v>-0.36223591748511452</v>
      </c>
      <c r="C310" s="10">
        <f ca="1"/>
        <v>8.7255297679111998E-2</v>
      </c>
      <c r="D310" s="10">
        <f ca="1"/>
        <v>5.1682489342861258E-2</v>
      </c>
      <c r="E310" s="10">
        <f ca="1"/>
        <v>3.5572808336250747E-2</v>
      </c>
      <c r="G310" s="10" t="e">
        <f ca="1"/>
        <v>#N/A</v>
      </c>
      <c r="H310" s="10" t="e">
        <f ca="1"/>
        <v>#N/A</v>
      </c>
      <c r="I310" s="10" t="e">
        <f ca="1"/>
        <v>#N/A</v>
      </c>
      <c r="K310" t="e">
        <f ca="1"/>
        <v>#N/A</v>
      </c>
      <c r="L310" t="e">
        <f ca="1"/>
        <v>#N/A</v>
      </c>
      <c r="M310" t="e">
        <f ca="1"/>
        <v>#N/A</v>
      </c>
      <c r="O310" t="e">
        <f ca="1"/>
        <v>#N/A</v>
      </c>
      <c r="P310" t="e">
        <f ca="1"/>
        <v>#N/A</v>
      </c>
      <c r="Q310" t="e">
        <f ca="1"/>
        <v>#N/A</v>
      </c>
      <c r="S310" s="10" t="e">
        <f ca="1"/>
        <v>#N/A</v>
      </c>
      <c r="T310" s="10" t="e">
        <f ca="1"/>
        <v>#N/A</v>
      </c>
      <c r="U310" s="10" t="e">
        <f ca="1"/>
        <v>#N/A</v>
      </c>
    </row>
    <row r="311" spans="1:21" x14ac:dyDescent="0.25">
      <c r="A311" s="5">
        <f ca="1"/>
        <v>36799</v>
      </c>
      <c r="B311" s="10">
        <f ca="1"/>
        <v>-0.31095502252315155</v>
      </c>
      <c r="C311" s="10">
        <f ca="1"/>
        <v>8.9048327137546471E-2</v>
      </c>
      <c r="D311" s="10">
        <f ca="1"/>
        <v>5.5805039239983478E-2</v>
      </c>
      <c r="E311" s="10">
        <f ca="1"/>
        <v>3.3243287897562993E-2</v>
      </c>
      <c r="G311" s="10" t="e">
        <f ca="1"/>
        <v>#N/A</v>
      </c>
      <c r="H311" s="10" t="e">
        <f ca="1"/>
        <v>#N/A</v>
      </c>
      <c r="I311" s="10" t="e">
        <f ca="1"/>
        <v>#N/A</v>
      </c>
      <c r="K311" t="e">
        <f ca="1"/>
        <v>#N/A</v>
      </c>
      <c r="L311" t="e">
        <f ca="1"/>
        <v>#N/A</v>
      </c>
      <c r="M311" t="e">
        <f ca="1"/>
        <v>#N/A</v>
      </c>
      <c r="O311" t="e">
        <f ca="1"/>
        <v>#N/A</v>
      </c>
      <c r="P311" t="e">
        <f ca="1"/>
        <v>#N/A</v>
      </c>
      <c r="Q311" t="e">
        <f ca="1"/>
        <v>#N/A</v>
      </c>
      <c r="S311" s="10" t="e">
        <f ca="1"/>
        <v>#N/A</v>
      </c>
      <c r="T311" s="10" t="e">
        <f ca="1"/>
        <v>#N/A</v>
      </c>
      <c r="U311" s="10" t="e">
        <f ca="1"/>
        <v>#N/A</v>
      </c>
    </row>
    <row r="312" spans="1:21" x14ac:dyDescent="0.25">
      <c r="A312" s="5">
        <f ca="1"/>
        <v>36769</v>
      </c>
      <c r="B312" s="10">
        <f ca="1"/>
        <v>-0.29686101359826567</v>
      </c>
      <c r="C312" s="10">
        <f ca="1"/>
        <v>8.7787325233022628E-2</v>
      </c>
      <c r="D312" s="10">
        <f ca="1"/>
        <v>5.5169357523302265E-2</v>
      </c>
      <c r="E312" s="10">
        <f ca="1"/>
        <v>3.261796770972037E-2</v>
      </c>
      <c r="G312" s="10" t="e">
        <f ca="1"/>
        <v>#N/A</v>
      </c>
      <c r="H312" s="10" t="e">
        <f ca="1"/>
        <v>#N/A</v>
      </c>
      <c r="I312" s="10" t="e">
        <f ca="1"/>
        <v>#N/A</v>
      </c>
      <c r="K312" t="e">
        <f ca="1"/>
        <v>#N/A</v>
      </c>
      <c r="L312" t="e">
        <f ca="1"/>
        <v>#N/A</v>
      </c>
      <c r="M312" t="e">
        <f ca="1"/>
        <v>#N/A</v>
      </c>
      <c r="O312" t="e">
        <f ca="1"/>
        <v>#N/A</v>
      </c>
      <c r="P312" t="e">
        <f ca="1"/>
        <v>#N/A</v>
      </c>
      <c r="Q312" t="e">
        <f ca="1"/>
        <v>#N/A</v>
      </c>
      <c r="S312" s="10" t="e">
        <f ca="1"/>
        <v>#N/A</v>
      </c>
      <c r="T312" s="10" t="e">
        <f ca="1"/>
        <v>#N/A</v>
      </c>
      <c r="U312" s="10" t="e">
        <f ca="1"/>
        <v>#N/A</v>
      </c>
    </row>
    <row r="313" spans="1:21" x14ac:dyDescent="0.25">
      <c r="A313" s="5">
        <f ca="1"/>
        <v>36738</v>
      </c>
      <c r="B313" s="10">
        <f ca="1"/>
        <v>-0.24734589222973513</v>
      </c>
      <c r="C313" s="10">
        <f ca="1"/>
        <v>8.9364700462759378E-2</v>
      </c>
      <c r="D313" s="10">
        <f ca="1"/>
        <v>5.5223108654228699E-2</v>
      </c>
      <c r="E313" s="10">
        <f ca="1"/>
        <v>3.4141591808530686E-2</v>
      </c>
      <c r="G313" s="10" t="e">
        <f ca="1"/>
        <v>#N/A</v>
      </c>
      <c r="H313" s="10" t="e">
        <f ca="1"/>
        <v>#N/A</v>
      </c>
      <c r="I313" s="10" t="e">
        <f ca="1"/>
        <v>#N/A</v>
      </c>
      <c r="K313" t="e">
        <f ca="1"/>
        <v>#N/A</v>
      </c>
      <c r="L313" t="e">
        <f ca="1"/>
        <v>#N/A</v>
      </c>
      <c r="M313" t="e">
        <f ca="1"/>
        <v>#N/A</v>
      </c>
      <c r="O313" t="e">
        <f ca="1"/>
        <v>#N/A</v>
      </c>
      <c r="P313" t="e">
        <f ca="1"/>
        <v>#N/A</v>
      </c>
      <c r="Q313" t="e">
        <f ca="1"/>
        <v>#N/A</v>
      </c>
      <c r="S313" s="10" t="e">
        <f ca="1"/>
        <v>#N/A</v>
      </c>
      <c r="T313" s="10" t="e">
        <f ca="1"/>
        <v>#N/A</v>
      </c>
      <c r="U313" s="10" t="e">
        <f ca="1"/>
        <v>#N/A</v>
      </c>
    </row>
    <row r="314" spans="1:21" x14ac:dyDescent="0.25">
      <c r="A314" s="5">
        <f ca="1"/>
        <v>36707</v>
      </c>
      <c r="B314" s="10">
        <f ca="1"/>
        <v>-0.211198931729495</v>
      </c>
      <c r="C314" s="10">
        <f ca="1"/>
        <v>8.7723710473789268E-2</v>
      </c>
      <c r="D314" s="10">
        <f ca="1"/>
        <v>5.5566971320516863E-2</v>
      </c>
      <c r="E314" s="10">
        <f ca="1"/>
        <v>3.2156739153272405E-2</v>
      </c>
      <c r="G314" s="10" t="e">
        <f ca="1"/>
        <v>#N/A</v>
      </c>
      <c r="H314" s="10" t="e">
        <f ca="1"/>
        <v>#N/A</v>
      </c>
      <c r="I314" s="10" t="e">
        <f ca="1"/>
        <v>#N/A</v>
      </c>
      <c r="K314" t="e">
        <f ca="1"/>
        <v>#N/A</v>
      </c>
      <c r="L314" t="e">
        <f ca="1"/>
        <v>#N/A</v>
      </c>
      <c r="M314" t="e">
        <f ca="1"/>
        <v>#N/A</v>
      </c>
      <c r="O314" t="e">
        <f ca="1"/>
        <v>#N/A</v>
      </c>
      <c r="P314" t="e">
        <f ca="1"/>
        <v>#N/A</v>
      </c>
      <c r="Q314" t="e">
        <f ca="1"/>
        <v>#N/A</v>
      </c>
      <c r="S314" s="10" t="e">
        <f ca="1"/>
        <v>#N/A</v>
      </c>
      <c r="T314" s="10" t="e">
        <f ca="1"/>
        <v>#N/A</v>
      </c>
      <c r="U314" s="10" t="e">
        <f ca="1"/>
        <v>#N/A</v>
      </c>
    </row>
    <row r="315" spans="1:21" x14ac:dyDescent="0.25">
      <c r="A315" s="5">
        <f ca="1"/>
        <v>36677</v>
      </c>
      <c r="B315" s="10">
        <f ca="1"/>
        <v>-0.22094185591389393</v>
      </c>
      <c r="C315" s="10">
        <f ca="1"/>
        <v>8.6754610168775476E-2</v>
      </c>
      <c r="D315" s="10">
        <f ca="1"/>
        <v>5.4257831478000042E-2</v>
      </c>
      <c r="E315" s="10">
        <f ca="1"/>
        <v>3.2496778690775441E-2</v>
      </c>
      <c r="G315" s="10" t="e">
        <f ca="1"/>
        <v>#N/A</v>
      </c>
      <c r="H315" s="10" t="e">
        <f ca="1"/>
        <v>#N/A</v>
      </c>
      <c r="I315" s="10" t="e">
        <f ca="1"/>
        <v>#N/A</v>
      </c>
      <c r="K315" t="e">
        <f ca="1"/>
        <v>#N/A</v>
      </c>
      <c r="L315" t="e">
        <f ca="1"/>
        <v>#N/A</v>
      </c>
      <c r="M315" t="e">
        <f ca="1"/>
        <v>#N/A</v>
      </c>
      <c r="O315" t="e">
        <f ca="1"/>
        <v>#N/A</v>
      </c>
      <c r="P315" t="e">
        <f ca="1"/>
        <v>#N/A</v>
      </c>
      <c r="Q315" t="e">
        <f ca="1"/>
        <v>#N/A</v>
      </c>
      <c r="S315" s="10" t="e">
        <f ca="1"/>
        <v>#N/A</v>
      </c>
      <c r="T315" s="10" t="e">
        <f ca="1"/>
        <v>#N/A</v>
      </c>
      <c r="U315" s="10" t="e">
        <f ca="1"/>
        <v>#N/A</v>
      </c>
    </row>
    <row r="316" spans="1:21" x14ac:dyDescent="0.25">
      <c r="A316" s="5">
        <f ca="1"/>
        <v>36646</v>
      </c>
      <c r="B316" s="10">
        <f ca="1"/>
        <v>-0.2218558489035436</v>
      </c>
      <c r="C316" s="10">
        <f ca="1"/>
        <v>8.8521330365871412E-2</v>
      </c>
      <c r="D316" s="10">
        <f ca="1"/>
        <v>5.5892838571458284E-2</v>
      </c>
      <c r="E316" s="10">
        <f ca="1"/>
        <v>3.2628491794413128E-2</v>
      </c>
      <c r="G316" s="10" t="e">
        <f ca="1"/>
        <v>#N/A</v>
      </c>
      <c r="H316" s="10" t="e">
        <f ca="1"/>
        <v>#N/A</v>
      </c>
      <c r="I316" s="10" t="e">
        <f ca="1"/>
        <v>#N/A</v>
      </c>
      <c r="K316" t="e">
        <f ca="1"/>
        <v>#N/A</v>
      </c>
      <c r="L316" t="e">
        <f ca="1"/>
        <v>#N/A</v>
      </c>
      <c r="M316" t="e">
        <f ca="1"/>
        <v>#N/A</v>
      </c>
      <c r="O316" t="e">
        <f ca="1"/>
        <v>#N/A</v>
      </c>
      <c r="P316" t="e">
        <f ca="1"/>
        <v>#N/A</v>
      </c>
      <c r="Q316" t="e">
        <f ca="1"/>
        <v>#N/A</v>
      </c>
      <c r="S316" s="10" t="e">
        <f ca="1"/>
        <v>#N/A</v>
      </c>
      <c r="T316" s="10" t="e">
        <f ca="1"/>
        <v>#N/A</v>
      </c>
      <c r="U316" s="10" t="e">
        <f ca="1"/>
        <v>#N/A</v>
      </c>
    </row>
    <row r="317" spans="1:21" x14ac:dyDescent="0.25">
      <c r="A317" s="5">
        <f ca="1"/>
        <v>36616</v>
      </c>
      <c r="B317" s="10">
        <f ca="1"/>
        <v>-0.23388808757509405</v>
      </c>
      <c r="C317" s="10">
        <f ca="1"/>
        <v>9.8770474501857483E-2</v>
      </c>
      <c r="D317" s="10">
        <f ca="1"/>
        <v>6.330905943937859E-2</v>
      </c>
      <c r="E317" s="10">
        <f ca="1"/>
        <v>3.5461415062478893E-2</v>
      </c>
      <c r="G317" s="10" t="e">
        <f ca="1"/>
        <v>#N/A</v>
      </c>
      <c r="H317" s="10" t="e">
        <f ca="1"/>
        <v>#N/A</v>
      </c>
      <c r="I317" s="10" t="e">
        <f ca="1"/>
        <v>#N/A</v>
      </c>
      <c r="K317" t="e">
        <f ca="1"/>
        <v>#N/A</v>
      </c>
      <c r="L317" t="e">
        <f ca="1"/>
        <v>#N/A</v>
      </c>
      <c r="M317" t="e">
        <f ca="1"/>
        <v>#N/A</v>
      </c>
      <c r="O317" t="e">
        <f ca="1"/>
        <v>#N/A</v>
      </c>
      <c r="P317" t="e">
        <f ca="1"/>
        <v>#N/A</v>
      </c>
      <c r="Q317" t="e">
        <f ca="1"/>
        <v>#N/A</v>
      </c>
      <c r="S317" s="10" t="e">
        <f ca="1"/>
        <v>#N/A</v>
      </c>
      <c r="T317" s="10" t="e">
        <f ca="1"/>
        <v>#N/A</v>
      </c>
      <c r="U317" s="10" t="e">
        <f ca="1"/>
        <v>#N/A</v>
      </c>
    </row>
    <row r="318" spans="1:21" x14ac:dyDescent="0.25">
      <c r="A318" s="5">
        <f ca="1"/>
        <v>36585</v>
      </c>
      <c r="B318" s="10">
        <f ca="1"/>
        <v>-0.16610565234251962</v>
      </c>
      <c r="C318" s="10">
        <f ca="1"/>
        <v>9.3617485403879472E-2</v>
      </c>
      <c r="D318" s="10">
        <f ca="1"/>
        <v>6.0781026112620033E-2</v>
      </c>
      <c r="E318" s="10">
        <f ca="1"/>
        <v>3.2836459291259439E-2</v>
      </c>
      <c r="G318" s="10" t="e">
        <f ca="1"/>
        <v>#N/A</v>
      </c>
      <c r="H318" s="10" t="e">
        <f ca="1"/>
        <v>#N/A</v>
      </c>
      <c r="I318" s="10" t="e">
        <f ca="1"/>
        <v>#N/A</v>
      </c>
      <c r="K318" t="e">
        <f ca="1"/>
        <v>#N/A</v>
      </c>
      <c r="L318" t="e">
        <f ca="1"/>
        <v>#N/A</v>
      </c>
      <c r="M318" t="e">
        <f ca="1"/>
        <v>#N/A</v>
      </c>
      <c r="O318" t="e">
        <f ca="1"/>
        <v>#N/A</v>
      </c>
      <c r="P318" t="e">
        <f ca="1"/>
        <v>#N/A</v>
      </c>
      <c r="Q318" t="e">
        <f ca="1"/>
        <v>#N/A</v>
      </c>
      <c r="S318" s="10" t="e">
        <f ca="1"/>
        <v>#N/A</v>
      </c>
      <c r="T318" s="10" t="e">
        <f ca="1"/>
        <v>#N/A</v>
      </c>
      <c r="U318" s="10" t="e">
        <f ca="1"/>
        <v>#N/A</v>
      </c>
    </row>
    <row r="319" spans="1:21" x14ac:dyDescent="0.25">
      <c r="A319" s="5">
        <f ca="1"/>
        <v>36556</v>
      </c>
      <c r="B319" s="10">
        <f ca="1"/>
        <v>-0.24000684208646161</v>
      </c>
      <c r="C319" s="10">
        <f ca="1"/>
        <v>8.750021394950791E-2</v>
      </c>
      <c r="D319" s="10">
        <f ca="1"/>
        <v>5.5714377406931963E-2</v>
      </c>
      <c r="E319" s="10">
        <f ca="1"/>
        <v>3.1785836542575954E-2</v>
      </c>
      <c r="G319" s="10" t="e">
        <f ca="1"/>
        <v>#N/A</v>
      </c>
      <c r="H319" s="10" t="e">
        <f ca="1"/>
        <v>#N/A</v>
      </c>
      <c r="I319" s="10" t="e">
        <f ca="1"/>
        <v>#N/A</v>
      </c>
      <c r="K319" t="e">
        <f ca="1"/>
        <v>#N/A</v>
      </c>
      <c r="L319" t="e">
        <f ca="1"/>
        <v>#N/A</v>
      </c>
      <c r="M319" t="e">
        <f ca="1"/>
        <v>#N/A</v>
      </c>
      <c r="O319" t="e">
        <f ca="1"/>
        <v>#N/A</v>
      </c>
      <c r="P319" t="e">
        <f ca="1"/>
        <v>#N/A</v>
      </c>
      <c r="Q319" t="e">
        <f ca="1"/>
        <v>#N/A</v>
      </c>
      <c r="S319" s="10" t="e">
        <f ca="1"/>
        <v>#N/A</v>
      </c>
      <c r="T319" s="10" t="e">
        <f ca="1"/>
        <v>#N/A</v>
      </c>
      <c r="U319" s="10" t="e">
        <f ca="1"/>
        <v>#N/A</v>
      </c>
    </row>
    <row r="320" spans="1:21" x14ac:dyDescent="0.25">
      <c r="A320" s="5">
        <f ca="1"/>
        <v>36525</v>
      </c>
      <c r="B320" s="10">
        <f ca="1"/>
        <v>-0.29151611951250633</v>
      </c>
      <c r="C320" s="10">
        <f ca="1"/>
        <v>8.3275965536456775E-2</v>
      </c>
      <c r="D320" s="10">
        <f ca="1"/>
        <v>5.1859702516181577E-2</v>
      </c>
      <c r="E320" s="10">
        <f ca="1"/>
        <v>3.1416263020275191E-2</v>
      </c>
      <c r="G320" s="10" t="e">
        <f ca="1"/>
        <v>#N/A</v>
      </c>
      <c r="H320" s="10" t="e">
        <f ca="1"/>
        <v>#N/A</v>
      </c>
      <c r="I320" s="10" t="e">
        <f ca="1"/>
        <v>#N/A</v>
      </c>
      <c r="K320" t="e">
        <f ca="1"/>
        <v>#N/A</v>
      </c>
      <c r="L320" t="e">
        <f ca="1"/>
        <v>#N/A</v>
      </c>
      <c r="M320" t="e">
        <f ca="1"/>
        <v>#N/A</v>
      </c>
      <c r="O320" t="e">
        <f ca="1"/>
        <v>#N/A</v>
      </c>
      <c r="P320" t="e">
        <f ca="1"/>
        <v>#N/A</v>
      </c>
      <c r="Q320" t="e">
        <f ca="1"/>
        <v>#N/A</v>
      </c>
      <c r="S320" s="10" t="e">
        <f ca="1"/>
        <v>#N/A</v>
      </c>
      <c r="T320" s="10" t="e">
        <f ca="1"/>
        <v>#N/A</v>
      </c>
      <c r="U320" s="10" t="e">
        <f ca="1"/>
        <v>#N/A</v>
      </c>
    </row>
    <row r="321" spans="1:21" x14ac:dyDescent="0.25">
      <c r="A321" s="5">
        <f ca="1"/>
        <v>36494</v>
      </c>
      <c r="B321" s="10">
        <f ca="1"/>
        <v>-0.18383485743610573</v>
      </c>
      <c r="C321" s="10">
        <f ca="1"/>
        <v>7.5918376198117712E-2</v>
      </c>
      <c r="D321" s="10">
        <f ca="1"/>
        <v>4.7340070260658368E-2</v>
      </c>
      <c r="E321" s="10">
        <f ca="1"/>
        <v>2.8578305937459341E-2</v>
      </c>
      <c r="G321" s="10" t="e">
        <f ca="1"/>
        <v>#N/A</v>
      </c>
      <c r="H321" s="10" t="e">
        <f ca="1"/>
        <v>#N/A</v>
      </c>
      <c r="I321" s="10" t="e">
        <f ca="1"/>
        <v>#N/A</v>
      </c>
      <c r="K321" t="e">
        <f ca="1"/>
        <v>#N/A</v>
      </c>
      <c r="L321" t="e">
        <f ca="1"/>
        <v>#N/A</v>
      </c>
      <c r="M321" t="e">
        <f ca="1"/>
        <v>#N/A</v>
      </c>
      <c r="O321" t="e">
        <f ca="1"/>
        <v>#N/A</v>
      </c>
      <c r="P321" t="e">
        <f ca="1"/>
        <v>#N/A</v>
      </c>
      <c r="Q321" t="e">
        <f ca="1"/>
        <v>#N/A</v>
      </c>
      <c r="S321" s="10" t="e">
        <f ca="1"/>
        <v>#N/A</v>
      </c>
      <c r="T321" s="10" t="e">
        <f ca="1"/>
        <v>#N/A</v>
      </c>
      <c r="U321" s="10" t="e">
        <f ca="1"/>
        <v>#N/A</v>
      </c>
    </row>
    <row r="322" spans="1:21" x14ac:dyDescent="0.25">
      <c r="A322" s="5">
        <f ca="1"/>
        <v>36464</v>
      </c>
      <c r="B322" s="10">
        <f ca="1"/>
        <v>-0.11130437165806573</v>
      </c>
      <c r="C322" s="10">
        <f ca="1"/>
        <v>6.9432461373718835E-2</v>
      </c>
      <c r="D322" s="10">
        <f ca="1"/>
        <v>4.2452632269061825E-2</v>
      </c>
      <c r="E322" s="10">
        <f ca="1"/>
        <v>2.6979829104657009E-2</v>
      </c>
      <c r="G322" s="10" t="e">
        <f ca="1"/>
        <v>#N/A</v>
      </c>
      <c r="H322" s="10" t="e">
        <f ca="1"/>
        <v>#N/A</v>
      </c>
      <c r="I322" s="10" t="e">
        <f ca="1"/>
        <v>#N/A</v>
      </c>
      <c r="K322" t="e">
        <f ca="1"/>
        <v>#N/A</v>
      </c>
      <c r="L322" t="e">
        <f ca="1"/>
        <v>#N/A</v>
      </c>
      <c r="M322" t="e">
        <f ca="1"/>
        <v>#N/A</v>
      </c>
      <c r="O322" t="e">
        <f ca="1"/>
        <v>#N/A</v>
      </c>
      <c r="P322" t="e">
        <f ca="1"/>
        <v>#N/A</v>
      </c>
      <c r="Q322" t="e">
        <f ca="1"/>
        <v>#N/A</v>
      </c>
      <c r="S322" s="10" t="e">
        <f ca="1"/>
        <v>#N/A</v>
      </c>
      <c r="T322" s="10" t="e">
        <f ca="1"/>
        <v>#N/A</v>
      </c>
      <c r="U322" s="10" t="e">
        <f ca="1"/>
        <v>#N/A</v>
      </c>
    </row>
    <row r="323" spans="1:21" x14ac:dyDescent="0.25">
      <c r="A323" s="5">
        <f ca="1"/>
        <v>36433</v>
      </c>
      <c r="B323" s="10">
        <f ca="1"/>
        <v>-4.5474002565676019E-2</v>
      </c>
      <c r="C323" s="10">
        <f ca="1"/>
        <v>6.8277194677440603E-2</v>
      </c>
      <c r="D323" s="10">
        <f ca="1"/>
        <v>4.1662860656097665E-2</v>
      </c>
      <c r="E323" s="10">
        <f ca="1"/>
        <v>2.6614334021342938E-2</v>
      </c>
      <c r="G323" s="10" t="e">
        <f ca="1"/>
        <v>#N/A</v>
      </c>
      <c r="H323" s="10" t="e">
        <f ca="1"/>
        <v>#N/A</v>
      </c>
      <c r="I323" s="10" t="e">
        <f ca="1"/>
        <v>#N/A</v>
      </c>
      <c r="K323" t="e">
        <f ca="1"/>
        <v>#N/A</v>
      </c>
      <c r="L323" t="e">
        <f ca="1"/>
        <v>#N/A</v>
      </c>
      <c r="M323" t="e">
        <f ca="1"/>
        <v>#N/A</v>
      </c>
      <c r="O323" t="e">
        <f ca="1"/>
        <v>#N/A</v>
      </c>
      <c r="P323" t="e">
        <f ca="1"/>
        <v>#N/A</v>
      </c>
      <c r="Q323" t="e">
        <f ca="1"/>
        <v>#N/A</v>
      </c>
      <c r="S323" s="10" t="e">
        <f ca="1"/>
        <v>#N/A</v>
      </c>
      <c r="T323" s="10" t="e">
        <f ca="1"/>
        <v>#N/A</v>
      </c>
      <c r="U323" s="10" t="e">
        <f ca="1"/>
        <v>#N/A</v>
      </c>
    </row>
    <row r="324" spans="1:21" x14ac:dyDescent="0.25">
      <c r="A324" s="5">
        <f ca="1"/>
        <v>36403</v>
      </c>
      <c r="B324" s="10">
        <f ca="1"/>
        <v>-4.891668967871543E-2</v>
      </c>
      <c r="C324" s="10">
        <f ca="1"/>
        <v>6.7122940710069592E-2</v>
      </c>
      <c r="D324" s="10">
        <f ca="1"/>
        <v>4.1321469474055149E-2</v>
      </c>
      <c r="E324" s="10">
        <f ca="1"/>
        <v>2.5801471236014447E-2</v>
      </c>
      <c r="G324" s="10" t="e">
        <f ca="1"/>
        <v>#N/A</v>
      </c>
      <c r="H324" s="10" t="e">
        <f ca="1"/>
        <v>#N/A</v>
      </c>
      <c r="I324" s="10" t="e">
        <f ca="1"/>
        <v>#N/A</v>
      </c>
      <c r="K324" t="e">
        <f ca="1"/>
        <v>#N/A</v>
      </c>
      <c r="L324" t="e">
        <f ca="1"/>
        <v>#N/A</v>
      </c>
      <c r="M324" t="e">
        <f ca="1"/>
        <v>#N/A</v>
      </c>
      <c r="O324" t="e">
        <f ca="1"/>
        <v>#N/A</v>
      </c>
      <c r="P324" t="e">
        <f ca="1"/>
        <v>#N/A</v>
      </c>
      <c r="Q324" t="e">
        <f ca="1"/>
        <v>#N/A</v>
      </c>
      <c r="S324" s="10" t="e">
        <f ca="1"/>
        <v>#N/A</v>
      </c>
      <c r="T324" s="10" t="e">
        <f ca="1"/>
        <v>#N/A</v>
      </c>
      <c r="U324" s="10" t="e">
        <f ca="1"/>
        <v>#N/A</v>
      </c>
    </row>
    <row r="325" spans="1:21" x14ac:dyDescent="0.25">
      <c r="A325" s="5">
        <f ca="1"/>
        <v>36372</v>
      </c>
      <c r="B325" s="10">
        <f ca="1"/>
        <v>-5.9651402487521765E-2</v>
      </c>
      <c r="C325" s="10">
        <f ca="1"/>
        <v>6.7364229620617194E-2</v>
      </c>
      <c r="D325" s="10">
        <f ca="1"/>
        <v>4.1920805220661432E-2</v>
      </c>
      <c r="E325" s="10">
        <f ca="1"/>
        <v>2.5443424399955759E-2</v>
      </c>
      <c r="G325" s="10" t="e">
        <f ca="1"/>
        <v>#N/A</v>
      </c>
      <c r="H325" s="10" t="e">
        <f ca="1"/>
        <v>#N/A</v>
      </c>
      <c r="I325" s="10" t="e">
        <f ca="1"/>
        <v>#N/A</v>
      </c>
      <c r="K325" t="e">
        <f ca="1"/>
        <v>#N/A</v>
      </c>
      <c r="L325" t="e">
        <f ca="1"/>
        <v>#N/A</v>
      </c>
      <c r="M325" t="e">
        <f ca="1"/>
        <v>#N/A</v>
      </c>
      <c r="O325" t="e">
        <f ca="1"/>
        <v>#N/A</v>
      </c>
      <c r="P325" t="e">
        <f ca="1"/>
        <v>#N/A</v>
      </c>
      <c r="Q325" t="e">
        <f ca="1"/>
        <v>#N/A</v>
      </c>
      <c r="S325" s="10" t="e">
        <f ca="1"/>
        <v>#N/A</v>
      </c>
      <c r="T325" s="10" t="e">
        <f ca="1"/>
        <v>#N/A</v>
      </c>
      <c r="U325" s="10" t="e">
        <f ca="1"/>
        <v>#N/A</v>
      </c>
    </row>
    <row r="326" spans="1:21" x14ac:dyDescent="0.25">
      <c r="A326" s="5">
        <f ca="1"/>
        <v>36341</v>
      </c>
      <c r="B326" s="10">
        <f ca="1"/>
        <v>-0.15471586200027565</v>
      </c>
      <c r="C326" s="10">
        <f ca="1"/>
        <v>6.7772266215855498E-2</v>
      </c>
      <c r="D326" s="10">
        <f ca="1"/>
        <v>4.1750823026959691E-2</v>
      </c>
      <c r="E326" s="10">
        <f ca="1"/>
        <v>2.602144318889581E-2</v>
      </c>
      <c r="G326" s="10" t="e">
        <f ca="1"/>
        <v>#N/A</v>
      </c>
      <c r="H326" s="10" t="e">
        <f ca="1"/>
        <v>#N/A</v>
      </c>
      <c r="I326" s="10" t="e">
        <f ca="1"/>
        <v>#N/A</v>
      </c>
      <c r="K326" t="e">
        <f ca="1"/>
        <v>#N/A</v>
      </c>
      <c r="L326" t="e">
        <f ca="1"/>
        <v>#N/A</v>
      </c>
      <c r="M326" t="e">
        <f ca="1"/>
        <v>#N/A</v>
      </c>
      <c r="O326" t="e">
        <f ca="1"/>
        <v>#N/A</v>
      </c>
      <c r="P326" t="e">
        <f ca="1"/>
        <v>#N/A</v>
      </c>
      <c r="Q326" t="e">
        <f ca="1"/>
        <v>#N/A</v>
      </c>
      <c r="S326" s="10" t="e">
        <f ca="1"/>
        <v>#N/A</v>
      </c>
      <c r="T326" s="10" t="e">
        <f ca="1"/>
        <v>#N/A</v>
      </c>
      <c r="U326" s="10" t="e">
        <f ca="1"/>
        <v>#N/A</v>
      </c>
    </row>
    <row r="327" spans="1:21" x14ac:dyDescent="0.25">
      <c r="A327" s="5">
        <f ca="1"/>
        <v>36311</v>
      </c>
      <c r="B327" s="10">
        <f ca="1"/>
        <v>-4.7548105788145612E-2</v>
      </c>
      <c r="C327" s="10">
        <f ca="1"/>
        <v>6.8137654542196738E-2</v>
      </c>
      <c r="D327" s="10">
        <f ca="1"/>
        <v>4.2543898942841787E-2</v>
      </c>
      <c r="E327" s="10">
        <f ca="1"/>
        <v>2.5593755599354954E-2</v>
      </c>
      <c r="G327" s="10" t="e">
        <f ca="1"/>
        <v>#N/A</v>
      </c>
      <c r="H327" s="10" t="e">
        <f ca="1"/>
        <v>#N/A</v>
      </c>
      <c r="I327" s="10" t="e">
        <f ca="1"/>
        <v>#N/A</v>
      </c>
      <c r="K327" t="e">
        <f ca="1"/>
        <v>#N/A</v>
      </c>
      <c r="L327" t="e">
        <f ca="1"/>
        <v>#N/A</v>
      </c>
      <c r="M327" t="e">
        <f ca="1"/>
        <v>#N/A</v>
      </c>
      <c r="O327" t="e">
        <f ca="1"/>
        <v>#N/A</v>
      </c>
      <c r="P327" t="e">
        <f ca="1"/>
        <v>#N/A</v>
      </c>
      <c r="Q327" t="e">
        <f ca="1"/>
        <v>#N/A</v>
      </c>
      <c r="S327" s="10" t="e">
        <f ca="1"/>
        <v>#N/A</v>
      </c>
      <c r="T327" s="10" t="e">
        <f ca="1"/>
        <v>#N/A</v>
      </c>
      <c r="U327" s="10" t="e">
        <f ca="1"/>
        <v>#N/A</v>
      </c>
    </row>
    <row r="328" spans="1:21" x14ac:dyDescent="0.25">
      <c r="A328" s="5">
        <f ca="1"/>
        <v>36280</v>
      </c>
      <c r="B328" s="10">
        <f ca="1"/>
        <v>2.3090485788034742E-2</v>
      </c>
      <c r="C328" s="10">
        <f ca="1"/>
        <v>6.5884587192643437E-2</v>
      </c>
      <c r="D328" s="10">
        <f ca="1"/>
        <v>4.0942893316452324E-2</v>
      </c>
      <c r="E328" s="10">
        <f ca="1"/>
        <v>2.494169387619111E-2</v>
      </c>
      <c r="G328" s="10" t="e">
        <f ca="1"/>
        <v>#N/A</v>
      </c>
      <c r="H328" s="10" t="e">
        <f ca="1"/>
        <v>#N/A</v>
      </c>
      <c r="I328" s="10" t="e">
        <f ca="1"/>
        <v>#N/A</v>
      </c>
      <c r="K328" t="e">
        <f ca="1"/>
        <v>#N/A</v>
      </c>
      <c r="L328" t="e">
        <f ca="1"/>
        <v>#N/A</v>
      </c>
      <c r="M328" t="e">
        <f ca="1"/>
        <v>#N/A</v>
      </c>
      <c r="O328" t="e">
        <f ca="1"/>
        <v>#N/A</v>
      </c>
      <c r="P328" t="e">
        <f ca="1"/>
        <v>#N/A</v>
      </c>
      <c r="Q328" t="e">
        <f ca="1"/>
        <v>#N/A</v>
      </c>
      <c r="S328" s="10" t="e">
        <f ca="1"/>
        <v>#N/A</v>
      </c>
      <c r="T328" s="10" t="e">
        <f ca="1"/>
        <v>#N/A</v>
      </c>
      <c r="U328" s="10" t="e">
        <f ca="1"/>
        <v>#N/A</v>
      </c>
    </row>
    <row r="329" spans="1:21" x14ac:dyDescent="0.25">
      <c r="A329" s="5">
        <f ca="1"/>
        <v>36250</v>
      </c>
      <c r="B329" s="10">
        <f ca="1"/>
        <v>2.6361027004987658E-2</v>
      </c>
      <c r="C329" s="10">
        <f ca="1"/>
        <v>6.1970512993133164E-2</v>
      </c>
      <c r="D329" s="10">
        <f ca="1"/>
        <v>3.7299044028544497E-2</v>
      </c>
      <c r="E329" s="10">
        <f ca="1"/>
        <v>2.4671468964588664E-2</v>
      </c>
      <c r="G329" s="10" t="e">
        <f ca="1"/>
        <v>#N/A</v>
      </c>
      <c r="H329" s="10" t="e">
        <f ca="1"/>
        <v>#N/A</v>
      </c>
      <c r="I329" s="10" t="e">
        <f ca="1"/>
        <v>#N/A</v>
      </c>
      <c r="K329" t="e">
        <f ca="1"/>
        <v>#N/A</v>
      </c>
      <c r="L329" t="e">
        <f ca="1"/>
        <v>#N/A</v>
      </c>
      <c r="M329" t="e">
        <f ca="1"/>
        <v>#N/A</v>
      </c>
      <c r="O329" t="e">
        <f ca="1"/>
        <v>#N/A</v>
      </c>
      <c r="P329" t="e">
        <f ca="1"/>
        <v>#N/A</v>
      </c>
      <c r="Q329" t="e">
        <f ca="1"/>
        <v>#N/A</v>
      </c>
      <c r="S329" s="10" t="e">
        <f ca="1"/>
        <v>#N/A</v>
      </c>
      <c r="T329" s="10" t="e">
        <f ca="1"/>
        <v>#N/A</v>
      </c>
      <c r="U329" s="10" t="e">
        <f ca="1"/>
        <v>#N/A</v>
      </c>
    </row>
    <row r="330" spans="1:21" x14ac:dyDescent="0.25">
      <c r="A330" s="5">
        <f ca="1"/>
        <v>36219</v>
      </c>
      <c r="B330" s="10">
        <f ca="1"/>
        <v>6.1873650671668168E-2</v>
      </c>
      <c r="C330" s="10">
        <f ca="1"/>
        <v>6.1647356987690083E-2</v>
      </c>
      <c r="D330" s="10">
        <f ca="1"/>
        <v>3.6863912020275162E-2</v>
      </c>
      <c r="E330" s="10">
        <f ca="1"/>
        <v>2.4783444967414917E-2</v>
      </c>
      <c r="G330" s="10" t="e">
        <f ca="1"/>
        <v>#N/A</v>
      </c>
      <c r="H330" s="10" t="e">
        <f ca="1"/>
        <v>#N/A</v>
      </c>
      <c r="I330" s="10" t="e">
        <f ca="1"/>
        <v>#N/A</v>
      </c>
      <c r="K330" t="e">
        <f ca="1"/>
        <v>#N/A</v>
      </c>
      <c r="L330" t="e">
        <f ca="1"/>
        <v>#N/A</v>
      </c>
      <c r="M330" t="e">
        <f ca="1"/>
        <v>#N/A</v>
      </c>
      <c r="O330" t="e">
        <f ca="1"/>
        <v>#N/A</v>
      </c>
      <c r="P330" t="e">
        <f ca="1"/>
        <v>#N/A</v>
      </c>
      <c r="Q330" t="e">
        <f ca="1"/>
        <v>#N/A</v>
      </c>
      <c r="S330" s="10" t="e">
        <f ca="1"/>
        <v>#N/A</v>
      </c>
      <c r="T330" s="10" t="e">
        <f ca="1"/>
        <v>#N/A</v>
      </c>
      <c r="U330" s="10" t="e">
        <f ca="1"/>
        <v>#N/A</v>
      </c>
    </row>
    <row r="331" spans="1:21" x14ac:dyDescent="0.25">
      <c r="A331" s="5">
        <f ca="1"/>
        <v>36191</v>
      </c>
      <c r="B331" s="10">
        <f ca="1"/>
        <v>0.11703292179931091</v>
      </c>
      <c r="C331" s="10">
        <f ca="1"/>
        <v>6.1117485657271139E-2</v>
      </c>
      <c r="D331" s="10">
        <f ca="1"/>
        <v>3.6808544411437903E-2</v>
      </c>
      <c r="E331" s="10">
        <f ca="1"/>
        <v>2.430894124583324E-2</v>
      </c>
      <c r="G331" s="10" t="e">
        <f ca="1"/>
        <v>#N/A</v>
      </c>
      <c r="H331" s="10" t="e">
        <f ca="1"/>
        <v>#N/A</v>
      </c>
      <c r="I331" s="10" t="e">
        <f ca="1"/>
        <v>#N/A</v>
      </c>
      <c r="K331" t="e">
        <f ca="1"/>
        <v>#N/A</v>
      </c>
      <c r="L331" t="e">
        <f ca="1"/>
        <v>#N/A</v>
      </c>
      <c r="M331" t="e">
        <f ca="1"/>
        <v>#N/A</v>
      </c>
      <c r="O331" t="e">
        <f ca="1"/>
        <v>#N/A</v>
      </c>
      <c r="P331" t="e">
        <f ca="1"/>
        <v>#N/A</v>
      </c>
      <c r="Q331" t="e">
        <f ca="1"/>
        <v>#N/A</v>
      </c>
      <c r="S331" s="10" t="e">
        <f ca="1"/>
        <v>#N/A</v>
      </c>
      <c r="T331" s="10" t="e">
        <f ca="1"/>
        <v>#N/A</v>
      </c>
      <c r="U331" s="10" t="e">
        <f ca="1"/>
        <v>#N/A</v>
      </c>
    </row>
    <row r="332" spans="1:21" x14ac:dyDescent="0.25">
      <c r="A332" s="5">
        <f ca="1"/>
        <v>36160</v>
      </c>
      <c r="B332" s="10">
        <f ca="1"/>
        <v>0.16862591426368123</v>
      </c>
      <c r="C332" s="10">
        <f ca="1"/>
        <v>5.9132045454545451E-2</v>
      </c>
      <c r="D332" s="10">
        <f ca="1"/>
        <v>3.3789545454545454E-2</v>
      </c>
      <c r="E332" s="10">
        <f ca="1"/>
        <v>2.53425E-2</v>
      </c>
      <c r="G332" s="10" t="e">
        <f ca="1"/>
        <v>#N/A</v>
      </c>
      <c r="H332" s="10" t="e">
        <f ca="1"/>
        <v>#N/A</v>
      </c>
      <c r="I332" s="10" t="e">
        <f ca="1"/>
        <v>#N/A</v>
      </c>
      <c r="K332" t="e">
        <f ca="1"/>
        <v>#N/A</v>
      </c>
      <c r="L332" t="e">
        <f ca="1"/>
        <v>#N/A</v>
      </c>
      <c r="M332" t="e">
        <f ca="1"/>
        <v>#N/A</v>
      </c>
      <c r="O332" t="e">
        <f ca="1"/>
        <v>#N/A</v>
      </c>
      <c r="P332" t="e">
        <f ca="1"/>
        <v>#N/A</v>
      </c>
      <c r="Q332" t="e">
        <f ca="1"/>
        <v>#N/A</v>
      </c>
      <c r="S332" s="10" t="e">
        <f ca="1"/>
        <v>#N/A</v>
      </c>
      <c r="T332" s="10" t="e">
        <f ca="1"/>
        <v>#N/A</v>
      </c>
      <c r="U332" s="10" t="e">
        <f ca="1"/>
        <v>#N/A</v>
      </c>
    </row>
    <row r="333" spans="1:21" x14ac:dyDescent="0.25">
      <c r="A333" s="5">
        <f ca="1"/>
        <v>36129</v>
      </c>
      <c r="B333" s="10">
        <f ca="1"/>
        <v>0.30426342337553125</v>
      </c>
      <c r="C333" s="10">
        <f ca="1"/>
        <v>5.9069762091022042E-2</v>
      </c>
      <c r="D333" s="10">
        <f ca="1"/>
        <v>3.4213105701532374E-2</v>
      </c>
      <c r="E333" s="10">
        <f ca="1"/>
        <v>2.4856656389489667E-2</v>
      </c>
      <c r="G333" s="10" t="e">
        <f ca="1"/>
        <v>#N/A</v>
      </c>
      <c r="H333" s="10" t="e">
        <f ca="1"/>
        <v>#N/A</v>
      </c>
      <c r="I333" s="10" t="e">
        <f ca="1"/>
        <v>#N/A</v>
      </c>
      <c r="K333" t="e">
        <f ca="1"/>
        <v>#N/A</v>
      </c>
      <c r="L333" t="e">
        <f ca="1"/>
        <v>#N/A</v>
      </c>
      <c r="M333" t="e">
        <f ca="1"/>
        <v>#N/A</v>
      </c>
      <c r="O333" t="e">
        <f ca="1"/>
        <v>#N/A</v>
      </c>
      <c r="P333" t="e">
        <f ca="1"/>
        <v>#N/A</v>
      </c>
      <c r="Q333" t="e">
        <f ca="1"/>
        <v>#N/A</v>
      </c>
      <c r="S333" s="10" t="e">
        <f ca="1"/>
        <v>#N/A</v>
      </c>
      <c r="T333" s="10" t="e">
        <f ca="1"/>
        <v>#N/A</v>
      </c>
      <c r="U333" s="10" t="e">
        <f ca="1"/>
        <v>#N/A</v>
      </c>
    </row>
    <row r="334" spans="1:21" x14ac:dyDescent="0.25">
      <c r="A334" s="5">
        <f ca="1"/>
        <v>36099</v>
      </c>
      <c r="B334" s="10">
        <f ca="1"/>
        <v>0.30232908773647638</v>
      </c>
      <c r="C334" s="10">
        <f ca="1"/>
        <v>5.7457299312594662E-2</v>
      </c>
      <c r="D334" s="10">
        <f ca="1"/>
        <v>3.224956308982873E-2</v>
      </c>
      <c r="E334" s="10">
        <f ca="1"/>
        <v>2.5207736222765932E-2</v>
      </c>
      <c r="G334" s="10" t="e">
        <f ca="1"/>
        <v>#N/A</v>
      </c>
      <c r="H334" s="10" t="e">
        <f ca="1"/>
        <v>#N/A</v>
      </c>
      <c r="I334" s="10" t="e">
        <f ca="1"/>
        <v>#N/A</v>
      </c>
      <c r="K334" t="e">
        <f ca="1"/>
        <v>#N/A</v>
      </c>
      <c r="L334" t="e">
        <f ca="1"/>
        <v>#N/A</v>
      </c>
      <c r="M334" t="e">
        <f ca="1"/>
        <v>#N/A</v>
      </c>
      <c r="O334" t="e">
        <f ca="1"/>
        <v>#N/A</v>
      </c>
      <c r="P334" t="e">
        <f ca="1"/>
        <v>#N/A</v>
      </c>
      <c r="Q334" t="e">
        <f ca="1"/>
        <v>#N/A</v>
      </c>
      <c r="S334" s="10" t="e">
        <f ca="1"/>
        <v>#N/A</v>
      </c>
      <c r="T334" s="10" t="e">
        <f ca="1"/>
        <v>#N/A</v>
      </c>
      <c r="U334" s="10" t="e">
        <f ca="1"/>
        <v>#N/A</v>
      </c>
    </row>
    <row r="335" spans="1:21" x14ac:dyDescent="0.25">
      <c r="A335" s="5">
        <f ca="1"/>
        <v>36068</v>
      </c>
      <c r="B335" s="10">
        <f ca="1"/>
        <v>0.43027105104026164</v>
      </c>
      <c r="C335" s="10">
        <f ca="1"/>
        <v>5.8389940063462223E-2</v>
      </c>
      <c r="D335" s="10">
        <f ca="1"/>
        <v>3.3973674932424494E-2</v>
      </c>
      <c r="E335" s="10">
        <f ca="1"/>
        <v>2.4416265131037725E-2</v>
      </c>
      <c r="G335" s="10" t="e">
        <f ca="1"/>
        <v>#N/A</v>
      </c>
      <c r="H335" s="10" t="e">
        <f ca="1"/>
        <v>#N/A</v>
      </c>
      <c r="I335" s="10" t="e">
        <f ca="1"/>
        <v>#N/A</v>
      </c>
      <c r="K335" t="e">
        <f ca="1"/>
        <v>#N/A</v>
      </c>
      <c r="L335" t="e">
        <f ca="1"/>
        <v>#N/A</v>
      </c>
      <c r="M335" t="e">
        <f ca="1"/>
        <v>#N/A</v>
      </c>
      <c r="O335" t="e">
        <f ca="1"/>
        <v>#N/A</v>
      </c>
      <c r="P335" t="e">
        <f ca="1"/>
        <v>#N/A</v>
      </c>
      <c r="Q335" t="e">
        <f ca="1"/>
        <v>#N/A</v>
      </c>
      <c r="S335" s="10" t="e">
        <f ca="1"/>
        <v>#N/A</v>
      </c>
      <c r="T335" s="10" t="e">
        <f ca="1"/>
        <v>#N/A</v>
      </c>
      <c r="U335" s="10" t="e">
        <f ca="1"/>
        <v>#N/A</v>
      </c>
    </row>
    <row r="336" spans="1:21" x14ac:dyDescent="0.25">
      <c r="A336" s="5">
        <f ca="1"/>
        <v>36038</v>
      </c>
      <c r="B336" s="10">
        <f ca="1"/>
        <v>0.48399625199470098</v>
      </c>
      <c r="C336" s="10">
        <f ca="1"/>
        <v>6.0652560244532382E-2</v>
      </c>
      <c r="D336" s="10">
        <f ca="1"/>
        <v>3.6935525910480299E-2</v>
      </c>
      <c r="E336" s="10">
        <f ca="1"/>
        <v>2.3717034334052083E-2</v>
      </c>
      <c r="G336" s="10" t="e">
        <f ca="1"/>
        <v>#N/A</v>
      </c>
      <c r="H336" s="10" t="e">
        <f ca="1"/>
        <v>#N/A</v>
      </c>
      <c r="I336" s="10" t="e">
        <f ca="1"/>
        <v>#N/A</v>
      </c>
      <c r="K336" t="e">
        <f ca="1"/>
        <v>#N/A</v>
      </c>
      <c r="L336" t="e">
        <f ca="1"/>
        <v>#N/A</v>
      </c>
      <c r="M336" t="e">
        <f ca="1"/>
        <v>#N/A</v>
      </c>
      <c r="O336" t="e">
        <f ca="1"/>
        <v>#N/A</v>
      </c>
      <c r="P336" t="e">
        <f ca="1"/>
        <v>#N/A</v>
      </c>
      <c r="Q336" t="e">
        <f ca="1"/>
        <v>#N/A</v>
      </c>
      <c r="S336" s="10" t="e">
        <f ca="1"/>
        <v>#N/A</v>
      </c>
      <c r="T336" s="10" t="e">
        <f ca="1"/>
        <v>#N/A</v>
      </c>
      <c r="U336" s="10" t="e">
        <f ca="1"/>
        <v>#N/A</v>
      </c>
    </row>
    <row r="337" spans="1:21" x14ac:dyDescent="0.25">
      <c r="A337" s="5">
        <f ca="1"/>
        <v>36007</v>
      </c>
      <c r="B337" s="10">
        <f ca="1"/>
        <v>0.29603718914237365</v>
      </c>
      <c r="C337" s="10">
        <f ca="1"/>
        <v>6.0494848802823617E-2</v>
      </c>
      <c r="D337" s="10">
        <f ca="1"/>
        <v>3.8390727845082517E-2</v>
      </c>
      <c r="E337" s="10">
        <f ca="1"/>
        <v>2.2104120957741103E-2</v>
      </c>
      <c r="G337" s="10" t="e">
        <f ca="1"/>
        <v>#N/A</v>
      </c>
      <c r="H337" s="10" t="e">
        <f ca="1"/>
        <v>#N/A</v>
      </c>
      <c r="I337" s="10" t="e">
        <f ca="1"/>
        <v>#N/A</v>
      </c>
      <c r="K337" t="e">
        <f ca="1"/>
        <v>#N/A</v>
      </c>
      <c r="L337" t="e">
        <f ca="1"/>
        <v>#N/A</v>
      </c>
      <c r="M337" t="e">
        <f ca="1"/>
        <v>#N/A</v>
      </c>
      <c r="O337" t="e">
        <f ca="1"/>
        <v>#N/A</v>
      </c>
      <c r="P337" t="e">
        <f ca="1"/>
        <v>#N/A</v>
      </c>
      <c r="Q337" t="e">
        <f ca="1"/>
        <v>#N/A</v>
      </c>
      <c r="S337" s="10" t="e">
        <f ca="1"/>
        <v>#N/A</v>
      </c>
      <c r="T337" s="10" t="e">
        <f ca="1"/>
        <v>#N/A</v>
      </c>
      <c r="U337" s="10" t="e">
        <f ca="1"/>
        <v>#N/A</v>
      </c>
    </row>
    <row r="338" spans="1:21" x14ac:dyDescent="0.25">
      <c r="A338" s="5">
        <f ca="1"/>
        <v>35976</v>
      </c>
      <c r="B338" s="10">
        <f ca="1"/>
        <v>0.32168560046346406</v>
      </c>
      <c r="C338" s="10">
        <f ca="1"/>
        <v>5.8029032721697876E-2</v>
      </c>
      <c r="D338" s="10">
        <f ca="1"/>
        <v>3.6975279068653277E-2</v>
      </c>
      <c r="E338" s="10">
        <f ca="1"/>
        <v>2.1053753653044599E-2</v>
      </c>
      <c r="G338" s="10" t="e">
        <f ca="1"/>
        <v>#N/A</v>
      </c>
      <c r="H338" s="10" t="e">
        <f ca="1"/>
        <v>#N/A</v>
      </c>
      <c r="I338" s="10" t="e">
        <f ca="1"/>
        <v>#N/A</v>
      </c>
      <c r="K338" t="e">
        <f ca="1"/>
        <v>#N/A</v>
      </c>
      <c r="L338" t="e">
        <f ca="1"/>
        <v>#N/A</v>
      </c>
      <c r="M338" t="e">
        <f ca="1"/>
        <v>#N/A</v>
      </c>
      <c r="O338" t="e">
        <f ca="1"/>
        <v>#N/A</v>
      </c>
      <c r="P338" t="e">
        <f ca="1"/>
        <v>#N/A</v>
      </c>
      <c r="Q338" t="e">
        <f ca="1"/>
        <v>#N/A</v>
      </c>
      <c r="S338" s="10" t="e">
        <f ca="1"/>
        <v>#N/A</v>
      </c>
      <c r="T338" s="10" t="e">
        <f ca="1"/>
        <v>#N/A</v>
      </c>
      <c r="U338" s="10" t="e">
        <f ca="1"/>
        <v>#N/A</v>
      </c>
    </row>
    <row r="339" spans="1:21" x14ac:dyDescent="0.25">
      <c r="A339" s="5">
        <f ca="1"/>
        <v>35946</v>
      </c>
      <c r="B339" s="10">
        <f ca="1"/>
        <v>0.25265406870660367</v>
      </c>
      <c r="C339" s="10">
        <f ca="1"/>
        <v>5.5614623552123557E-2</v>
      </c>
      <c r="D339" s="10">
        <f ca="1"/>
        <v>3.6267615830115833E-2</v>
      </c>
      <c r="E339" s="10">
        <f ca="1"/>
        <v>1.934700772200772E-2</v>
      </c>
      <c r="G339" s="10" t="e">
        <f ca="1"/>
        <v>#N/A</v>
      </c>
      <c r="H339" s="10" t="e">
        <f ca="1"/>
        <v>#N/A</v>
      </c>
      <c r="I339" s="10" t="e">
        <f ca="1"/>
        <v>#N/A</v>
      </c>
      <c r="K339" t="e">
        <f ca="1"/>
        <v>#N/A</v>
      </c>
      <c r="L339" t="e">
        <f ca="1"/>
        <v>#N/A</v>
      </c>
      <c r="M339" t="e">
        <f ca="1"/>
        <v>#N/A</v>
      </c>
      <c r="O339" t="e">
        <f ca="1"/>
        <v>#N/A</v>
      </c>
      <c r="P339" t="e">
        <f ca="1"/>
        <v>#N/A</v>
      </c>
      <c r="Q339" t="e">
        <f ca="1"/>
        <v>#N/A</v>
      </c>
      <c r="S339" s="10" t="e">
        <f ca="1"/>
        <v>#N/A</v>
      </c>
      <c r="T339" s="10" t="e">
        <f ca="1"/>
        <v>#N/A</v>
      </c>
      <c r="U339" s="10" t="e">
        <f ca="1"/>
        <v>#N/A</v>
      </c>
    </row>
    <row r="340" spans="1:21" x14ac:dyDescent="0.25">
      <c r="A340" s="5">
        <f ca="1"/>
        <v>35915</v>
      </c>
      <c r="B340" s="10">
        <f ca="1"/>
        <v>0.25429274651450418</v>
      </c>
      <c r="C340" s="10">
        <f ca="1"/>
        <v>5.5660422555454406E-2</v>
      </c>
      <c r="D340" s="10">
        <f ca="1"/>
        <v>3.5114501988214433E-2</v>
      </c>
      <c r="E340" s="10">
        <f ca="1"/>
        <v>2.0545920567239973E-2</v>
      </c>
      <c r="G340" s="10" t="e">
        <f ca="1"/>
        <v>#N/A</v>
      </c>
      <c r="H340" s="10" t="e">
        <f ca="1"/>
        <v>#N/A</v>
      </c>
      <c r="I340" s="10" t="e">
        <f ca="1"/>
        <v>#N/A</v>
      </c>
      <c r="K340" t="e">
        <f ca="1"/>
        <v>#N/A</v>
      </c>
      <c r="L340" t="e">
        <f ca="1"/>
        <v>#N/A</v>
      </c>
      <c r="M340" t="e">
        <f ca="1"/>
        <v>#N/A</v>
      </c>
      <c r="O340" t="e">
        <f ca="1"/>
        <v>#N/A</v>
      </c>
      <c r="P340" t="e">
        <f ca="1"/>
        <v>#N/A</v>
      </c>
      <c r="Q340" t="e">
        <f ca="1"/>
        <v>#N/A</v>
      </c>
      <c r="S340" s="10" t="e">
        <f ca="1"/>
        <v>#N/A</v>
      </c>
      <c r="T340" s="10" t="e">
        <f ca="1"/>
        <v>#N/A</v>
      </c>
      <c r="U340" s="10" t="e">
        <f ca="1"/>
        <v>#N/A</v>
      </c>
    </row>
    <row r="341" spans="1:21" x14ac:dyDescent="0.25">
      <c r="A341" s="5">
        <f ca="1"/>
        <v>35885</v>
      </c>
      <c r="B341" s="10">
        <f ca="1"/>
        <v>0.33356024506466975</v>
      </c>
      <c r="C341" s="10">
        <f ca="1"/>
        <v>5.6179296657550157E-2</v>
      </c>
      <c r="D341" s="10">
        <f ca="1"/>
        <v>3.5466272962703001E-2</v>
      </c>
      <c r="E341" s="10">
        <f ca="1"/>
        <v>2.0713023694847156E-2</v>
      </c>
      <c r="G341" s="10" t="e">
        <f ca="1"/>
        <v>#N/A</v>
      </c>
      <c r="H341" s="10" t="e">
        <f ca="1"/>
        <v>#N/A</v>
      </c>
      <c r="I341" s="10" t="e">
        <f ca="1"/>
        <v>#N/A</v>
      </c>
      <c r="K341" t="e">
        <f ca="1"/>
        <v>#N/A</v>
      </c>
      <c r="L341" t="e">
        <f ca="1"/>
        <v>#N/A</v>
      </c>
      <c r="M341" t="e">
        <f ca="1"/>
        <v>#N/A</v>
      </c>
      <c r="O341" t="e">
        <f ca="1"/>
        <v>#N/A</v>
      </c>
      <c r="P341" t="e">
        <f ca="1"/>
        <v>#N/A</v>
      </c>
      <c r="Q341" t="e">
        <f ca="1"/>
        <v>#N/A</v>
      </c>
      <c r="S341" s="10" t="e">
        <f ca="1"/>
        <v>#N/A</v>
      </c>
      <c r="T341" s="10" t="e">
        <f ca="1"/>
        <v>#N/A</v>
      </c>
      <c r="U341" s="10" t="e">
        <f ca="1"/>
        <v>#N/A</v>
      </c>
    </row>
    <row r="342" spans="1:21" x14ac:dyDescent="0.25">
      <c r="A342" s="5">
        <f ca="1"/>
        <v>35854</v>
      </c>
      <c r="B342" s="10">
        <f ca="1"/>
        <v>0.32360348354208046</v>
      </c>
      <c r="C342" s="10">
        <f ca="1"/>
        <v>5.4719247077277516E-2</v>
      </c>
      <c r="D342" s="10">
        <f ca="1"/>
        <v>3.4638366706698363E-2</v>
      </c>
      <c r="E342" s="10">
        <f ca="1"/>
        <v>2.0080880370579153E-2</v>
      </c>
      <c r="G342" s="10" t="e">
        <f ca="1"/>
        <v>#N/A</v>
      </c>
      <c r="H342" s="10" t="e">
        <f ca="1"/>
        <v>#N/A</v>
      </c>
      <c r="I342" s="10" t="e">
        <f ca="1"/>
        <v>#N/A</v>
      </c>
      <c r="K342" t="e">
        <f ca="1"/>
        <v>#N/A</v>
      </c>
      <c r="L342" t="e">
        <f ca="1"/>
        <v>#N/A</v>
      </c>
      <c r="M342" t="e">
        <f ca="1"/>
        <v>#N/A</v>
      </c>
      <c r="O342" t="e">
        <f ca="1"/>
        <v>#N/A</v>
      </c>
      <c r="P342" t="e">
        <f ca="1"/>
        <v>#N/A</v>
      </c>
      <c r="Q342" t="e">
        <f ca="1"/>
        <v>#N/A</v>
      </c>
      <c r="S342" s="10" t="e">
        <f ca="1"/>
        <v>#N/A</v>
      </c>
      <c r="T342" s="10" t="e">
        <f ca="1"/>
        <v>#N/A</v>
      </c>
      <c r="U342" s="10" t="e">
        <f ca="1"/>
        <v>#N/A</v>
      </c>
    </row>
    <row r="343" spans="1:21" x14ac:dyDescent="0.25">
      <c r="A343" s="5">
        <f ca="1"/>
        <v>35826</v>
      </c>
      <c r="B343" s="10">
        <f ca="1"/>
        <v>0.39034766901099505</v>
      </c>
      <c r="C343" s="10">
        <f ca="1"/>
        <v>5.3236676923076917E-2</v>
      </c>
      <c r="D343" s="10">
        <f ca="1"/>
        <v>3.2716799999999997E-2</v>
      </c>
      <c r="E343" s="10">
        <f ca="1"/>
        <v>2.0519876923076923E-2</v>
      </c>
      <c r="G343" s="10" t="e">
        <f ca="1"/>
        <v>#N/A</v>
      </c>
      <c r="H343" s="10" t="e">
        <f ca="1"/>
        <v>#N/A</v>
      </c>
      <c r="I343" s="10" t="e">
        <f ca="1"/>
        <v>#N/A</v>
      </c>
      <c r="K343" t="e">
        <f ca="1"/>
        <v>#N/A</v>
      </c>
      <c r="L343" t="e">
        <f ca="1"/>
        <v>#N/A</v>
      </c>
      <c r="M343" t="e">
        <f ca="1"/>
        <v>#N/A</v>
      </c>
      <c r="O343" t="e">
        <f ca="1"/>
        <v>#N/A</v>
      </c>
      <c r="P343" t="e">
        <f ca="1"/>
        <v>#N/A</v>
      </c>
      <c r="Q343" t="e">
        <f ca="1"/>
        <v>#N/A</v>
      </c>
      <c r="S343" s="10" t="e">
        <f ca="1"/>
        <v>#N/A</v>
      </c>
      <c r="T343" s="10" t="e">
        <f ca="1"/>
        <v>#N/A</v>
      </c>
      <c r="U343" s="10" t="e">
        <f ca="1"/>
        <v>#N/A</v>
      </c>
    </row>
    <row r="344" spans="1:21" x14ac:dyDescent="0.25">
      <c r="A344" s="5">
        <f ca="1"/>
        <v>35795</v>
      </c>
      <c r="B344" s="10">
        <f ca="1"/>
        <v>0.32179546244306079</v>
      </c>
      <c r="C344" s="10">
        <f ca="1"/>
        <v>5.4289659934403586E-2</v>
      </c>
      <c r="D344" s="10">
        <f ca="1"/>
        <v>3.2443096347808932E-2</v>
      </c>
      <c r="E344" s="10">
        <f ca="1"/>
        <v>2.1846563586594658E-2</v>
      </c>
      <c r="G344" s="10" t="e">
        <f ca="1"/>
        <v>#N/A</v>
      </c>
      <c r="H344" s="10" t="e">
        <f ca="1"/>
        <v>#N/A</v>
      </c>
      <c r="I344" s="10" t="e">
        <f ca="1"/>
        <v>#N/A</v>
      </c>
      <c r="K344" t="e">
        <f ca="1"/>
        <v>#N/A</v>
      </c>
      <c r="L344" t="e">
        <f ca="1"/>
        <v>#N/A</v>
      </c>
      <c r="M344" t="e">
        <f ca="1"/>
        <v>#N/A</v>
      </c>
      <c r="O344" t="e">
        <f ca="1"/>
        <v>#N/A</v>
      </c>
      <c r="P344" t="e">
        <f ca="1"/>
        <v>#N/A</v>
      </c>
      <c r="Q344" t="e">
        <f ca="1"/>
        <v>#N/A</v>
      </c>
      <c r="S344" s="10" t="e">
        <f ca="1"/>
        <v>#N/A</v>
      </c>
      <c r="T344" s="10" t="e">
        <f ca="1"/>
        <v>#N/A</v>
      </c>
      <c r="U344" s="10" t="e">
        <f ca="1"/>
        <v>#N/A</v>
      </c>
    </row>
    <row r="345" spans="1:21" x14ac:dyDescent="0.25">
      <c r="A345" s="5">
        <f ca="1"/>
        <v>35764</v>
      </c>
      <c r="B345" s="10">
        <f ca="1"/>
        <v>0.38204940384995822</v>
      </c>
      <c r="C345" s="10">
        <f ca="1"/>
        <v>5.2293440908411773E-2</v>
      </c>
      <c r="D345" s="10">
        <f ca="1"/>
        <v>3.3054683998207081E-2</v>
      </c>
      <c r="E345" s="10">
        <f ca="1"/>
        <v>1.9238756910204692E-2</v>
      </c>
      <c r="G345" s="10" t="e">
        <f ca="1"/>
        <v>#N/A</v>
      </c>
      <c r="H345" s="10" t="e">
        <f ca="1"/>
        <v>#N/A</v>
      </c>
      <c r="I345" s="10" t="e">
        <f ca="1"/>
        <v>#N/A</v>
      </c>
      <c r="K345" t="e">
        <f ca="1"/>
        <v>#N/A</v>
      </c>
      <c r="L345" t="e">
        <f ca="1"/>
        <v>#N/A</v>
      </c>
      <c r="M345" t="e">
        <f ca="1"/>
        <v>#N/A</v>
      </c>
      <c r="O345" t="e">
        <f ca="1"/>
        <v>#N/A</v>
      </c>
      <c r="P345" t="e">
        <f ca="1"/>
        <v>#N/A</v>
      </c>
      <c r="Q345" t="e">
        <f ca="1"/>
        <v>#N/A</v>
      </c>
      <c r="S345" s="10" t="e">
        <f ca="1"/>
        <v>#N/A</v>
      </c>
      <c r="T345" s="10" t="e">
        <f ca="1"/>
        <v>#N/A</v>
      </c>
      <c r="U345" s="10" t="e">
        <f ca="1"/>
        <v>#N/A</v>
      </c>
    </row>
    <row r="346" spans="1:21" x14ac:dyDescent="0.25">
      <c r="A346" s="5">
        <f ca="1"/>
        <v>35734</v>
      </c>
      <c r="B346" s="10">
        <f ca="1"/>
        <v>0.45275631168863129</v>
      </c>
      <c r="C346" s="10">
        <f ca="1"/>
        <v>5.4002313185155387E-2</v>
      </c>
      <c r="D346" s="10">
        <f ca="1"/>
        <v>3.3815498340541081E-2</v>
      </c>
      <c r="E346" s="10">
        <f ca="1"/>
        <v>2.0186814844614303E-2</v>
      </c>
      <c r="G346" s="10" t="e">
        <f ca="1"/>
        <v>#N/A</v>
      </c>
      <c r="H346" s="10" t="e">
        <f ca="1"/>
        <v>#N/A</v>
      </c>
      <c r="I346" s="10" t="e">
        <f ca="1"/>
        <v>#N/A</v>
      </c>
      <c r="K346" t="e">
        <f ca="1"/>
        <v>#N/A</v>
      </c>
      <c r="L346" t="e">
        <f ca="1"/>
        <v>#N/A</v>
      </c>
      <c r="M346" t="e">
        <f ca="1"/>
        <v>#N/A</v>
      </c>
      <c r="O346" t="e">
        <f ca="1"/>
        <v>#N/A</v>
      </c>
      <c r="P346" t="e">
        <f ca="1"/>
        <v>#N/A</v>
      </c>
      <c r="Q346" t="e">
        <f ca="1"/>
        <v>#N/A</v>
      </c>
      <c r="S346" s="10" t="e">
        <f ca="1"/>
        <v>#N/A</v>
      </c>
      <c r="T346" s="10" t="e">
        <f ca="1"/>
        <v>#N/A</v>
      </c>
      <c r="U346" s="10" t="e">
        <f ca="1"/>
        <v>#N/A</v>
      </c>
    </row>
    <row r="347" spans="1:21" x14ac:dyDescent="0.25">
      <c r="A347" s="5">
        <f ca="1"/>
        <v>35703</v>
      </c>
      <c r="B347" s="10">
        <f ca="1"/>
        <v>0.44910683059200895</v>
      </c>
      <c r="C347" s="10">
        <f ca="1"/>
        <v>5.1760444276158023E-2</v>
      </c>
      <c r="D347" s="10">
        <f ca="1"/>
        <v>3.3311119525432288E-2</v>
      </c>
      <c r="E347" s="10">
        <f ca="1"/>
        <v>1.8449324750725735E-2</v>
      </c>
      <c r="G347" s="10" t="e">
        <f ca="1"/>
        <v>#N/A</v>
      </c>
      <c r="H347" s="10" t="e">
        <f ca="1"/>
        <v>#N/A</v>
      </c>
      <c r="I347" s="10" t="e">
        <f ca="1"/>
        <v>#N/A</v>
      </c>
      <c r="K347" t="e">
        <f ca="1"/>
        <v>#N/A</v>
      </c>
      <c r="L347" t="e">
        <f ca="1"/>
        <v>#N/A</v>
      </c>
      <c r="M347" t="e">
        <f ca="1"/>
        <v>#N/A</v>
      </c>
      <c r="O347" t="e">
        <f ca="1"/>
        <v>#N/A</v>
      </c>
      <c r="P347" t="e">
        <f ca="1"/>
        <v>#N/A</v>
      </c>
      <c r="Q347" t="e">
        <f ca="1"/>
        <v>#N/A</v>
      </c>
      <c r="S347" s="10" t="e">
        <f ca="1"/>
        <v>#N/A</v>
      </c>
      <c r="T347" s="10" t="e">
        <f ca="1"/>
        <v>#N/A</v>
      </c>
      <c r="U347" s="10" t="e">
        <f ca="1"/>
        <v>#N/A</v>
      </c>
    </row>
    <row r="348" spans="1:21" x14ac:dyDescent="0.25">
      <c r="A348" s="5">
        <f ca="1"/>
        <v>35673</v>
      </c>
      <c r="B348" s="10">
        <f ca="1"/>
        <v>0.44734122118901665</v>
      </c>
      <c r="C348" s="10">
        <f ca="1"/>
        <v>4.948269756146919E-2</v>
      </c>
      <c r="D348" s="10">
        <f ca="1"/>
        <v>3.146918951735303E-2</v>
      </c>
      <c r="E348" s="10">
        <f ca="1"/>
        <v>1.801350804411616E-2</v>
      </c>
      <c r="G348" s="10" t="e">
        <f ca="1"/>
        <v>#N/A</v>
      </c>
      <c r="H348" s="10" t="e">
        <f ca="1"/>
        <v>#N/A</v>
      </c>
      <c r="I348" s="10" t="e">
        <f ca="1"/>
        <v>#N/A</v>
      </c>
      <c r="K348" t="e">
        <f ca="1"/>
        <v>#N/A</v>
      </c>
      <c r="L348" t="e">
        <f ca="1"/>
        <v>#N/A</v>
      </c>
      <c r="M348" t="e">
        <f ca="1"/>
        <v>#N/A</v>
      </c>
      <c r="O348" t="e">
        <f ca="1"/>
        <v>#N/A</v>
      </c>
      <c r="P348" t="e">
        <f ca="1"/>
        <v>#N/A</v>
      </c>
      <c r="Q348" t="e">
        <f ca="1"/>
        <v>#N/A</v>
      </c>
      <c r="S348" s="10" t="e">
        <f ca="1"/>
        <v>#N/A</v>
      </c>
      <c r="T348" s="10" t="e">
        <f ca="1"/>
        <v>#N/A</v>
      </c>
      <c r="U348" s="10" t="e">
        <f ca="1"/>
        <v>#N/A</v>
      </c>
    </row>
    <row r="349" spans="1:21" x14ac:dyDescent="0.25">
      <c r="A349" s="5">
        <f ca="1"/>
        <v>35642</v>
      </c>
      <c r="B349" s="10">
        <f ca="1"/>
        <v>0.39910517245624977</v>
      </c>
      <c r="C349" s="10">
        <f ca="1"/>
        <v>4.9713921143294627E-2</v>
      </c>
      <c r="D349" s="10">
        <f ca="1"/>
        <v>3.0902130917442899E-2</v>
      </c>
      <c r="E349" s="10">
        <f ca="1"/>
        <v>1.8811790225851728E-2</v>
      </c>
      <c r="G349" s="10" t="e">
        <f ca="1"/>
        <v>#N/A</v>
      </c>
      <c r="H349" s="10" t="e">
        <f ca="1"/>
        <v>#N/A</v>
      </c>
      <c r="I349" s="10" t="e">
        <f ca="1"/>
        <v>#N/A</v>
      </c>
      <c r="K349" t="e">
        <f ca="1"/>
        <v>#N/A</v>
      </c>
      <c r="L349" t="e">
        <f ca="1"/>
        <v>#N/A</v>
      </c>
      <c r="M349" t="e">
        <f ca="1"/>
        <v>#N/A</v>
      </c>
      <c r="O349" t="e">
        <f ca="1"/>
        <v>#N/A</v>
      </c>
      <c r="P349" t="e">
        <f ca="1"/>
        <v>#N/A</v>
      </c>
      <c r="Q349" t="e">
        <f ca="1"/>
        <v>#N/A</v>
      </c>
      <c r="S349" s="10" t="e">
        <f ca="1"/>
        <v>#N/A</v>
      </c>
      <c r="T349" s="10" t="e">
        <f ca="1"/>
        <v>#N/A</v>
      </c>
      <c r="U349" s="10" t="e">
        <f ca="1"/>
        <v>#N/A</v>
      </c>
    </row>
    <row r="350" spans="1:21" x14ac:dyDescent="0.25">
      <c r="A350" s="5">
        <f ca="1"/>
        <v>35611</v>
      </c>
      <c r="B350" s="10">
        <f ca="1"/>
        <v>0.45329549430449556</v>
      </c>
      <c r="C350" s="10">
        <f ca="1"/>
        <v>4.9048595973842798E-2</v>
      </c>
      <c r="D350" s="10">
        <f ca="1"/>
        <v>3.0476471342479806E-2</v>
      </c>
      <c r="E350" s="10">
        <f ca="1"/>
        <v>1.8572124631362995E-2</v>
      </c>
      <c r="G350" s="10" t="e">
        <f ca="1"/>
        <v>#N/A</v>
      </c>
      <c r="H350" s="10" t="e">
        <f ca="1"/>
        <v>#N/A</v>
      </c>
      <c r="I350" s="10" t="e">
        <f ca="1"/>
        <v>#N/A</v>
      </c>
      <c r="K350" t="e">
        <f ca="1"/>
        <v>#N/A</v>
      </c>
      <c r="L350" t="e">
        <f ca="1"/>
        <v>#N/A</v>
      </c>
      <c r="M350" t="e">
        <f ca="1"/>
        <v>#N/A</v>
      </c>
      <c r="O350" t="e">
        <f ca="1"/>
        <v>#N/A</v>
      </c>
      <c r="P350" t="e">
        <f ca="1"/>
        <v>#N/A</v>
      </c>
      <c r="Q350" t="e">
        <f ca="1"/>
        <v>#N/A</v>
      </c>
      <c r="S350" s="10" t="e">
        <f ca="1"/>
        <v>#N/A</v>
      </c>
      <c r="T350" s="10" t="e">
        <f ca="1"/>
        <v>#N/A</v>
      </c>
      <c r="U350" s="10" t="e">
        <f ca="1"/>
        <v>#N/A</v>
      </c>
    </row>
    <row r="351" spans="1:21" x14ac:dyDescent="0.25">
      <c r="A351" s="5">
        <f ca="1"/>
        <v>35581</v>
      </c>
      <c r="B351" s="10">
        <f ca="1"/>
        <v>0.4598126954386994</v>
      </c>
      <c r="C351" s="10">
        <f ca="1"/>
        <v>4.5995761616788131E-2</v>
      </c>
      <c r="D351" s="10">
        <f ca="1"/>
        <v>2.8711686566392721E-2</v>
      </c>
      <c r="E351" s="10">
        <f ca="1"/>
        <v>1.728407505039541E-2</v>
      </c>
      <c r="G351" s="10" t="e">
        <f ca="1"/>
        <v>#N/A</v>
      </c>
      <c r="H351" s="10" t="e">
        <f ca="1"/>
        <v>#N/A</v>
      </c>
      <c r="I351" s="10" t="e">
        <f ca="1"/>
        <v>#N/A</v>
      </c>
      <c r="K351" t="e">
        <f ca="1"/>
        <v>#N/A</v>
      </c>
      <c r="L351" t="e">
        <f ca="1"/>
        <v>#N/A</v>
      </c>
      <c r="M351" t="e">
        <f ca="1"/>
        <v>#N/A</v>
      </c>
      <c r="O351" t="e">
        <f ca="1"/>
        <v>#N/A</v>
      </c>
      <c r="P351" t="e">
        <f ca="1"/>
        <v>#N/A</v>
      </c>
      <c r="Q351" t="e">
        <f ca="1"/>
        <v>#N/A</v>
      </c>
      <c r="S351" s="10" t="e">
        <f ca="1"/>
        <v>#N/A</v>
      </c>
      <c r="T351" s="10" t="e">
        <f ca="1"/>
        <v>#N/A</v>
      </c>
      <c r="U351" s="10" t="e">
        <f ca="1"/>
        <v>#N/A</v>
      </c>
    </row>
    <row r="352" spans="1:21" x14ac:dyDescent="0.25">
      <c r="A352" s="5">
        <f ca="1"/>
        <v>35550</v>
      </c>
      <c r="B352" s="10">
        <f ca="1"/>
        <v>0.59687519874660899</v>
      </c>
      <c r="C352" s="10">
        <f ca="1"/>
        <v>4.2928796374529538E-2</v>
      </c>
      <c r="D352" s="10">
        <f ca="1"/>
        <v>2.633125944132934E-2</v>
      </c>
      <c r="E352" s="10">
        <f ca="1"/>
        <v>1.6597536933200194E-2</v>
      </c>
      <c r="G352" s="10" t="e">
        <f ca="1"/>
        <v>#N/A</v>
      </c>
      <c r="H352" s="10" t="e">
        <f ca="1"/>
        <v>#N/A</v>
      </c>
      <c r="I352" s="10" t="e">
        <f ca="1"/>
        <v>#N/A</v>
      </c>
      <c r="K352" t="e">
        <f ca="1"/>
        <v>#N/A</v>
      </c>
      <c r="L352" t="e">
        <f ca="1"/>
        <v>#N/A</v>
      </c>
      <c r="M352" t="e">
        <f ca="1"/>
        <v>#N/A</v>
      </c>
      <c r="O352" t="e">
        <f ca="1"/>
        <v>#N/A</v>
      </c>
      <c r="P352" t="e">
        <f ca="1"/>
        <v>#N/A</v>
      </c>
      <c r="Q352" t="e">
        <f ca="1"/>
        <v>#N/A</v>
      </c>
      <c r="S352" s="10" t="e">
        <f ca="1"/>
        <v>#N/A</v>
      </c>
      <c r="T352" s="10" t="e">
        <f ca="1"/>
        <v>#N/A</v>
      </c>
      <c r="U352" s="10" t="e">
        <f ca="1"/>
        <v>#N/A</v>
      </c>
    </row>
    <row r="353" spans="1:21" x14ac:dyDescent="0.25">
      <c r="A353" s="5">
        <f ca="1"/>
        <v>35520</v>
      </c>
      <c r="B353" s="10">
        <f ca="1"/>
        <v>0.62356031857075478</v>
      </c>
      <c r="C353" s="10">
        <f ca="1"/>
        <v>4.502426933801508E-2</v>
      </c>
      <c r="D353" s="10">
        <f ca="1"/>
        <v>2.7066766497986162E-2</v>
      </c>
      <c r="E353" s="10">
        <f ca="1"/>
        <v>1.7957502840028918E-2</v>
      </c>
      <c r="G353" s="10" t="e">
        <f ca="1"/>
        <v>#N/A</v>
      </c>
      <c r="H353" s="10" t="e">
        <f ca="1"/>
        <v>#N/A</v>
      </c>
      <c r="I353" s="10" t="e">
        <f ca="1"/>
        <v>#N/A</v>
      </c>
      <c r="K353" t="e">
        <f ca="1"/>
        <v>#N/A</v>
      </c>
      <c r="L353" t="e">
        <f ca="1"/>
        <v>#N/A</v>
      </c>
      <c r="M353" t="e">
        <f ca="1"/>
        <v>#N/A</v>
      </c>
      <c r="O353" t="e">
        <f ca="1"/>
        <v>#N/A</v>
      </c>
      <c r="P353" t="e">
        <f ca="1"/>
        <v>#N/A</v>
      </c>
      <c r="Q353" t="e">
        <f ca="1"/>
        <v>#N/A</v>
      </c>
      <c r="S353" s="10" t="e">
        <f ca="1"/>
        <v>#N/A</v>
      </c>
      <c r="T353" s="10" t="e">
        <f ca="1"/>
        <v>#N/A</v>
      </c>
      <c r="U353" s="10" t="e">
        <f ca="1"/>
        <v>#N/A</v>
      </c>
    </row>
    <row r="354" spans="1:21" x14ac:dyDescent="0.25">
      <c r="A354" s="5">
        <f ca="1"/>
        <v>35489</v>
      </c>
      <c r="B354" s="10">
        <f ca="1"/>
        <v>0.47142206077968773</v>
      </c>
      <c r="C354" s="10">
        <f ca="1"/>
        <v>4.4573544366509343E-2</v>
      </c>
      <c r="D354" s="10">
        <f ca="1"/>
        <v>2.7088211519908215E-2</v>
      </c>
      <c r="E354" s="10">
        <f ca="1"/>
        <v>1.7485332846601132E-2</v>
      </c>
      <c r="G354" s="10" t="e">
        <f ca="1"/>
        <v>#N/A</v>
      </c>
      <c r="H354" s="10" t="e">
        <f ca="1"/>
        <v>#N/A</v>
      </c>
      <c r="I354" s="10" t="e">
        <f ca="1"/>
        <v>#N/A</v>
      </c>
      <c r="K354" t="e">
        <f ca="1"/>
        <v>#N/A</v>
      </c>
      <c r="L354" t="e">
        <f ca="1"/>
        <v>#N/A</v>
      </c>
      <c r="M354" t="e">
        <f ca="1"/>
        <v>#N/A</v>
      </c>
      <c r="O354" t="e">
        <f ca="1"/>
        <v>#N/A</v>
      </c>
      <c r="P354" t="e">
        <f ca="1"/>
        <v>#N/A</v>
      </c>
      <c r="Q354" t="e">
        <f ca="1"/>
        <v>#N/A</v>
      </c>
      <c r="S354" s="10" t="e">
        <f ca="1"/>
        <v>#N/A</v>
      </c>
      <c r="T354" s="10" t="e">
        <f ca="1"/>
        <v>#N/A</v>
      </c>
      <c r="U354" s="10" t="e">
        <f ca="1"/>
        <v>#N/A</v>
      </c>
    </row>
    <row r="355" spans="1:21" x14ac:dyDescent="0.25">
      <c r="A355" s="5">
        <f ca="1"/>
        <v>35461</v>
      </c>
      <c r="B355" s="10">
        <f ca="1"/>
        <v>0.3975146045031801</v>
      </c>
      <c r="C355" s="10">
        <f ca="1"/>
        <v>4.4847766636280768E-2</v>
      </c>
      <c r="D355" s="10">
        <f ca="1"/>
        <v>2.6914181534053915E-2</v>
      </c>
      <c r="E355" s="10">
        <f ca="1"/>
        <v>1.7933585102226854E-2</v>
      </c>
      <c r="G355" s="10" t="e">
        <f ca="1"/>
        <v>#N/A</v>
      </c>
      <c r="H355" s="10" t="e">
        <f ca="1"/>
        <v>#N/A</v>
      </c>
      <c r="I355" s="10" t="e">
        <f ca="1"/>
        <v>#N/A</v>
      </c>
      <c r="K355" t="e">
        <f ca="1"/>
        <v>#N/A</v>
      </c>
      <c r="L355" t="e">
        <f ca="1"/>
        <v>#N/A</v>
      </c>
      <c r="M355" t="e">
        <f ca="1"/>
        <v>#N/A</v>
      </c>
      <c r="O355" t="e">
        <f ca="1"/>
        <v>#N/A</v>
      </c>
      <c r="P355" t="e">
        <f ca="1"/>
        <v>#N/A</v>
      </c>
      <c r="Q355" t="e">
        <f ca="1"/>
        <v>#N/A</v>
      </c>
      <c r="S355" s="10" t="e">
        <f ca="1"/>
        <v>#N/A</v>
      </c>
      <c r="T355" s="10" t="e">
        <f ca="1"/>
        <v>#N/A</v>
      </c>
      <c r="U355" s="10" t="e">
        <f ca="1"/>
        <v>#N/A</v>
      </c>
    </row>
    <row r="356" spans="1:21" x14ac:dyDescent="0.25">
      <c r="B356" s="10" t="e">
        <f ca="1"/>
        <v>#N/A</v>
      </c>
      <c r="G356" s="10" t="e">
        <f ca="1"/>
        <v>#N/A</v>
      </c>
      <c r="H356" s="10" t="e">
        <f ca="1"/>
        <v>#N/A</v>
      </c>
      <c r="I356" s="10" t="e">
        <f ca="1"/>
        <v>#N/A</v>
      </c>
      <c r="K356" t="e">
        <f ca="1"/>
        <v>#N/A</v>
      </c>
      <c r="L356" t="e">
        <f ca="1"/>
        <v>#N/A</v>
      </c>
      <c r="M356" t="e">
        <f ca="1"/>
        <v>#N/A</v>
      </c>
      <c r="O356" t="e">
        <f ca="1"/>
        <v>#N/A</v>
      </c>
      <c r="P356" t="e">
        <f ca="1"/>
        <v>#N/A</v>
      </c>
      <c r="Q356" t="e">
        <f ca="1"/>
        <v>#N/A</v>
      </c>
      <c r="S356" s="10" t="e">
        <f ca="1"/>
        <v>#N/A</v>
      </c>
      <c r="T356" s="10" t="e">
        <f ca="1"/>
        <v>#N/A</v>
      </c>
      <c r="U356" s="10" t="e">
        <f ca="1"/>
        <v>#N/A</v>
      </c>
    </row>
  </sheetData>
  <mergeCells count="5">
    <mergeCell ref="C1:E1"/>
    <mergeCell ref="G1:I1"/>
    <mergeCell ref="K1:M1"/>
    <mergeCell ref="O1:Q1"/>
    <mergeCell ref="S1:U1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D8B5B1-F1C3-4FF5-925D-08AAB2AE8DA2}">
  <sheetPr codeName="Sheet3"/>
  <dimension ref="A1:B810"/>
  <sheetViews>
    <sheetView workbookViewId="0">
      <pane ySplit="1" topLeftCell="A776" activePane="bottomLeft" state="frozen"/>
      <selection pane="bottomLeft" activeCell="B810" sqref="B810"/>
    </sheetView>
  </sheetViews>
  <sheetFormatPr defaultRowHeight="15" x14ac:dyDescent="0.25"/>
  <cols>
    <col min="1" max="1" width="16.7109375" style="5" bestFit="1" customWidth="1"/>
    <col min="2" max="2" width="8" bestFit="1" customWidth="1"/>
  </cols>
  <sheetData>
    <row r="1" spans="1:2" x14ac:dyDescent="0.25">
      <c r="A1" s="5" t="s">
        <v>358</v>
      </c>
      <c r="B1" t="s">
        <v>359</v>
      </c>
    </row>
    <row r="2" spans="1:2" x14ac:dyDescent="0.25">
      <c r="A2" s="5">
        <v>21551</v>
      </c>
      <c r="B2">
        <v>289.8</v>
      </c>
    </row>
    <row r="3" spans="1:2" x14ac:dyDescent="0.25">
      <c r="A3" s="5">
        <v>21582</v>
      </c>
      <c r="B3">
        <v>287.7</v>
      </c>
    </row>
    <row r="4" spans="1:2" x14ac:dyDescent="0.25">
      <c r="A4" s="5">
        <v>21610</v>
      </c>
      <c r="B4">
        <v>287.89999999999998</v>
      </c>
    </row>
    <row r="5" spans="1:2" x14ac:dyDescent="0.25">
      <c r="A5" s="5">
        <v>21641</v>
      </c>
      <c r="B5">
        <v>290.2</v>
      </c>
    </row>
    <row r="6" spans="1:2" x14ac:dyDescent="0.25">
      <c r="A6" s="5">
        <v>21671</v>
      </c>
      <c r="B6">
        <v>290.2</v>
      </c>
    </row>
    <row r="7" spans="1:2" x14ac:dyDescent="0.25">
      <c r="A7" s="5">
        <v>21702</v>
      </c>
      <c r="B7">
        <v>292.5</v>
      </c>
    </row>
    <row r="8" spans="1:2" x14ac:dyDescent="0.25">
      <c r="A8" s="5">
        <v>21732</v>
      </c>
      <c r="B8">
        <v>294.39999999999998</v>
      </c>
    </row>
    <row r="9" spans="1:2" x14ac:dyDescent="0.25">
      <c r="A9" s="5">
        <v>21763</v>
      </c>
      <c r="B9">
        <v>294.8</v>
      </c>
    </row>
    <row r="10" spans="1:2" x14ac:dyDescent="0.25">
      <c r="A10" s="5">
        <v>21794</v>
      </c>
      <c r="B10">
        <v>296.10000000000002</v>
      </c>
    </row>
    <row r="11" spans="1:2" x14ac:dyDescent="0.25">
      <c r="A11" s="5">
        <v>21824</v>
      </c>
      <c r="B11">
        <v>296.89999999999998</v>
      </c>
    </row>
    <row r="12" spans="1:2" x14ac:dyDescent="0.25">
      <c r="A12" s="5">
        <v>21855</v>
      </c>
      <c r="B12">
        <v>297.8</v>
      </c>
    </row>
    <row r="13" spans="1:2" x14ac:dyDescent="0.25">
      <c r="A13" s="5">
        <v>21885</v>
      </c>
      <c r="B13">
        <v>300.60000000000002</v>
      </c>
    </row>
    <row r="14" spans="1:2" x14ac:dyDescent="0.25">
      <c r="A14" s="5">
        <v>21916</v>
      </c>
      <c r="B14">
        <v>301.5</v>
      </c>
    </row>
    <row r="15" spans="1:2" x14ac:dyDescent="0.25">
      <c r="A15" s="5">
        <v>21947</v>
      </c>
      <c r="B15">
        <v>298.5</v>
      </c>
    </row>
    <row r="16" spans="1:2" x14ac:dyDescent="0.25">
      <c r="A16" s="5">
        <v>21976</v>
      </c>
      <c r="B16">
        <v>298.2</v>
      </c>
    </row>
    <row r="17" spans="1:2" x14ac:dyDescent="0.25">
      <c r="A17" s="5">
        <v>22007</v>
      </c>
      <c r="B17">
        <v>300.3</v>
      </c>
    </row>
    <row r="18" spans="1:2" x14ac:dyDescent="0.25">
      <c r="A18" s="5">
        <v>22037</v>
      </c>
      <c r="B18">
        <v>298.89999999999998</v>
      </c>
    </row>
    <row r="19" spans="1:2" x14ac:dyDescent="0.25">
      <c r="A19" s="5">
        <v>22068</v>
      </c>
      <c r="B19">
        <v>300.89999999999998</v>
      </c>
    </row>
    <row r="20" spans="1:2" x14ac:dyDescent="0.25">
      <c r="A20" s="5">
        <v>22098</v>
      </c>
      <c r="B20">
        <v>303.5</v>
      </c>
    </row>
    <row r="21" spans="1:2" x14ac:dyDescent="0.25">
      <c r="A21" s="5">
        <v>22129</v>
      </c>
      <c r="B21">
        <v>305.2</v>
      </c>
    </row>
    <row r="22" spans="1:2" x14ac:dyDescent="0.25">
      <c r="A22" s="5">
        <v>22160</v>
      </c>
      <c r="B22">
        <v>307.8</v>
      </c>
    </row>
    <row r="23" spans="1:2" x14ac:dyDescent="0.25">
      <c r="A23" s="5">
        <v>22190</v>
      </c>
      <c r="B23">
        <v>309.89999999999998</v>
      </c>
    </row>
    <row r="24" spans="1:2" x14ac:dyDescent="0.25">
      <c r="A24" s="5">
        <v>22221</v>
      </c>
      <c r="B24">
        <v>311.7</v>
      </c>
    </row>
    <row r="25" spans="1:2" x14ac:dyDescent="0.25">
      <c r="A25" s="5">
        <v>22251</v>
      </c>
      <c r="B25">
        <v>315.3</v>
      </c>
    </row>
    <row r="26" spans="1:2" x14ac:dyDescent="0.25">
      <c r="A26" s="5">
        <v>22282</v>
      </c>
      <c r="B26">
        <v>317.5</v>
      </c>
    </row>
    <row r="27" spans="1:2" x14ac:dyDescent="0.25">
      <c r="A27" s="5">
        <v>22313</v>
      </c>
      <c r="B27">
        <v>316.60000000000002</v>
      </c>
    </row>
    <row r="28" spans="1:2" x14ac:dyDescent="0.25">
      <c r="A28" s="5">
        <v>22341</v>
      </c>
      <c r="B28">
        <v>317.2</v>
      </c>
    </row>
    <row r="29" spans="1:2" x14ac:dyDescent="0.25">
      <c r="A29" s="5">
        <v>22372</v>
      </c>
      <c r="B29">
        <v>320.2</v>
      </c>
    </row>
    <row r="30" spans="1:2" x14ac:dyDescent="0.25">
      <c r="A30" s="5">
        <v>22402</v>
      </c>
      <c r="B30">
        <v>320</v>
      </c>
    </row>
    <row r="31" spans="1:2" x14ac:dyDescent="0.25">
      <c r="A31" s="5">
        <v>22433</v>
      </c>
      <c r="B31">
        <v>322.7</v>
      </c>
    </row>
    <row r="32" spans="1:2" x14ac:dyDescent="0.25">
      <c r="A32" s="5">
        <v>22463</v>
      </c>
      <c r="B32">
        <v>324.89999999999998</v>
      </c>
    </row>
    <row r="33" spans="1:2" x14ac:dyDescent="0.25">
      <c r="A33" s="5">
        <v>22494</v>
      </c>
      <c r="B33">
        <v>325.8</v>
      </c>
    </row>
    <row r="34" spans="1:2" x14ac:dyDescent="0.25">
      <c r="A34" s="5">
        <v>22525</v>
      </c>
      <c r="B34">
        <v>328.8</v>
      </c>
    </row>
    <row r="35" spans="1:2" x14ac:dyDescent="0.25">
      <c r="A35" s="5">
        <v>22555</v>
      </c>
      <c r="B35">
        <v>331.5</v>
      </c>
    </row>
    <row r="36" spans="1:2" x14ac:dyDescent="0.25">
      <c r="A36" s="5">
        <v>22586</v>
      </c>
      <c r="B36">
        <v>334.1</v>
      </c>
    </row>
    <row r="37" spans="1:2" x14ac:dyDescent="0.25">
      <c r="A37" s="5">
        <v>22616</v>
      </c>
      <c r="B37">
        <v>338.5</v>
      </c>
    </row>
    <row r="38" spans="1:2" x14ac:dyDescent="0.25">
      <c r="A38" s="5">
        <v>22647</v>
      </c>
      <c r="B38">
        <v>341.1</v>
      </c>
    </row>
    <row r="39" spans="1:2" x14ac:dyDescent="0.25">
      <c r="A39" s="5">
        <v>22678</v>
      </c>
      <c r="B39">
        <v>340.3</v>
      </c>
    </row>
    <row r="40" spans="1:2" x14ac:dyDescent="0.25">
      <c r="A40" s="5">
        <v>22706</v>
      </c>
      <c r="B40">
        <v>342.1</v>
      </c>
    </row>
    <row r="41" spans="1:2" x14ac:dyDescent="0.25">
      <c r="A41" s="5">
        <v>22737</v>
      </c>
      <c r="B41">
        <v>346</v>
      </c>
    </row>
    <row r="42" spans="1:2" x14ac:dyDescent="0.25">
      <c r="A42" s="5">
        <v>22767</v>
      </c>
      <c r="B42">
        <v>345</v>
      </c>
    </row>
    <row r="43" spans="1:2" x14ac:dyDescent="0.25">
      <c r="A43" s="5">
        <v>22798</v>
      </c>
      <c r="B43">
        <v>347.7</v>
      </c>
    </row>
    <row r="44" spans="1:2" x14ac:dyDescent="0.25">
      <c r="A44" s="5">
        <v>22828</v>
      </c>
      <c r="B44">
        <v>350.1</v>
      </c>
    </row>
    <row r="45" spans="1:2" x14ac:dyDescent="0.25">
      <c r="A45" s="5">
        <v>22859</v>
      </c>
      <c r="B45">
        <v>350.9</v>
      </c>
    </row>
    <row r="46" spans="1:2" x14ac:dyDescent="0.25">
      <c r="A46" s="5">
        <v>22890</v>
      </c>
      <c r="B46">
        <v>353.9</v>
      </c>
    </row>
    <row r="47" spans="1:2" x14ac:dyDescent="0.25">
      <c r="A47" s="5">
        <v>22920</v>
      </c>
      <c r="B47">
        <v>357.5</v>
      </c>
    </row>
    <row r="48" spans="1:2" x14ac:dyDescent="0.25">
      <c r="A48" s="5">
        <v>22951</v>
      </c>
      <c r="B48">
        <v>360.5</v>
      </c>
    </row>
    <row r="49" spans="1:2" x14ac:dyDescent="0.25">
      <c r="A49" s="5">
        <v>22981</v>
      </c>
      <c r="B49">
        <v>365.8</v>
      </c>
    </row>
    <row r="50" spans="1:2" x14ac:dyDescent="0.25">
      <c r="A50" s="5">
        <v>23012</v>
      </c>
      <c r="B50">
        <v>369.1</v>
      </c>
    </row>
    <row r="51" spans="1:2" x14ac:dyDescent="0.25">
      <c r="A51" s="5">
        <v>23043</v>
      </c>
      <c r="B51">
        <v>368</v>
      </c>
    </row>
    <row r="52" spans="1:2" x14ac:dyDescent="0.25">
      <c r="A52" s="5">
        <v>23071</v>
      </c>
      <c r="B52">
        <v>369.8</v>
      </c>
    </row>
    <row r="53" spans="1:2" x14ac:dyDescent="0.25">
      <c r="A53" s="5">
        <v>23102</v>
      </c>
      <c r="B53">
        <v>373.8</v>
      </c>
    </row>
    <row r="54" spans="1:2" x14ac:dyDescent="0.25">
      <c r="A54" s="5">
        <v>23132</v>
      </c>
      <c r="B54">
        <v>373.4</v>
      </c>
    </row>
    <row r="55" spans="1:2" x14ac:dyDescent="0.25">
      <c r="A55" s="5">
        <v>23163</v>
      </c>
      <c r="B55">
        <v>376.7</v>
      </c>
    </row>
    <row r="56" spans="1:2" x14ac:dyDescent="0.25">
      <c r="A56" s="5">
        <v>23193</v>
      </c>
      <c r="B56">
        <v>380.2</v>
      </c>
    </row>
    <row r="57" spans="1:2" x14ac:dyDescent="0.25">
      <c r="A57" s="5">
        <v>23224</v>
      </c>
      <c r="B57">
        <v>381.5</v>
      </c>
    </row>
    <row r="58" spans="1:2" x14ac:dyDescent="0.25">
      <c r="A58" s="5">
        <v>23255</v>
      </c>
      <c r="B58">
        <v>384.9</v>
      </c>
    </row>
    <row r="59" spans="1:2" x14ac:dyDescent="0.25">
      <c r="A59" s="5">
        <v>23285</v>
      </c>
      <c r="B59">
        <v>388.8</v>
      </c>
    </row>
    <row r="60" spans="1:2" x14ac:dyDescent="0.25">
      <c r="A60" s="5">
        <v>23316</v>
      </c>
      <c r="B60">
        <v>392.3</v>
      </c>
    </row>
    <row r="61" spans="1:2" x14ac:dyDescent="0.25">
      <c r="A61" s="5">
        <v>23346</v>
      </c>
      <c r="B61">
        <v>396.4</v>
      </c>
    </row>
    <row r="62" spans="1:2" x14ac:dyDescent="0.25">
      <c r="A62" s="5">
        <v>23377</v>
      </c>
      <c r="B62">
        <v>399.5</v>
      </c>
    </row>
    <row r="63" spans="1:2" x14ac:dyDescent="0.25">
      <c r="A63" s="5">
        <v>23408</v>
      </c>
      <c r="B63">
        <v>397.6</v>
      </c>
    </row>
    <row r="64" spans="1:2" x14ac:dyDescent="0.25">
      <c r="A64" s="5">
        <v>23437</v>
      </c>
      <c r="B64">
        <v>398.9</v>
      </c>
    </row>
    <row r="65" spans="1:2" x14ac:dyDescent="0.25">
      <c r="A65" s="5">
        <v>23468</v>
      </c>
      <c r="B65">
        <v>402.4</v>
      </c>
    </row>
    <row r="66" spans="1:2" x14ac:dyDescent="0.25">
      <c r="A66" s="5">
        <v>23498</v>
      </c>
      <c r="B66">
        <v>401.3</v>
      </c>
    </row>
    <row r="67" spans="1:2" x14ac:dyDescent="0.25">
      <c r="A67" s="5">
        <v>23529</v>
      </c>
      <c r="B67">
        <v>405.3</v>
      </c>
    </row>
    <row r="68" spans="1:2" x14ac:dyDescent="0.25">
      <c r="A68" s="5">
        <v>23559</v>
      </c>
      <c r="B68">
        <v>409.3</v>
      </c>
    </row>
    <row r="69" spans="1:2" x14ac:dyDescent="0.25">
      <c r="A69" s="5">
        <v>23590</v>
      </c>
      <c r="B69">
        <v>411.1</v>
      </c>
    </row>
    <row r="70" spans="1:2" x14ac:dyDescent="0.25">
      <c r="A70" s="5">
        <v>23621</v>
      </c>
      <c r="B70">
        <v>415.7</v>
      </c>
    </row>
    <row r="71" spans="1:2" x14ac:dyDescent="0.25">
      <c r="A71" s="5">
        <v>23651</v>
      </c>
      <c r="B71">
        <v>419.9</v>
      </c>
    </row>
    <row r="72" spans="1:2" x14ac:dyDescent="0.25">
      <c r="A72" s="5">
        <v>23682</v>
      </c>
      <c r="B72">
        <v>422.9</v>
      </c>
    </row>
    <row r="73" spans="1:2" x14ac:dyDescent="0.25">
      <c r="A73" s="5">
        <v>23712</v>
      </c>
      <c r="B73">
        <v>428.3</v>
      </c>
    </row>
    <row r="74" spans="1:2" x14ac:dyDescent="0.25">
      <c r="A74" s="5">
        <v>23743</v>
      </c>
      <c r="B74">
        <v>432.3</v>
      </c>
    </row>
    <row r="75" spans="1:2" x14ac:dyDescent="0.25">
      <c r="A75" s="5">
        <v>23774</v>
      </c>
      <c r="B75">
        <v>430.1</v>
      </c>
    </row>
    <row r="76" spans="1:2" x14ac:dyDescent="0.25">
      <c r="A76" s="5">
        <v>23802</v>
      </c>
      <c r="B76">
        <v>432.2</v>
      </c>
    </row>
    <row r="77" spans="1:2" x14ac:dyDescent="0.25">
      <c r="A77" s="5">
        <v>23833</v>
      </c>
      <c r="B77">
        <v>436.2</v>
      </c>
    </row>
    <row r="78" spans="1:2" x14ac:dyDescent="0.25">
      <c r="A78" s="5">
        <v>23863</v>
      </c>
      <c r="B78">
        <v>433.7</v>
      </c>
    </row>
    <row r="79" spans="1:2" x14ac:dyDescent="0.25">
      <c r="A79" s="5">
        <v>23894</v>
      </c>
      <c r="B79">
        <v>438.4</v>
      </c>
    </row>
    <row r="80" spans="1:2" x14ac:dyDescent="0.25">
      <c r="A80" s="5">
        <v>23924</v>
      </c>
      <c r="B80">
        <v>442.1</v>
      </c>
    </row>
    <row r="81" spans="1:2" x14ac:dyDescent="0.25">
      <c r="A81" s="5">
        <v>23955</v>
      </c>
      <c r="B81">
        <v>443.3</v>
      </c>
    </row>
    <row r="82" spans="1:2" x14ac:dyDescent="0.25">
      <c r="A82" s="5">
        <v>23986</v>
      </c>
      <c r="B82">
        <v>448.4</v>
      </c>
    </row>
    <row r="83" spans="1:2" x14ac:dyDescent="0.25">
      <c r="A83" s="5">
        <v>24016</v>
      </c>
      <c r="B83">
        <v>453.6</v>
      </c>
    </row>
    <row r="84" spans="1:2" x14ac:dyDescent="0.25">
      <c r="A84" s="5">
        <v>24047</v>
      </c>
      <c r="B84">
        <v>456.7</v>
      </c>
    </row>
    <row r="85" spans="1:2" x14ac:dyDescent="0.25">
      <c r="A85" s="5">
        <v>24077</v>
      </c>
      <c r="B85">
        <v>463.1</v>
      </c>
    </row>
    <row r="86" spans="1:2" x14ac:dyDescent="0.25">
      <c r="A86" s="5">
        <v>24108</v>
      </c>
      <c r="B86">
        <v>467.1</v>
      </c>
    </row>
    <row r="87" spans="1:2" x14ac:dyDescent="0.25">
      <c r="A87" s="5">
        <v>24139</v>
      </c>
      <c r="B87">
        <v>463.7</v>
      </c>
    </row>
    <row r="88" spans="1:2" x14ac:dyDescent="0.25">
      <c r="A88" s="5">
        <v>24167</v>
      </c>
      <c r="B88">
        <v>465.9</v>
      </c>
    </row>
    <row r="89" spans="1:2" x14ac:dyDescent="0.25">
      <c r="A89" s="5">
        <v>24198</v>
      </c>
      <c r="B89">
        <v>470.1</v>
      </c>
    </row>
    <row r="90" spans="1:2" x14ac:dyDescent="0.25">
      <c r="A90" s="5">
        <v>24228</v>
      </c>
      <c r="B90">
        <v>466.2</v>
      </c>
    </row>
    <row r="91" spans="1:2" x14ac:dyDescent="0.25">
      <c r="A91" s="5">
        <v>24259</v>
      </c>
      <c r="B91">
        <v>469.6</v>
      </c>
    </row>
    <row r="92" spans="1:2" x14ac:dyDescent="0.25">
      <c r="A92" s="5">
        <v>24289</v>
      </c>
      <c r="B92">
        <v>470.3</v>
      </c>
    </row>
    <row r="93" spans="1:2" x14ac:dyDescent="0.25">
      <c r="A93" s="5">
        <v>24320</v>
      </c>
      <c r="B93">
        <v>470.1</v>
      </c>
    </row>
    <row r="94" spans="1:2" x14ac:dyDescent="0.25">
      <c r="A94" s="5">
        <v>24351</v>
      </c>
      <c r="B94">
        <v>474.6</v>
      </c>
    </row>
    <row r="95" spans="1:2" x14ac:dyDescent="0.25">
      <c r="A95" s="5">
        <v>24381</v>
      </c>
      <c r="B95">
        <v>476.9</v>
      </c>
    </row>
    <row r="96" spans="1:2" x14ac:dyDescent="0.25">
      <c r="A96" s="5">
        <v>24412</v>
      </c>
      <c r="B96">
        <v>478.1</v>
      </c>
    </row>
    <row r="97" spans="1:2" x14ac:dyDescent="0.25">
      <c r="A97" s="5">
        <v>24442</v>
      </c>
      <c r="B97">
        <v>483.7</v>
      </c>
    </row>
    <row r="98" spans="1:2" x14ac:dyDescent="0.25">
      <c r="A98" s="5">
        <v>24473</v>
      </c>
      <c r="B98">
        <v>486.4</v>
      </c>
    </row>
    <row r="99" spans="1:2" x14ac:dyDescent="0.25">
      <c r="A99" s="5">
        <v>24504</v>
      </c>
      <c r="B99">
        <v>483.6</v>
      </c>
    </row>
    <row r="100" spans="1:2" x14ac:dyDescent="0.25">
      <c r="A100" s="5">
        <v>24532</v>
      </c>
      <c r="B100">
        <v>488.1</v>
      </c>
    </row>
    <row r="101" spans="1:2" x14ac:dyDescent="0.25">
      <c r="A101" s="5">
        <v>24563</v>
      </c>
      <c r="B101">
        <v>492.9</v>
      </c>
    </row>
    <row r="102" spans="1:2" x14ac:dyDescent="0.25">
      <c r="A102" s="5">
        <v>24593</v>
      </c>
      <c r="B102">
        <v>493.3</v>
      </c>
    </row>
    <row r="103" spans="1:2" x14ac:dyDescent="0.25">
      <c r="A103" s="5">
        <v>24624</v>
      </c>
      <c r="B103">
        <v>500.9</v>
      </c>
    </row>
    <row r="104" spans="1:2" x14ac:dyDescent="0.25">
      <c r="A104" s="5">
        <v>24654</v>
      </c>
      <c r="B104">
        <v>506.2</v>
      </c>
    </row>
    <row r="105" spans="1:2" x14ac:dyDescent="0.25">
      <c r="A105" s="5">
        <v>24685</v>
      </c>
      <c r="B105">
        <v>508.6</v>
      </c>
    </row>
    <row r="106" spans="1:2" x14ac:dyDescent="0.25">
      <c r="A106" s="5">
        <v>24716</v>
      </c>
      <c r="B106">
        <v>514.20000000000005</v>
      </c>
    </row>
    <row r="107" spans="1:2" x14ac:dyDescent="0.25">
      <c r="A107" s="5">
        <v>24746</v>
      </c>
      <c r="B107">
        <v>519.29999999999995</v>
      </c>
    </row>
    <row r="108" spans="1:2" x14ac:dyDescent="0.25">
      <c r="A108" s="5">
        <v>24777</v>
      </c>
      <c r="B108">
        <v>521.6</v>
      </c>
    </row>
    <row r="109" spans="1:2" x14ac:dyDescent="0.25">
      <c r="A109" s="5">
        <v>24807</v>
      </c>
      <c r="B109">
        <v>528</v>
      </c>
    </row>
    <row r="110" spans="1:2" x14ac:dyDescent="0.25">
      <c r="A110" s="5">
        <v>24838</v>
      </c>
      <c r="B110">
        <v>531.9</v>
      </c>
    </row>
    <row r="111" spans="1:2" x14ac:dyDescent="0.25">
      <c r="A111" s="5">
        <v>24869</v>
      </c>
      <c r="B111">
        <v>528.1</v>
      </c>
    </row>
    <row r="112" spans="1:2" x14ac:dyDescent="0.25">
      <c r="A112" s="5">
        <v>24898</v>
      </c>
      <c r="B112">
        <v>531.6</v>
      </c>
    </row>
    <row r="113" spans="1:2" x14ac:dyDescent="0.25">
      <c r="A113" s="5">
        <v>24929</v>
      </c>
      <c r="B113">
        <v>536.9</v>
      </c>
    </row>
    <row r="114" spans="1:2" x14ac:dyDescent="0.25">
      <c r="A114" s="5">
        <v>24959</v>
      </c>
      <c r="B114">
        <v>535.4</v>
      </c>
    </row>
    <row r="115" spans="1:2" x14ac:dyDescent="0.25">
      <c r="A115" s="5">
        <v>24990</v>
      </c>
      <c r="B115">
        <v>542.20000000000005</v>
      </c>
    </row>
    <row r="116" spans="1:2" x14ac:dyDescent="0.25">
      <c r="A116" s="5">
        <v>25020</v>
      </c>
      <c r="B116">
        <v>546.20000000000005</v>
      </c>
    </row>
    <row r="117" spans="1:2" x14ac:dyDescent="0.25">
      <c r="A117" s="5">
        <v>25051</v>
      </c>
      <c r="B117">
        <v>547.6</v>
      </c>
    </row>
    <row r="118" spans="1:2" x14ac:dyDescent="0.25">
      <c r="A118" s="5">
        <v>25082</v>
      </c>
      <c r="B118">
        <v>553.1</v>
      </c>
    </row>
    <row r="119" spans="1:2" x14ac:dyDescent="0.25">
      <c r="A119" s="5">
        <v>25112</v>
      </c>
      <c r="B119">
        <v>558.5</v>
      </c>
    </row>
    <row r="120" spans="1:2" x14ac:dyDescent="0.25">
      <c r="A120" s="5">
        <v>25143</v>
      </c>
      <c r="B120">
        <v>562.5</v>
      </c>
    </row>
    <row r="121" spans="1:2" x14ac:dyDescent="0.25">
      <c r="A121" s="5">
        <v>25173</v>
      </c>
      <c r="B121">
        <v>569.70000000000005</v>
      </c>
    </row>
    <row r="122" spans="1:2" x14ac:dyDescent="0.25">
      <c r="A122" s="5">
        <v>25204</v>
      </c>
      <c r="B122">
        <v>573.5</v>
      </c>
    </row>
    <row r="123" spans="1:2" x14ac:dyDescent="0.25">
      <c r="A123" s="5">
        <v>25235</v>
      </c>
      <c r="B123">
        <v>569.1</v>
      </c>
    </row>
    <row r="124" spans="1:2" x14ac:dyDescent="0.25">
      <c r="A124" s="5">
        <v>25263</v>
      </c>
      <c r="B124">
        <v>572.79999999999995</v>
      </c>
    </row>
    <row r="125" spans="1:2" x14ac:dyDescent="0.25">
      <c r="A125" s="5">
        <v>25294</v>
      </c>
      <c r="B125">
        <v>577.4</v>
      </c>
    </row>
    <row r="126" spans="1:2" x14ac:dyDescent="0.25">
      <c r="A126" s="5">
        <v>25324</v>
      </c>
      <c r="B126">
        <v>573.5</v>
      </c>
    </row>
    <row r="127" spans="1:2" x14ac:dyDescent="0.25">
      <c r="A127" s="5">
        <v>25355</v>
      </c>
      <c r="B127">
        <v>578.70000000000005</v>
      </c>
    </row>
    <row r="128" spans="1:2" x14ac:dyDescent="0.25">
      <c r="A128" s="5">
        <v>25385</v>
      </c>
      <c r="B128">
        <v>580.6</v>
      </c>
    </row>
    <row r="129" spans="1:2" x14ac:dyDescent="0.25">
      <c r="A129" s="5">
        <v>25416</v>
      </c>
      <c r="B129">
        <v>578.4</v>
      </c>
    </row>
    <row r="130" spans="1:2" x14ac:dyDescent="0.25">
      <c r="A130" s="5">
        <v>25447</v>
      </c>
      <c r="B130">
        <v>581.29999999999995</v>
      </c>
    </row>
    <row r="131" spans="1:2" x14ac:dyDescent="0.25">
      <c r="A131" s="5">
        <v>25477</v>
      </c>
      <c r="B131">
        <v>583.70000000000005</v>
      </c>
    </row>
    <row r="132" spans="1:2" x14ac:dyDescent="0.25">
      <c r="A132" s="5">
        <v>25508</v>
      </c>
      <c r="B132">
        <v>584.79999999999995</v>
      </c>
    </row>
    <row r="133" spans="1:2" x14ac:dyDescent="0.25">
      <c r="A133" s="5">
        <v>25538</v>
      </c>
      <c r="B133">
        <v>590.1</v>
      </c>
    </row>
    <row r="134" spans="1:2" x14ac:dyDescent="0.25">
      <c r="A134" s="5">
        <v>25569</v>
      </c>
      <c r="B134">
        <v>592</v>
      </c>
    </row>
    <row r="135" spans="1:2" x14ac:dyDescent="0.25">
      <c r="A135" s="5">
        <v>25600</v>
      </c>
      <c r="B135">
        <v>583.4</v>
      </c>
    </row>
    <row r="136" spans="1:2" x14ac:dyDescent="0.25">
      <c r="A136" s="5">
        <v>25628</v>
      </c>
      <c r="B136">
        <v>587.29999999999995</v>
      </c>
    </row>
    <row r="137" spans="1:2" x14ac:dyDescent="0.25">
      <c r="A137" s="5">
        <v>25659</v>
      </c>
      <c r="B137">
        <v>592.9</v>
      </c>
    </row>
    <row r="138" spans="1:2" x14ac:dyDescent="0.25">
      <c r="A138" s="5">
        <v>25689</v>
      </c>
      <c r="B138">
        <v>590.79999999999995</v>
      </c>
    </row>
    <row r="139" spans="1:2" x14ac:dyDescent="0.25">
      <c r="A139" s="5">
        <v>25720</v>
      </c>
      <c r="B139">
        <v>597.5</v>
      </c>
    </row>
    <row r="140" spans="1:2" x14ac:dyDescent="0.25">
      <c r="A140" s="5">
        <v>25750</v>
      </c>
      <c r="B140">
        <v>601.20000000000005</v>
      </c>
    </row>
    <row r="141" spans="1:2" x14ac:dyDescent="0.25">
      <c r="A141" s="5">
        <v>25781</v>
      </c>
      <c r="B141">
        <v>603</v>
      </c>
    </row>
    <row r="142" spans="1:2" x14ac:dyDescent="0.25">
      <c r="A142" s="5">
        <v>25812</v>
      </c>
      <c r="B142">
        <v>608.70000000000005</v>
      </c>
    </row>
    <row r="143" spans="1:2" x14ac:dyDescent="0.25">
      <c r="A143" s="5">
        <v>25842</v>
      </c>
      <c r="B143">
        <v>614</v>
      </c>
    </row>
    <row r="144" spans="1:2" x14ac:dyDescent="0.25">
      <c r="A144" s="5">
        <v>25873</v>
      </c>
      <c r="B144">
        <v>618.20000000000005</v>
      </c>
    </row>
    <row r="145" spans="1:2" x14ac:dyDescent="0.25">
      <c r="A145" s="5">
        <v>25903</v>
      </c>
      <c r="B145">
        <v>627.79999999999995</v>
      </c>
    </row>
    <row r="146" spans="1:2" x14ac:dyDescent="0.25">
      <c r="A146" s="5">
        <v>25934</v>
      </c>
      <c r="B146">
        <v>635.5</v>
      </c>
    </row>
    <row r="147" spans="1:2" x14ac:dyDescent="0.25">
      <c r="A147" s="5">
        <v>25965</v>
      </c>
      <c r="B147">
        <v>638</v>
      </c>
    </row>
    <row r="148" spans="1:2" x14ac:dyDescent="0.25">
      <c r="A148" s="5">
        <v>25993</v>
      </c>
      <c r="B148">
        <v>650</v>
      </c>
    </row>
    <row r="149" spans="1:2" x14ac:dyDescent="0.25">
      <c r="A149" s="5">
        <v>26024</v>
      </c>
      <c r="B149">
        <v>663.5</v>
      </c>
    </row>
    <row r="150" spans="1:2" x14ac:dyDescent="0.25">
      <c r="A150" s="5">
        <v>26054</v>
      </c>
      <c r="B150">
        <v>666.1</v>
      </c>
    </row>
    <row r="151" spans="1:2" x14ac:dyDescent="0.25">
      <c r="A151" s="5">
        <v>26085</v>
      </c>
      <c r="B151">
        <v>675.9</v>
      </c>
    </row>
    <row r="152" spans="1:2" x14ac:dyDescent="0.25">
      <c r="A152" s="5">
        <v>26115</v>
      </c>
      <c r="B152">
        <v>682.3</v>
      </c>
    </row>
    <row r="153" spans="1:2" x14ac:dyDescent="0.25">
      <c r="A153" s="5">
        <v>26146</v>
      </c>
      <c r="B153">
        <v>683.7</v>
      </c>
    </row>
    <row r="154" spans="1:2" x14ac:dyDescent="0.25">
      <c r="A154" s="5">
        <v>26177</v>
      </c>
      <c r="B154">
        <v>689.7</v>
      </c>
    </row>
    <row r="155" spans="1:2" x14ac:dyDescent="0.25">
      <c r="A155" s="5">
        <v>26207</v>
      </c>
      <c r="B155">
        <v>695.6</v>
      </c>
    </row>
    <row r="156" spans="1:2" x14ac:dyDescent="0.25">
      <c r="A156" s="5">
        <v>26238</v>
      </c>
      <c r="B156">
        <v>701.2</v>
      </c>
    </row>
    <row r="157" spans="1:2" x14ac:dyDescent="0.25">
      <c r="A157" s="5">
        <v>26268</v>
      </c>
      <c r="B157">
        <v>711.2</v>
      </c>
    </row>
    <row r="158" spans="1:2" x14ac:dyDescent="0.25">
      <c r="A158" s="5">
        <v>26299</v>
      </c>
      <c r="B158">
        <v>720</v>
      </c>
    </row>
    <row r="159" spans="1:2" x14ac:dyDescent="0.25">
      <c r="A159" s="5">
        <v>26330</v>
      </c>
      <c r="B159">
        <v>722.2</v>
      </c>
    </row>
    <row r="160" spans="1:2" x14ac:dyDescent="0.25">
      <c r="A160" s="5">
        <v>26359</v>
      </c>
      <c r="B160">
        <v>733.7</v>
      </c>
    </row>
    <row r="161" spans="1:2" x14ac:dyDescent="0.25">
      <c r="A161" s="5">
        <v>26390</v>
      </c>
      <c r="B161">
        <v>743.8</v>
      </c>
    </row>
    <row r="162" spans="1:2" x14ac:dyDescent="0.25">
      <c r="A162" s="5">
        <v>26420</v>
      </c>
      <c r="B162">
        <v>742.6</v>
      </c>
    </row>
    <row r="163" spans="1:2" x14ac:dyDescent="0.25">
      <c r="A163" s="5">
        <v>26451</v>
      </c>
      <c r="B163">
        <v>753.2</v>
      </c>
    </row>
    <row r="164" spans="1:2" x14ac:dyDescent="0.25">
      <c r="A164" s="5">
        <v>26481</v>
      </c>
      <c r="B164">
        <v>763</v>
      </c>
    </row>
    <row r="165" spans="1:2" x14ac:dyDescent="0.25">
      <c r="A165" s="5">
        <v>26512</v>
      </c>
      <c r="B165">
        <v>767</v>
      </c>
    </row>
    <row r="166" spans="1:2" x14ac:dyDescent="0.25">
      <c r="A166" s="5">
        <v>26543</v>
      </c>
      <c r="B166">
        <v>775.2</v>
      </c>
    </row>
    <row r="167" spans="1:2" x14ac:dyDescent="0.25">
      <c r="A167" s="5">
        <v>26573</v>
      </c>
      <c r="B167">
        <v>783.6</v>
      </c>
    </row>
    <row r="168" spans="1:2" x14ac:dyDescent="0.25">
      <c r="A168" s="5">
        <v>26604</v>
      </c>
      <c r="B168">
        <v>790.2</v>
      </c>
    </row>
    <row r="169" spans="1:2" x14ac:dyDescent="0.25">
      <c r="A169" s="5">
        <v>26634</v>
      </c>
      <c r="B169">
        <v>803.1</v>
      </c>
    </row>
    <row r="170" spans="1:2" x14ac:dyDescent="0.25">
      <c r="A170" s="5">
        <v>26665</v>
      </c>
      <c r="B170">
        <v>812.3</v>
      </c>
    </row>
    <row r="171" spans="1:2" x14ac:dyDescent="0.25">
      <c r="A171" s="5">
        <v>26696</v>
      </c>
      <c r="B171">
        <v>810.1</v>
      </c>
    </row>
    <row r="172" spans="1:2" x14ac:dyDescent="0.25">
      <c r="A172" s="5">
        <v>26724</v>
      </c>
      <c r="B172">
        <v>815.6</v>
      </c>
    </row>
    <row r="173" spans="1:2" x14ac:dyDescent="0.25">
      <c r="A173" s="5">
        <v>26755</v>
      </c>
      <c r="B173">
        <v>825.4</v>
      </c>
    </row>
    <row r="174" spans="1:2" x14ac:dyDescent="0.25">
      <c r="A174" s="5">
        <v>26785</v>
      </c>
      <c r="B174">
        <v>825.8</v>
      </c>
    </row>
    <row r="175" spans="1:2" x14ac:dyDescent="0.25">
      <c r="A175" s="5">
        <v>26816</v>
      </c>
      <c r="B175">
        <v>837.2</v>
      </c>
    </row>
    <row r="176" spans="1:2" x14ac:dyDescent="0.25">
      <c r="A176" s="5">
        <v>26846</v>
      </c>
      <c r="B176">
        <v>840.7</v>
      </c>
    </row>
    <row r="177" spans="1:2" x14ac:dyDescent="0.25">
      <c r="A177" s="5">
        <v>26877</v>
      </c>
      <c r="B177">
        <v>837.4</v>
      </c>
    </row>
    <row r="178" spans="1:2" x14ac:dyDescent="0.25">
      <c r="A178" s="5">
        <v>26908</v>
      </c>
      <c r="B178">
        <v>836</v>
      </c>
    </row>
    <row r="179" spans="1:2" x14ac:dyDescent="0.25">
      <c r="A179" s="5">
        <v>26938</v>
      </c>
      <c r="B179">
        <v>839.3</v>
      </c>
    </row>
    <row r="180" spans="1:2" x14ac:dyDescent="0.25">
      <c r="A180" s="5">
        <v>26969</v>
      </c>
      <c r="B180">
        <v>845.3</v>
      </c>
    </row>
    <row r="181" spans="1:2" x14ac:dyDescent="0.25">
      <c r="A181" s="5">
        <v>26999</v>
      </c>
      <c r="B181">
        <v>856.5</v>
      </c>
    </row>
    <row r="182" spans="1:2" x14ac:dyDescent="0.25">
      <c r="A182" s="5">
        <v>27030</v>
      </c>
      <c r="B182">
        <v>861.5</v>
      </c>
    </row>
    <row r="183" spans="1:2" x14ac:dyDescent="0.25">
      <c r="A183" s="5">
        <v>27061</v>
      </c>
      <c r="B183">
        <v>859.8</v>
      </c>
    </row>
    <row r="184" spans="1:2" x14ac:dyDescent="0.25">
      <c r="A184" s="5">
        <v>27089</v>
      </c>
      <c r="B184">
        <v>869.9</v>
      </c>
    </row>
    <row r="185" spans="1:2" x14ac:dyDescent="0.25">
      <c r="A185" s="5">
        <v>27120</v>
      </c>
      <c r="B185">
        <v>878.6</v>
      </c>
    </row>
    <row r="186" spans="1:2" x14ac:dyDescent="0.25">
      <c r="A186" s="5">
        <v>27150</v>
      </c>
      <c r="B186">
        <v>873.4</v>
      </c>
    </row>
    <row r="187" spans="1:2" x14ac:dyDescent="0.25">
      <c r="A187" s="5">
        <v>27181</v>
      </c>
      <c r="B187">
        <v>881.9</v>
      </c>
    </row>
    <row r="188" spans="1:2" x14ac:dyDescent="0.25">
      <c r="A188" s="5">
        <v>27211</v>
      </c>
      <c r="B188">
        <v>886</v>
      </c>
    </row>
    <row r="189" spans="1:2" x14ac:dyDescent="0.25">
      <c r="A189" s="5">
        <v>27242</v>
      </c>
      <c r="B189">
        <v>882.9</v>
      </c>
    </row>
    <row r="190" spans="1:2" x14ac:dyDescent="0.25">
      <c r="A190" s="5">
        <v>27273</v>
      </c>
      <c r="B190">
        <v>884.7</v>
      </c>
    </row>
    <row r="191" spans="1:2" x14ac:dyDescent="0.25">
      <c r="A191" s="5">
        <v>27303</v>
      </c>
      <c r="B191">
        <v>890.4</v>
      </c>
    </row>
    <row r="192" spans="1:2" x14ac:dyDescent="0.25">
      <c r="A192" s="5">
        <v>27334</v>
      </c>
      <c r="B192">
        <v>895.4</v>
      </c>
    </row>
    <row r="193" spans="1:2" x14ac:dyDescent="0.25">
      <c r="A193" s="5">
        <v>27364</v>
      </c>
      <c r="B193">
        <v>903.5</v>
      </c>
    </row>
    <row r="194" spans="1:2" x14ac:dyDescent="0.25">
      <c r="A194" s="5">
        <v>27395</v>
      </c>
      <c r="B194">
        <v>908</v>
      </c>
    </row>
    <row r="195" spans="1:2" x14ac:dyDescent="0.25">
      <c r="A195" s="5">
        <v>27426</v>
      </c>
      <c r="B195">
        <v>908.7</v>
      </c>
    </row>
    <row r="196" spans="1:2" x14ac:dyDescent="0.25">
      <c r="A196" s="5">
        <v>27454</v>
      </c>
      <c r="B196">
        <v>924.4</v>
      </c>
    </row>
    <row r="197" spans="1:2" x14ac:dyDescent="0.25">
      <c r="A197" s="5">
        <v>27485</v>
      </c>
      <c r="B197">
        <v>941.1</v>
      </c>
    </row>
    <row r="198" spans="1:2" x14ac:dyDescent="0.25">
      <c r="A198" s="5">
        <v>27515</v>
      </c>
      <c r="B198">
        <v>946.2</v>
      </c>
    </row>
    <row r="199" spans="1:2" x14ac:dyDescent="0.25">
      <c r="A199" s="5">
        <v>27546</v>
      </c>
      <c r="B199">
        <v>966.9</v>
      </c>
    </row>
    <row r="200" spans="1:2" x14ac:dyDescent="0.25">
      <c r="A200" s="5">
        <v>27576</v>
      </c>
      <c r="B200">
        <v>979.7</v>
      </c>
    </row>
    <row r="201" spans="1:2" x14ac:dyDescent="0.25">
      <c r="A201" s="5">
        <v>27607</v>
      </c>
      <c r="B201">
        <v>982.4</v>
      </c>
    </row>
    <row r="202" spans="1:2" x14ac:dyDescent="0.25">
      <c r="A202" s="5">
        <v>27638</v>
      </c>
      <c r="B202">
        <v>988.4</v>
      </c>
    </row>
    <row r="203" spans="1:2" x14ac:dyDescent="0.25">
      <c r="A203" s="5">
        <v>27668</v>
      </c>
      <c r="B203">
        <v>995.6</v>
      </c>
    </row>
    <row r="204" spans="1:2" x14ac:dyDescent="0.25">
      <c r="A204" s="5">
        <v>27699</v>
      </c>
      <c r="B204">
        <v>1004.8</v>
      </c>
    </row>
    <row r="205" spans="1:2" x14ac:dyDescent="0.25">
      <c r="A205" s="5">
        <v>27729</v>
      </c>
      <c r="B205">
        <v>1017.8</v>
      </c>
    </row>
    <row r="206" spans="1:2" x14ac:dyDescent="0.25">
      <c r="A206" s="5">
        <v>27760</v>
      </c>
      <c r="B206">
        <v>1028.3</v>
      </c>
    </row>
    <row r="207" spans="1:2" x14ac:dyDescent="0.25">
      <c r="A207" s="5">
        <v>27791</v>
      </c>
      <c r="B207">
        <v>1034.2</v>
      </c>
    </row>
    <row r="208" spans="1:2" x14ac:dyDescent="0.25">
      <c r="A208" s="5">
        <v>27820</v>
      </c>
      <c r="B208">
        <v>1047.7</v>
      </c>
    </row>
    <row r="209" spans="1:2" x14ac:dyDescent="0.25">
      <c r="A209" s="5">
        <v>27851</v>
      </c>
      <c r="B209">
        <v>1066.9000000000001</v>
      </c>
    </row>
    <row r="210" spans="1:2" x14ac:dyDescent="0.25">
      <c r="A210" s="5">
        <v>27881</v>
      </c>
      <c r="B210">
        <v>1070.3</v>
      </c>
    </row>
    <row r="211" spans="1:2" x14ac:dyDescent="0.25">
      <c r="A211" s="5">
        <v>27912</v>
      </c>
      <c r="B211">
        <v>1080.8</v>
      </c>
    </row>
    <row r="212" spans="1:2" x14ac:dyDescent="0.25">
      <c r="A212" s="5">
        <v>27942</v>
      </c>
      <c r="B212">
        <v>1091.5999999999999</v>
      </c>
    </row>
    <row r="213" spans="1:2" x14ac:dyDescent="0.25">
      <c r="A213" s="5">
        <v>27973</v>
      </c>
      <c r="B213">
        <v>1097.3</v>
      </c>
    </row>
    <row r="214" spans="1:2" x14ac:dyDescent="0.25">
      <c r="A214" s="5">
        <v>28004</v>
      </c>
      <c r="B214">
        <v>1108.4000000000001</v>
      </c>
    </row>
    <row r="215" spans="1:2" x14ac:dyDescent="0.25">
      <c r="A215" s="5">
        <v>28034</v>
      </c>
      <c r="B215">
        <v>1125.0999999999999</v>
      </c>
    </row>
    <row r="216" spans="1:2" x14ac:dyDescent="0.25">
      <c r="A216" s="5">
        <v>28065</v>
      </c>
      <c r="B216">
        <v>1135</v>
      </c>
    </row>
    <row r="217" spans="1:2" x14ac:dyDescent="0.25">
      <c r="A217" s="5">
        <v>28095</v>
      </c>
      <c r="B217">
        <v>1153.5</v>
      </c>
    </row>
    <row r="218" spans="1:2" x14ac:dyDescent="0.25">
      <c r="A218" s="5">
        <v>28126</v>
      </c>
      <c r="B218">
        <v>1167.5</v>
      </c>
    </row>
    <row r="219" spans="1:2" x14ac:dyDescent="0.25">
      <c r="A219" s="5">
        <v>28157</v>
      </c>
      <c r="B219">
        <v>1169.9000000000001</v>
      </c>
    </row>
    <row r="220" spans="1:2" x14ac:dyDescent="0.25">
      <c r="A220" s="5">
        <v>28185</v>
      </c>
      <c r="B220">
        <v>1185.3</v>
      </c>
    </row>
    <row r="221" spans="1:2" x14ac:dyDescent="0.25">
      <c r="A221" s="5">
        <v>28216</v>
      </c>
      <c r="B221">
        <v>1206.5999999999999</v>
      </c>
    </row>
    <row r="222" spans="1:2" x14ac:dyDescent="0.25">
      <c r="A222" s="5">
        <v>28246</v>
      </c>
      <c r="B222">
        <v>1205.5</v>
      </c>
    </row>
    <row r="223" spans="1:2" x14ac:dyDescent="0.25">
      <c r="A223" s="5">
        <v>28277</v>
      </c>
      <c r="B223">
        <v>1219.8</v>
      </c>
    </row>
    <row r="224" spans="1:2" x14ac:dyDescent="0.25">
      <c r="A224" s="5">
        <v>28307</v>
      </c>
      <c r="B224">
        <v>1232.9000000000001</v>
      </c>
    </row>
    <row r="225" spans="1:2" x14ac:dyDescent="0.25">
      <c r="A225" s="5">
        <v>28338</v>
      </c>
      <c r="B225">
        <v>1235.3</v>
      </c>
    </row>
    <row r="226" spans="1:2" x14ac:dyDescent="0.25">
      <c r="A226" s="5">
        <v>28369</v>
      </c>
      <c r="B226">
        <v>1244.7</v>
      </c>
    </row>
    <row r="227" spans="1:2" x14ac:dyDescent="0.25">
      <c r="A227" s="5">
        <v>28399</v>
      </c>
      <c r="B227">
        <v>1255.9000000000001</v>
      </c>
    </row>
    <row r="228" spans="1:2" x14ac:dyDescent="0.25">
      <c r="A228" s="5">
        <v>28430</v>
      </c>
      <c r="B228">
        <v>1260.2</v>
      </c>
    </row>
    <row r="229" spans="1:2" x14ac:dyDescent="0.25">
      <c r="A229" s="5">
        <v>28460</v>
      </c>
      <c r="B229">
        <v>1273</v>
      </c>
    </row>
    <row r="230" spans="1:2" x14ac:dyDescent="0.25">
      <c r="A230" s="5">
        <v>28491</v>
      </c>
      <c r="B230">
        <v>1282.3</v>
      </c>
    </row>
    <row r="231" spans="1:2" x14ac:dyDescent="0.25">
      <c r="A231" s="5">
        <v>28522</v>
      </c>
      <c r="B231">
        <v>1276.8</v>
      </c>
    </row>
    <row r="232" spans="1:2" x14ac:dyDescent="0.25">
      <c r="A232" s="5">
        <v>28550</v>
      </c>
      <c r="B232">
        <v>1288.2</v>
      </c>
    </row>
    <row r="233" spans="1:2" x14ac:dyDescent="0.25">
      <c r="A233" s="5">
        <v>28581</v>
      </c>
      <c r="B233">
        <v>1307.4000000000001</v>
      </c>
    </row>
    <row r="234" spans="1:2" x14ac:dyDescent="0.25">
      <c r="A234" s="5">
        <v>28611</v>
      </c>
      <c r="B234">
        <v>1304.8</v>
      </c>
    </row>
    <row r="235" spans="1:2" x14ac:dyDescent="0.25">
      <c r="A235" s="5">
        <v>28642</v>
      </c>
      <c r="B235">
        <v>1319</v>
      </c>
    </row>
    <row r="236" spans="1:2" x14ac:dyDescent="0.25">
      <c r="A236" s="5">
        <v>28672</v>
      </c>
      <c r="B236">
        <v>1330.1</v>
      </c>
    </row>
    <row r="237" spans="1:2" x14ac:dyDescent="0.25">
      <c r="A237" s="5">
        <v>28703</v>
      </c>
      <c r="B237">
        <v>1331.4</v>
      </c>
    </row>
    <row r="238" spans="1:2" x14ac:dyDescent="0.25">
      <c r="A238" s="5">
        <v>28734</v>
      </c>
      <c r="B238">
        <v>1344.7</v>
      </c>
    </row>
    <row r="239" spans="1:2" x14ac:dyDescent="0.25">
      <c r="A239" s="5">
        <v>28764</v>
      </c>
      <c r="B239">
        <v>1355.3</v>
      </c>
    </row>
    <row r="240" spans="1:2" x14ac:dyDescent="0.25">
      <c r="A240" s="5">
        <v>28795</v>
      </c>
      <c r="B240">
        <v>1358.1</v>
      </c>
    </row>
    <row r="241" spans="1:2" x14ac:dyDescent="0.25">
      <c r="A241" s="5">
        <v>28825</v>
      </c>
      <c r="B241">
        <v>1370.8</v>
      </c>
    </row>
    <row r="242" spans="1:2" x14ac:dyDescent="0.25">
      <c r="A242" s="5">
        <v>28856</v>
      </c>
      <c r="B242">
        <v>1375.2</v>
      </c>
    </row>
    <row r="243" spans="1:2" x14ac:dyDescent="0.25">
      <c r="A243" s="5">
        <v>28887</v>
      </c>
      <c r="B243">
        <v>1369.3</v>
      </c>
    </row>
    <row r="244" spans="1:2" x14ac:dyDescent="0.25">
      <c r="A244" s="5">
        <v>28915</v>
      </c>
      <c r="B244">
        <v>1384</v>
      </c>
    </row>
    <row r="245" spans="1:2" x14ac:dyDescent="0.25">
      <c r="A245" s="5">
        <v>28946</v>
      </c>
      <c r="B245">
        <v>1408.4</v>
      </c>
    </row>
    <row r="246" spans="1:2" x14ac:dyDescent="0.25">
      <c r="A246" s="5">
        <v>28976</v>
      </c>
      <c r="B246">
        <v>1402.7</v>
      </c>
    </row>
    <row r="247" spans="1:2" x14ac:dyDescent="0.25">
      <c r="A247" s="5">
        <v>29007</v>
      </c>
      <c r="B247">
        <v>1422.5</v>
      </c>
    </row>
    <row r="248" spans="1:2" x14ac:dyDescent="0.25">
      <c r="A248" s="5">
        <v>29037</v>
      </c>
      <c r="B248">
        <v>1439.3</v>
      </c>
    </row>
    <row r="249" spans="1:2" x14ac:dyDescent="0.25">
      <c r="A249" s="5">
        <v>29068</v>
      </c>
      <c r="B249">
        <v>1444.3</v>
      </c>
    </row>
    <row r="250" spans="1:2" x14ac:dyDescent="0.25">
      <c r="A250" s="5">
        <v>29099</v>
      </c>
      <c r="B250">
        <v>1454.5</v>
      </c>
    </row>
    <row r="251" spans="1:2" x14ac:dyDescent="0.25">
      <c r="A251" s="5">
        <v>29129</v>
      </c>
      <c r="B251">
        <v>1463.6</v>
      </c>
    </row>
    <row r="252" spans="1:2" x14ac:dyDescent="0.25">
      <c r="A252" s="5">
        <v>29160</v>
      </c>
      <c r="B252">
        <v>1466.4</v>
      </c>
    </row>
    <row r="253" spans="1:2" x14ac:dyDescent="0.25">
      <c r="A253" s="5">
        <v>29190</v>
      </c>
      <c r="B253">
        <v>1479</v>
      </c>
    </row>
    <row r="254" spans="1:2" x14ac:dyDescent="0.25">
      <c r="A254" s="5">
        <v>29221</v>
      </c>
      <c r="B254">
        <v>1486.2</v>
      </c>
    </row>
    <row r="255" spans="1:2" x14ac:dyDescent="0.25">
      <c r="A255" s="5">
        <v>29252</v>
      </c>
      <c r="B255">
        <v>1486.3</v>
      </c>
    </row>
    <row r="256" spans="1:2" x14ac:dyDescent="0.25">
      <c r="A256" s="5">
        <v>29281</v>
      </c>
      <c r="B256">
        <v>1497.2</v>
      </c>
    </row>
    <row r="257" spans="1:2" x14ac:dyDescent="0.25">
      <c r="A257" s="5">
        <v>29312</v>
      </c>
      <c r="B257">
        <v>1507.7</v>
      </c>
    </row>
    <row r="258" spans="1:2" x14ac:dyDescent="0.25">
      <c r="A258" s="5">
        <v>29342</v>
      </c>
      <c r="B258">
        <v>1504.2</v>
      </c>
    </row>
    <row r="259" spans="1:2" x14ac:dyDescent="0.25">
      <c r="A259" s="5">
        <v>29373</v>
      </c>
      <c r="B259">
        <v>1527.4</v>
      </c>
    </row>
    <row r="260" spans="1:2" x14ac:dyDescent="0.25">
      <c r="A260" s="5">
        <v>29403</v>
      </c>
      <c r="B260">
        <v>1549.1</v>
      </c>
    </row>
    <row r="261" spans="1:2" x14ac:dyDescent="0.25">
      <c r="A261" s="5">
        <v>29434</v>
      </c>
      <c r="B261">
        <v>1560.7</v>
      </c>
    </row>
    <row r="262" spans="1:2" x14ac:dyDescent="0.25">
      <c r="A262" s="5">
        <v>29465</v>
      </c>
      <c r="B262">
        <v>1573.1</v>
      </c>
    </row>
    <row r="263" spans="1:2" x14ac:dyDescent="0.25">
      <c r="A263" s="5">
        <v>29495</v>
      </c>
      <c r="B263">
        <v>1588.5</v>
      </c>
    </row>
    <row r="264" spans="1:2" x14ac:dyDescent="0.25">
      <c r="A264" s="5">
        <v>29526</v>
      </c>
      <c r="B264">
        <v>1599</v>
      </c>
    </row>
    <row r="265" spans="1:2" x14ac:dyDescent="0.25">
      <c r="A265" s="5">
        <v>29556</v>
      </c>
      <c r="B265">
        <v>1604.8</v>
      </c>
    </row>
    <row r="266" spans="1:2" x14ac:dyDescent="0.25">
      <c r="A266" s="5">
        <v>29587</v>
      </c>
      <c r="B266">
        <v>1610.6</v>
      </c>
    </row>
    <row r="267" spans="1:2" x14ac:dyDescent="0.25">
      <c r="A267" s="5">
        <v>29618</v>
      </c>
      <c r="B267">
        <v>1610.5</v>
      </c>
    </row>
    <row r="268" spans="1:2" x14ac:dyDescent="0.25">
      <c r="A268" s="5">
        <v>29646</v>
      </c>
      <c r="B268">
        <v>1633.2</v>
      </c>
    </row>
    <row r="269" spans="1:2" x14ac:dyDescent="0.25">
      <c r="A269" s="5">
        <v>29677</v>
      </c>
      <c r="B269">
        <v>1664.5</v>
      </c>
    </row>
    <row r="270" spans="1:2" x14ac:dyDescent="0.25">
      <c r="A270" s="5">
        <v>29707</v>
      </c>
      <c r="B270">
        <v>1655.4</v>
      </c>
    </row>
    <row r="271" spans="1:2" x14ac:dyDescent="0.25">
      <c r="A271" s="5">
        <v>29738</v>
      </c>
      <c r="B271">
        <v>1667.1</v>
      </c>
    </row>
    <row r="272" spans="1:2" x14ac:dyDescent="0.25">
      <c r="A272" s="5">
        <v>29768</v>
      </c>
      <c r="B272">
        <v>1685.1</v>
      </c>
    </row>
    <row r="273" spans="1:2" x14ac:dyDescent="0.25">
      <c r="A273" s="5">
        <v>29799</v>
      </c>
      <c r="B273">
        <v>1694.6</v>
      </c>
    </row>
    <row r="274" spans="1:2" x14ac:dyDescent="0.25">
      <c r="A274" s="5">
        <v>29830</v>
      </c>
      <c r="B274">
        <v>1706.4</v>
      </c>
    </row>
    <row r="275" spans="1:2" x14ac:dyDescent="0.25">
      <c r="A275" s="5">
        <v>29860</v>
      </c>
      <c r="B275">
        <v>1726.4</v>
      </c>
    </row>
    <row r="276" spans="1:2" x14ac:dyDescent="0.25">
      <c r="A276" s="5">
        <v>29891</v>
      </c>
      <c r="B276">
        <v>1741</v>
      </c>
    </row>
    <row r="277" spans="1:2" x14ac:dyDescent="0.25">
      <c r="A277" s="5">
        <v>29921</v>
      </c>
      <c r="B277">
        <v>1760.3</v>
      </c>
    </row>
    <row r="278" spans="1:2" x14ac:dyDescent="0.25">
      <c r="A278" s="5">
        <v>29952</v>
      </c>
      <c r="B278">
        <v>1772.8</v>
      </c>
    </row>
    <row r="279" spans="1:2" x14ac:dyDescent="0.25">
      <c r="A279" s="5">
        <v>29983</v>
      </c>
      <c r="B279">
        <v>1765.3</v>
      </c>
    </row>
    <row r="280" spans="1:2" x14ac:dyDescent="0.25">
      <c r="A280" s="5">
        <v>30011</v>
      </c>
      <c r="B280">
        <v>1781.7</v>
      </c>
    </row>
    <row r="281" spans="1:2" x14ac:dyDescent="0.25">
      <c r="A281" s="5">
        <v>30042</v>
      </c>
      <c r="B281">
        <v>1807.9</v>
      </c>
    </row>
    <row r="282" spans="1:2" x14ac:dyDescent="0.25">
      <c r="A282" s="5">
        <v>30072</v>
      </c>
      <c r="B282">
        <v>1804.9</v>
      </c>
    </row>
    <row r="283" spans="1:2" x14ac:dyDescent="0.25">
      <c r="A283" s="5">
        <v>30103</v>
      </c>
      <c r="B283">
        <v>1822.7</v>
      </c>
    </row>
    <row r="284" spans="1:2" x14ac:dyDescent="0.25">
      <c r="A284" s="5">
        <v>30133</v>
      </c>
      <c r="B284">
        <v>1835</v>
      </c>
    </row>
    <row r="285" spans="1:2" x14ac:dyDescent="0.25">
      <c r="A285" s="5">
        <v>30164</v>
      </c>
      <c r="B285">
        <v>1845.9</v>
      </c>
    </row>
    <row r="286" spans="1:2" x14ac:dyDescent="0.25">
      <c r="A286" s="5">
        <v>30195</v>
      </c>
      <c r="B286">
        <v>1859</v>
      </c>
    </row>
    <row r="287" spans="1:2" x14ac:dyDescent="0.25">
      <c r="A287" s="5">
        <v>30225</v>
      </c>
      <c r="B287">
        <v>1875.6</v>
      </c>
    </row>
    <row r="288" spans="1:2" x14ac:dyDescent="0.25">
      <c r="A288" s="5">
        <v>30256</v>
      </c>
      <c r="B288">
        <v>1890.1</v>
      </c>
    </row>
    <row r="289" spans="1:2" x14ac:dyDescent="0.25">
      <c r="A289" s="5">
        <v>30286</v>
      </c>
      <c r="B289">
        <v>1913.8</v>
      </c>
    </row>
    <row r="290" spans="1:2" x14ac:dyDescent="0.25">
      <c r="A290" s="5">
        <v>30317</v>
      </c>
      <c r="B290">
        <v>1963.9</v>
      </c>
    </row>
    <row r="291" spans="1:2" x14ac:dyDescent="0.25">
      <c r="A291" s="5">
        <v>30348</v>
      </c>
      <c r="B291">
        <v>1985.8</v>
      </c>
    </row>
    <row r="292" spans="1:2" x14ac:dyDescent="0.25">
      <c r="A292" s="5">
        <v>30376</v>
      </c>
      <c r="B292">
        <v>2009.6</v>
      </c>
    </row>
    <row r="293" spans="1:2" x14ac:dyDescent="0.25">
      <c r="A293" s="5">
        <v>30407</v>
      </c>
      <c r="B293">
        <v>2033.7</v>
      </c>
    </row>
    <row r="294" spans="1:2" x14ac:dyDescent="0.25">
      <c r="A294" s="5">
        <v>30437</v>
      </c>
      <c r="B294">
        <v>2031.7</v>
      </c>
    </row>
    <row r="295" spans="1:2" x14ac:dyDescent="0.25">
      <c r="A295" s="5">
        <v>30468</v>
      </c>
      <c r="B295">
        <v>2051.8000000000002</v>
      </c>
    </row>
    <row r="296" spans="1:2" x14ac:dyDescent="0.25">
      <c r="A296" s="5">
        <v>30498</v>
      </c>
      <c r="B296">
        <v>2069.6999999999998</v>
      </c>
    </row>
    <row r="297" spans="1:2" x14ac:dyDescent="0.25">
      <c r="A297" s="5">
        <v>30529</v>
      </c>
      <c r="B297">
        <v>2072.5</v>
      </c>
    </row>
    <row r="298" spans="1:2" x14ac:dyDescent="0.25">
      <c r="A298" s="5">
        <v>30560</v>
      </c>
      <c r="B298">
        <v>2081.1</v>
      </c>
    </row>
    <row r="299" spans="1:2" x14ac:dyDescent="0.25">
      <c r="A299" s="5">
        <v>30590</v>
      </c>
      <c r="B299">
        <v>2102.1</v>
      </c>
    </row>
    <row r="300" spans="1:2" x14ac:dyDescent="0.25">
      <c r="A300" s="5">
        <v>30621</v>
      </c>
      <c r="B300">
        <v>2117.6</v>
      </c>
    </row>
    <row r="301" spans="1:2" x14ac:dyDescent="0.25">
      <c r="A301" s="5">
        <v>30651</v>
      </c>
      <c r="B301">
        <v>2134</v>
      </c>
    </row>
    <row r="302" spans="1:2" x14ac:dyDescent="0.25">
      <c r="A302" s="5">
        <v>30682</v>
      </c>
      <c r="B302">
        <v>2145</v>
      </c>
    </row>
    <row r="303" spans="1:2" x14ac:dyDescent="0.25">
      <c r="A303" s="5">
        <v>30713</v>
      </c>
      <c r="B303">
        <v>2147.6999999999998</v>
      </c>
    </row>
    <row r="304" spans="1:2" x14ac:dyDescent="0.25">
      <c r="A304" s="5">
        <v>30742</v>
      </c>
      <c r="B304">
        <v>2169</v>
      </c>
    </row>
    <row r="305" spans="1:2" x14ac:dyDescent="0.25">
      <c r="A305" s="5">
        <v>30773</v>
      </c>
      <c r="B305">
        <v>2196</v>
      </c>
    </row>
    <row r="306" spans="1:2" x14ac:dyDescent="0.25">
      <c r="A306" s="5">
        <v>30803</v>
      </c>
      <c r="B306">
        <v>2191.4</v>
      </c>
    </row>
    <row r="307" spans="1:2" x14ac:dyDescent="0.25">
      <c r="A307" s="5">
        <v>30834</v>
      </c>
      <c r="B307">
        <v>2214.3000000000002</v>
      </c>
    </row>
    <row r="308" spans="1:2" x14ac:dyDescent="0.25">
      <c r="A308" s="5">
        <v>30864</v>
      </c>
      <c r="B308">
        <v>2228</v>
      </c>
    </row>
    <row r="309" spans="1:2" x14ac:dyDescent="0.25">
      <c r="A309" s="5">
        <v>30895</v>
      </c>
      <c r="B309">
        <v>2228.9</v>
      </c>
    </row>
    <row r="310" spans="1:2" x14ac:dyDescent="0.25">
      <c r="A310" s="5">
        <v>30926</v>
      </c>
      <c r="B310">
        <v>2242.8000000000002</v>
      </c>
    </row>
    <row r="311" spans="1:2" x14ac:dyDescent="0.25">
      <c r="A311" s="5">
        <v>30956</v>
      </c>
      <c r="B311">
        <v>2259.6999999999998</v>
      </c>
    </row>
    <row r="312" spans="1:2" x14ac:dyDescent="0.25">
      <c r="A312" s="5">
        <v>30987</v>
      </c>
      <c r="B312">
        <v>2286.3000000000002</v>
      </c>
    </row>
    <row r="313" spans="1:2" x14ac:dyDescent="0.25">
      <c r="A313" s="5">
        <v>31017</v>
      </c>
      <c r="B313">
        <v>2318.5</v>
      </c>
    </row>
    <row r="314" spans="1:2" x14ac:dyDescent="0.25">
      <c r="A314" s="5">
        <v>31048</v>
      </c>
      <c r="B314">
        <v>2339.6</v>
      </c>
    </row>
    <row r="315" spans="1:2" x14ac:dyDescent="0.25">
      <c r="A315" s="5">
        <v>31079</v>
      </c>
      <c r="B315">
        <v>2343.4</v>
      </c>
    </row>
    <row r="316" spans="1:2" x14ac:dyDescent="0.25">
      <c r="A316" s="5">
        <v>31107</v>
      </c>
      <c r="B316">
        <v>2360.4</v>
      </c>
    </row>
    <row r="317" spans="1:2" x14ac:dyDescent="0.25">
      <c r="A317" s="5">
        <v>31138</v>
      </c>
      <c r="B317">
        <v>2379.6999999999998</v>
      </c>
    </row>
    <row r="318" spans="1:2" x14ac:dyDescent="0.25">
      <c r="A318" s="5">
        <v>31168</v>
      </c>
      <c r="B318">
        <v>2376.4</v>
      </c>
    </row>
    <row r="319" spans="1:2" x14ac:dyDescent="0.25">
      <c r="A319" s="5">
        <v>31199</v>
      </c>
      <c r="B319">
        <v>2413.4</v>
      </c>
    </row>
    <row r="320" spans="1:2" x14ac:dyDescent="0.25">
      <c r="A320" s="5">
        <v>31229</v>
      </c>
      <c r="B320">
        <v>2434.8000000000002</v>
      </c>
    </row>
    <row r="321" spans="1:2" x14ac:dyDescent="0.25">
      <c r="A321" s="5">
        <v>31260</v>
      </c>
      <c r="B321">
        <v>2442.5</v>
      </c>
    </row>
    <row r="322" spans="1:2" x14ac:dyDescent="0.25">
      <c r="A322" s="5">
        <v>31291</v>
      </c>
      <c r="B322">
        <v>2452.6999999999998</v>
      </c>
    </row>
    <row r="323" spans="1:2" x14ac:dyDescent="0.25">
      <c r="A323" s="5">
        <v>31321</v>
      </c>
      <c r="B323">
        <v>2466.3000000000002</v>
      </c>
    </row>
    <row r="324" spans="1:2" x14ac:dyDescent="0.25">
      <c r="A324" s="5">
        <v>31352</v>
      </c>
      <c r="B324">
        <v>2482</v>
      </c>
    </row>
    <row r="325" spans="1:2" x14ac:dyDescent="0.25">
      <c r="A325" s="5">
        <v>31382</v>
      </c>
      <c r="B325">
        <v>2504.1</v>
      </c>
    </row>
    <row r="326" spans="1:2" x14ac:dyDescent="0.25">
      <c r="A326" s="5">
        <v>31413</v>
      </c>
      <c r="B326">
        <v>2510.8000000000002</v>
      </c>
    </row>
    <row r="327" spans="1:2" x14ac:dyDescent="0.25">
      <c r="A327" s="5">
        <v>31444</v>
      </c>
      <c r="B327">
        <v>2502.1</v>
      </c>
    </row>
    <row r="328" spans="1:2" x14ac:dyDescent="0.25">
      <c r="A328" s="5">
        <v>31472</v>
      </c>
      <c r="B328">
        <v>2527.6</v>
      </c>
    </row>
    <row r="329" spans="1:2" x14ac:dyDescent="0.25">
      <c r="A329" s="5">
        <v>31503</v>
      </c>
      <c r="B329">
        <v>2564.8000000000002</v>
      </c>
    </row>
    <row r="330" spans="1:2" x14ac:dyDescent="0.25">
      <c r="A330" s="5">
        <v>31533</v>
      </c>
      <c r="B330">
        <v>2571.1</v>
      </c>
    </row>
    <row r="331" spans="1:2" x14ac:dyDescent="0.25">
      <c r="A331" s="5">
        <v>31564</v>
      </c>
      <c r="B331">
        <v>2605.3000000000002</v>
      </c>
    </row>
    <row r="332" spans="1:2" x14ac:dyDescent="0.25">
      <c r="A332" s="5">
        <v>31594</v>
      </c>
      <c r="B332">
        <v>2632.4</v>
      </c>
    </row>
    <row r="333" spans="1:2" x14ac:dyDescent="0.25">
      <c r="A333" s="5">
        <v>31625</v>
      </c>
      <c r="B333">
        <v>2645.9</v>
      </c>
    </row>
    <row r="334" spans="1:2" x14ac:dyDescent="0.25">
      <c r="A334" s="5">
        <v>31656</v>
      </c>
      <c r="B334">
        <v>2661.7</v>
      </c>
    </row>
    <row r="335" spans="1:2" x14ac:dyDescent="0.25">
      <c r="A335" s="5">
        <v>31686</v>
      </c>
      <c r="B335">
        <v>2684.4</v>
      </c>
    </row>
    <row r="336" spans="1:2" x14ac:dyDescent="0.25">
      <c r="A336" s="5">
        <v>31717</v>
      </c>
      <c r="B336">
        <v>2705.2</v>
      </c>
    </row>
    <row r="337" spans="1:2" x14ac:dyDescent="0.25">
      <c r="A337" s="5">
        <v>31747</v>
      </c>
      <c r="B337">
        <v>2740.7</v>
      </c>
    </row>
    <row r="338" spans="1:2" x14ac:dyDescent="0.25">
      <c r="A338" s="5">
        <v>31778</v>
      </c>
      <c r="B338">
        <v>2753.5</v>
      </c>
    </row>
    <row r="339" spans="1:2" x14ac:dyDescent="0.25">
      <c r="A339" s="5">
        <v>31809</v>
      </c>
      <c r="B339">
        <v>2735.2</v>
      </c>
    </row>
    <row r="340" spans="1:2" x14ac:dyDescent="0.25">
      <c r="A340" s="5">
        <v>31837</v>
      </c>
      <c r="B340">
        <v>2748</v>
      </c>
    </row>
    <row r="341" spans="1:2" x14ac:dyDescent="0.25">
      <c r="A341" s="5">
        <v>31868</v>
      </c>
      <c r="B341">
        <v>2778.9</v>
      </c>
    </row>
    <row r="342" spans="1:2" x14ac:dyDescent="0.25">
      <c r="A342" s="5">
        <v>31898</v>
      </c>
      <c r="B342">
        <v>2759.7</v>
      </c>
    </row>
    <row r="343" spans="1:2" x14ac:dyDescent="0.25">
      <c r="A343" s="5">
        <v>31929</v>
      </c>
      <c r="B343">
        <v>2773.4</v>
      </c>
    </row>
    <row r="344" spans="1:2" x14ac:dyDescent="0.25">
      <c r="A344" s="5">
        <v>31959</v>
      </c>
      <c r="B344">
        <v>2785.2</v>
      </c>
    </row>
    <row r="345" spans="1:2" x14ac:dyDescent="0.25">
      <c r="A345" s="5">
        <v>31990</v>
      </c>
      <c r="B345">
        <v>2787.5</v>
      </c>
    </row>
    <row r="346" spans="1:2" x14ac:dyDescent="0.25">
      <c r="A346" s="5">
        <v>32021</v>
      </c>
      <c r="B346">
        <v>2793.3</v>
      </c>
    </row>
    <row r="347" spans="1:2" x14ac:dyDescent="0.25">
      <c r="A347" s="5">
        <v>32051</v>
      </c>
      <c r="B347">
        <v>2811.2</v>
      </c>
    </row>
    <row r="348" spans="1:2" x14ac:dyDescent="0.25">
      <c r="A348" s="5">
        <v>32082</v>
      </c>
      <c r="B348">
        <v>2821.6</v>
      </c>
    </row>
    <row r="349" spans="1:2" x14ac:dyDescent="0.25">
      <c r="A349" s="5">
        <v>32112</v>
      </c>
      <c r="B349">
        <v>2838.3</v>
      </c>
    </row>
    <row r="350" spans="1:2" x14ac:dyDescent="0.25">
      <c r="A350" s="5">
        <v>32143</v>
      </c>
      <c r="B350">
        <v>2857.2</v>
      </c>
    </row>
    <row r="351" spans="1:2" x14ac:dyDescent="0.25">
      <c r="A351" s="5">
        <v>32174</v>
      </c>
      <c r="B351">
        <v>2858.8</v>
      </c>
    </row>
    <row r="352" spans="1:2" x14ac:dyDescent="0.25">
      <c r="A352" s="5">
        <v>32203</v>
      </c>
      <c r="B352">
        <v>2886.7</v>
      </c>
    </row>
    <row r="353" spans="1:2" x14ac:dyDescent="0.25">
      <c r="A353" s="5">
        <v>32234</v>
      </c>
      <c r="B353">
        <v>2925.3</v>
      </c>
    </row>
    <row r="354" spans="1:2" x14ac:dyDescent="0.25">
      <c r="A354" s="5">
        <v>32264</v>
      </c>
      <c r="B354">
        <v>2910.7</v>
      </c>
    </row>
    <row r="355" spans="1:2" x14ac:dyDescent="0.25">
      <c r="A355" s="5">
        <v>32295</v>
      </c>
      <c r="B355">
        <v>2935.3</v>
      </c>
    </row>
    <row r="356" spans="1:2" x14ac:dyDescent="0.25">
      <c r="A356" s="5">
        <v>32325</v>
      </c>
      <c r="B356">
        <v>2953.2</v>
      </c>
    </row>
    <row r="357" spans="1:2" x14ac:dyDescent="0.25">
      <c r="A357" s="5">
        <v>32356</v>
      </c>
      <c r="B357">
        <v>2949.8</v>
      </c>
    </row>
    <row r="358" spans="1:2" x14ac:dyDescent="0.25">
      <c r="A358" s="5">
        <v>32387</v>
      </c>
      <c r="B358">
        <v>2950.1</v>
      </c>
    </row>
    <row r="359" spans="1:2" x14ac:dyDescent="0.25">
      <c r="A359" s="5">
        <v>32417</v>
      </c>
      <c r="B359">
        <v>2962</v>
      </c>
    </row>
    <row r="360" spans="1:2" x14ac:dyDescent="0.25">
      <c r="A360" s="5">
        <v>32448</v>
      </c>
      <c r="B360">
        <v>2982.7</v>
      </c>
    </row>
    <row r="361" spans="1:2" x14ac:dyDescent="0.25">
      <c r="A361" s="5">
        <v>32478</v>
      </c>
      <c r="B361">
        <v>3000.6</v>
      </c>
    </row>
    <row r="362" spans="1:2" x14ac:dyDescent="0.25">
      <c r="A362" s="5">
        <v>32509</v>
      </c>
      <c r="B362">
        <v>2998.9</v>
      </c>
    </row>
    <row r="363" spans="1:2" x14ac:dyDescent="0.25">
      <c r="A363" s="5">
        <v>32540</v>
      </c>
      <c r="B363">
        <v>2982.6</v>
      </c>
    </row>
    <row r="364" spans="1:2" x14ac:dyDescent="0.25">
      <c r="A364" s="5">
        <v>32568</v>
      </c>
      <c r="B364">
        <v>2999</v>
      </c>
    </row>
    <row r="365" spans="1:2" x14ac:dyDescent="0.25">
      <c r="A365" s="5">
        <v>32599</v>
      </c>
      <c r="B365">
        <v>3023.2</v>
      </c>
    </row>
    <row r="366" spans="1:2" x14ac:dyDescent="0.25">
      <c r="A366" s="5">
        <v>32629</v>
      </c>
      <c r="B366">
        <v>2996</v>
      </c>
    </row>
    <row r="367" spans="1:2" x14ac:dyDescent="0.25">
      <c r="A367" s="5">
        <v>32660</v>
      </c>
      <c r="B367">
        <v>3022.6</v>
      </c>
    </row>
    <row r="368" spans="1:2" x14ac:dyDescent="0.25">
      <c r="A368" s="5">
        <v>32690</v>
      </c>
      <c r="B368">
        <v>3055.6</v>
      </c>
    </row>
    <row r="369" spans="1:2" x14ac:dyDescent="0.25">
      <c r="A369" s="5">
        <v>32721</v>
      </c>
      <c r="B369">
        <v>3071.1</v>
      </c>
    </row>
    <row r="370" spans="1:2" x14ac:dyDescent="0.25">
      <c r="A370" s="5">
        <v>32752</v>
      </c>
      <c r="B370">
        <v>3086.3</v>
      </c>
    </row>
    <row r="371" spans="1:2" x14ac:dyDescent="0.25">
      <c r="A371" s="5">
        <v>32782</v>
      </c>
      <c r="B371">
        <v>3109.3</v>
      </c>
    </row>
    <row r="372" spans="1:2" x14ac:dyDescent="0.25">
      <c r="A372" s="5">
        <v>32813</v>
      </c>
      <c r="B372">
        <v>3136</v>
      </c>
    </row>
    <row r="373" spans="1:2" x14ac:dyDescent="0.25">
      <c r="A373" s="5">
        <v>32843</v>
      </c>
      <c r="B373">
        <v>3165.6</v>
      </c>
    </row>
    <row r="374" spans="1:2" x14ac:dyDescent="0.25">
      <c r="A374" s="5">
        <v>32874</v>
      </c>
      <c r="B374">
        <v>3170.4</v>
      </c>
    </row>
    <row r="375" spans="1:2" x14ac:dyDescent="0.25">
      <c r="A375" s="5">
        <v>32905</v>
      </c>
      <c r="B375">
        <v>3170.5</v>
      </c>
    </row>
    <row r="376" spans="1:2" x14ac:dyDescent="0.25">
      <c r="A376" s="5">
        <v>32933</v>
      </c>
      <c r="B376">
        <v>3192.6</v>
      </c>
    </row>
    <row r="377" spans="1:2" x14ac:dyDescent="0.25">
      <c r="A377" s="5">
        <v>32964</v>
      </c>
      <c r="B377">
        <v>3219.8</v>
      </c>
    </row>
    <row r="378" spans="1:2" x14ac:dyDescent="0.25">
      <c r="A378" s="5">
        <v>32994</v>
      </c>
      <c r="B378">
        <v>3186.7</v>
      </c>
    </row>
    <row r="379" spans="1:2" x14ac:dyDescent="0.25">
      <c r="A379" s="5">
        <v>33025</v>
      </c>
      <c r="B379">
        <v>3210.8</v>
      </c>
    </row>
    <row r="380" spans="1:2" x14ac:dyDescent="0.25">
      <c r="A380" s="5">
        <v>33055</v>
      </c>
      <c r="B380">
        <v>3224.5</v>
      </c>
    </row>
    <row r="381" spans="1:2" x14ac:dyDescent="0.25">
      <c r="A381" s="5">
        <v>33086</v>
      </c>
      <c r="B381">
        <v>3238.7</v>
      </c>
    </row>
    <row r="382" spans="1:2" x14ac:dyDescent="0.25">
      <c r="A382" s="5">
        <v>33117</v>
      </c>
      <c r="B382">
        <v>3249</v>
      </c>
    </row>
    <row r="383" spans="1:2" x14ac:dyDescent="0.25">
      <c r="A383" s="5">
        <v>33147</v>
      </c>
      <c r="B383">
        <v>3253.7</v>
      </c>
    </row>
    <row r="384" spans="1:2" x14ac:dyDescent="0.25">
      <c r="A384" s="5">
        <v>33178</v>
      </c>
      <c r="B384">
        <v>3265.3</v>
      </c>
    </row>
    <row r="385" spans="1:2" x14ac:dyDescent="0.25">
      <c r="A385" s="5">
        <v>33208</v>
      </c>
      <c r="B385">
        <v>3285.1</v>
      </c>
    </row>
    <row r="386" spans="1:2" x14ac:dyDescent="0.25">
      <c r="A386" s="5">
        <v>33239</v>
      </c>
      <c r="B386">
        <v>3289.3</v>
      </c>
    </row>
    <row r="387" spans="1:2" x14ac:dyDescent="0.25">
      <c r="A387" s="5">
        <v>33270</v>
      </c>
      <c r="B387">
        <v>3296.3</v>
      </c>
    </row>
    <row r="388" spans="1:2" x14ac:dyDescent="0.25">
      <c r="A388" s="5">
        <v>33298</v>
      </c>
      <c r="B388">
        <v>3327.3</v>
      </c>
    </row>
    <row r="389" spans="1:2" x14ac:dyDescent="0.25">
      <c r="A389" s="5">
        <v>33329</v>
      </c>
      <c r="B389">
        <v>3349.5</v>
      </c>
    </row>
    <row r="390" spans="1:2" x14ac:dyDescent="0.25">
      <c r="A390" s="5">
        <v>33359</v>
      </c>
      <c r="B390">
        <v>3330.3</v>
      </c>
    </row>
    <row r="391" spans="1:2" x14ac:dyDescent="0.25">
      <c r="A391" s="5">
        <v>33390</v>
      </c>
      <c r="B391">
        <v>3349.7</v>
      </c>
    </row>
    <row r="392" spans="1:2" x14ac:dyDescent="0.25">
      <c r="A392" s="5">
        <v>33420</v>
      </c>
      <c r="B392">
        <v>3354.4</v>
      </c>
    </row>
    <row r="393" spans="1:2" x14ac:dyDescent="0.25">
      <c r="A393" s="5">
        <v>33451</v>
      </c>
      <c r="B393">
        <v>3351.4</v>
      </c>
    </row>
    <row r="394" spans="1:2" x14ac:dyDescent="0.25">
      <c r="A394" s="5">
        <v>33482</v>
      </c>
      <c r="B394">
        <v>3347.6</v>
      </c>
    </row>
    <row r="395" spans="1:2" x14ac:dyDescent="0.25">
      <c r="A395" s="5">
        <v>33512</v>
      </c>
      <c r="B395">
        <v>3353.8</v>
      </c>
    </row>
    <row r="396" spans="1:2" x14ac:dyDescent="0.25">
      <c r="A396" s="5">
        <v>33543</v>
      </c>
      <c r="B396">
        <v>3371.2</v>
      </c>
    </row>
    <row r="397" spans="1:2" x14ac:dyDescent="0.25">
      <c r="A397" s="5">
        <v>33573</v>
      </c>
      <c r="B397">
        <v>3386.4</v>
      </c>
    </row>
    <row r="398" spans="1:2" x14ac:dyDescent="0.25">
      <c r="A398" s="5">
        <v>33604</v>
      </c>
      <c r="B398">
        <v>3383.2</v>
      </c>
    </row>
    <row r="399" spans="1:2" x14ac:dyDescent="0.25">
      <c r="A399" s="5">
        <v>33635</v>
      </c>
      <c r="B399">
        <v>3390.1</v>
      </c>
    </row>
    <row r="400" spans="1:2" x14ac:dyDescent="0.25">
      <c r="A400" s="5">
        <v>33664</v>
      </c>
      <c r="B400">
        <v>3404.8</v>
      </c>
    </row>
    <row r="401" spans="1:2" x14ac:dyDescent="0.25">
      <c r="A401" s="5">
        <v>33695</v>
      </c>
      <c r="B401">
        <v>3418.9</v>
      </c>
    </row>
    <row r="402" spans="1:2" x14ac:dyDescent="0.25">
      <c r="A402" s="5">
        <v>33725</v>
      </c>
      <c r="B402">
        <v>3388</v>
      </c>
    </row>
    <row r="403" spans="1:2" x14ac:dyDescent="0.25">
      <c r="A403" s="5">
        <v>33756</v>
      </c>
      <c r="B403">
        <v>3388.7</v>
      </c>
    </row>
    <row r="404" spans="1:2" x14ac:dyDescent="0.25">
      <c r="A404" s="5">
        <v>33786</v>
      </c>
      <c r="B404">
        <v>3393.2</v>
      </c>
    </row>
    <row r="405" spans="1:2" x14ac:dyDescent="0.25">
      <c r="A405" s="5">
        <v>33817</v>
      </c>
      <c r="B405">
        <v>3396.5</v>
      </c>
    </row>
    <row r="406" spans="1:2" x14ac:dyDescent="0.25">
      <c r="A406" s="5">
        <v>33848</v>
      </c>
      <c r="B406">
        <v>3401.2</v>
      </c>
    </row>
    <row r="407" spans="1:2" x14ac:dyDescent="0.25">
      <c r="A407" s="5">
        <v>33878</v>
      </c>
      <c r="B407">
        <v>3418.7</v>
      </c>
    </row>
    <row r="408" spans="1:2" x14ac:dyDescent="0.25">
      <c r="A408" s="5">
        <v>33909</v>
      </c>
      <c r="B408">
        <v>3433.4</v>
      </c>
    </row>
    <row r="409" spans="1:2" x14ac:dyDescent="0.25">
      <c r="A409" s="5">
        <v>33939</v>
      </c>
      <c r="B409">
        <v>3441.3</v>
      </c>
    </row>
    <row r="410" spans="1:2" x14ac:dyDescent="0.25">
      <c r="A410" s="5">
        <v>33970</v>
      </c>
      <c r="B410">
        <v>3423.6</v>
      </c>
    </row>
    <row r="411" spans="1:2" x14ac:dyDescent="0.25">
      <c r="A411" s="5">
        <v>34001</v>
      </c>
      <c r="B411">
        <v>3400.7</v>
      </c>
    </row>
    <row r="412" spans="1:2" x14ac:dyDescent="0.25">
      <c r="A412" s="5">
        <v>34029</v>
      </c>
      <c r="B412">
        <v>3410.5</v>
      </c>
    </row>
    <row r="413" spans="1:2" x14ac:dyDescent="0.25">
      <c r="A413" s="5">
        <v>34060</v>
      </c>
      <c r="B413">
        <v>3430.4</v>
      </c>
    </row>
    <row r="414" spans="1:2" x14ac:dyDescent="0.25">
      <c r="A414" s="5">
        <v>34090</v>
      </c>
      <c r="B414">
        <v>3425</v>
      </c>
    </row>
    <row r="415" spans="1:2" x14ac:dyDescent="0.25">
      <c r="A415" s="5">
        <v>34121</v>
      </c>
      <c r="B415">
        <v>3439.5</v>
      </c>
    </row>
    <row r="416" spans="1:2" x14ac:dyDescent="0.25">
      <c r="A416" s="5">
        <v>34151</v>
      </c>
      <c r="B416">
        <v>3442.6</v>
      </c>
    </row>
    <row r="417" spans="1:2" x14ac:dyDescent="0.25">
      <c r="A417" s="5">
        <v>34182</v>
      </c>
      <c r="B417">
        <v>3440.9</v>
      </c>
    </row>
    <row r="418" spans="1:2" x14ac:dyDescent="0.25">
      <c r="A418" s="5">
        <v>34213</v>
      </c>
      <c r="B418">
        <v>3443.5</v>
      </c>
    </row>
    <row r="419" spans="1:2" x14ac:dyDescent="0.25">
      <c r="A419" s="5">
        <v>34243</v>
      </c>
      <c r="B419">
        <v>3452.7</v>
      </c>
    </row>
    <row r="420" spans="1:2" x14ac:dyDescent="0.25">
      <c r="A420" s="5">
        <v>34274</v>
      </c>
      <c r="B420">
        <v>3474.7</v>
      </c>
    </row>
    <row r="421" spans="1:2" x14ac:dyDescent="0.25">
      <c r="A421" s="5">
        <v>34304</v>
      </c>
      <c r="B421">
        <v>3495.1</v>
      </c>
    </row>
    <row r="422" spans="1:2" x14ac:dyDescent="0.25">
      <c r="A422" s="5">
        <v>34335</v>
      </c>
      <c r="B422">
        <v>3480.1</v>
      </c>
    </row>
    <row r="423" spans="1:2" x14ac:dyDescent="0.25">
      <c r="A423" s="5">
        <v>34366</v>
      </c>
      <c r="B423">
        <v>3459.7</v>
      </c>
    </row>
    <row r="424" spans="1:2" x14ac:dyDescent="0.25">
      <c r="A424" s="5">
        <v>34394</v>
      </c>
      <c r="B424">
        <v>3477.2</v>
      </c>
    </row>
    <row r="425" spans="1:2" x14ac:dyDescent="0.25">
      <c r="A425" s="5">
        <v>34425</v>
      </c>
      <c r="B425">
        <v>3503.1</v>
      </c>
    </row>
    <row r="426" spans="1:2" x14ac:dyDescent="0.25">
      <c r="A426" s="5">
        <v>34455</v>
      </c>
      <c r="B426">
        <v>3474.5</v>
      </c>
    </row>
    <row r="427" spans="1:2" x14ac:dyDescent="0.25">
      <c r="A427" s="5">
        <v>34486</v>
      </c>
      <c r="B427">
        <v>3477.4</v>
      </c>
    </row>
    <row r="428" spans="1:2" x14ac:dyDescent="0.25">
      <c r="A428" s="5">
        <v>34516</v>
      </c>
      <c r="B428">
        <v>3491.5</v>
      </c>
    </row>
    <row r="429" spans="1:2" x14ac:dyDescent="0.25">
      <c r="A429" s="5">
        <v>34547</v>
      </c>
      <c r="B429">
        <v>3481.6</v>
      </c>
    </row>
    <row r="430" spans="1:2" x14ac:dyDescent="0.25">
      <c r="A430" s="5">
        <v>34578</v>
      </c>
      <c r="B430">
        <v>3476.8</v>
      </c>
    </row>
    <row r="431" spans="1:2" x14ac:dyDescent="0.25">
      <c r="A431" s="5">
        <v>34608</v>
      </c>
      <c r="B431">
        <v>3478.2</v>
      </c>
    </row>
    <row r="432" spans="1:2" x14ac:dyDescent="0.25">
      <c r="A432" s="5">
        <v>34639</v>
      </c>
      <c r="B432">
        <v>3491.8</v>
      </c>
    </row>
    <row r="433" spans="1:2" x14ac:dyDescent="0.25">
      <c r="A433" s="5">
        <v>34669</v>
      </c>
      <c r="B433">
        <v>3507.8</v>
      </c>
    </row>
    <row r="434" spans="1:2" x14ac:dyDescent="0.25">
      <c r="A434" s="5">
        <v>34700</v>
      </c>
      <c r="B434">
        <v>3495.3</v>
      </c>
    </row>
    <row r="435" spans="1:2" x14ac:dyDescent="0.25">
      <c r="A435" s="5">
        <v>34731</v>
      </c>
      <c r="B435">
        <v>3474.9</v>
      </c>
    </row>
    <row r="436" spans="1:2" x14ac:dyDescent="0.25">
      <c r="A436" s="5">
        <v>34759</v>
      </c>
      <c r="B436">
        <v>3491.7</v>
      </c>
    </row>
    <row r="437" spans="1:2" x14ac:dyDescent="0.25">
      <c r="A437" s="5">
        <v>34790</v>
      </c>
      <c r="B437">
        <v>3522.4</v>
      </c>
    </row>
    <row r="438" spans="1:2" x14ac:dyDescent="0.25">
      <c r="A438" s="5">
        <v>34820</v>
      </c>
      <c r="B438">
        <v>3506.7</v>
      </c>
    </row>
    <row r="439" spans="1:2" x14ac:dyDescent="0.25">
      <c r="A439" s="5">
        <v>34851</v>
      </c>
      <c r="B439">
        <v>3545.5</v>
      </c>
    </row>
    <row r="440" spans="1:2" x14ac:dyDescent="0.25">
      <c r="A440" s="5">
        <v>34881</v>
      </c>
      <c r="B440">
        <v>3569.7</v>
      </c>
    </row>
    <row r="441" spans="1:2" x14ac:dyDescent="0.25">
      <c r="A441" s="5">
        <v>34912</v>
      </c>
      <c r="B441">
        <v>3585.2</v>
      </c>
    </row>
    <row r="442" spans="1:2" x14ac:dyDescent="0.25">
      <c r="A442" s="5">
        <v>34943</v>
      </c>
      <c r="B442">
        <v>3594.6</v>
      </c>
    </row>
    <row r="443" spans="1:2" x14ac:dyDescent="0.25">
      <c r="A443" s="5">
        <v>34973</v>
      </c>
      <c r="B443">
        <v>3602.3</v>
      </c>
    </row>
    <row r="444" spans="1:2" x14ac:dyDescent="0.25">
      <c r="A444" s="5">
        <v>35004</v>
      </c>
      <c r="B444">
        <v>3622.9</v>
      </c>
    </row>
    <row r="445" spans="1:2" x14ac:dyDescent="0.25">
      <c r="A445" s="5">
        <v>35034</v>
      </c>
      <c r="B445">
        <v>3653.3</v>
      </c>
    </row>
    <row r="446" spans="1:2" x14ac:dyDescent="0.25">
      <c r="A446" s="5">
        <v>35065</v>
      </c>
      <c r="B446">
        <v>3651.3</v>
      </c>
    </row>
    <row r="447" spans="1:2" x14ac:dyDescent="0.25">
      <c r="A447" s="5">
        <v>35096</v>
      </c>
      <c r="B447">
        <v>3647.5</v>
      </c>
    </row>
    <row r="448" spans="1:2" x14ac:dyDescent="0.25">
      <c r="A448" s="5">
        <v>35125</v>
      </c>
      <c r="B448">
        <v>3694</v>
      </c>
    </row>
    <row r="449" spans="1:2" x14ac:dyDescent="0.25">
      <c r="A449" s="5">
        <v>35156</v>
      </c>
      <c r="B449">
        <v>3720.6</v>
      </c>
    </row>
    <row r="450" spans="1:2" x14ac:dyDescent="0.25">
      <c r="A450" s="5">
        <v>35186</v>
      </c>
      <c r="B450">
        <v>3690.1</v>
      </c>
    </row>
    <row r="451" spans="1:2" x14ac:dyDescent="0.25">
      <c r="A451" s="5">
        <v>35217</v>
      </c>
      <c r="B451">
        <v>3721</v>
      </c>
    </row>
    <row r="452" spans="1:2" x14ac:dyDescent="0.25">
      <c r="A452" s="5">
        <v>35247</v>
      </c>
      <c r="B452">
        <v>3734.1</v>
      </c>
    </row>
    <row r="453" spans="1:2" x14ac:dyDescent="0.25">
      <c r="A453" s="5">
        <v>35278</v>
      </c>
      <c r="B453">
        <v>3741.6</v>
      </c>
    </row>
    <row r="454" spans="1:2" x14ac:dyDescent="0.25">
      <c r="A454" s="5">
        <v>35309</v>
      </c>
      <c r="B454">
        <v>3744.2</v>
      </c>
    </row>
    <row r="455" spans="1:2" x14ac:dyDescent="0.25">
      <c r="A455" s="5">
        <v>35339</v>
      </c>
      <c r="B455">
        <v>3758.7</v>
      </c>
    </row>
    <row r="456" spans="1:2" x14ac:dyDescent="0.25">
      <c r="A456" s="5">
        <v>35370</v>
      </c>
      <c r="B456">
        <v>3797.2</v>
      </c>
    </row>
    <row r="457" spans="1:2" x14ac:dyDescent="0.25">
      <c r="A457" s="5">
        <v>35400</v>
      </c>
      <c r="B457">
        <v>3839.8</v>
      </c>
    </row>
    <row r="458" spans="1:2" x14ac:dyDescent="0.25">
      <c r="A458" s="5">
        <v>35431</v>
      </c>
      <c r="B458">
        <v>3839.5</v>
      </c>
    </row>
    <row r="459" spans="1:2" x14ac:dyDescent="0.25">
      <c r="A459" s="5">
        <v>35462</v>
      </c>
      <c r="B459">
        <v>3835.1</v>
      </c>
    </row>
    <row r="460" spans="1:2" x14ac:dyDescent="0.25">
      <c r="A460" s="5">
        <v>35490</v>
      </c>
      <c r="B460">
        <v>3873.2</v>
      </c>
    </row>
    <row r="461" spans="1:2" x14ac:dyDescent="0.25">
      <c r="A461" s="5">
        <v>35521</v>
      </c>
      <c r="B461">
        <v>3905.7</v>
      </c>
    </row>
    <row r="462" spans="1:2" x14ac:dyDescent="0.25">
      <c r="A462" s="5">
        <v>35551</v>
      </c>
      <c r="B462">
        <v>3869.4</v>
      </c>
    </row>
    <row r="463" spans="1:2" x14ac:dyDescent="0.25">
      <c r="A463" s="5">
        <v>35582</v>
      </c>
      <c r="B463">
        <v>3899.5</v>
      </c>
    </row>
    <row r="464" spans="1:2" x14ac:dyDescent="0.25">
      <c r="A464" s="5">
        <v>35612</v>
      </c>
      <c r="B464">
        <v>3918.5</v>
      </c>
    </row>
    <row r="465" spans="1:2" x14ac:dyDescent="0.25">
      <c r="A465" s="5">
        <v>35643</v>
      </c>
      <c r="B465">
        <v>3953.2</v>
      </c>
    </row>
    <row r="466" spans="1:2" x14ac:dyDescent="0.25">
      <c r="A466" s="5">
        <v>35674</v>
      </c>
      <c r="B466">
        <v>3961.5</v>
      </c>
    </row>
    <row r="467" spans="1:2" x14ac:dyDescent="0.25">
      <c r="A467" s="5">
        <v>35704</v>
      </c>
      <c r="B467">
        <v>3977.2</v>
      </c>
    </row>
    <row r="468" spans="1:2" x14ac:dyDescent="0.25">
      <c r="A468" s="5">
        <v>35735</v>
      </c>
      <c r="B468">
        <v>4015.8</v>
      </c>
    </row>
    <row r="469" spans="1:2" x14ac:dyDescent="0.25">
      <c r="A469" s="5">
        <v>35765</v>
      </c>
      <c r="B469">
        <v>4055.1</v>
      </c>
    </row>
    <row r="470" spans="1:2" x14ac:dyDescent="0.25">
      <c r="A470" s="5">
        <v>35796</v>
      </c>
      <c r="B470">
        <v>4062.5</v>
      </c>
    </row>
    <row r="471" spans="1:2" x14ac:dyDescent="0.25">
      <c r="A471" s="5">
        <v>35827</v>
      </c>
      <c r="B471">
        <v>4080.1</v>
      </c>
    </row>
    <row r="472" spans="1:2" x14ac:dyDescent="0.25">
      <c r="A472" s="5">
        <v>35855</v>
      </c>
      <c r="B472">
        <v>4131.7</v>
      </c>
    </row>
    <row r="473" spans="1:2" x14ac:dyDescent="0.25">
      <c r="A473" s="5">
        <v>35886</v>
      </c>
      <c r="B473">
        <v>4174.6000000000004</v>
      </c>
    </row>
    <row r="474" spans="1:2" x14ac:dyDescent="0.25">
      <c r="A474" s="5">
        <v>35916</v>
      </c>
      <c r="B474">
        <v>4144</v>
      </c>
    </row>
    <row r="475" spans="1:2" x14ac:dyDescent="0.25">
      <c r="A475" s="5">
        <v>35947</v>
      </c>
      <c r="B475">
        <v>4174.6000000000004</v>
      </c>
    </row>
    <row r="476" spans="1:2" x14ac:dyDescent="0.25">
      <c r="A476" s="5">
        <v>35977</v>
      </c>
      <c r="B476">
        <v>4193.2</v>
      </c>
    </row>
    <row r="477" spans="1:2" x14ac:dyDescent="0.25">
      <c r="A477" s="5">
        <v>36008</v>
      </c>
      <c r="B477">
        <v>4220.3</v>
      </c>
    </row>
    <row r="478" spans="1:2" x14ac:dyDescent="0.25">
      <c r="A478" s="5">
        <v>36039</v>
      </c>
      <c r="B478">
        <v>4254.5</v>
      </c>
    </row>
    <row r="479" spans="1:2" x14ac:dyDescent="0.25">
      <c r="A479" s="5">
        <v>36069</v>
      </c>
      <c r="B479">
        <v>4291.5</v>
      </c>
    </row>
    <row r="480" spans="1:2" x14ac:dyDescent="0.25">
      <c r="A480" s="5">
        <v>36100</v>
      </c>
      <c r="B480">
        <v>4346.2</v>
      </c>
    </row>
    <row r="481" spans="1:2" x14ac:dyDescent="0.25">
      <c r="A481" s="5">
        <v>36130</v>
      </c>
      <c r="B481">
        <v>4400</v>
      </c>
    </row>
    <row r="482" spans="1:2" x14ac:dyDescent="0.25">
      <c r="A482" s="5">
        <v>36161</v>
      </c>
      <c r="B482">
        <v>4409.8999999999996</v>
      </c>
    </row>
    <row r="483" spans="1:2" x14ac:dyDescent="0.25">
      <c r="A483" s="5">
        <v>36192</v>
      </c>
      <c r="B483">
        <v>4419.2</v>
      </c>
    </row>
    <row r="484" spans="1:2" x14ac:dyDescent="0.25">
      <c r="A484" s="5">
        <v>36220</v>
      </c>
      <c r="B484">
        <v>4456.2</v>
      </c>
    </row>
    <row r="485" spans="1:2" x14ac:dyDescent="0.25">
      <c r="A485" s="5">
        <v>36251</v>
      </c>
      <c r="B485">
        <v>4502.1000000000004</v>
      </c>
    </row>
    <row r="486" spans="1:2" x14ac:dyDescent="0.25">
      <c r="A486" s="5">
        <v>36281</v>
      </c>
      <c r="B486">
        <v>4464.8</v>
      </c>
    </row>
    <row r="487" spans="1:2" x14ac:dyDescent="0.25">
      <c r="A487" s="5">
        <v>36312</v>
      </c>
      <c r="B487">
        <v>4495.6000000000004</v>
      </c>
    </row>
    <row r="488" spans="1:2" x14ac:dyDescent="0.25">
      <c r="A488" s="5">
        <v>36342</v>
      </c>
      <c r="B488">
        <v>4520.5</v>
      </c>
    </row>
    <row r="489" spans="1:2" x14ac:dyDescent="0.25">
      <c r="A489" s="5">
        <v>36373</v>
      </c>
      <c r="B489">
        <v>4540.3999999999996</v>
      </c>
    </row>
    <row r="490" spans="1:2" x14ac:dyDescent="0.25">
      <c r="A490" s="5">
        <v>36404</v>
      </c>
      <c r="B490">
        <v>4554.2</v>
      </c>
    </row>
    <row r="491" spans="1:2" x14ac:dyDescent="0.25">
      <c r="A491" s="5">
        <v>36434</v>
      </c>
      <c r="B491">
        <v>4575.8999999999996</v>
      </c>
    </row>
    <row r="492" spans="1:2" x14ac:dyDescent="0.25">
      <c r="A492" s="5">
        <v>36465</v>
      </c>
      <c r="B492">
        <v>4611.3999999999996</v>
      </c>
    </row>
    <row r="493" spans="1:2" x14ac:dyDescent="0.25">
      <c r="A493" s="5">
        <v>36495</v>
      </c>
      <c r="B493">
        <v>4665.8</v>
      </c>
    </row>
    <row r="494" spans="1:2" x14ac:dyDescent="0.25">
      <c r="A494" s="5">
        <v>36526</v>
      </c>
      <c r="B494">
        <v>4674</v>
      </c>
    </row>
    <row r="495" spans="1:2" x14ac:dyDescent="0.25">
      <c r="A495" s="5">
        <v>36557</v>
      </c>
      <c r="B495">
        <v>4675.8999999999996</v>
      </c>
    </row>
    <row r="496" spans="1:2" x14ac:dyDescent="0.25">
      <c r="A496" s="5">
        <v>36586</v>
      </c>
      <c r="B496">
        <v>4737.6000000000004</v>
      </c>
    </row>
    <row r="497" spans="1:2" x14ac:dyDescent="0.25">
      <c r="A497" s="5">
        <v>36617</v>
      </c>
      <c r="B497">
        <v>4807.7</v>
      </c>
    </row>
    <row r="498" spans="1:2" x14ac:dyDescent="0.25">
      <c r="A498" s="5">
        <v>36647</v>
      </c>
      <c r="B498">
        <v>4734.1000000000004</v>
      </c>
    </row>
    <row r="499" spans="1:2" x14ac:dyDescent="0.25">
      <c r="A499" s="5">
        <v>36678</v>
      </c>
      <c r="B499">
        <v>4759.5</v>
      </c>
    </row>
    <row r="500" spans="1:2" x14ac:dyDescent="0.25">
      <c r="A500" s="5">
        <v>36708</v>
      </c>
      <c r="B500">
        <v>4775.7</v>
      </c>
    </row>
    <row r="501" spans="1:2" x14ac:dyDescent="0.25">
      <c r="A501" s="5">
        <v>36739</v>
      </c>
      <c r="B501">
        <v>4806.3999999999996</v>
      </c>
    </row>
    <row r="502" spans="1:2" x14ac:dyDescent="0.25">
      <c r="A502" s="5">
        <v>36770</v>
      </c>
      <c r="B502">
        <v>4842</v>
      </c>
    </row>
    <row r="503" spans="1:2" x14ac:dyDescent="0.25">
      <c r="A503" s="5">
        <v>36800</v>
      </c>
      <c r="B503">
        <v>4855.8999999999996</v>
      </c>
    </row>
    <row r="504" spans="1:2" x14ac:dyDescent="0.25">
      <c r="A504" s="5">
        <v>36831</v>
      </c>
      <c r="B504">
        <v>4884.3999999999996</v>
      </c>
    </row>
    <row r="505" spans="1:2" x14ac:dyDescent="0.25">
      <c r="A505" s="5">
        <v>36861</v>
      </c>
      <c r="B505">
        <v>4955.5</v>
      </c>
    </row>
    <row r="506" spans="1:2" x14ac:dyDescent="0.25">
      <c r="A506" s="5">
        <v>36892</v>
      </c>
      <c r="B506">
        <v>4981.6000000000004</v>
      </c>
    </row>
    <row r="507" spans="1:2" x14ac:dyDescent="0.25">
      <c r="A507" s="5">
        <v>36923</v>
      </c>
      <c r="B507">
        <v>5010.8999999999996</v>
      </c>
    </row>
    <row r="508" spans="1:2" x14ac:dyDescent="0.25">
      <c r="A508" s="5">
        <v>36951</v>
      </c>
      <c r="B508">
        <v>5101.2</v>
      </c>
    </row>
    <row r="509" spans="1:2" x14ac:dyDescent="0.25">
      <c r="A509" s="5">
        <v>36982</v>
      </c>
      <c r="B509">
        <v>5177.3999999999996</v>
      </c>
    </row>
    <row r="510" spans="1:2" x14ac:dyDescent="0.25">
      <c r="A510" s="5">
        <v>37012</v>
      </c>
      <c r="B510">
        <v>5115.3999999999996</v>
      </c>
    </row>
    <row r="511" spans="1:2" x14ac:dyDescent="0.25">
      <c r="A511" s="5">
        <v>37043</v>
      </c>
      <c r="B511">
        <v>5167.1000000000004</v>
      </c>
    </row>
    <row r="512" spans="1:2" x14ac:dyDescent="0.25">
      <c r="A512" s="5">
        <v>37073</v>
      </c>
      <c r="B512">
        <v>5195.7</v>
      </c>
    </row>
    <row r="513" spans="1:2" x14ac:dyDescent="0.25">
      <c r="A513" s="5">
        <v>37104</v>
      </c>
      <c r="B513">
        <v>5231.6000000000004</v>
      </c>
    </row>
    <row r="514" spans="1:2" x14ac:dyDescent="0.25">
      <c r="A514" s="5">
        <v>37135</v>
      </c>
      <c r="B514">
        <v>5343.3</v>
      </c>
    </row>
    <row r="515" spans="1:2" x14ac:dyDescent="0.25">
      <c r="A515" s="5">
        <v>37165</v>
      </c>
      <c r="B515">
        <v>5328.4</v>
      </c>
    </row>
    <row r="516" spans="1:2" x14ac:dyDescent="0.25">
      <c r="A516" s="5">
        <v>37196</v>
      </c>
      <c r="B516">
        <v>5391.5</v>
      </c>
    </row>
    <row r="517" spans="1:2" x14ac:dyDescent="0.25">
      <c r="A517" s="5">
        <v>37226</v>
      </c>
      <c r="B517">
        <v>5471.6</v>
      </c>
    </row>
    <row r="518" spans="1:2" x14ac:dyDescent="0.25">
      <c r="A518" s="5">
        <v>37257</v>
      </c>
      <c r="B518">
        <v>5457.8</v>
      </c>
    </row>
    <row r="519" spans="1:2" x14ac:dyDescent="0.25">
      <c r="A519" s="5">
        <v>37288</v>
      </c>
      <c r="B519">
        <v>5477.2</v>
      </c>
    </row>
    <row r="520" spans="1:2" x14ac:dyDescent="0.25">
      <c r="A520" s="5">
        <v>37316</v>
      </c>
      <c r="B520">
        <v>5526.1</v>
      </c>
    </row>
    <row r="521" spans="1:2" x14ac:dyDescent="0.25">
      <c r="A521" s="5">
        <v>37347</v>
      </c>
      <c r="B521">
        <v>5540.2</v>
      </c>
    </row>
    <row r="522" spans="1:2" x14ac:dyDescent="0.25">
      <c r="A522" s="5">
        <v>37377</v>
      </c>
      <c r="B522">
        <v>5506.6</v>
      </c>
    </row>
    <row r="523" spans="1:2" x14ac:dyDescent="0.25">
      <c r="A523" s="5">
        <v>37408</v>
      </c>
      <c r="B523">
        <v>5544.6</v>
      </c>
    </row>
    <row r="524" spans="1:2" x14ac:dyDescent="0.25">
      <c r="A524" s="5">
        <v>37438</v>
      </c>
      <c r="B524">
        <v>5585.5</v>
      </c>
    </row>
    <row r="525" spans="1:2" x14ac:dyDescent="0.25">
      <c r="A525" s="5">
        <v>37469</v>
      </c>
      <c r="B525">
        <v>5628.4</v>
      </c>
    </row>
    <row r="526" spans="1:2" x14ac:dyDescent="0.25">
      <c r="A526" s="5">
        <v>37500</v>
      </c>
      <c r="B526">
        <v>5652.9</v>
      </c>
    </row>
    <row r="527" spans="1:2" x14ac:dyDescent="0.25">
      <c r="A527" s="5">
        <v>37530</v>
      </c>
      <c r="B527">
        <v>5691.9</v>
      </c>
    </row>
    <row r="528" spans="1:2" x14ac:dyDescent="0.25">
      <c r="A528" s="5">
        <v>37561</v>
      </c>
      <c r="B528">
        <v>5764.9</v>
      </c>
    </row>
    <row r="529" spans="1:2" x14ac:dyDescent="0.25">
      <c r="A529" s="5">
        <v>37591</v>
      </c>
      <c r="B529">
        <v>5811.5</v>
      </c>
    </row>
    <row r="530" spans="1:2" x14ac:dyDescent="0.25">
      <c r="A530" s="5">
        <v>37622</v>
      </c>
      <c r="B530">
        <v>5801.1</v>
      </c>
    </row>
    <row r="531" spans="1:2" x14ac:dyDescent="0.25">
      <c r="A531" s="5">
        <v>37653</v>
      </c>
      <c r="B531">
        <v>5828.5</v>
      </c>
    </row>
    <row r="532" spans="1:2" x14ac:dyDescent="0.25">
      <c r="A532" s="5">
        <v>37681</v>
      </c>
      <c r="B532">
        <v>5889.2</v>
      </c>
    </row>
    <row r="533" spans="1:2" x14ac:dyDescent="0.25">
      <c r="A533" s="5">
        <v>37712</v>
      </c>
      <c r="B533">
        <v>5945.2</v>
      </c>
    </row>
    <row r="534" spans="1:2" x14ac:dyDescent="0.25">
      <c r="A534" s="5">
        <v>37742</v>
      </c>
      <c r="B534">
        <v>5944.2</v>
      </c>
    </row>
    <row r="535" spans="1:2" x14ac:dyDescent="0.25">
      <c r="A535" s="5">
        <v>37773</v>
      </c>
      <c r="B535">
        <v>5998.5</v>
      </c>
    </row>
    <row r="536" spans="1:2" x14ac:dyDescent="0.25">
      <c r="A536" s="5">
        <v>37803</v>
      </c>
      <c r="B536">
        <v>6041.7</v>
      </c>
    </row>
    <row r="537" spans="1:2" x14ac:dyDescent="0.25">
      <c r="A537" s="5">
        <v>37834</v>
      </c>
      <c r="B537">
        <v>6098.2</v>
      </c>
    </row>
    <row r="538" spans="1:2" x14ac:dyDescent="0.25">
      <c r="A538" s="5">
        <v>37865</v>
      </c>
      <c r="B538">
        <v>6070.7</v>
      </c>
    </row>
    <row r="539" spans="1:2" x14ac:dyDescent="0.25">
      <c r="A539" s="5">
        <v>37895</v>
      </c>
      <c r="B539">
        <v>6054.7</v>
      </c>
    </row>
    <row r="540" spans="1:2" x14ac:dyDescent="0.25">
      <c r="A540" s="5">
        <v>37926</v>
      </c>
      <c r="B540">
        <v>6083.5</v>
      </c>
    </row>
    <row r="541" spans="1:2" x14ac:dyDescent="0.25">
      <c r="A541" s="5">
        <v>37956</v>
      </c>
      <c r="B541">
        <v>6105.1</v>
      </c>
    </row>
    <row r="542" spans="1:2" x14ac:dyDescent="0.25">
      <c r="A542" s="5">
        <v>37987</v>
      </c>
      <c r="B542">
        <v>6065.5</v>
      </c>
    </row>
    <row r="543" spans="1:2" x14ac:dyDescent="0.25">
      <c r="A543" s="5">
        <v>38018</v>
      </c>
      <c r="B543">
        <v>6096.5</v>
      </c>
    </row>
    <row r="544" spans="1:2" x14ac:dyDescent="0.25">
      <c r="A544" s="5">
        <v>38047</v>
      </c>
      <c r="B544">
        <v>6176.5</v>
      </c>
    </row>
    <row r="545" spans="1:2" x14ac:dyDescent="0.25">
      <c r="A545" s="5">
        <v>38078</v>
      </c>
      <c r="B545">
        <v>6243.6</v>
      </c>
    </row>
    <row r="546" spans="1:2" x14ac:dyDescent="0.25">
      <c r="A546" s="5">
        <v>38108</v>
      </c>
      <c r="B546">
        <v>6257.1</v>
      </c>
    </row>
    <row r="547" spans="1:2" x14ac:dyDescent="0.25">
      <c r="A547" s="5">
        <v>38139</v>
      </c>
      <c r="B547">
        <v>6280.2</v>
      </c>
    </row>
    <row r="548" spans="1:2" x14ac:dyDescent="0.25">
      <c r="A548" s="5">
        <v>38169</v>
      </c>
      <c r="B548">
        <v>6285.8</v>
      </c>
    </row>
    <row r="549" spans="1:2" x14ac:dyDescent="0.25">
      <c r="A549" s="5">
        <v>38200</v>
      </c>
      <c r="B549">
        <v>6308.1</v>
      </c>
    </row>
    <row r="550" spans="1:2" x14ac:dyDescent="0.25">
      <c r="A550" s="5">
        <v>38231</v>
      </c>
      <c r="B550">
        <v>6340.9</v>
      </c>
    </row>
    <row r="551" spans="1:2" x14ac:dyDescent="0.25">
      <c r="A551" s="5">
        <v>38261</v>
      </c>
      <c r="B551">
        <v>6362.1</v>
      </c>
    </row>
    <row r="552" spans="1:2" x14ac:dyDescent="0.25">
      <c r="A552" s="5">
        <v>38292</v>
      </c>
      <c r="B552">
        <v>6411.7</v>
      </c>
    </row>
    <row r="553" spans="1:2" x14ac:dyDescent="0.25">
      <c r="A553" s="5">
        <v>38322</v>
      </c>
      <c r="B553">
        <v>6453.7</v>
      </c>
    </row>
    <row r="554" spans="1:2" x14ac:dyDescent="0.25">
      <c r="A554" s="5">
        <v>38353</v>
      </c>
      <c r="B554">
        <v>6410.5</v>
      </c>
    </row>
    <row r="555" spans="1:2" x14ac:dyDescent="0.25">
      <c r="A555" s="5">
        <v>38384</v>
      </c>
      <c r="B555">
        <v>6411.8</v>
      </c>
    </row>
    <row r="556" spans="1:2" x14ac:dyDescent="0.25">
      <c r="A556" s="5">
        <v>38412</v>
      </c>
      <c r="B556">
        <v>6471.4</v>
      </c>
    </row>
    <row r="557" spans="1:2" x14ac:dyDescent="0.25">
      <c r="A557" s="5">
        <v>38443</v>
      </c>
      <c r="B557">
        <v>6514.3</v>
      </c>
    </row>
    <row r="558" spans="1:2" x14ac:dyDescent="0.25">
      <c r="A558" s="5">
        <v>38473</v>
      </c>
      <c r="B558">
        <v>6465.5</v>
      </c>
    </row>
    <row r="559" spans="1:2" x14ac:dyDescent="0.25">
      <c r="A559" s="5">
        <v>38504</v>
      </c>
      <c r="B559">
        <v>6517.6</v>
      </c>
    </row>
    <row r="560" spans="1:2" x14ac:dyDescent="0.25">
      <c r="A560" s="5">
        <v>38534</v>
      </c>
      <c r="B560">
        <v>6536.8</v>
      </c>
    </row>
    <row r="561" spans="1:2" x14ac:dyDescent="0.25">
      <c r="A561" s="5">
        <v>38565</v>
      </c>
      <c r="B561">
        <v>6561.1</v>
      </c>
    </row>
    <row r="562" spans="1:2" x14ac:dyDescent="0.25">
      <c r="A562" s="5">
        <v>38596</v>
      </c>
      <c r="B562">
        <v>6593.4</v>
      </c>
    </row>
    <row r="563" spans="1:2" x14ac:dyDescent="0.25">
      <c r="A563" s="5">
        <v>38626</v>
      </c>
      <c r="B563">
        <v>6620.3</v>
      </c>
    </row>
    <row r="564" spans="1:2" x14ac:dyDescent="0.25">
      <c r="A564" s="5">
        <v>38657</v>
      </c>
      <c r="B564">
        <v>6661.3</v>
      </c>
    </row>
    <row r="565" spans="1:2" x14ac:dyDescent="0.25">
      <c r="A565" s="5">
        <v>38687</v>
      </c>
      <c r="B565">
        <v>6714.9</v>
      </c>
    </row>
    <row r="566" spans="1:2" x14ac:dyDescent="0.25">
      <c r="A566" s="5">
        <v>38718</v>
      </c>
      <c r="B566">
        <v>6713</v>
      </c>
    </row>
    <row r="567" spans="1:2" x14ac:dyDescent="0.25">
      <c r="A567" s="5">
        <v>38749</v>
      </c>
      <c r="B567">
        <v>6730.4</v>
      </c>
    </row>
    <row r="568" spans="1:2" x14ac:dyDescent="0.25">
      <c r="A568" s="5">
        <v>38777</v>
      </c>
      <c r="B568">
        <v>6803.2</v>
      </c>
    </row>
    <row r="569" spans="1:2" x14ac:dyDescent="0.25">
      <c r="A569" s="5">
        <v>38808</v>
      </c>
      <c r="B569">
        <v>6866.8</v>
      </c>
    </row>
    <row r="570" spans="1:2" x14ac:dyDescent="0.25">
      <c r="A570" s="5">
        <v>38838</v>
      </c>
      <c r="B570">
        <v>6805.2</v>
      </c>
    </row>
    <row r="571" spans="1:2" x14ac:dyDescent="0.25">
      <c r="A571" s="5">
        <v>38869</v>
      </c>
      <c r="B571">
        <v>6859</v>
      </c>
    </row>
    <row r="572" spans="1:2" x14ac:dyDescent="0.25">
      <c r="A572" s="5">
        <v>38899</v>
      </c>
      <c r="B572">
        <v>6880.9</v>
      </c>
    </row>
    <row r="573" spans="1:2" x14ac:dyDescent="0.25">
      <c r="A573" s="5">
        <v>38930</v>
      </c>
      <c r="B573">
        <v>6900.2</v>
      </c>
    </row>
    <row r="574" spans="1:2" x14ac:dyDescent="0.25">
      <c r="A574" s="5">
        <v>38961</v>
      </c>
      <c r="B574">
        <v>6927.8</v>
      </c>
    </row>
    <row r="575" spans="1:2" x14ac:dyDescent="0.25">
      <c r="A575" s="5">
        <v>38991</v>
      </c>
      <c r="B575">
        <v>6970.8</v>
      </c>
    </row>
    <row r="576" spans="1:2" x14ac:dyDescent="0.25">
      <c r="A576" s="5">
        <v>39022</v>
      </c>
      <c r="B576">
        <v>7033.7</v>
      </c>
    </row>
    <row r="577" spans="1:2" x14ac:dyDescent="0.25">
      <c r="A577" s="5">
        <v>39052</v>
      </c>
      <c r="B577">
        <v>7108.6</v>
      </c>
    </row>
    <row r="578" spans="1:2" x14ac:dyDescent="0.25">
      <c r="A578" s="5">
        <v>39083</v>
      </c>
      <c r="B578">
        <v>7106.9</v>
      </c>
    </row>
    <row r="579" spans="1:2" x14ac:dyDescent="0.25">
      <c r="A579" s="5">
        <v>39114</v>
      </c>
      <c r="B579">
        <v>7118.8</v>
      </c>
    </row>
    <row r="580" spans="1:2" x14ac:dyDescent="0.25">
      <c r="A580" s="5">
        <v>39142</v>
      </c>
      <c r="B580">
        <v>7216.8</v>
      </c>
    </row>
    <row r="581" spans="1:2" x14ac:dyDescent="0.25">
      <c r="A581" s="5">
        <v>39173</v>
      </c>
      <c r="B581">
        <v>7305.9</v>
      </c>
    </row>
    <row r="582" spans="1:2" x14ac:dyDescent="0.25">
      <c r="A582" s="5">
        <v>39203</v>
      </c>
      <c r="B582">
        <v>7250.2</v>
      </c>
    </row>
    <row r="583" spans="1:2" x14ac:dyDescent="0.25">
      <c r="A583" s="5">
        <v>39234</v>
      </c>
      <c r="B583">
        <v>7294.2</v>
      </c>
    </row>
    <row r="584" spans="1:2" x14ac:dyDescent="0.25">
      <c r="A584" s="5">
        <v>39264</v>
      </c>
      <c r="B584">
        <v>7297.6</v>
      </c>
    </row>
    <row r="585" spans="1:2" x14ac:dyDescent="0.25">
      <c r="A585" s="5">
        <v>39295</v>
      </c>
      <c r="B585">
        <v>7356.8</v>
      </c>
    </row>
    <row r="586" spans="1:2" x14ac:dyDescent="0.25">
      <c r="A586" s="5">
        <v>39326</v>
      </c>
      <c r="B586">
        <v>7377.4</v>
      </c>
    </row>
    <row r="587" spans="1:2" x14ac:dyDescent="0.25">
      <c r="A587" s="5">
        <v>39356</v>
      </c>
      <c r="B587">
        <v>7389.4</v>
      </c>
    </row>
    <row r="588" spans="1:2" x14ac:dyDescent="0.25">
      <c r="A588" s="5">
        <v>39387</v>
      </c>
      <c r="B588">
        <v>7448.5</v>
      </c>
    </row>
    <row r="589" spans="1:2" x14ac:dyDescent="0.25">
      <c r="A589" s="5">
        <v>39417</v>
      </c>
      <c r="B589">
        <v>7516.5</v>
      </c>
    </row>
    <row r="590" spans="1:2" x14ac:dyDescent="0.25">
      <c r="A590" s="5">
        <v>39448</v>
      </c>
      <c r="B590">
        <v>7514.7</v>
      </c>
    </row>
    <row r="591" spans="1:2" x14ac:dyDescent="0.25">
      <c r="A591" s="5">
        <v>39479</v>
      </c>
      <c r="B591">
        <v>7598.7</v>
      </c>
    </row>
    <row r="592" spans="1:2" x14ac:dyDescent="0.25">
      <c r="A592" s="5">
        <v>39508</v>
      </c>
      <c r="B592">
        <v>7733.3</v>
      </c>
    </row>
    <row r="593" spans="1:2" x14ac:dyDescent="0.25">
      <c r="A593" s="5">
        <v>39539</v>
      </c>
      <c r="B593">
        <v>7780.9</v>
      </c>
    </row>
    <row r="594" spans="1:2" x14ac:dyDescent="0.25">
      <c r="A594" s="5">
        <v>39569</v>
      </c>
      <c r="B594">
        <v>7723</v>
      </c>
    </row>
    <row r="595" spans="1:2" x14ac:dyDescent="0.25">
      <c r="A595" s="5">
        <v>39600</v>
      </c>
      <c r="B595">
        <v>7746.5</v>
      </c>
    </row>
    <row r="596" spans="1:2" x14ac:dyDescent="0.25">
      <c r="A596" s="5">
        <v>39630</v>
      </c>
      <c r="B596">
        <v>7760.6</v>
      </c>
    </row>
    <row r="597" spans="1:2" x14ac:dyDescent="0.25">
      <c r="A597" s="5">
        <v>39661</v>
      </c>
      <c r="B597">
        <v>7758.2</v>
      </c>
    </row>
    <row r="598" spans="1:2" x14ac:dyDescent="0.25">
      <c r="A598" s="5">
        <v>39692</v>
      </c>
      <c r="B598">
        <v>7828.5</v>
      </c>
    </row>
    <row r="599" spans="1:2" x14ac:dyDescent="0.25">
      <c r="A599" s="5">
        <v>39722</v>
      </c>
      <c r="B599">
        <v>7931.6</v>
      </c>
    </row>
    <row r="600" spans="1:2" x14ac:dyDescent="0.25">
      <c r="A600" s="5">
        <v>39753</v>
      </c>
      <c r="B600">
        <v>8023.6</v>
      </c>
    </row>
    <row r="601" spans="1:2" x14ac:dyDescent="0.25">
      <c r="A601" s="5">
        <v>39783</v>
      </c>
      <c r="B601">
        <v>8244.1</v>
      </c>
    </row>
    <row r="602" spans="1:2" x14ac:dyDescent="0.25">
      <c r="A602" s="5">
        <v>39814</v>
      </c>
      <c r="B602">
        <v>8292</v>
      </c>
    </row>
    <row r="603" spans="1:2" x14ac:dyDescent="0.25">
      <c r="A603" s="5">
        <v>39845</v>
      </c>
      <c r="B603">
        <v>8321.6</v>
      </c>
    </row>
    <row r="604" spans="1:2" x14ac:dyDescent="0.25">
      <c r="A604" s="5">
        <v>39873</v>
      </c>
      <c r="B604">
        <v>8458.6</v>
      </c>
    </row>
    <row r="605" spans="1:2" x14ac:dyDescent="0.25">
      <c r="A605" s="5">
        <v>39904</v>
      </c>
      <c r="B605">
        <v>8459.7999999999993</v>
      </c>
    </row>
    <row r="606" spans="1:2" x14ac:dyDescent="0.25">
      <c r="A606" s="5">
        <v>39934</v>
      </c>
      <c r="B606">
        <v>8446.9</v>
      </c>
    </row>
    <row r="607" spans="1:2" x14ac:dyDescent="0.25">
      <c r="A607" s="5">
        <v>39965</v>
      </c>
      <c r="B607">
        <v>8459.9</v>
      </c>
    </row>
    <row r="608" spans="1:2" x14ac:dyDescent="0.25">
      <c r="A608" s="5">
        <v>39995</v>
      </c>
      <c r="B608">
        <v>8425.7999999999993</v>
      </c>
    </row>
    <row r="609" spans="1:2" x14ac:dyDescent="0.25">
      <c r="A609" s="5">
        <v>40026</v>
      </c>
      <c r="B609">
        <v>8404.6</v>
      </c>
    </row>
    <row r="610" spans="1:2" x14ac:dyDescent="0.25">
      <c r="A610" s="5">
        <v>40057</v>
      </c>
      <c r="B610">
        <v>8412.2000000000007</v>
      </c>
    </row>
    <row r="611" spans="1:2" x14ac:dyDescent="0.25">
      <c r="A611" s="5">
        <v>40087</v>
      </c>
      <c r="B611">
        <v>8443</v>
      </c>
    </row>
    <row r="612" spans="1:2" x14ac:dyDescent="0.25">
      <c r="A612" s="5">
        <v>40118</v>
      </c>
      <c r="B612">
        <v>8517.2999999999993</v>
      </c>
    </row>
    <row r="613" spans="1:2" x14ac:dyDescent="0.25">
      <c r="A613" s="5">
        <v>40148</v>
      </c>
      <c r="B613">
        <v>8560</v>
      </c>
    </row>
    <row r="614" spans="1:2" x14ac:dyDescent="0.25">
      <c r="A614" s="5">
        <v>40179</v>
      </c>
      <c r="B614">
        <v>8484.2000000000007</v>
      </c>
    </row>
    <row r="615" spans="1:2" x14ac:dyDescent="0.25">
      <c r="A615" s="5">
        <v>40210</v>
      </c>
      <c r="B615">
        <v>8528.7000000000007</v>
      </c>
    </row>
    <row r="616" spans="1:2" x14ac:dyDescent="0.25">
      <c r="A616" s="5">
        <v>40238</v>
      </c>
      <c r="B616">
        <v>8596</v>
      </c>
    </row>
    <row r="617" spans="1:2" x14ac:dyDescent="0.25">
      <c r="A617" s="5">
        <v>40269</v>
      </c>
      <c r="B617">
        <v>8621.6</v>
      </c>
    </row>
    <row r="618" spans="1:2" x14ac:dyDescent="0.25">
      <c r="A618" s="5">
        <v>40299</v>
      </c>
      <c r="B618">
        <v>8603</v>
      </c>
    </row>
    <row r="619" spans="1:2" x14ac:dyDescent="0.25">
      <c r="A619" s="5">
        <v>40330</v>
      </c>
      <c r="B619">
        <v>8625.2999999999993</v>
      </c>
    </row>
    <row r="620" spans="1:2" x14ac:dyDescent="0.25">
      <c r="A620" s="5">
        <v>40360</v>
      </c>
      <c r="B620">
        <v>8597.4</v>
      </c>
    </row>
    <row r="621" spans="1:2" x14ac:dyDescent="0.25">
      <c r="A621" s="5">
        <v>40391</v>
      </c>
      <c r="B621">
        <v>8626.2999999999993</v>
      </c>
    </row>
    <row r="622" spans="1:2" x14ac:dyDescent="0.25">
      <c r="A622" s="5">
        <v>40422</v>
      </c>
      <c r="B622">
        <v>8668</v>
      </c>
    </row>
    <row r="623" spans="1:2" x14ac:dyDescent="0.25">
      <c r="A623" s="5">
        <v>40452</v>
      </c>
      <c r="B623">
        <v>8729.2999999999993</v>
      </c>
    </row>
    <row r="624" spans="1:2" x14ac:dyDescent="0.25">
      <c r="A624" s="5">
        <v>40483</v>
      </c>
      <c r="B624">
        <v>8794.4</v>
      </c>
    </row>
    <row r="625" spans="1:2" x14ac:dyDescent="0.25">
      <c r="A625" s="5">
        <v>40513</v>
      </c>
      <c r="B625">
        <v>8879.2000000000007</v>
      </c>
    </row>
    <row r="626" spans="1:2" x14ac:dyDescent="0.25">
      <c r="A626" s="5">
        <v>40544</v>
      </c>
      <c r="B626">
        <v>8876.5</v>
      </c>
    </row>
    <row r="627" spans="1:2" x14ac:dyDescent="0.25">
      <c r="A627" s="5">
        <v>40575</v>
      </c>
      <c r="B627">
        <v>8913.7000000000007</v>
      </c>
    </row>
    <row r="628" spans="1:2" x14ac:dyDescent="0.25">
      <c r="A628" s="5">
        <v>40603</v>
      </c>
      <c r="B628">
        <v>9028.9</v>
      </c>
    </row>
    <row r="629" spans="1:2" x14ac:dyDescent="0.25">
      <c r="A629" s="5">
        <v>40634</v>
      </c>
      <c r="B629">
        <v>9085.7999999999993</v>
      </c>
    </row>
    <row r="630" spans="1:2" x14ac:dyDescent="0.25">
      <c r="A630" s="5">
        <v>40664</v>
      </c>
      <c r="B630">
        <v>9057.4</v>
      </c>
    </row>
    <row r="631" spans="1:2" x14ac:dyDescent="0.25">
      <c r="A631" s="5">
        <v>40695</v>
      </c>
      <c r="B631">
        <v>9144.6</v>
      </c>
    </row>
    <row r="632" spans="1:2" x14ac:dyDescent="0.25">
      <c r="A632" s="5">
        <v>40725</v>
      </c>
      <c r="B632">
        <v>9293.9</v>
      </c>
    </row>
    <row r="633" spans="1:2" x14ac:dyDescent="0.25">
      <c r="A633" s="5">
        <v>40756</v>
      </c>
      <c r="B633">
        <v>9485.1</v>
      </c>
    </row>
    <row r="634" spans="1:2" x14ac:dyDescent="0.25">
      <c r="A634" s="5">
        <v>40787</v>
      </c>
      <c r="B634">
        <v>9523.2999999999993</v>
      </c>
    </row>
    <row r="635" spans="1:2" x14ac:dyDescent="0.25">
      <c r="A635" s="5">
        <v>40817</v>
      </c>
      <c r="B635">
        <v>9572.5</v>
      </c>
    </row>
    <row r="636" spans="1:2" x14ac:dyDescent="0.25">
      <c r="A636" s="5">
        <v>40848</v>
      </c>
      <c r="B636">
        <v>9656.9</v>
      </c>
    </row>
    <row r="637" spans="1:2" x14ac:dyDescent="0.25">
      <c r="A637" s="5">
        <v>40878</v>
      </c>
      <c r="B637">
        <v>9753.5</v>
      </c>
    </row>
    <row r="638" spans="1:2" x14ac:dyDescent="0.25">
      <c r="A638" s="5">
        <v>40909</v>
      </c>
      <c r="B638">
        <v>9786.7000000000007</v>
      </c>
    </row>
    <row r="639" spans="1:2" x14ac:dyDescent="0.25">
      <c r="A639" s="5">
        <v>40940</v>
      </c>
      <c r="B639">
        <v>9811.1</v>
      </c>
    </row>
    <row r="640" spans="1:2" x14ac:dyDescent="0.25">
      <c r="A640" s="5">
        <v>40969</v>
      </c>
      <c r="B640">
        <v>9926.6</v>
      </c>
    </row>
    <row r="641" spans="1:2" x14ac:dyDescent="0.25">
      <c r="A641" s="5">
        <v>41000</v>
      </c>
      <c r="B641">
        <v>9972.1</v>
      </c>
    </row>
    <row r="642" spans="1:2" x14ac:dyDescent="0.25">
      <c r="A642" s="5">
        <v>41030</v>
      </c>
      <c r="B642">
        <v>9905.6</v>
      </c>
    </row>
    <row r="643" spans="1:2" x14ac:dyDescent="0.25">
      <c r="A643" s="5">
        <v>41061</v>
      </c>
      <c r="B643">
        <v>9982.7999999999993</v>
      </c>
    </row>
    <row r="644" spans="1:2" x14ac:dyDescent="0.25">
      <c r="A644" s="5">
        <v>41091</v>
      </c>
      <c r="B644">
        <v>10028.5</v>
      </c>
    </row>
    <row r="645" spans="1:2" x14ac:dyDescent="0.25">
      <c r="A645" s="5">
        <v>41122</v>
      </c>
      <c r="B645">
        <v>10093</v>
      </c>
    </row>
    <row r="646" spans="1:2" x14ac:dyDescent="0.25">
      <c r="A646" s="5">
        <v>41153</v>
      </c>
      <c r="B646">
        <v>10190.200000000001</v>
      </c>
    </row>
    <row r="647" spans="1:2" x14ac:dyDescent="0.25">
      <c r="A647" s="5">
        <v>41183</v>
      </c>
      <c r="B647">
        <v>10270.9</v>
      </c>
    </row>
    <row r="648" spans="1:2" x14ac:dyDescent="0.25">
      <c r="A648" s="5">
        <v>41214</v>
      </c>
      <c r="B648">
        <v>10367.1</v>
      </c>
    </row>
    <row r="649" spans="1:2" x14ac:dyDescent="0.25">
      <c r="A649" s="5">
        <v>41244</v>
      </c>
      <c r="B649">
        <v>10556.4</v>
      </c>
    </row>
    <row r="650" spans="1:2" x14ac:dyDescent="0.25">
      <c r="A650" s="5">
        <v>41275</v>
      </c>
      <c r="B650">
        <v>10532.2</v>
      </c>
    </row>
    <row r="651" spans="1:2" x14ac:dyDescent="0.25">
      <c r="A651" s="5">
        <v>41306</v>
      </c>
      <c r="B651">
        <v>10506.2</v>
      </c>
    </row>
    <row r="652" spans="1:2" x14ac:dyDescent="0.25">
      <c r="A652" s="5">
        <v>41334</v>
      </c>
      <c r="B652">
        <v>10652.7</v>
      </c>
    </row>
    <row r="653" spans="1:2" x14ac:dyDescent="0.25">
      <c r="A653" s="5">
        <v>41365</v>
      </c>
      <c r="B653">
        <v>10681</v>
      </c>
    </row>
    <row r="654" spans="1:2" x14ac:dyDescent="0.25">
      <c r="A654" s="5">
        <v>41395</v>
      </c>
      <c r="B654">
        <v>10603.5</v>
      </c>
    </row>
    <row r="655" spans="1:2" x14ac:dyDescent="0.25">
      <c r="A655" s="5">
        <v>41426</v>
      </c>
      <c r="B655">
        <v>10667.7</v>
      </c>
    </row>
    <row r="656" spans="1:2" x14ac:dyDescent="0.25">
      <c r="A656" s="5">
        <v>41456</v>
      </c>
      <c r="B656">
        <v>10706.5</v>
      </c>
    </row>
    <row r="657" spans="1:2" x14ac:dyDescent="0.25">
      <c r="A657" s="5">
        <v>41487</v>
      </c>
      <c r="B657">
        <v>10762.4</v>
      </c>
    </row>
    <row r="658" spans="1:2" x14ac:dyDescent="0.25">
      <c r="A658" s="5">
        <v>41518</v>
      </c>
      <c r="B658">
        <v>10830.6</v>
      </c>
    </row>
    <row r="659" spans="1:2" x14ac:dyDescent="0.25">
      <c r="A659" s="5">
        <v>41548</v>
      </c>
      <c r="B659">
        <v>10957.8</v>
      </c>
    </row>
    <row r="660" spans="1:2" x14ac:dyDescent="0.25">
      <c r="A660" s="5">
        <v>41579</v>
      </c>
      <c r="B660">
        <v>11002.8</v>
      </c>
    </row>
    <row r="661" spans="1:2" x14ac:dyDescent="0.25">
      <c r="A661" s="5">
        <v>41609</v>
      </c>
      <c r="B661">
        <v>11130</v>
      </c>
    </row>
    <row r="662" spans="1:2" x14ac:dyDescent="0.25">
      <c r="A662" s="5">
        <v>41640</v>
      </c>
      <c r="B662">
        <v>11126.7</v>
      </c>
    </row>
    <row r="663" spans="1:2" x14ac:dyDescent="0.25">
      <c r="A663" s="5">
        <v>41671</v>
      </c>
      <c r="B663">
        <v>11179</v>
      </c>
    </row>
    <row r="664" spans="1:2" x14ac:dyDescent="0.25">
      <c r="A664" s="5">
        <v>41699</v>
      </c>
      <c r="B664">
        <v>11303.2</v>
      </c>
    </row>
    <row r="665" spans="1:2" x14ac:dyDescent="0.25">
      <c r="A665" s="5">
        <v>41730</v>
      </c>
      <c r="B665">
        <v>11356.4</v>
      </c>
    </row>
    <row r="666" spans="1:2" x14ac:dyDescent="0.25">
      <c r="A666" s="5">
        <v>41760</v>
      </c>
      <c r="B666">
        <v>11299.4</v>
      </c>
    </row>
    <row r="667" spans="1:2" x14ac:dyDescent="0.25">
      <c r="A667" s="5">
        <v>41791</v>
      </c>
      <c r="B667">
        <v>11361.3</v>
      </c>
    </row>
    <row r="668" spans="1:2" x14ac:dyDescent="0.25">
      <c r="A668" s="5">
        <v>41821</v>
      </c>
      <c r="B668">
        <v>11417.4</v>
      </c>
    </row>
    <row r="669" spans="1:2" x14ac:dyDescent="0.25">
      <c r="A669" s="5">
        <v>41852</v>
      </c>
      <c r="B669">
        <v>11448.1</v>
      </c>
    </row>
    <row r="670" spans="1:2" x14ac:dyDescent="0.25">
      <c r="A670" s="5">
        <v>41883</v>
      </c>
      <c r="B670">
        <v>11495.8</v>
      </c>
    </row>
    <row r="671" spans="1:2" x14ac:dyDescent="0.25">
      <c r="A671" s="5">
        <v>41913</v>
      </c>
      <c r="B671">
        <v>11563.4</v>
      </c>
    </row>
    <row r="672" spans="1:2" x14ac:dyDescent="0.25">
      <c r="A672" s="5">
        <v>41944</v>
      </c>
      <c r="B672">
        <v>11640.1</v>
      </c>
    </row>
    <row r="673" spans="1:2" x14ac:dyDescent="0.25">
      <c r="A673" s="5">
        <v>41974</v>
      </c>
      <c r="B673">
        <v>11786.1</v>
      </c>
    </row>
    <row r="674" spans="1:2" x14ac:dyDescent="0.25">
      <c r="A674" s="5">
        <v>42005</v>
      </c>
      <c r="B674">
        <v>11785.2</v>
      </c>
    </row>
    <row r="675" spans="1:2" x14ac:dyDescent="0.25">
      <c r="A675" s="5">
        <v>42036</v>
      </c>
      <c r="B675">
        <v>11873.5</v>
      </c>
    </row>
    <row r="676" spans="1:2" x14ac:dyDescent="0.25">
      <c r="A676" s="5">
        <v>42064</v>
      </c>
      <c r="B676">
        <v>11983</v>
      </c>
    </row>
    <row r="677" spans="1:2" x14ac:dyDescent="0.25">
      <c r="A677" s="5">
        <v>42095</v>
      </c>
      <c r="B677">
        <v>12031.3</v>
      </c>
    </row>
    <row r="678" spans="1:2" x14ac:dyDescent="0.25">
      <c r="A678" s="5">
        <v>42125</v>
      </c>
      <c r="B678">
        <v>11934.7</v>
      </c>
    </row>
    <row r="679" spans="1:2" x14ac:dyDescent="0.25">
      <c r="A679" s="5">
        <v>42156</v>
      </c>
      <c r="B679">
        <v>11990.6</v>
      </c>
    </row>
    <row r="680" spans="1:2" x14ac:dyDescent="0.25">
      <c r="A680" s="5">
        <v>42186</v>
      </c>
      <c r="B680">
        <v>12041.9</v>
      </c>
    </row>
    <row r="681" spans="1:2" x14ac:dyDescent="0.25">
      <c r="A681" s="5">
        <v>42217</v>
      </c>
      <c r="B681">
        <v>12099.4</v>
      </c>
    </row>
    <row r="682" spans="1:2" x14ac:dyDescent="0.25">
      <c r="A682" s="5">
        <v>42248</v>
      </c>
      <c r="B682">
        <v>12166.6</v>
      </c>
    </row>
    <row r="683" spans="1:2" x14ac:dyDescent="0.25">
      <c r="A683" s="5">
        <v>42278</v>
      </c>
      <c r="B683">
        <v>12201</v>
      </c>
    </row>
    <row r="684" spans="1:2" x14ac:dyDescent="0.25">
      <c r="A684" s="5">
        <v>42309</v>
      </c>
      <c r="B684">
        <v>12328.4</v>
      </c>
    </row>
    <row r="685" spans="1:2" x14ac:dyDescent="0.25">
      <c r="A685" s="5">
        <v>42339</v>
      </c>
      <c r="B685">
        <v>12458</v>
      </c>
    </row>
    <row r="686" spans="1:2" x14ac:dyDescent="0.25">
      <c r="A686" s="5">
        <v>42370</v>
      </c>
      <c r="B686">
        <v>12509.6</v>
      </c>
    </row>
    <row r="687" spans="1:2" x14ac:dyDescent="0.25">
      <c r="A687" s="5">
        <v>42401</v>
      </c>
      <c r="B687">
        <v>12548.6</v>
      </c>
    </row>
    <row r="688" spans="1:2" x14ac:dyDescent="0.25">
      <c r="A688" s="5">
        <v>42430</v>
      </c>
      <c r="B688">
        <v>12716.6</v>
      </c>
    </row>
    <row r="689" spans="1:2" x14ac:dyDescent="0.25">
      <c r="A689" s="5">
        <v>42461</v>
      </c>
      <c r="B689">
        <v>12810.5</v>
      </c>
    </row>
    <row r="690" spans="1:2" x14ac:dyDescent="0.25">
      <c r="A690" s="5">
        <v>42491</v>
      </c>
      <c r="B690">
        <v>12742.2</v>
      </c>
    </row>
    <row r="691" spans="1:2" x14ac:dyDescent="0.25">
      <c r="A691" s="5">
        <v>42522</v>
      </c>
      <c r="B691">
        <v>12822.6</v>
      </c>
    </row>
    <row r="692" spans="1:2" x14ac:dyDescent="0.25">
      <c r="A692" s="5">
        <v>42552</v>
      </c>
      <c r="B692">
        <v>12884.2</v>
      </c>
    </row>
    <row r="693" spans="1:2" x14ac:dyDescent="0.25">
      <c r="A693" s="5">
        <v>42583</v>
      </c>
      <c r="B693">
        <v>12981.3</v>
      </c>
    </row>
    <row r="694" spans="1:2" x14ac:dyDescent="0.25">
      <c r="A694" s="5">
        <v>42614</v>
      </c>
      <c r="B694">
        <v>13047.1</v>
      </c>
    </row>
    <row r="695" spans="1:2" x14ac:dyDescent="0.25">
      <c r="A695" s="5">
        <v>42644</v>
      </c>
      <c r="B695">
        <v>13105.6</v>
      </c>
    </row>
    <row r="696" spans="1:2" x14ac:dyDescent="0.25">
      <c r="A696" s="5">
        <v>42675</v>
      </c>
      <c r="B696">
        <v>13217.4</v>
      </c>
    </row>
    <row r="697" spans="1:2" x14ac:dyDescent="0.25">
      <c r="A697" s="5">
        <v>42705</v>
      </c>
      <c r="B697">
        <v>13326</v>
      </c>
    </row>
    <row r="698" spans="1:2" x14ac:dyDescent="0.25">
      <c r="A698" s="5">
        <v>42736</v>
      </c>
      <c r="B698">
        <v>13308</v>
      </c>
    </row>
    <row r="699" spans="1:2" x14ac:dyDescent="0.25">
      <c r="A699" s="5">
        <v>42767</v>
      </c>
      <c r="B699">
        <v>13332.5</v>
      </c>
    </row>
    <row r="700" spans="1:2" x14ac:dyDescent="0.25">
      <c r="A700" s="5">
        <v>42795</v>
      </c>
      <c r="B700">
        <v>13519.1</v>
      </c>
    </row>
    <row r="701" spans="1:2" x14ac:dyDescent="0.25">
      <c r="A701" s="5">
        <v>42826</v>
      </c>
      <c r="B701">
        <v>13592.8</v>
      </c>
    </row>
    <row r="702" spans="1:2" x14ac:dyDescent="0.25">
      <c r="A702" s="5">
        <v>42856</v>
      </c>
      <c r="B702">
        <v>13502.6</v>
      </c>
    </row>
    <row r="703" spans="1:2" x14ac:dyDescent="0.25">
      <c r="A703" s="5">
        <v>42887</v>
      </c>
      <c r="B703">
        <v>13551.6</v>
      </c>
    </row>
    <row r="704" spans="1:2" x14ac:dyDescent="0.25">
      <c r="A704" s="5">
        <v>42917</v>
      </c>
      <c r="B704">
        <v>13614.9</v>
      </c>
    </row>
    <row r="705" spans="1:2" x14ac:dyDescent="0.25">
      <c r="A705" s="5">
        <v>42948</v>
      </c>
      <c r="B705">
        <v>13685</v>
      </c>
    </row>
    <row r="706" spans="1:2" x14ac:dyDescent="0.25">
      <c r="A706" s="5">
        <v>42979</v>
      </c>
      <c r="B706">
        <v>13737.5</v>
      </c>
    </row>
    <row r="707" spans="1:2" x14ac:dyDescent="0.25">
      <c r="A707" s="5">
        <v>43009</v>
      </c>
      <c r="B707">
        <v>13783.5</v>
      </c>
    </row>
    <row r="708" spans="1:2" x14ac:dyDescent="0.25">
      <c r="A708" s="5">
        <v>43040</v>
      </c>
      <c r="B708">
        <v>13853.2</v>
      </c>
    </row>
    <row r="709" spans="1:2" x14ac:dyDescent="0.25">
      <c r="A709" s="5">
        <v>43070</v>
      </c>
      <c r="B709">
        <v>13978.9</v>
      </c>
    </row>
    <row r="710" spans="1:2" x14ac:dyDescent="0.25">
      <c r="A710" s="5">
        <v>43101</v>
      </c>
      <c r="B710">
        <v>13897.5</v>
      </c>
    </row>
    <row r="711" spans="1:2" x14ac:dyDescent="0.25">
      <c r="A711" s="5">
        <v>43132</v>
      </c>
      <c r="B711">
        <v>13884.3</v>
      </c>
    </row>
    <row r="712" spans="1:2" x14ac:dyDescent="0.25">
      <c r="A712" s="5">
        <v>43160</v>
      </c>
      <c r="B712">
        <v>14067.1</v>
      </c>
    </row>
    <row r="713" spans="1:2" x14ac:dyDescent="0.25">
      <c r="A713" s="5">
        <v>43191</v>
      </c>
      <c r="B713">
        <v>14105.8</v>
      </c>
    </row>
    <row r="714" spans="1:2" x14ac:dyDescent="0.25">
      <c r="A714" s="5">
        <v>43221</v>
      </c>
      <c r="B714">
        <v>14017.4</v>
      </c>
    </row>
    <row r="715" spans="1:2" x14ac:dyDescent="0.25">
      <c r="A715" s="5">
        <v>43252</v>
      </c>
      <c r="B715">
        <v>14112.7</v>
      </c>
    </row>
    <row r="716" spans="1:2" x14ac:dyDescent="0.25">
      <c r="A716" s="5">
        <v>43282</v>
      </c>
      <c r="B716">
        <v>14148.2</v>
      </c>
    </row>
    <row r="717" spans="1:2" x14ac:dyDescent="0.25">
      <c r="A717" s="5">
        <v>43313</v>
      </c>
      <c r="B717">
        <v>14203.2</v>
      </c>
    </row>
    <row r="718" spans="1:2" x14ac:dyDescent="0.25">
      <c r="A718" s="5">
        <v>43344</v>
      </c>
      <c r="B718">
        <v>14237.2</v>
      </c>
    </row>
    <row r="719" spans="1:2" x14ac:dyDescent="0.25">
      <c r="A719" s="5">
        <v>43374</v>
      </c>
      <c r="B719">
        <v>14238.8</v>
      </c>
    </row>
    <row r="720" spans="1:2" x14ac:dyDescent="0.25">
      <c r="A720" s="5">
        <v>43405</v>
      </c>
      <c r="B720">
        <v>14293.5</v>
      </c>
    </row>
    <row r="721" spans="1:2" x14ac:dyDescent="0.25">
      <c r="A721" s="5">
        <v>43435</v>
      </c>
      <c r="B721">
        <v>14489</v>
      </c>
    </row>
    <row r="722" spans="1:2" x14ac:dyDescent="0.25">
      <c r="A722" s="5">
        <v>43466</v>
      </c>
      <c r="B722">
        <v>14465.2</v>
      </c>
    </row>
    <row r="723" spans="1:2" x14ac:dyDescent="0.25">
      <c r="A723" s="5">
        <v>43497</v>
      </c>
      <c r="B723">
        <v>14443.2</v>
      </c>
    </row>
    <row r="724" spans="1:2" x14ac:dyDescent="0.25">
      <c r="A724" s="5">
        <v>43525</v>
      </c>
      <c r="B724">
        <v>14614.3</v>
      </c>
    </row>
    <row r="725" spans="1:2" x14ac:dyDescent="0.25">
      <c r="A725" s="5">
        <v>43556</v>
      </c>
      <c r="B725">
        <v>14665</v>
      </c>
    </row>
    <row r="726" spans="1:2" x14ac:dyDescent="0.25">
      <c r="A726" s="5">
        <v>43586</v>
      </c>
      <c r="B726">
        <v>14618.1</v>
      </c>
    </row>
    <row r="727" spans="1:2" x14ac:dyDescent="0.25">
      <c r="A727" s="5">
        <v>43617</v>
      </c>
      <c r="B727">
        <v>14779.3</v>
      </c>
    </row>
    <row r="728" spans="1:2" x14ac:dyDescent="0.25">
      <c r="A728" s="5">
        <v>43647</v>
      </c>
      <c r="B728">
        <v>14860.7</v>
      </c>
    </row>
    <row r="729" spans="1:2" x14ac:dyDescent="0.25">
      <c r="A729" s="5">
        <v>43678</v>
      </c>
      <c r="B729">
        <v>14944.2</v>
      </c>
    </row>
    <row r="730" spans="1:2" x14ac:dyDescent="0.25">
      <c r="A730" s="5">
        <v>43709</v>
      </c>
      <c r="B730">
        <v>15036.9</v>
      </c>
    </row>
    <row r="731" spans="1:2" x14ac:dyDescent="0.25">
      <c r="A731" s="5">
        <v>43739</v>
      </c>
      <c r="B731">
        <v>15162.1</v>
      </c>
    </row>
    <row r="732" spans="1:2" x14ac:dyDescent="0.25">
      <c r="A732" s="5">
        <v>43770</v>
      </c>
      <c r="B732">
        <v>15308.1</v>
      </c>
    </row>
    <row r="733" spans="1:2" x14ac:dyDescent="0.25">
      <c r="A733" s="5">
        <v>43800</v>
      </c>
      <c r="B733">
        <v>15459.4</v>
      </c>
    </row>
    <row r="734" spans="1:2" x14ac:dyDescent="0.25">
      <c r="A734" s="5">
        <v>43831</v>
      </c>
      <c r="B734">
        <v>15444.7</v>
      </c>
    </row>
    <row r="735" spans="1:2" x14ac:dyDescent="0.25">
      <c r="A735" s="5">
        <v>43862</v>
      </c>
      <c r="B735">
        <v>15433.7</v>
      </c>
    </row>
    <row r="736" spans="1:2" x14ac:dyDescent="0.25">
      <c r="A736" s="5">
        <v>43891</v>
      </c>
      <c r="B736">
        <v>16102.6</v>
      </c>
    </row>
    <row r="737" spans="1:2" x14ac:dyDescent="0.25">
      <c r="A737" s="5">
        <v>43922</v>
      </c>
      <c r="B737">
        <v>17146.5</v>
      </c>
    </row>
    <row r="738" spans="1:2" x14ac:dyDescent="0.25">
      <c r="A738" s="5">
        <v>43952</v>
      </c>
      <c r="B738">
        <v>17812.8</v>
      </c>
    </row>
    <row r="739" spans="1:2" x14ac:dyDescent="0.25">
      <c r="A739" s="5">
        <v>43983</v>
      </c>
      <c r="B739">
        <v>18150</v>
      </c>
    </row>
    <row r="740" spans="1:2" x14ac:dyDescent="0.25">
      <c r="A740" s="5">
        <v>44013</v>
      </c>
      <c r="B740">
        <v>18298.3</v>
      </c>
    </row>
    <row r="741" spans="1:2" x14ac:dyDescent="0.25">
      <c r="A741" s="5">
        <v>44044</v>
      </c>
      <c r="B741">
        <v>18363.900000000001</v>
      </c>
    </row>
    <row r="742" spans="1:2" x14ac:dyDescent="0.25">
      <c r="A742" s="5">
        <v>44075</v>
      </c>
      <c r="B742">
        <v>18585.2</v>
      </c>
    </row>
    <row r="743" spans="1:2" x14ac:dyDescent="0.25">
      <c r="A743" s="5">
        <v>44105</v>
      </c>
      <c r="B743">
        <v>18728</v>
      </c>
    </row>
    <row r="744" spans="1:2" x14ac:dyDescent="0.25">
      <c r="A744" s="5">
        <v>44136</v>
      </c>
      <c r="B744">
        <v>19015.400000000001</v>
      </c>
    </row>
    <row r="745" spans="1:2" x14ac:dyDescent="0.25">
      <c r="A745" s="5">
        <v>44166</v>
      </c>
      <c r="B745">
        <v>19279.3</v>
      </c>
    </row>
    <row r="746" spans="1:2" x14ac:dyDescent="0.25">
      <c r="A746" s="5">
        <v>44197</v>
      </c>
      <c r="B746">
        <v>19400.3</v>
      </c>
    </row>
    <row r="747" spans="1:2" x14ac:dyDescent="0.25">
      <c r="A747" s="5">
        <v>44228</v>
      </c>
      <c r="B747">
        <v>19545.3</v>
      </c>
    </row>
    <row r="748" spans="1:2" x14ac:dyDescent="0.25">
      <c r="A748" s="5">
        <v>44256</v>
      </c>
      <c r="B748">
        <v>19961.400000000001</v>
      </c>
    </row>
    <row r="749" spans="1:2" x14ac:dyDescent="0.25">
      <c r="A749" s="5">
        <v>44287</v>
      </c>
      <c r="B749">
        <v>20279</v>
      </c>
    </row>
    <row r="750" spans="1:2" x14ac:dyDescent="0.25">
      <c r="A750" s="5">
        <v>44317</v>
      </c>
      <c r="B750">
        <v>20325.5</v>
      </c>
    </row>
    <row r="751" spans="1:2" x14ac:dyDescent="0.25">
      <c r="A751" s="5">
        <v>44348</v>
      </c>
      <c r="B751">
        <v>20442.3</v>
      </c>
    </row>
    <row r="752" spans="1:2" x14ac:dyDescent="0.25">
      <c r="A752" s="5">
        <v>44378</v>
      </c>
      <c r="B752">
        <v>20596</v>
      </c>
    </row>
    <row r="753" spans="1:2" x14ac:dyDescent="0.25">
      <c r="A753" s="5">
        <v>44409</v>
      </c>
      <c r="B753">
        <v>20787.599999999999</v>
      </c>
    </row>
    <row r="754" spans="1:2" x14ac:dyDescent="0.25">
      <c r="A754" s="5">
        <v>44440</v>
      </c>
      <c r="B754">
        <v>20960.599999999999</v>
      </c>
    </row>
    <row r="755" spans="1:2" x14ac:dyDescent="0.25">
      <c r="A755" s="5">
        <v>44470</v>
      </c>
      <c r="B755">
        <v>21125.4</v>
      </c>
    </row>
    <row r="756" spans="1:2" x14ac:dyDescent="0.25">
      <c r="A756" s="5">
        <v>44501</v>
      </c>
      <c r="B756">
        <v>21355.599999999999</v>
      </c>
    </row>
    <row r="757" spans="1:2" x14ac:dyDescent="0.25">
      <c r="A757" s="5">
        <v>44531</v>
      </c>
      <c r="B757">
        <v>21680.9</v>
      </c>
    </row>
    <row r="758" spans="1:2" x14ac:dyDescent="0.25">
      <c r="A758" s="5">
        <v>44562</v>
      </c>
      <c r="B758">
        <v>21667.9</v>
      </c>
    </row>
    <row r="759" spans="1:2" x14ac:dyDescent="0.25">
      <c r="A759" s="5">
        <v>44593</v>
      </c>
      <c r="B759">
        <v>21619</v>
      </c>
    </row>
    <row r="760" spans="1:2" x14ac:dyDescent="0.25">
      <c r="A760" s="5">
        <v>44621</v>
      </c>
      <c r="B760">
        <v>21891.8</v>
      </c>
    </row>
    <row r="761" spans="1:2" x14ac:dyDescent="0.25">
      <c r="A761" s="5">
        <v>44652</v>
      </c>
      <c r="B761">
        <v>21884.1</v>
      </c>
    </row>
    <row r="762" spans="1:2" x14ac:dyDescent="0.25">
      <c r="A762" s="5">
        <v>44682</v>
      </c>
      <c r="B762">
        <v>21589.3</v>
      </c>
    </row>
    <row r="763" spans="1:2" x14ac:dyDescent="0.25">
      <c r="A763" s="5">
        <v>44713</v>
      </c>
      <c r="B763">
        <v>21614.2</v>
      </c>
    </row>
    <row r="764" spans="1:2" x14ac:dyDescent="0.25">
      <c r="A764" s="5">
        <v>44743</v>
      </c>
      <c r="B764">
        <v>21609.9</v>
      </c>
    </row>
    <row r="765" spans="1:2" x14ac:dyDescent="0.25">
      <c r="A765" s="5">
        <v>44774</v>
      </c>
      <c r="B765">
        <v>21584.1</v>
      </c>
    </row>
    <row r="766" spans="1:2" x14ac:dyDescent="0.25">
      <c r="A766" s="5">
        <v>44805</v>
      </c>
      <c r="B766">
        <v>21506.9</v>
      </c>
    </row>
    <row r="767" spans="1:2" x14ac:dyDescent="0.25">
      <c r="A767" s="5">
        <v>44835</v>
      </c>
      <c r="B767">
        <v>21412.799999999999</v>
      </c>
    </row>
    <row r="768" spans="1:2" x14ac:dyDescent="0.25">
      <c r="A768" s="5">
        <v>44866</v>
      </c>
      <c r="B768">
        <v>21422.400000000001</v>
      </c>
    </row>
    <row r="769" spans="1:2" x14ac:dyDescent="0.25">
      <c r="A769" s="5">
        <v>44896</v>
      </c>
      <c r="B769">
        <v>21448.7</v>
      </c>
    </row>
    <row r="770" spans="1:2" x14ac:dyDescent="0.25">
      <c r="A770" s="5">
        <v>44927</v>
      </c>
      <c r="B770">
        <v>21302.3</v>
      </c>
    </row>
    <row r="771" spans="1:2" x14ac:dyDescent="0.25">
      <c r="A771" s="5">
        <v>44958</v>
      </c>
      <c r="B771">
        <v>21148.3</v>
      </c>
    </row>
    <row r="772" spans="1:2" x14ac:dyDescent="0.25">
      <c r="A772" s="5">
        <v>44986</v>
      </c>
      <c r="B772">
        <v>21054.2</v>
      </c>
    </row>
    <row r="773" spans="1:2" x14ac:dyDescent="0.25">
      <c r="A773" s="5">
        <v>45017</v>
      </c>
      <c r="B773">
        <v>20869.8</v>
      </c>
    </row>
    <row r="774" spans="1:2" x14ac:dyDescent="0.25">
      <c r="A774" s="5">
        <v>45047</v>
      </c>
      <c r="B774">
        <v>20734.5</v>
      </c>
    </row>
    <row r="775" spans="1:2" x14ac:dyDescent="0.25">
      <c r="A775" s="5">
        <v>45078</v>
      </c>
      <c r="B775">
        <v>20771.2</v>
      </c>
    </row>
    <row r="776" spans="1:2" x14ac:dyDescent="0.25">
      <c r="A776" s="5">
        <v>45108</v>
      </c>
      <c r="B776">
        <v>20751.3</v>
      </c>
    </row>
    <row r="777" spans="1:2" x14ac:dyDescent="0.25">
      <c r="A777" s="5">
        <v>45139</v>
      </c>
      <c r="B777">
        <v>20727.099999999999</v>
      </c>
    </row>
    <row r="778" spans="1:2" x14ac:dyDescent="0.25">
      <c r="A778" s="5">
        <v>45170</v>
      </c>
      <c r="B778">
        <v>20710.2</v>
      </c>
    </row>
    <row r="779" spans="1:2" x14ac:dyDescent="0.25">
      <c r="A779" s="5">
        <v>45200</v>
      </c>
      <c r="B779">
        <v>20675.3</v>
      </c>
    </row>
    <row r="780" spans="1:2" x14ac:dyDescent="0.25">
      <c r="A780" s="5">
        <v>45231</v>
      </c>
      <c r="B780">
        <v>20750.3</v>
      </c>
    </row>
    <row r="781" spans="1:2" x14ac:dyDescent="0.25">
      <c r="A781" s="5">
        <v>45261</v>
      </c>
      <c r="B781">
        <v>20907.2</v>
      </c>
    </row>
    <row r="782" spans="1:2" x14ac:dyDescent="0.25">
      <c r="A782" s="5">
        <v>45292</v>
      </c>
      <c r="B782">
        <v>20874</v>
      </c>
    </row>
    <row r="783" spans="1:2" x14ac:dyDescent="0.25">
      <c r="A783" s="5">
        <v>45323</v>
      </c>
      <c r="B783">
        <v>20845.400000000001</v>
      </c>
    </row>
    <row r="784" spans="1:2" x14ac:dyDescent="0.25">
      <c r="A784" s="5">
        <v>45352</v>
      </c>
      <c r="B784">
        <v>21089.3</v>
      </c>
    </row>
    <row r="785" spans="1:2" x14ac:dyDescent="0.25">
      <c r="A785" s="5">
        <v>45383</v>
      </c>
      <c r="B785">
        <v>21069.4</v>
      </c>
    </row>
    <row r="786" spans="1:2" x14ac:dyDescent="0.25">
      <c r="A786" s="5">
        <v>45413</v>
      </c>
      <c r="B786">
        <v>20937.7</v>
      </c>
    </row>
    <row r="787" spans="1:2" x14ac:dyDescent="0.25">
      <c r="A787" s="5">
        <v>45444</v>
      </c>
      <c r="B787">
        <v>21041.599999999999</v>
      </c>
    </row>
    <row r="788" spans="1:2" x14ac:dyDescent="0.25">
      <c r="A788" s="5">
        <v>45474</v>
      </c>
      <c r="B788">
        <v>21052.400000000001</v>
      </c>
    </row>
    <row r="789" spans="1:2" x14ac:dyDescent="0.25">
      <c r="A789" s="5">
        <v>45505</v>
      </c>
      <c r="B789">
        <v>21138.5</v>
      </c>
    </row>
    <row r="790" spans="1:2" x14ac:dyDescent="0.25">
      <c r="A790" s="5">
        <v>45536</v>
      </c>
      <c r="B790">
        <v>21219</v>
      </c>
    </row>
    <row r="791" spans="1:2" x14ac:dyDescent="0.25">
      <c r="A791" s="5">
        <v>45566</v>
      </c>
      <c r="B791">
        <v>21268.400000000001</v>
      </c>
    </row>
    <row r="792" spans="1:2" x14ac:dyDescent="0.25">
      <c r="A792" s="5">
        <v>45597</v>
      </c>
      <c r="B792">
        <v>21450.5</v>
      </c>
    </row>
    <row r="793" spans="1:2" x14ac:dyDescent="0.25">
      <c r="A793" s="5">
        <v>45627</v>
      </c>
      <c r="B793">
        <v>21618.400000000001</v>
      </c>
    </row>
    <row r="794" spans="1:2" x14ac:dyDescent="0.25">
      <c r="A794" s="5">
        <v>45658</v>
      </c>
      <c r="B794">
        <v>21584.5</v>
      </c>
    </row>
    <row r="795" spans="1:2" x14ac:dyDescent="0.25">
      <c r="A795" s="5">
        <v>45689</v>
      </c>
      <c r="B795">
        <v>21532</v>
      </c>
    </row>
    <row r="796" spans="1:2" x14ac:dyDescent="0.25">
      <c r="A796" s="5">
        <v>45717</v>
      </c>
      <c r="B796">
        <v>21819.1</v>
      </c>
    </row>
    <row r="797" spans="1:2" x14ac:dyDescent="0.25">
      <c r="A797" s="5">
        <v>45748</v>
      </c>
      <c r="B797">
        <v>21896.7</v>
      </c>
    </row>
    <row r="798" spans="1:2" x14ac:dyDescent="0.25">
      <c r="A798" s="5">
        <v>45778</v>
      </c>
      <c r="B798">
        <v>21753.8</v>
      </c>
    </row>
    <row r="799" spans="1:2" x14ac:dyDescent="0.25">
      <c r="A799" s="5">
        <v>45809</v>
      </c>
      <c r="B799">
        <v>21908.1</v>
      </c>
    </row>
    <row r="800" spans="1:2" x14ac:dyDescent="0.25">
      <c r="A800" s="5">
        <v>45839</v>
      </c>
      <c r="B800">
        <v>21965.200000000001</v>
      </c>
    </row>
    <row r="801" spans="1:2" x14ac:dyDescent="0.25">
      <c r="A801" s="5">
        <v>45870</v>
      </c>
      <c r="B801">
        <v>22032.9</v>
      </c>
    </row>
    <row r="802" spans="1:2" x14ac:dyDescent="0.25">
      <c r="A802" s="5">
        <v>45901</v>
      </c>
      <c r="B802">
        <v>22111.5</v>
      </c>
    </row>
    <row r="803" spans="1:2" x14ac:dyDescent="0.25">
      <c r="A803" s="5">
        <v>45931</v>
      </c>
      <c r="B803">
        <v>22179</v>
      </c>
    </row>
    <row r="804" spans="1:2" x14ac:dyDescent="0.25">
      <c r="A804" s="5">
        <v>45962</v>
      </c>
      <c r="B804">
        <v>22269.3</v>
      </c>
    </row>
    <row r="805" spans="1:2" x14ac:dyDescent="0.25">
      <c r="A805" s="5">
        <v>45992</v>
      </c>
      <c r="B805">
        <v>22503.3</v>
      </c>
    </row>
    <row r="806" spans="1:2" x14ac:dyDescent="0.25">
      <c r="A806" s="5">
        <v>46023</v>
      </c>
      <c r="B806">
        <v>22466.3</v>
      </c>
    </row>
    <row r="807" spans="1:2" x14ac:dyDescent="0.25">
      <c r="A807" s="5">
        <v>46054</v>
      </c>
      <c r="B807">
        <v>22532.1</v>
      </c>
    </row>
    <row r="808" spans="1:2" x14ac:dyDescent="0.25">
      <c r="A808" s="5">
        <v>46082</v>
      </c>
      <c r="B808">
        <v>22815.9</v>
      </c>
    </row>
    <row r="809" spans="1:2" x14ac:dyDescent="0.25">
      <c r="A809" s="5">
        <v>46113</v>
      </c>
      <c r="B809">
        <v>22936.2</v>
      </c>
    </row>
    <row r="810" spans="1:2" x14ac:dyDescent="0.25">
      <c r="A810" s="5">
        <v>46143</v>
      </c>
      <c r="B810">
        <v>22971.7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63622C-EA80-4FEC-8B37-5047CF848380}">
  <sheetPr codeName="Sheet4"/>
  <dimension ref="A1:B2415"/>
  <sheetViews>
    <sheetView workbookViewId="0">
      <selection activeCell="A2" sqref="A2:B2415"/>
    </sheetView>
  </sheetViews>
  <sheetFormatPr defaultRowHeight="15" x14ac:dyDescent="0.25"/>
  <cols>
    <col min="1" max="1" width="16.7109375" style="5" bestFit="1" customWidth="1"/>
  </cols>
  <sheetData>
    <row r="1" spans="1:2" x14ac:dyDescent="0.25">
      <c r="A1" s="5" t="s">
        <v>358</v>
      </c>
      <c r="B1" t="s">
        <v>362</v>
      </c>
    </row>
    <row r="2" spans="1:2" x14ac:dyDescent="0.25">
      <c r="A2" s="5">
        <v>29255</v>
      </c>
      <c r="B2">
        <v>41.9</v>
      </c>
    </row>
    <row r="3" spans="1:2" x14ac:dyDescent="0.25">
      <c r="A3" s="5">
        <v>29262</v>
      </c>
      <c r="B3">
        <v>41.9</v>
      </c>
    </row>
    <row r="4" spans="1:2" x14ac:dyDescent="0.25">
      <c r="A4" s="5">
        <v>29269</v>
      </c>
      <c r="B4">
        <v>43.2</v>
      </c>
    </row>
    <row r="5" spans="1:2" x14ac:dyDescent="0.25">
      <c r="A5" s="5">
        <v>29276</v>
      </c>
      <c r="B5">
        <v>44.4</v>
      </c>
    </row>
    <row r="6" spans="1:2" x14ac:dyDescent="0.25">
      <c r="A6" s="5">
        <v>29283</v>
      </c>
      <c r="B6">
        <v>45.9</v>
      </c>
    </row>
    <row r="7" spans="1:2" x14ac:dyDescent="0.25">
      <c r="A7" s="5">
        <v>29290</v>
      </c>
      <c r="B7">
        <v>46.7</v>
      </c>
    </row>
    <row r="8" spans="1:2" x14ac:dyDescent="0.25">
      <c r="A8" s="5">
        <v>29297</v>
      </c>
      <c r="B8">
        <v>47.2</v>
      </c>
    </row>
    <row r="9" spans="1:2" x14ac:dyDescent="0.25">
      <c r="A9" s="5">
        <v>29304</v>
      </c>
      <c r="B9">
        <v>47.6</v>
      </c>
    </row>
    <row r="10" spans="1:2" x14ac:dyDescent="0.25">
      <c r="A10" s="5">
        <v>29311</v>
      </c>
      <c r="B10">
        <v>47.4</v>
      </c>
    </row>
    <row r="11" spans="1:2" x14ac:dyDescent="0.25">
      <c r="A11" s="5">
        <v>29318</v>
      </c>
      <c r="B11">
        <v>46.9</v>
      </c>
    </row>
    <row r="12" spans="1:2" x14ac:dyDescent="0.25">
      <c r="A12" s="5">
        <v>29325</v>
      </c>
      <c r="B12">
        <v>46.9</v>
      </c>
    </row>
    <row r="13" spans="1:2" x14ac:dyDescent="0.25">
      <c r="A13" s="5">
        <v>29332</v>
      </c>
      <c r="B13">
        <v>46.6</v>
      </c>
    </row>
    <row r="14" spans="1:2" x14ac:dyDescent="0.25">
      <c r="A14" s="5">
        <v>29339</v>
      </c>
      <c r="B14">
        <v>46.7</v>
      </c>
    </row>
    <row r="15" spans="1:2" x14ac:dyDescent="0.25">
      <c r="A15" s="5">
        <v>29346</v>
      </c>
      <c r="B15">
        <v>46.6</v>
      </c>
    </row>
    <row r="16" spans="1:2" x14ac:dyDescent="0.25">
      <c r="A16" s="5">
        <v>29353</v>
      </c>
      <c r="B16">
        <v>48</v>
      </c>
    </row>
    <row r="17" spans="1:2" x14ac:dyDescent="0.25">
      <c r="A17" s="5">
        <v>29360</v>
      </c>
      <c r="B17">
        <v>49.6</v>
      </c>
    </row>
    <row r="18" spans="1:2" x14ac:dyDescent="0.25">
      <c r="A18" s="5">
        <v>29367</v>
      </c>
      <c r="B18">
        <v>51.1</v>
      </c>
    </row>
    <row r="19" spans="1:2" x14ac:dyDescent="0.25">
      <c r="A19" s="5">
        <v>29374</v>
      </c>
      <c r="B19">
        <v>52</v>
      </c>
    </row>
    <row r="20" spans="1:2" x14ac:dyDescent="0.25">
      <c r="A20" s="5">
        <v>29381</v>
      </c>
      <c r="B20">
        <v>53.4</v>
      </c>
    </row>
    <row r="21" spans="1:2" x14ac:dyDescent="0.25">
      <c r="A21" s="5">
        <v>29388</v>
      </c>
      <c r="B21">
        <v>54.4</v>
      </c>
    </row>
    <row r="22" spans="1:2" x14ac:dyDescent="0.25">
      <c r="A22" s="5">
        <v>29395</v>
      </c>
      <c r="B22">
        <v>55.3</v>
      </c>
    </row>
    <row r="23" spans="1:2" x14ac:dyDescent="0.25">
      <c r="A23" s="5">
        <v>29402</v>
      </c>
      <c r="B23">
        <v>56.2</v>
      </c>
    </row>
    <row r="24" spans="1:2" x14ac:dyDescent="0.25">
      <c r="A24" s="5">
        <v>29409</v>
      </c>
      <c r="B24">
        <v>56.8</v>
      </c>
    </row>
    <row r="25" spans="1:2" x14ac:dyDescent="0.25">
      <c r="A25" s="5">
        <v>29416</v>
      </c>
      <c r="B25">
        <v>57.8</v>
      </c>
    </row>
    <row r="26" spans="1:2" x14ac:dyDescent="0.25">
      <c r="A26" s="5">
        <v>29423</v>
      </c>
      <c r="B26">
        <v>58.4</v>
      </c>
    </row>
    <row r="27" spans="1:2" x14ac:dyDescent="0.25">
      <c r="A27" s="5">
        <v>29430</v>
      </c>
      <c r="B27">
        <v>58.9</v>
      </c>
    </row>
    <row r="28" spans="1:2" x14ac:dyDescent="0.25">
      <c r="A28" s="5">
        <v>29437</v>
      </c>
      <c r="B28">
        <v>59.5</v>
      </c>
    </row>
    <row r="29" spans="1:2" x14ac:dyDescent="0.25">
      <c r="A29" s="5">
        <v>29444</v>
      </c>
      <c r="B29">
        <v>60.1</v>
      </c>
    </row>
    <row r="30" spans="1:2" x14ac:dyDescent="0.25">
      <c r="A30" s="5">
        <v>29451</v>
      </c>
      <c r="B30">
        <v>60.4</v>
      </c>
    </row>
    <row r="31" spans="1:2" x14ac:dyDescent="0.25">
      <c r="A31" s="5">
        <v>29458</v>
      </c>
      <c r="B31">
        <v>60.5</v>
      </c>
    </row>
    <row r="32" spans="1:2" x14ac:dyDescent="0.25">
      <c r="A32" s="5">
        <v>29465</v>
      </c>
      <c r="B32">
        <v>60.3</v>
      </c>
    </row>
    <row r="33" spans="1:2" x14ac:dyDescent="0.25">
      <c r="A33" s="5">
        <v>29472</v>
      </c>
      <c r="B33">
        <v>60</v>
      </c>
    </row>
    <row r="34" spans="1:2" x14ac:dyDescent="0.25">
      <c r="A34" s="5">
        <v>29479</v>
      </c>
      <c r="B34">
        <v>59.9</v>
      </c>
    </row>
    <row r="35" spans="1:2" x14ac:dyDescent="0.25">
      <c r="A35" s="5">
        <v>29486</v>
      </c>
      <c r="B35">
        <v>59.8</v>
      </c>
    </row>
    <row r="36" spans="1:2" x14ac:dyDescent="0.25">
      <c r="A36" s="5">
        <v>29493</v>
      </c>
      <c r="B36">
        <v>59.9</v>
      </c>
    </row>
    <row r="37" spans="1:2" x14ac:dyDescent="0.25">
      <c r="A37" s="5">
        <v>29500</v>
      </c>
      <c r="B37">
        <v>59.8</v>
      </c>
    </row>
    <row r="38" spans="1:2" x14ac:dyDescent="0.25">
      <c r="A38" s="5">
        <v>29507</v>
      </c>
      <c r="B38">
        <v>60.1</v>
      </c>
    </row>
    <row r="39" spans="1:2" x14ac:dyDescent="0.25">
      <c r="A39" s="5">
        <v>29514</v>
      </c>
      <c r="B39">
        <v>60</v>
      </c>
    </row>
    <row r="40" spans="1:2" x14ac:dyDescent="0.25">
      <c r="A40" s="5">
        <v>29521</v>
      </c>
      <c r="B40">
        <v>60.2</v>
      </c>
    </row>
    <row r="41" spans="1:2" x14ac:dyDescent="0.25">
      <c r="A41" s="5">
        <v>29528</v>
      </c>
      <c r="B41">
        <v>60.9</v>
      </c>
    </row>
    <row r="42" spans="1:2" x14ac:dyDescent="0.25">
      <c r="A42" s="5">
        <v>29535</v>
      </c>
      <c r="B42">
        <v>61</v>
      </c>
    </row>
    <row r="43" spans="1:2" x14ac:dyDescent="0.25">
      <c r="A43" s="5">
        <v>29542</v>
      </c>
      <c r="B43">
        <v>60.9</v>
      </c>
    </row>
    <row r="44" spans="1:2" x14ac:dyDescent="0.25">
      <c r="A44" s="5">
        <v>29549</v>
      </c>
      <c r="B44">
        <v>60.7</v>
      </c>
    </row>
    <row r="45" spans="1:2" x14ac:dyDescent="0.25">
      <c r="A45" s="5">
        <v>29556</v>
      </c>
      <c r="B45">
        <v>60.5</v>
      </c>
    </row>
    <row r="46" spans="1:2" x14ac:dyDescent="0.25">
      <c r="A46" s="5">
        <v>29563</v>
      </c>
      <c r="B46">
        <v>60.6</v>
      </c>
    </row>
    <row r="47" spans="1:2" x14ac:dyDescent="0.25">
      <c r="A47" s="5">
        <v>29570</v>
      </c>
      <c r="B47">
        <v>60.7</v>
      </c>
    </row>
    <row r="48" spans="1:2" x14ac:dyDescent="0.25">
      <c r="A48" s="5">
        <v>29577</v>
      </c>
      <c r="B48">
        <v>60.5</v>
      </c>
    </row>
    <row r="49" spans="1:2" x14ac:dyDescent="0.25">
      <c r="A49" s="5">
        <v>29584</v>
      </c>
      <c r="B49">
        <v>59.8</v>
      </c>
    </row>
    <row r="50" spans="1:2" x14ac:dyDescent="0.25">
      <c r="A50" s="5">
        <v>29591</v>
      </c>
      <c r="B50">
        <v>59</v>
      </c>
    </row>
    <row r="51" spans="1:2" x14ac:dyDescent="0.25">
      <c r="A51" s="5">
        <v>29598</v>
      </c>
      <c r="B51">
        <v>59.9</v>
      </c>
    </row>
    <row r="52" spans="1:2" x14ac:dyDescent="0.25">
      <c r="A52" s="5">
        <v>29605</v>
      </c>
      <c r="B52">
        <v>62.1</v>
      </c>
    </row>
    <row r="53" spans="1:2" x14ac:dyDescent="0.25">
      <c r="A53" s="5">
        <v>29612</v>
      </c>
      <c r="B53">
        <v>64.7</v>
      </c>
    </row>
    <row r="54" spans="1:2" x14ac:dyDescent="0.25">
      <c r="A54" s="5">
        <v>29619</v>
      </c>
      <c r="B54">
        <v>66.5</v>
      </c>
    </row>
    <row r="55" spans="1:2" x14ac:dyDescent="0.25">
      <c r="A55" s="5">
        <v>29626</v>
      </c>
      <c r="B55">
        <v>68.8</v>
      </c>
    </row>
    <row r="56" spans="1:2" x14ac:dyDescent="0.25">
      <c r="A56" s="5">
        <v>29633</v>
      </c>
      <c r="B56">
        <v>71.2</v>
      </c>
    </row>
    <row r="57" spans="1:2" x14ac:dyDescent="0.25">
      <c r="A57" s="5">
        <v>29640</v>
      </c>
      <c r="B57">
        <v>73.099999999999994</v>
      </c>
    </row>
    <row r="58" spans="1:2" x14ac:dyDescent="0.25">
      <c r="A58" s="5">
        <v>29647</v>
      </c>
      <c r="B58">
        <v>75.7</v>
      </c>
    </row>
    <row r="59" spans="1:2" x14ac:dyDescent="0.25">
      <c r="A59" s="5">
        <v>29654</v>
      </c>
      <c r="B59">
        <v>77.599999999999994</v>
      </c>
    </row>
    <row r="60" spans="1:2" x14ac:dyDescent="0.25">
      <c r="A60" s="5">
        <v>29661</v>
      </c>
      <c r="B60">
        <v>80.099999999999994</v>
      </c>
    </row>
    <row r="61" spans="1:2" x14ac:dyDescent="0.25">
      <c r="A61" s="5">
        <v>29668</v>
      </c>
      <c r="B61">
        <v>82.9</v>
      </c>
    </row>
    <row r="62" spans="1:2" x14ac:dyDescent="0.25">
      <c r="A62" s="5">
        <v>29675</v>
      </c>
      <c r="B62">
        <v>86.1</v>
      </c>
    </row>
    <row r="63" spans="1:2" x14ac:dyDescent="0.25">
      <c r="A63" s="5">
        <v>29682</v>
      </c>
      <c r="B63">
        <v>88.9</v>
      </c>
    </row>
    <row r="64" spans="1:2" x14ac:dyDescent="0.25">
      <c r="A64" s="5">
        <v>29689</v>
      </c>
      <c r="B64">
        <v>92.2</v>
      </c>
    </row>
    <row r="65" spans="1:2" x14ac:dyDescent="0.25">
      <c r="A65" s="5">
        <v>29696</v>
      </c>
      <c r="B65">
        <v>94</v>
      </c>
    </row>
    <row r="66" spans="1:2" x14ac:dyDescent="0.25">
      <c r="A66" s="5">
        <v>29703</v>
      </c>
      <c r="B66">
        <v>94.7</v>
      </c>
    </row>
    <row r="67" spans="1:2" x14ac:dyDescent="0.25">
      <c r="A67" s="5">
        <v>29710</v>
      </c>
      <c r="B67">
        <v>95.7</v>
      </c>
    </row>
    <row r="68" spans="1:2" x14ac:dyDescent="0.25">
      <c r="A68" s="5">
        <v>29717</v>
      </c>
      <c r="B68">
        <v>96.5</v>
      </c>
    </row>
    <row r="69" spans="1:2" x14ac:dyDescent="0.25">
      <c r="A69" s="5">
        <v>29724</v>
      </c>
      <c r="B69">
        <v>97</v>
      </c>
    </row>
    <row r="70" spans="1:2" x14ac:dyDescent="0.25">
      <c r="A70" s="5">
        <v>29731</v>
      </c>
      <c r="B70">
        <v>96.9</v>
      </c>
    </row>
    <row r="71" spans="1:2" x14ac:dyDescent="0.25">
      <c r="A71" s="5">
        <v>29738</v>
      </c>
      <c r="B71">
        <v>97</v>
      </c>
    </row>
    <row r="72" spans="1:2" x14ac:dyDescent="0.25">
      <c r="A72" s="5">
        <v>29745</v>
      </c>
      <c r="B72">
        <v>97.6</v>
      </c>
    </row>
    <row r="73" spans="1:2" x14ac:dyDescent="0.25">
      <c r="A73" s="5">
        <v>29752</v>
      </c>
      <c r="B73">
        <v>99</v>
      </c>
    </row>
    <row r="74" spans="1:2" x14ac:dyDescent="0.25">
      <c r="A74" s="5">
        <v>29759</v>
      </c>
      <c r="B74">
        <v>100.4</v>
      </c>
    </row>
    <row r="75" spans="1:2" x14ac:dyDescent="0.25">
      <c r="A75" s="5">
        <v>29766</v>
      </c>
      <c r="B75">
        <v>102.4</v>
      </c>
    </row>
    <row r="76" spans="1:2" x14ac:dyDescent="0.25">
      <c r="A76" s="5">
        <v>29773</v>
      </c>
      <c r="B76">
        <v>104.6</v>
      </c>
    </row>
    <row r="77" spans="1:2" x14ac:dyDescent="0.25">
      <c r="A77" s="5">
        <v>29780</v>
      </c>
      <c r="B77">
        <v>107</v>
      </c>
    </row>
    <row r="78" spans="1:2" x14ac:dyDescent="0.25">
      <c r="A78" s="5">
        <v>29787</v>
      </c>
      <c r="B78">
        <v>109.9</v>
      </c>
    </row>
    <row r="79" spans="1:2" x14ac:dyDescent="0.25">
      <c r="A79" s="5">
        <v>29794</v>
      </c>
      <c r="B79">
        <v>112.4</v>
      </c>
    </row>
    <row r="80" spans="1:2" x14ac:dyDescent="0.25">
      <c r="A80" s="5">
        <v>29801</v>
      </c>
      <c r="B80">
        <v>114.3</v>
      </c>
    </row>
    <row r="81" spans="1:2" x14ac:dyDescent="0.25">
      <c r="A81" s="5">
        <v>29808</v>
      </c>
      <c r="B81">
        <v>116.4</v>
      </c>
    </row>
    <row r="82" spans="1:2" x14ac:dyDescent="0.25">
      <c r="A82" s="5">
        <v>29815</v>
      </c>
      <c r="B82">
        <v>118.4</v>
      </c>
    </row>
    <row r="83" spans="1:2" x14ac:dyDescent="0.25">
      <c r="A83" s="5">
        <v>29822</v>
      </c>
      <c r="B83">
        <v>120.5</v>
      </c>
    </row>
    <row r="84" spans="1:2" x14ac:dyDescent="0.25">
      <c r="A84" s="5">
        <v>29829</v>
      </c>
      <c r="B84">
        <v>122.5</v>
      </c>
    </row>
    <row r="85" spans="1:2" x14ac:dyDescent="0.25">
      <c r="A85" s="5">
        <v>29836</v>
      </c>
      <c r="B85">
        <v>124.4</v>
      </c>
    </row>
    <row r="86" spans="1:2" x14ac:dyDescent="0.25">
      <c r="A86" s="5">
        <v>29843</v>
      </c>
      <c r="B86">
        <v>126.1</v>
      </c>
    </row>
    <row r="87" spans="1:2" x14ac:dyDescent="0.25">
      <c r="A87" s="5">
        <v>29850</v>
      </c>
      <c r="B87">
        <v>128.1</v>
      </c>
    </row>
    <row r="88" spans="1:2" x14ac:dyDescent="0.25">
      <c r="A88" s="5">
        <v>29857</v>
      </c>
      <c r="B88">
        <v>130.30000000000001</v>
      </c>
    </row>
    <row r="89" spans="1:2" x14ac:dyDescent="0.25">
      <c r="A89" s="5">
        <v>29864</v>
      </c>
      <c r="B89">
        <v>131.4</v>
      </c>
    </row>
    <row r="90" spans="1:2" x14ac:dyDescent="0.25">
      <c r="A90" s="5">
        <v>29871</v>
      </c>
      <c r="B90">
        <v>132.30000000000001</v>
      </c>
    </row>
    <row r="91" spans="1:2" x14ac:dyDescent="0.25">
      <c r="A91" s="5">
        <v>29878</v>
      </c>
      <c r="B91">
        <v>134</v>
      </c>
    </row>
    <row r="92" spans="1:2" x14ac:dyDescent="0.25">
      <c r="A92" s="5">
        <v>29885</v>
      </c>
      <c r="B92">
        <v>135.9</v>
      </c>
    </row>
    <row r="93" spans="1:2" x14ac:dyDescent="0.25">
      <c r="A93" s="5">
        <v>29892</v>
      </c>
      <c r="B93">
        <v>137.80000000000001</v>
      </c>
    </row>
    <row r="94" spans="1:2" x14ac:dyDescent="0.25">
      <c r="A94" s="5">
        <v>29899</v>
      </c>
      <c r="B94">
        <v>138.5</v>
      </c>
    </row>
    <row r="95" spans="1:2" x14ac:dyDescent="0.25">
      <c r="A95" s="5">
        <v>29906</v>
      </c>
      <c r="B95">
        <v>140.5</v>
      </c>
    </row>
    <row r="96" spans="1:2" x14ac:dyDescent="0.25">
      <c r="A96" s="5">
        <v>29913</v>
      </c>
      <c r="B96">
        <v>142.9</v>
      </c>
    </row>
    <row r="97" spans="1:2" x14ac:dyDescent="0.25">
      <c r="A97" s="5">
        <v>29920</v>
      </c>
      <c r="B97">
        <v>145.30000000000001</v>
      </c>
    </row>
    <row r="98" spans="1:2" x14ac:dyDescent="0.25">
      <c r="A98" s="5">
        <v>29927</v>
      </c>
      <c r="B98">
        <v>147.19999999999999</v>
      </c>
    </row>
    <row r="99" spans="1:2" x14ac:dyDescent="0.25">
      <c r="A99" s="5">
        <v>29934</v>
      </c>
      <c r="B99">
        <v>149.4</v>
      </c>
    </row>
    <row r="100" spans="1:2" x14ac:dyDescent="0.25">
      <c r="A100" s="5">
        <v>29941</v>
      </c>
      <c r="B100">
        <v>150.19999999999999</v>
      </c>
    </row>
    <row r="101" spans="1:2" x14ac:dyDescent="0.25">
      <c r="A101" s="5">
        <v>29948</v>
      </c>
      <c r="B101">
        <v>149.6</v>
      </c>
    </row>
    <row r="102" spans="1:2" x14ac:dyDescent="0.25">
      <c r="A102" s="5">
        <v>29955</v>
      </c>
      <c r="B102">
        <v>148.9</v>
      </c>
    </row>
    <row r="103" spans="1:2" x14ac:dyDescent="0.25">
      <c r="A103" s="5">
        <v>29962</v>
      </c>
      <c r="B103">
        <v>149.80000000000001</v>
      </c>
    </row>
    <row r="104" spans="1:2" x14ac:dyDescent="0.25">
      <c r="A104" s="5">
        <v>29969</v>
      </c>
      <c r="B104">
        <v>152.80000000000001</v>
      </c>
    </row>
    <row r="105" spans="1:2" x14ac:dyDescent="0.25">
      <c r="A105" s="5">
        <v>29976</v>
      </c>
      <c r="B105">
        <v>154.1</v>
      </c>
    </row>
    <row r="106" spans="1:2" x14ac:dyDescent="0.25">
      <c r="A106" s="5">
        <v>29983</v>
      </c>
      <c r="B106">
        <v>154.80000000000001</v>
      </c>
    </row>
    <row r="107" spans="1:2" x14ac:dyDescent="0.25">
      <c r="A107" s="5">
        <v>29990</v>
      </c>
      <c r="B107">
        <v>154.5</v>
      </c>
    </row>
    <row r="108" spans="1:2" x14ac:dyDescent="0.25">
      <c r="A108" s="5">
        <v>29997</v>
      </c>
      <c r="B108">
        <v>154.4</v>
      </c>
    </row>
    <row r="109" spans="1:2" x14ac:dyDescent="0.25">
      <c r="A109" s="5">
        <v>30004</v>
      </c>
      <c r="B109">
        <v>154.1</v>
      </c>
    </row>
    <row r="110" spans="1:2" x14ac:dyDescent="0.25">
      <c r="A110" s="5">
        <v>30011</v>
      </c>
      <c r="B110">
        <v>154</v>
      </c>
    </row>
    <row r="111" spans="1:2" x14ac:dyDescent="0.25">
      <c r="A111" s="5">
        <v>30018</v>
      </c>
      <c r="B111">
        <v>154.9</v>
      </c>
    </row>
    <row r="112" spans="1:2" x14ac:dyDescent="0.25">
      <c r="A112" s="5">
        <v>30025</v>
      </c>
      <c r="B112">
        <v>156.5</v>
      </c>
    </row>
    <row r="113" spans="1:2" x14ac:dyDescent="0.25">
      <c r="A113" s="5">
        <v>30032</v>
      </c>
      <c r="B113">
        <v>158</v>
      </c>
    </row>
    <row r="114" spans="1:2" x14ac:dyDescent="0.25">
      <c r="A114" s="5">
        <v>30039</v>
      </c>
      <c r="B114">
        <v>159.5</v>
      </c>
    </row>
    <row r="115" spans="1:2" x14ac:dyDescent="0.25">
      <c r="A115" s="5">
        <v>30046</v>
      </c>
      <c r="B115">
        <v>160.1</v>
      </c>
    </row>
    <row r="116" spans="1:2" x14ac:dyDescent="0.25">
      <c r="A116" s="5">
        <v>30053</v>
      </c>
      <c r="B116">
        <v>161.1</v>
      </c>
    </row>
    <row r="117" spans="1:2" x14ac:dyDescent="0.25">
      <c r="A117" s="5">
        <v>30060</v>
      </c>
      <c r="B117">
        <v>160.9</v>
      </c>
    </row>
    <row r="118" spans="1:2" x14ac:dyDescent="0.25">
      <c r="A118" s="5">
        <v>30067</v>
      </c>
      <c r="B118">
        <v>160.30000000000001</v>
      </c>
    </row>
    <row r="119" spans="1:2" x14ac:dyDescent="0.25">
      <c r="A119" s="5">
        <v>30074</v>
      </c>
      <c r="B119">
        <v>159.80000000000001</v>
      </c>
    </row>
    <row r="120" spans="1:2" x14ac:dyDescent="0.25">
      <c r="A120" s="5">
        <v>30081</v>
      </c>
      <c r="B120">
        <v>160.1</v>
      </c>
    </row>
    <row r="121" spans="1:2" x14ac:dyDescent="0.25">
      <c r="A121" s="5">
        <v>30088</v>
      </c>
      <c r="B121">
        <v>162</v>
      </c>
    </row>
    <row r="122" spans="1:2" x14ac:dyDescent="0.25">
      <c r="A122" s="5">
        <v>30095</v>
      </c>
      <c r="B122">
        <v>163.5</v>
      </c>
    </row>
    <row r="123" spans="1:2" x14ac:dyDescent="0.25">
      <c r="A123" s="5">
        <v>30102</v>
      </c>
      <c r="B123">
        <v>166.3</v>
      </c>
    </row>
    <row r="124" spans="1:2" x14ac:dyDescent="0.25">
      <c r="A124" s="5">
        <v>30109</v>
      </c>
      <c r="B124">
        <v>167.2</v>
      </c>
    </row>
    <row r="125" spans="1:2" x14ac:dyDescent="0.25">
      <c r="A125" s="5">
        <v>30116</v>
      </c>
      <c r="B125">
        <v>169</v>
      </c>
    </row>
    <row r="126" spans="1:2" x14ac:dyDescent="0.25">
      <c r="A126" s="5">
        <v>30123</v>
      </c>
      <c r="B126">
        <v>169.3</v>
      </c>
    </row>
    <row r="127" spans="1:2" x14ac:dyDescent="0.25">
      <c r="A127" s="5">
        <v>30130</v>
      </c>
      <c r="B127">
        <v>169.6</v>
      </c>
    </row>
    <row r="128" spans="1:2" x14ac:dyDescent="0.25">
      <c r="A128" s="5">
        <v>30137</v>
      </c>
      <c r="B128">
        <v>169.1</v>
      </c>
    </row>
    <row r="129" spans="1:2" x14ac:dyDescent="0.25">
      <c r="A129" s="5">
        <v>30144</v>
      </c>
      <c r="B129">
        <v>165.5</v>
      </c>
    </row>
    <row r="130" spans="1:2" x14ac:dyDescent="0.25">
      <c r="A130" s="5">
        <v>30151</v>
      </c>
      <c r="B130">
        <v>166.4</v>
      </c>
    </row>
    <row r="131" spans="1:2" x14ac:dyDescent="0.25">
      <c r="A131" s="5">
        <v>30158</v>
      </c>
      <c r="B131">
        <v>168</v>
      </c>
    </row>
    <row r="132" spans="1:2" x14ac:dyDescent="0.25">
      <c r="A132" s="5">
        <v>30165</v>
      </c>
      <c r="B132">
        <v>169.8</v>
      </c>
    </row>
    <row r="133" spans="1:2" x14ac:dyDescent="0.25">
      <c r="A133" s="5">
        <v>30172</v>
      </c>
      <c r="B133">
        <v>172.3</v>
      </c>
    </row>
    <row r="134" spans="1:2" x14ac:dyDescent="0.25">
      <c r="A134" s="5">
        <v>30179</v>
      </c>
      <c r="B134">
        <v>174.8</v>
      </c>
    </row>
    <row r="135" spans="1:2" x14ac:dyDescent="0.25">
      <c r="A135" s="5">
        <v>30186</v>
      </c>
      <c r="B135">
        <v>176.3</v>
      </c>
    </row>
    <row r="136" spans="1:2" x14ac:dyDescent="0.25">
      <c r="A136" s="5">
        <v>30193</v>
      </c>
      <c r="B136">
        <v>178.4</v>
      </c>
    </row>
    <row r="137" spans="1:2" x14ac:dyDescent="0.25">
      <c r="A137" s="5">
        <v>30200</v>
      </c>
      <c r="B137">
        <v>178.5</v>
      </c>
    </row>
    <row r="138" spans="1:2" x14ac:dyDescent="0.25">
      <c r="A138" s="5">
        <v>30207</v>
      </c>
      <c r="B138">
        <v>178.8</v>
      </c>
    </row>
    <row r="139" spans="1:2" x14ac:dyDescent="0.25">
      <c r="A139" s="5">
        <v>30214</v>
      </c>
      <c r="B139">
        <v>178.8</v>
      </c>
    </row>
    <row r="140" spans="1:2" x14ac:dyDescent="0.25">
      <c r="A140" s="5">
        <v>30221</v>
      </c>
      <c r="B140">
        <v>178.5</v>
      </c>
    </row>
    <row r="141" spans="1:2" x14ac:dyDescent="0.25">
      <c r="A141" s="5">
        <v>30228</v>
      </c>
      <c r="B141">
        <v>178</v>
      </c>
    </row>
    <row r="142" spans="1:2" x14ac:dyDescent="0.25">
      <c r="A142" s="5">
        <v>30235</v>
      </c>
      <c r="B142">
        <v>178.8</v>
      </c>
    </row>
    <row r="143" spans="1:2" x14ac:dyDescent="0.25">
      <c r="A143" s="5">
        <v>30242</v>
      </c>
      <c r="B143">
        <v>180.2</v>
      </c>
    </row>
    <row r="144" spans="1:2" x14ac:dyDescent="0.25">
      <c r="A144" s="5">
        <v>30249</v>
      </c>
      <c r="B144">
        <v>181</v>
      </c>
    </row>
    <row r="145" spans="1:2" x14ac:dyDescent="0.25">
      <c r="A145" s="5">
        <v>30256</v>
      </c>
      <c r="B145">
        <v>182.7</v>
      </c>
    </row>
    <row r="146" spans="1:2" x14ac:dyDescent="0.25">
      <c r="A146" s="5">
        <v>30263</v>
      </c>
      <c r="B146">
        <v>183.6</v>
      </c>
    </row>
    <row r="147" spans="1:2" x14ac:dyDescent="0.25">
      <c r="A147" s="5">
        <v>30270</v>
      </c>
      <c r="B147">
        <v>184.3</v>
      </c>
    </row>
    <row r="148" spans="1:2" x14ac:dyDescent="0.25">
      <c r="A148" s="5">
        <v>30277</v>
      </c>
      <c r="B148">
        <v>185.4</v>
      </c>
    </row>
    <row r="149" spans="1:2" x14ac:dyDescent="0.25">
      <c r="A149" s="5">
        <v>30284</v>
      </c>
      <c r="B149">
        <v>185.5</v>
      </c>
    </row>
    <row r="150" spans="1:2" x14ac:dyDescent="0.25">
      <c r="A150" s="5">
        <v>30291</v>
      </c>
      <c r="B150">
        <v>185.6</v>
      </c>
    </row>
    <row r="151" spans="1:2" x14ac:dyDescent="0.25">
      <c r="A151" s="5">
        <v>30298</v>
      </c>
      <c r="B151">
        <v>184.4</v>
      </c>
    </row>
    <row r="152" spans="1:2" x14ac:dyDescent="0.25">
      <c r="A152" s="5">
        <v>30305</v>
      </c>
      <c r="B152">
        <v>181</v>
      </c>
    </row>
    <row r="153" spans="1:2" x14ac:dyDescent="0.25">
      <c r="A153" s="5">
        <v>30312</v>
      </c>
      <c r="B153">
        <v>173.9</v>
      </c>
    </row>
    <row r="154" spans="1:2" x14ac:dyDescent="0.25">
      <c r="A154" s="5">
        <v>30319</v>
      </c>
      <c r="B154">
        <v>168.7</v>
      </c>
    </row>
    <row r="155" spans="1:2" x14ac:dyDescent="0.25">
      <c r="A155" s="5">
        <v>30326</v>
      </c>
      <c r="B155">
        <v>165.3</v>
      </c>
    </row>
    <row r="156" spans="1:2" x14ac:dyDescent="0.25">
      <c r="A156" s="5">
        <v>30333</v>
      </c>
      <c r="B156">
        <v>163.6</v>
      </c>
    </row>
    <row r="157" spans="1:2" x14ac:dyDescent="0.25">
      <c r="A157" s="5">
        <v>30340</v>
      </c>
      <c r="B157">
        <v>160.80000000000001</v>
      </c>
    </row>
    <row r="158" spans="1:2" x14ac:dyDescent="0.25">
      <c r="A158" s="5">
        <v>30347</v>
      </c>
      <c r="B158">
        <v>159.19999999999999</v>
      </c>
    </row>
    <row r="159" spans="1:2" x14ac:dyDescent="0.25">
      <c r="A159" s="5">
        <v>30354</v>
      </c>
      <c r="B159">
        <v>157.6</v>
      </c>
    </row>
    <row r="160" spans="1:2" x14ac:dyDescent="0.25">
      <c r="A160" s="5">
        <v>30361</v>
      </c>
      <c r="B160">
        <v>156.1</v>
      </c>
    </row>
    <row r="161" spans="1:2" x14ac:dyDescent="0.25">
      <c r="A161" s="5">
        <v>30368</v>
      </c>
      <c r="B161">
        <v>154.19999999999999</v>
      </c>
    </row>
    <row r="162" spans="1:2" x14ac:dyDescent="0.25">
      <c r="A162" s="5">
        <v>30375</v>
      </c>
      <c r="B162">
        <v>153</v>
      </c>
    </row>
    <row r="163" spans="1:2" x14ac:dyDescent="0.25">
      <c r="A163" s="5">
        <v>30382</v>
      </c>
      <c r="B163">
        <v>151.5</v>
      </c>
    </row>
    <row r="164" spans="1:2" x14ac:dyDescent="0.25">
      <c r="A164" s="5">
        <v>30389</v>
      </c>
      <c r="B164">
        <v>150</v>
      </c>
    </row>
    <row r="165" spans="1:2" x14ac:dyDescent="0.25">
      <c r="A165" s="5">
        <v>30396</v>
      </c>
      <c r="B165">
        <v>149.19999999999999</v>
      </c>
    </row>
    <row r="166" spans="1:2" x14ac:dyDescent="0.25">
      <c r="A166" s="5">
        <v>30403</v>
      </c>
      <c r="B166">
        <v>148.80000000000001</v>
      </c>
    </row>
    <row r="167" spans="1:2" x14ac:dyDescent="0.25">
      <c r="A167" s="5">
        <v>30410</v>
      </c>
      <c r="B167">
        <v>147</v>
      </c>
    </row>
    <row r="168" spans="1:2" x14ac:dyDescent="0.25">
      <c r="A168" s="5">
        <v>30417</v>
      </c>
      <c r="B168">
        <v>145.80000000000001</v>
      </c>
    </row>
    <row r="169" spans="1:2" x14ac:dyDescent="0.25">
      <c r="A169" s="5">
        <v>30424</v>
      </c>
      <c r="B169">
        <v>144.4</v>
      </c>
    </row>
    <row r="170" spans="1:2" x14ac:dyDescent="0.25">
      <c r="A170" s="5">
        <v>30431</v>
      </c>
      <c r="B170">
        <v>141.30000000000001</v>
      </c>
    </row>
    <row r="171" spans="1:2" x14ac:dyDescent="0.25">
      <c r="A171" s="5">
        <v>30438</v>
      </c>
      <c r="B171">
        <v>138.9</v>
      </c>
    </row>
    <row r="172" spans="1:2" x14ac:dyDescent="0.25">
      <c r="A172" s="5">
        <v>30445</v>
      </c>
      <c r="B172">
        <v>137.19999999999999</v>
      </c>
    </row>
    <row r="173" spans="1:2" x14ac:dyDescent="0.25">
      <c r="A173" s="5">
        <v>30452</v>
      </c>
      <c r="B173">
        <v>136.19999999999999</v>
      </c>
    </row>
    <row r="174" spans="1:2" x14ac:dyDescent="0.25">
      <c r="A174" s="5">
        <v>30459</v>
      </c>
      <c r="B174">
        <v>136.4</v>
      </c>
    </row>
    <row r="175" spans="1:2" x14ac:dyDescent="0.25">
      <c r="A175" s="5">
        <v>30466</v>
      </c>
      <c r="B175">
        <v>136.4</v>
      </c>
    </row>
    <row r="176" spans="1:2" x14ac:dyDescent="0.25">
      <c r="A176" s="5">
        <v>30473</v>
      </c>
      <c r="B176">
        <v>136.19999999999999</v>
      </c>
    </row>
    <row r="177" spans="1:2" x14ac:dyDescent="0.25">
      <c r="A177" s="5">
        <v>30480</v>
      </c>
      <c r="B177">
        <v>136.6</v>
      </c>
    </row>
    <row r="178" spans="1:2" x14ac:dyDescent="0.25">
      <c r="A178" s="5">
        <v>30487</v>
      </c>
      <c r="B178">
        <v>135.80000000000001</v>
      </c>
    </row>
    <row r="179" spans="1:2" x14ac:dyDescent="0.25">
      <c r="A179" s="5">
        <v>30494</v>
      </c>
      <c r="B179">
        <v>134.5</v>
      </c>
    </row>
    <row r="180" spans="1:2" x14ac:dyDescent="0.25">
      <c r="A180" s="5">
        <v>30501</v>
      </c>
      <c r="B180">
        <v>133.80000000000001</v>
      </c>
    </row>
    <row r="181" spans="1:2" x14ac:dyDescent="0.25">
      <c r="A181" s="5">
        <v>30508</v>
      </c>
      <c r="B181">
        <v>133.69999999999999</v>
      </c>
    </row>
    <row r="182" spans="1:2" x14ac:dyDescent="0.25">
      <c r="A182" s="5">
        <v>30515</v>
      </c>
      <c r="B182">
        <v>134.4</v>
      </c>
    </row>
    <row r="183" spans="1:2" x14ac:dyDescent="0.25">
      <c r="A183" s="5">
        <v>30522</v>
      </c>
      <c r="B183">
        <v>134.4</v>
      </c>
    </row>
    <row r="184" spans="1:2" x14ac:dyDescent="0.25">
      <c r="A184" s="5">
        <v>30529</v>
      </c>
      <c r="B184">
        <v>134</v>
      </c>
    </row>
    <row r="185" spans="1:2" x14ac:dyDescent="0.25">
      <c r="A185" s="5">
        <v>30536</v>
      </c>
      <c r="B185">
        <v>134.30000000000001</v>
      </c>
    </row>
    <row r="186" spans="1:2" x14ac:dyDescent="0.25">
      <c r="A186" s="5">
        <v>30543</v>
      </c>
      <c r="B186">
        <v>135.19999999999999</v>
      </c>
    </row>
    <row r="187" spans="1:2" x14ac:dyDescent="0.25">
      <c r="A187" s="5">
        <v>30550</v>
      </c>
      <c r="B187">
        <v>135.1</v>
      </c>
    </row>
    <row r="188" spans="1:2" x14ac:dyDescent="0.25">
      <c r="A188" s="5">
        <v>30557</v>
      </c>
      <c r="B188">
        <v>134.5</v>
      </c>
    </row>
    <row r="189" spans="1:2" x14ac:dyDescent="0.25">
      <c r="A189" s="5">
        <v>30564</v>
      </c>
      <c r="B189">
        <v>134.19999999999999</v>
      </c>
    </row>
    <row r="190" spans="1:2" x14ac:dyDescent="0.25">
      <c r="A190" s="5">
        <v>30571</v>
      </c>
      <c r="B190">
        <v>133.80000000000001</v>
      </c>
    </row>
    <row r="191" spans="1:2" x14ac:dyDescent="0.25">
      <c r="A191" s="5">
        <v>30578</v>
      </c>
      <c r="B191">
        <v>133.4</v>
      </c>
    </row>
    <row r="192" spans="1:2" x14ac:dyDescent="0.25">
      <c r="A192" s="5">
        <v>30585</v>
      </c>
      <c r="B192">
        <v>133</v>
      </c>
    </row>
    <row r="193" spans="1:2" x14ac:dyDescent="0.25">
      <c r="A193" s="5">
        <v>30592</v>
      </c>
      <c r="B193">
        <v>132.80000000000001</v>
      </c>
    </row>
    <row r="194" spans="1:2" x14ac:dyDescent="0.25">
      <c r="A194" s="5">
        <v>30599</v>
      </c>
      <c r="B194">
        <v>132.69999999999999</v>
      </c>
    </row>
    <row r="195" spans="1:2" x14ac:dyDescent="0.25">
      <c r="A195" s="5">
        <v>30606</v>
      </c>
      <c r="B195">
        <v>133.1</v>
      </c>
    </row>
    <row r="196" spans="1:2" x14ac:dyDescent="0.25">
      <c r="A196" s="5">
        <v>30613</v>
      </c>
      <c r="B196">
        <v>133.4</v>
      </c>
    </row>
    <row r="197" spans="1:2" x14ac:dyDescent="0.25">
      <c r="A197" s="5">
        <v>30620</v>
      </c>
      <c r="B197">
        <v>133.5</v>
      </c>
    </row>
    <row r="198" spans="1:2" x14ac:dyDescent="0.25">
      <c r="A198" s="5">
        <v>30627</v>
      </c>
      <c r="B198">
        <v>133.9</v>
      </c>
    </row>
    <row r="199" spans="1:2" x14ac:dyDescent="0.25">
      <c r="A199" s="5">
        <v>30634</v>
      </c>
      <c r="B199">
        <v>134.6</v>
      </c>
    </row>
    <row r="200" spans="1:2" x14ac:dyDescent="0.25">
      <c r="A200" s="5">
        <v>30641</v>
      </c>
      <c r="B200">
        <v>134.4</v>
      </c>
    </row>
    <row r="201" spans="1:2" x14ac:dyDescent="0.25">
      <c r="A201" s="5">
        <v>30648</v>
      </c>
      <c r="B201">
        <v>133.9</v>
      </c>
    </row>
    <row r="202" spans="1:2" x14ac:dyDescent="0.25">
      <c r="A202" s="5">
        <v>30655</v>
      </c>
      <c r="B202">
        <v>133.5</v>
      </c>
    </row>
    <row r="203" spans="1:2" x14ac:dyDescent="0.25">
      <c r="A203" s="5">
        <v>30662</v>
      </c>
      <c r="B203">
        <v>133.80000000000001</v>
      </c>
    </row>
    <row r="204" spans="1:2" x14ac:dyDescent="0.25">
      <c r="A204" s="5">
        <v>30669</v>
      </c>
      <c r="B204">
        <v>133.9</v>
      </c>
    </row>
    <row r="205" spans="1:2" x14ac:dyDescent="0.25">
      <c r="A205" s="5">
        <v>30676</v>
      </c>
      <c r="B205">
        <v>133.5</v>
      </c>
    </row>
    <row r="206" spans="1:2" x14ac:dyDescent="0.25">
      <c r="A206" s="5">
        <v>30683</v>
      </c>
      <c r="B206">
        <v>132.6</v>
      </c>
    </row>
    <row r="207" spans="1:2" x14ac:dyDescent="0.25">
      <c r="A207" s="5">
        <v>30690</v>
      </c>
      <c r="B207">
        <v>131.80000000000001</v>
      </c>
    </row>
    <row r="208" spans="1:2" x14ac:dyDescent="0.25">
      <c r="A208" s="5">
        <v>30697</v>
      </c>
      <c r="B208">
        <v>133.1</v>
      </c>
    </row>
    <row r="209" spans="1:2" x14ac:dyDescent="0.25">
      <c r="A209" s="5">
        <v>30704</v>
      </c>
      <c r="B209">
        <v>133.30000000000001</v>
      </c>
    </row>
    <row r="210" spans="1:2" x14ac:dyDescent="0.25">
      <c r="A210" s="5">
        <v>30711</v>
      </c>
      <c r="B210">
        <v>133.5</v>
      </c>
    </row>
    <row r="211" spans="1:2" x14ac:dyDescent="0.25">
      <c r="A211" s="5">
        <v>30718</v>
      </c>
      <c r="B211">
        <v>134.80000000000001</v>
      </c>
    </row>
    <row r="212" spans="1:2" x14ac:dyDescent="0.25">
      <c r="A212" s="5">
        <v>30725</v>
      </c>
      <c r="B212">
        <v>136.6</v>
      </c>
    </row>
    <row r="213" spans="1:2" x14ac:dyDescent="0.25">
      <c r="A213" s="5">
        <v>30732</v>
      </c>
      <c r="B213">
        <v>137.9</v>
      </c>
    </row>
    <row r="214" spans="1:2" x14ac:dyDescent="0.25">
      <c r="A214" s="5">
        <v>30739</v>
      </c>
      <c r="B214">
        <v>138.80000000000001</v>
      </c>
    </row>
    <row r="215" spans="1:2" x14ac:dyDescent="0.25">
      <c r="A215" s="5">
        <v>30746</v>
      </c>
      <c r="B215">
        <v>139</v>
      </c>
    </row>
    <row r="216" spans="1:2" x14ac:dyDescent="0.25">
      <c r="A216" s="5">
        <v>30753</v>
      </c>
      <c r="B216">
        <v>139.69999999999999</v>
      </c>
    </row>
    <row r="217" spans="1:2" x14ac:dyDescent="0.25">
      <c r="A217" s="5">
        <v>30760</v>
      </c>
      <c r="B217">
        <v>140.1</v>
      </c>
    </row>
    <row r="218" spans="1:2" x14ac:dyDescent="0.25">
      <c r="A218" s="5">
        <v>30767</v>
      </c>
      <c r="B218">
        <v>140.4</v>
      </c>
    </row>
    <row r="219" spans="1:2" x14ac:dyDescent="0.25">
      <c r="A219" s="5">
        <v>30774</v>
      </c>
      <c r="B219">
        <v>140.69999999999999</v>
      </c>
    </row>
    <row r="220" spans="1:2" x14ac:dyDescent="0.25">
      <c r="A220" s="5">
        <v>30781</v>
      </c>
      <c r="B220">
        <v>141.6</v>
      </c>
    </row>
    <row r="221" spans="1:2" x14ac:dyDescent="0.25">
      <c r="A221" s="5">
        <v>30788</v>
      </c>
      <c r="B221">
        <v>142.19999999999999</v>
      </c>
    </row>
    <row r="222" spans="1:2" x14ac:dyDescent="0.25">
      <c r="A222" s="5">
        <v>30795</v>
      </c>
      <c r="B222">
        <v>141.6</v>
      </c>
    </row>
    <row r="223" spans="1:2" x14ac:dyDescent="0.25">
      <c r="A223" s="5">
        <v>30802</v>
      </c>
      <c r="B223">
        <v>140.6</v>
      </c>
    </row>
    <row r="224" spans="1:2" x14ac:dyDescent="0.25">
      <c r="A224" s="5">
        <v>30809</v>
      </c>
      <c r="B224">
        <v>139.69999999999999</v>
      </c>
    </row>
    <row r="225" spans="1:2" x14ac:dyDescent="0.25">
      <c r="A225" s="5">
        <v>30816</v>
      </c>
      <c r="B225">
        <v>141.30000000000001</v>
      </c>
    </row>
    <row r="226" spans="1:2" x14ac:dyDescent="0.25">
      <c r="A226" s="5">
        <v>30823</v>
      </c>
      <c r="B226">
        <v>142.30000000000001</v>
      </c>
    </row>
    <row r="227" spans="1:2" x14ac:dyDescent="0.25">
      <c r="A227" s="5">
        <v>30830</v>
      </c>
      <c r="B227">
        <v>143.4</v>
      </c>
    </row>
    <row r="228" spans="1:2" x14ac:dyDescent="0.25">
      <c r="A228" s="5">
        <v>30837</v>
      </c>
      <c r="B228">
        <v>143.6</v>
      </c>
    </row>
    <row r="229" spans="1:2" x14ac:dyDescent="0.25">
      <c r="A229" s="5">
        <v>30844</v>
      </c>
      <c r="B229">
        <v>144</v>
      </c>
    </row>
    <row r="230" spans="1:2" x14ac:dyDescent="0.25">
      <c r="A230" s="5">
        <v>30851</v>
      </c>
      <c r="B230">
        <v>144</v>
      </c>
    </row>
    <row r="231" spans="1:2" x14ac:dyDescent="0.25">
      <c r="A231" s="5">
        <v>30858</v>
      </c>
      <c r="B231">
        <v>143.9</v>
      </c>
    </row>
    <row r="232" spans="1:2" x14ac:dyDescent="0.25">
      <c r="A232" s="5">
        <v>30865</v>
      </c>
      <c r="B232">
        <v>144</v>
      </c>
    </row>
    <row r="233" spans="1:2" x14ac:dyDescent="0.25">
      <c r="A233" s="5">
        <v>30872</v>
      </c>
      <c r="B233">
        <v>144</v>
      </c>
    </row>
    <row r="234" spans="1:2" x14ac:dyDescent="0.25">
      <c r="A234" s="5">
        <v>30879</v>
      </c>
      <c r="B234">
        <v>145.6</v>
      </c>
    </row>
    <row r="235" spans="1:2" x14ac:dyDescent="0.25">
      <c r="A235" s="5">
        <v>30886</v>
      </c>
      <c r="B235">
        <v>146.4</v>
      </c>
    </row>
    <row r="236" spans="1:2" x14ac:dyDescent="0.25">
      <c r="A236" s="5">
        <v>30893</v>
      </c>
      <c r="B236">
        <v>146.80000000000001</v>
      </c>
    </row>
    <row r="237" spans="1:2" x14ac:dyDescent="0.25">
      <c r="A237" s="5">
        <v>30900</v>
      </c>
      <c r="B237">
        <v>146.6</v>
      </c>
    </row>
    <row r="238" spans="1:2" x14ac:dyDescent="0.25">
      <c r="A238" s="5">
        <v>30907</v>
      </c>
      <c r="B238">
        <v>145.30000000000001</v>
      </c>
    </row>
    <row r="239" spans="1:2" x14ac:dyDescent="0.25">
      <c r="A239" s="5">
        <v>30914</v>
      </c>
      <c r="B239">
        <v>144.9</v>
      </c>
    </row>
    <row r="240" spans="1:2" x14ac:dyDescent="0.25">
      <c r="A240" s="5">
        <v>30921</v>
      </c>
      <c r="B240">
        <v>145.6</v>
      </c>
    </row>
    <row r="241" spans="1:2" x14ac:dyDescent="0.25">
      <c r="A241" s="5">
        <v>30928</v>
      </c>
      <c r="B241">
        <v>145.80000000000001</v>
      </c>
    </row>
    <row r="242" spans="1:2" x14ac:dyDescent="0.25">
      <c r="A242" s="5">
        <v>30935</v>
      </c>
      <c r="B242">
        <v>146.1</v>
      </c>
    </row>
    <row r="243" spans="1:2" x14ac:dyDescent="0.25">
      <c r="A243" s="5">
        <v>30942</v>
      </c>
      <c r="B243">
        <v>147.5</v>
      </c>
    </row>
    <row r="244" spans="1:2" x14ac:dyDescent="0.25">
      <c r="A244" s="5">
        <v>30949</v>
      </c>
      <c r="B244">
        <v>147.6</v>
      </c>
    </row>
    <row r="245" spans="1:2" x14ac:dyDescent="0.25">
      <c r="A245" s="5">
        <v>30956</v>
      </c>
      <c r="B245">
        <v>147.9</v>
      </c>
    </row>
    <row r="246" spans="1:2" x14ac:dyDescent="0.25">
      <c r="A246" s="5">
        <v>30963</v>
      </c>
      <c r="B246">
        <v>148.30000000000001</v>
      </c>
    </row>
    <row r="247" spans="1:2" x14ac:dyDescent="0.25">
      <c r="A247" s="5">
        <v>30970</v>
      </c>
      <c r="B247">
        <v>150.4</v>
      </c>
    </row>
    <row r="248" spans="1:2" x14ac:dyDescent="0.25">
      <c r="A248" s="5">
        <v>30977</v>
      </c>
      <c r="B248">
        <v>151.30000000000001</v>
      </c>
    </row>
    <row r="249" spans="1:2" x14ac:dyDescent="0.25">
      <c r="A249" s="5">
        <v>30984</v>
      </c>
      <c r="B249">
        <v>151.6</v>
      </c>
    </row>
    <row r="250" spans="1:2" x14ac:dyDescent="0.25">
      <c r="A250" s="5">
        <v>30991</v>
      </c>
      <c r="B250">
        <v>152.80000000000001</v>
      </c>
    </row>
    <row r="251" spans="1:2" x14ac:dyDescent="0.25">
      <c r="A251" s="5">
        <v>30998</v>
      </c>
      <c r="B251">
        <v>155.19999999999999</v>
      </c>
    </row>
    <row r="252" spans="1:2" x14ac:dyDescent="0.25">
      <c r="A252" s="5">
        <v>31005</v>
      </c>
      <c r="B252">
        <v>156.6</v>
      </c>
    </row>
    <row r="253" spans="1:2" x14ac:dyDescent="0.25">
      <c r="A253" s="5">
        <v>31012</v>
      </c>
      <c r="B253">
        <v>158.5</v>
      </c>
    </row>
    <row r="254" spans="1:2" x14ac:dyDescent="0.25">
      <c r="A254" s="5">
        <v>31019</v>
      </c>
      <c r="B254">
        <v>159.6</v>
      </c>
    </row>
    <row r="255" spans="1:2" x14ac:dyDescent="0.25">
      <c r="A255" s="5">
        <v>31026</v>
      </c>
      <c r="B255">
        <v>161</v>
      </c>
    </row>
    <row r="256" spans="1:2" x14ac:dyDescent="0.25">
      <c r="A256" s="5">
        <v>31033</v>
      </c>
      <c r="B256">
        <v>162.6</v>
      </c>
    </row>
    <row r="257" spans="1:2" x14ac:dyDescent="0.25">
      <c r="A257" s="5">
        <v>31040</v>
      </c>
      <c r="B257">
        <v>162.80000000000001</v>
      </c>
    </row>
    <row r="258" spans="1:2" x14ac:dyDescent="0.25">
      <c r="A258" s="5">
        <v>31047</v>
      </c>
      <c r="B258">
        <v>162.19999999999999</v>
      </c>
    </row>
    <row r="259" spans="1:2" x14ac:dyDescent="0.25">
      <c r="A259" s="5">
        <v>31054</v>
      </c>
      <c r="B259">
        <v>161.6</v>
      </c>
    </row>
    <row r="260" spans="1:2" x14ac:dyDescent="0.25">
      <c r="A260" s="5">
        <v>31061</v>
      </c>
      <c r="B260">
        <v>166.7</v>
      </c>
    </row>
    <row r="261" spans="1:2" x14ac:dyDescent="0.25">
      <c r="A261" s="5">
        <v>31068</v>
      </c>
      <c r="B261">
        <v>168.1</v>
      </c>
    </row>
    <row r="262" spans="1:2" x14ac:dyDescent="0.25">
      <c r="A262" s="5">
        <v>31075</v>
      </c>
      <c r="B262">
        <v>168.2</v>
      </c>
    </row>
    <row r="263" spans="1:2" x14ac:dyDescent="0.25">
      <c r="A263" s="5">
        <v>31082</v>
      </c>
      <c r="B263">
        <v>168</v>
      </c>
    </row>
    <row r="264" spans="1:2" x14ac:dyDescent="0.25">
      <c r="A264" s="5">
        <v>31089</v>
      </c>
      <c r="B264">
        <v>169.4</v>
      </c>
    </row>
    <row r="265" spans="1:2" x14ac:dyDescent="0.25">
      <c r="A265" s="5">
        <v>31096</v>
      </c>
      <c r="B265">
        <v>169.8</v>
      </c>
    </row>
    <row r="266" spans="1:2" x14ac:dyDescent="0.25">
      <c r="A266" s="5">
        <v>31103</v>
      </c>
      <c r="B266">
        <v>170.6</v>
      </c>
    </row>
    <row r="267" spans="1:2" x14ac:dyDescent="0.25">
      <c r="A267" s="5">
        <v>31110</v>
      </c>
      <c r="B267">
        <v>171.6</v>
      </c>
    </row>
    <row r="268" spans="1:2" x14ac:dyDescent="0.25">
      <c r="A268" s="5">
        <v>31117</v>
      </c>
      <c r="B268">
        <v>172.8</v>
      </c>
    </row>
    <row r="269" spans="1:2" x14ac:dyDescent="0.25">
      <c r="A269" s="5">
        <v>31124</v>
      </c>
      <c r="B269">
        <v>172.4</v>
      </c>
    </row>
    <row r="270" spans="1:2" x14ac:dyDescent="0.25">
      <c r="A270" s="5">
        <v>31131</v>
      </c>
      <c r="B270">
        <v>172.9</v>
      </c>
    </row>
    <row r="271" spans="1:2" x14ac:dyDescent="0.25">
      <c r="A271" s="5">
        <v>31138</v>
      </c>
      <c r="B271">
        <v>171.9</v>
      </c>
    </row>
    <row r="272" spans="1:2" x14ac:dyDescent="0.25">
      <c r="A272" s="5">
        <v>31145</v>
      </c>
      <c r="B272">
        <v>172.6</v>
      </c>
    </row>
    <row r="273" spans="1:2" x14ac:dyDescent="0.25">
      <c r="A273" s="5">
        <v>31152</v>
      </c>
      <c r="B273">
        <v>172.9</v>
      </c>
    </row>
    <row r="274" spans="1:2" x14ac:dyDescent="0.25">
      <c r="A274" s="5">
        <v>31159</v>
      </c>
      <c r="B274">
        <v>171.5</v>
      </c>
    </row>
    <row r="275" spans="1:2" x14ac:dyDescent="0.25">
      <c r="A275" s="5">
        <v>31166</v>
      </c>
      <c r="B275">
        <v>168.8</v>
      </c>
    </row>
    <row r="276" spans="1:2" x14ac:dyDescent="0.25">
      <c r="A276" s="5">
        <v>31173</v>
      </c>
      <c r="B276">
        <v>166.9</v>
      </c>
    </row>
    <row r="277" spans="1:2" x14ac:dyDescent="0.25">
      <c r="A277" s="5">
        <v>31180</v>
      </c>
      <c r="B277">
        <v>167</v>
      </c>
    </row>
    <row r="278" spans="1:2" x14ac:dyDescent="0.25">
      <c r="A278" s="5">
        <v>31187</v>
      </c>
      <c r="B278">
        <v>167</v>
      </c>
    </row>
    <row r="279" spans="1:2" x14ac:dyDescent="0.25">
      <c r="A279" s="5">
        <v>31194</v>
      </c>
      <c r="B279">
        <v>167.3</v>
      </c>
    </row>
    <row r="280" spans="1:2" x14ac:dyDescent="0.25">
      <c r="A280" s="5">
        <v>31201</v>
      </c>
      <c r="B280">
        <v>168</v>
      </c>
    </row>
    <row r="281" spans="1:2" x14ac:dyDescent="0.25">
      <c r="A281" s="5">
        <v>31208</v>
      </c>
      <c r="B281">
        <v>169.2</v>
      </c>
    </row>
    <row r="282" spans="1:2" x14ac:dyDescent="0.25">
      <c r="A282" s="5">
        <v>31215</v>
      </c>
      <c r="B282">
        <v>170.6</v>
      </c>
    </row>
    <row r="283" spans="1:2" x14ac:dyDescent="0.25">
      <c r="A283" s="5">
        <v>31222</v>
      </c>
      <c r="B283">
        <v>171.7</v>
      </c>
    </row>
    <row r="284" spans="1:2" x14ac:dyDescent="0.25">
      <c r="A284" s="5">
        <v>31229</v>
      </c>
      <c r="B284">
        <v>170.8</v>
      </c>
    </row>
    <row r="285" spans="1:2" x14ac:dyDescent="0.25">
      <c r="A285" s="5">
        <v>31236</v>
      </c>
      <c r="B285">
        <v>169.5</v>
      </c>
    </row>
    <row r="286" spans="1:2" x14ac:dyDescent="0.25">
      <c r="A286" s="5">
        <v>31243</v>
      </c>
      <c r="B286">
        <v>171.8</v>
      </c>
    </row>
    <row r="287" spans="1:2" x14ac:dyDescent="0.25">
      <c r="A287" s="5">
        <v>31250</v>
      </c>
      <c r="B287">
        <v>171.3</v>
      </c>
    </row>
    <row r="288" spans="1:2" x14ac:dyDescent="0.25">
      <c r="A288" s="5">
        <v>31257</v>
      </c>
      <c r="B288">
        <v>170.9</v>
      </c>
    </row>
    <row r="289" spans="1:2" x14ac:dyDescent="0.25">
      <c r="A289" s="5">
        <v>31264</v>
      </c>
      <c r="B289">
        <v>170.6</v>
      </c>
    </row>
    <row r="290" spans="1:2" x14ac:dyDescent="0.25">
      <c r="A290" s="5">
        <v>31271</v>
      </c>
      <c r="B290">
        <v>171.9</v>
      </c>
    </row>
    <row r="291" spans="1:2" x14ac:dyDescent="0.25">
      <c r="A291" s="5">
        <v>31278</v>
      </c>
      <c r="B291">
        <v>171.8</v>
      </c>
    </row>
    <row r="292" spans="1:2" x14ac:dyDescent="0.25">
      <c r="A292" s="5">
        <v>31285</v>
      </c>
      <c r="B292">
        <v>172.2</v>
      </c>
    </row>
    <row r="293" spans="1:2" x14ac:dyDescent="0.25">
      <c r="A293" s="5">
        <v>31292</v>
      </c>
      <c r="B293">
        <v>171.9</v>
      </c>
    </row>
    <row r="294" spans="1:2" x14ac:dyDescent="0.25">
      <c r="A294" s="5">
        <v>31299</v>
      </c>
      <c r="B294">
        <v>171.2</v>
      </c>
    </row>
    <row r="295" spans="1:2" x14ac:dyDescent="0.25">
      <c r="A295" s="5">
        <v>31306</v>
      </c>
      <c r="B295">
        <v>171.7</v>
      </c>
    </row>
    <row r="296" spans="1:2" x14ac:dyDescent="0.25">
      <c r="A296" s="5">
        <v>31313</v>
      </c>
      <c r="B296">
        <v>171.9</v>
      </c>
    </row>
    <row r="297" spans="1:2" x14ac:dyDescent="0.25">
      <c r="A297" s="5">
        <v>31320</v>
      </c>
      <c r="B297">
        <v>171.4</v>
      </c>
    </row>
    <row r="298" spans="1:2" x14ac:dyDescent="0.25">
      <c r="A298" s="5">
        <v>31327</v>
      </c>
      <c r="B298">
        <v>171</v>
      </c>
    </row>
    <row r="299" spans="1:2" x14ac:dyDescent="0.25">
      <c r="A299" s="5">
        <v>31334</v>
      </c>
      <c r="B299">
        <v>172.3</v>
      </c>
    </row>
    <row r="300" spans="1:2" x14ac:dyDescent="0.25">
      <c r="A300" s="5">
        <v>31341</v>
      </c>
      <c r="B300">
        <v>172.2</v>
      </c>
    </row>
    <row r="301" spans="1:2" x14ac:dyDescent="0.25">
      <c r="A301" s="5">
        <v>31348</v>
      </c>
      <c r="B301">
        <v>172</v>
      </c>
    </row>
    <row r="302" spans="1:2" x14ac:dyDescent="0.25">
      <c r="A302" s="5">
        <v>31355</v>
      </c>
      <c r="B302">
        <v>171.6</v>
      </c>
    </row>
    <row r="303" spans="1:2" x14ac:dyDescent="0.25">
      <c r="A303" s="5">
        <v>31362</v>
      </c>
      <c r="B303">
        <v>171.8</v>
      </c>
    </row>
    <row r="304" spans="1:2" x14ac:dyDescent="0.25">
      <c r="A304" s="5">
        <v>31369</v>
      </c>
      <c r="B304">
        <v>171.3</v>
      </c>
    </row>
    <row r="305" spans="1:2" x14ac:dyDescent="0.25">
      <c r="A305" s="5">
        <v>31376</v>
      </c>
      <c r="B305">
        <v>172.2</v>
      </c>
    </row>
    <row r="306" spans="1:2" x14ac:dyDescent="0.25">
      <c r="A306" s="5">
        <v>31383</v>
      </c>
      <c r="B306">
        <v>171.9</v>
      </c>
    </row>
    <row r="307" spans="1:2" x14ac:dyDescent="0.25">
      <c r="A307" s="5">
        <v>31390</v>
      </c>
      <c r="B307">
        <v>172.5</v>
      </c>
    </row>
    <row r="308" spans="1:2" x14ac:dyDescent="0.25">
      <c r="A308" s="5">
        <v>31397</v>
      </c>
      <c r="B308">
        <v>172</v>
      </c>
    </row>
    <row r="309" spans="1:2" x14ac:dyDescent="0.25">
      <c r="A309" s="5">
        <v>31404</v>
      </c>
      <c r="B309">
        <v>171.4</v>
      </c>
    </row>
    <row r="310" spans="1:2" x14ac:dyDescent="0.25">
      <c r="A310" s="5">
        <v>31411</v>
      </c>
      <c r="B310">
        <v>170.1</v>
      </c>
    </row>
    <row r="311" spans="1:2" x14ac:dyDescent="0.25">
      <c r="A311" s="5">
        <v>31418</v>
      </c>
      <c r="B311">
        <v>167.7</v>
      </c>
    </row>
    <row r="312" spans="1:2" x14ac:dyDescent="0.25">
      <c r="A312" s="5">
        <v>31425</v>
      </c>
      <c r="B312">
        <v>172.1</v>
      </c>
    </row>
    <row r="313" spans="1:2" x14ac:dyDescent="0.25">
      <c r="A313" s="5">
        <v>31432</v>
      </c>
      <c r="B313">
        <v>174.7</v>
      </c>
    </row>
    <row r="314" spans="1:2" x14ac:dyDescent="0.25">
      <c r="A314" s="5">
        <v>31439</v>
      </c>
      <c r="B314">
        <v>176</v>
      </c>
    </row>
    <row r="315" spans="1:2" x14ac:dyDescent="0.25">
      <c r="A315" s="5">
        <v>31446</v>
      </c>
      <c r="B315">
        <v>175.7</v>
      </c>
    </row>
    <row r="316" spans="1:2" x14ac:dyDescent="0.25">
      <c r="A316" s="5">
        <v>31453</v>
      </c>
      <c r="B316">
        <v>176.8</v>
      </c>
    </row>
    <row r="317" spans="1:2" x14ac:dyDescent="0.25">
      <c r="A317" s="5">
        <v>31460</v>
      </c>
      <c r="B317">
        <v>177.1</v>
      </c>
    </row>
    <row r="318" spans="1:2" x14ac:dyDescent="0.25">
      <c r="A318" s="5">
        <v>31467</v>
      </c>
      <c r="B318">
        <v>176.9</v>
      </c>
    </row>
    <row r="319" spans="1:2" x14ac:dyDescent="0.25">
      <c r="A319" s="5">
        <v>31474</v>
      </c>
      <c r="B319">
        <v>178.4</v>
      </c>
    </row>
    <row r="320" spans="1:2" x14ac:dyDescent="0.25">
      <c r="A320" s="5">
        <v>31481</v>
      </c>
      <c r="B320">
        <v>180.4</v>
      </c>
    </row>
    <row r="321" spans="1:2" x14ac:dyDescent="0.25">
      <c r="A321" s="5">
        <v>31488</v>
      </c>
      <c r="B321">
        <v>182</v>
      </c>
    </row>
    <row r="322" spans="1:2" x14ac:dyDescent="0.25">
      <c r="A322" s="5">
        <v>31495</v>
      </c>
      <c r="B322">
        <v>183.5</v>
      </c>
    </row>
    <row r="323" spans="1:2" x14ac:dyDescent="0.25">
      <c r="A323" s="5">
        <v>31502</v>
      </c>
      <c r="B323">
        <v>185.3</v>
      </c>
    </row>
    <row r="324" spans="1:2" x14ac:dyDescent="0.25">
      <c r="A324" s="5">
        <v>31509</v>
      </c>
      <c r="B324">
        <v>185.7</v>
      </c>
    </row>
    <row r="325" spans="1:2" x14ac:dyDescent="0.25">
      <c r="A325" s="5">
        <v>31516</v>
      </c>
      <c r="B325">
        <v>189.6</v>
      </c>
    </row>
    <row r="326" spans="1:2" x14ac:dyDescent="0.25">
      <c r="A326" s="5">
        <v>31523</v>
      </c>
      <c r="B326">
        <v>188.8</v>
      </c>
    </row>
    <row r="327" spans="1:2" x14ac:dyDescent="0.25">
      <c r="A327" s="5">
        <v>31530</v>
      </c>
      <c r="B327">
        <v>187.8</v>
      </c>
    </row>
    <row r="328" spans="1:2" x14ac:dyDescent="0.25">
      <c r="A328" s="5">
        <v>31537</v>
      </c>
      <c r="B328">
        <v>186.5</v>
      </c>
    </row>
    <row r="329" spans="1:2" x14ac:dyDescent="0.25">
      <c r="A329" s="5">
        <v>31544</v>
      </c>
      <c r="B329">
        <v>188.3</v>
      </c>
    </row>
    <row r="330" spans="1:2" x14ac:dyDescent="0.25">
      <c r="A330" s="5">
        <v>31551</v>
      </c>
      <c r="B330">
        <v>189.4</v>
      </c>
    </row>
    <row r="331" spans="1:2" x14ac:dyDescent="0.25">
      <c r="A331" s="5">
        <v>31558</v>
      </c>
      <c r="B331">
        <v>191.9</v>
      </c>
    </row>
    <row r="332" spans="1:2" x14ac:dyDescent="0.25">
      <c r="A332" s="5">
        <v>31565</v>
      </c>
      <c r="B332">
        <v>191.6</v>
      </c>
    </row>
    <row r="333" spans="1:2" x14ac:dyDescent="0.25">
      <c r="A333" s="5">
        <v>31572</v>
      </c>
      <c r="B333">
        <v>192.3</v>
      </c>
    </row>
    <row r="334" spans="1:2" x14ac:dyDescent="0.25">
      <c r="A334" s="5">
        <v>31579</v>
      </c>
      <c r="B334">
        <v>194.1</v>
      </c>
    </row>
    <row r="335" spans="1:2" x14ac:dyDescent="0.25">
      <c r="A335" s="5">
        <v>31586</v>
      </c>
      <c r="B335">
        <v>195</v>
      </c>
    </row>
    <row r="336" spans="1:2" x14ac:dyDescent="0.25">
      <c r="A336" s="5">
        <v>31593</v>
      </c>
      <c r="B336">
        <v>193.4</v>
      </c>
    </row>
    <row r="337" spans="1:2" x14ac:dyDescent="0.25">
      <c r="A337" s="5">
        <v>31600</v>
      </c>
      <c r="B337">
        <v>192.9</v>
      </c>
    </row>
    <row r="338" spans="1:2" x14ac:dyDescent="0.25">
      <c r="A338" s="5">
        <v>31607</v>
      </c>
      <c r="B338">
        <v>194.9</v>
      </c>
    </row>
    <row r="339" spans="1:2" x14ac:dyDescent="0.25">
      <c r="A339" s="5">
        <v>31614</v>
      </c>
      <c r="B339">
        <v>196.4</v>
      </c>
    </row>
    <row r="340" spans="1:2" x14ac:dyDescent="0.25">
      <c r="A340" s="5">
        <v>31621</v>
      </c>
      <c r="B340">
        <v>197.1</v>
      </c>
    </row>
    <row r="341" spans="1:2" x14ac:dyDescent="0.25">
      <c r="A341" s="5">
        <v>31628</v>
      </c>
      <c r="B341">
        <v>196.6</v>
      </c>
    </row>
    <row r="342" spans="1:2" x14ac:dyDescent="0.25">
      <c r="A342" s="5">
        <v>31635</v>
      </c>
      <c r="B342">
        <v>197.5</v>
      </c>
    </row>
    <row r="343" spans="1:2" x14ac:dyDescent="0.25">
      <c r="A343" s="5">
        <v>31642</v>
      </c>
      <c r="B343">
        <v>196.1</v>
      </c>
    </row>
    <row r="344" spans="1:2" x14ac:dyDescent="0.25">
      <c r="A344" s="5">
        <v>31649</v>
      </c>
      <c r="B344">
        <v>196.2</v>
      </c>
    </row>
    <row r="345" spans="1:2" x14ac:dyDescent="0.25">
      <c r="A345" s="5">
        <v>31656</v>
      </c>
      <c r="B345">
        <v>195</v>
      </c>
    </row>
    <row r="346" spans="1:2" x14ac:dyDescent="0.25">
      <c r="A346" s="5">
        <v>31663</v>
      </c>
      <c r="B346">
        <v>194.7</v>
      </c>
    </row>
    <row r="347" spans="1:2" x14ac:dyDescent="0.25">
      <c r="A347" s="5">
        <v>31670</v>
      </c>
      <c r="B347">
        <v>196.4</v>
      </c>
    </row>
    <row r="348" spans="1:2" x14ac:dyDescent="0.25">
      <c r="A348" s="5">
        <v>31677</v>
      </c>
      <c r="B348">
        <v>200</v>
      </c>
    </row>
    <row r="349" spans="1:2" x14ac:dyDescent="0.25">
      <c r="A349" s="5">
        <v>31684</v>
      </c>
      <c r="B349">
        <v>200.8</v>
      </c>
    </row>
    <row r="350" spans="1:2" x14ac:dyDescent="0.25">
      <c r="A350" s="5">
        <v>31691</v>
      </c>
      <c r="B350">
        <v>200.5</v>
      </c>
    </row>
    <row r="351" spans="1:2" x14ac:dyDescent="0.25">
      <c r="A351" s="5">
        <v>31698</v>
      </c>
      <c r="B351">
        <v>202.6</v>
      </c>
    </row>
    <row r="352" spans="1:2" x14ac:dyDescent="0.25">
      <c r="A352" s="5">
        <v>31705</v>
      </c>
      <c r="B352">
        <v>202.2</v>
      </c>
    </row>
    <row r="353" spans="1:2" x14ac:dyDescent="0.25">
      <c r="A353" s="5">
        <v>31712</v>
      </c>
      <c r="B353">
        <v>203.3</v>
      </c>
    </row>
    <row r="354" spans="1:2" x14ac:dyDescent="0.25">
      <c r="A354" s="5">
        <v>31719</v>
      </c>
      <c r="B354">
        <v>203</v>
      </c>
    </row>
    <row r="355" spans="1:2" x14ac:dyDescent="0.25">
      <c r="A355" s="5">
        <v>31726</v>
      </c>
      <c r="B355">
        <v>202</v>
      </c>
    </row>
    <row r="356" spans="1:2" x14ac:dyDescent="0.25">
      <c r="A356" s="5">
        <v>31733</v>
      </c>
      <c r="B356">
        <v>202.5</v>
      </c>
    </row>
    <row r="357" spans="1:2" x14ac:dyDescent="0.25">
      <c r="A357" s="5">
        <v>31740</v>
      </c>
      <c r="B357">
        <v>204.1</v>
      </c>
    </row>
    <row r="358" spans="1:2" x14ac:dyDescent="0.25">
      <c r="A358" s="5">
        <v>31747</v>
      </c>
      <c r="B358">
        <v>202.8</v>
      </c>
    </row>
    <row r="359" spans="1:2" x14ac:dyDescent="0.25">
      <c r="A359" s="5">
        <v>31754</v>
      </c>
      <c r="B359">
        <v>202.9</v>
      </c>
    </row>
    <row r="360" spans="1:2" x14ac:dyDescent="0.25">
      <c r="A360" s="5">
        <v>31761</v>
      </c>
      <c r="B360">
        <v>203.9</v>
      </c>
    </row>
    <row r="361" spans="1:2" x14ac:dyDescent="0.25">
      <c r="A361" s="5">
        <v>31768</v>
      </c>
      <c r="B361">
        <v>204.4</v>
      </c>
    </row>
    <row r="362" spans="1:2" x14ac:dyDescent="0.25">
      <c r="A362" s="5">
        <v>31775</v>
      </c>
      <c r="B362">
        <v>203.4</v>
      </c>
    </row>
    <row r="363" spans="1:2" x14ac:dyDescent="0.25">
      <c r="A363" s="5">
        <v>31782</v>
      </c>
      <c r="B363">
        <v>202.8</v>
      </c>
    </row>
    <row r="364" spans="1:2" x14ac:dyDescent="0.25">
      <c r="A364" s="5">
        <v>31789</v>
      </c>
      <c r="B364">
        <v>205</v>
      </c>
    </row>
    <row r="365" spans="1:2" x14ac:dyDescent="0.25">
      <c r="A365" s="5">
        <v>31796</v>
      </c>
      <c r="B365">
        <v>205.9</v>
      </c>
    </row>
    <row r="366" spans="1:2" x14ac:dyDescent="0.25">
      <c r="A366" s="5">
        <v>31803</v>
      </c>
      <c r="B366">
        <v>206.5</v>
      </c>
    </row>
    <row r="367" spans="1:2" x14ac:dyDescent="0.25">
      <c r="A367" s="5">
        <v>31810</v>
      </c>
      <c r="B367">
        <v>205</v>
      </c>
    </row>
    <row r="368" spans="1:2" x14ac:dyDescent="0.25">
      <c r="A368" s="5">
        <v>31817</v>
      </c>
      <c r="B368">
        <v>206.8</v>
      </c>
    </row>
    <row r="369" spans="1:2" x14ac:dyDescent="0.25">
      <c r="A369" s="5">
        <v>31824</v>
      </c>
      <c r="B369">
        <v>207.4</v>
      </c>
    </row>
    <row r="370" spans="1:2" x14ac:dyDescent="0.25">
      <c r="A370" s="5">
        <v>31831</v>
      </c>
      <c r="B370">
        <v>207</v>
      </c>
    </row>
    <row r="371" spans="1:2" x14ac:dyDescent="0.25">
      <c r="A371" s="5">
        <v>31838</v>
      </c>
      <c r="B371">
        <v>207.3</v>
      </c>
    </row>
    <row r="372" spans="1:2" x14ac:dyDescent="0.25">
      <c r="A372" s="5">
        <v>31845</v>
      </c>
      <c r="B372">
        <v>208.5</v>
      </c>
    </row>
    <row r="373" spans="1:2" x14ac:dyDescent="0.25">
      <c r="A373" s="5">
        <v>31852</v>
      </c>
      <c r="B373">
        <v>209.2</v>
      </c>
    </row>
    <row r="374" spans="1:2" x14ac:dyDescent="0.25">
      <c r="A374" s="5">
        <v>31859</v>
      </c>
      <c r="B374">
        <v>208.2</v>
      </c>
    </row>
    <row r="375" spans="1:2" x14ac:dyDescent="0.25">
      <c r="A375" s="5">
        <v>31866</v>
      </c>
      <c r="B375">
        <v>207.7</v>
      </c>
    </row>
    <row r="376" spans="1:2" x14ac:dyDescent="0.25">
      <c r="A376" s="5">
        <v>31873</v>
      </c>
      <c r="B376">
        <v>207</v>
      </c>
    </row>
    <row r="377" spans="1:2" x14ac:dyDescent="0.25">
      <c r="A377" s="5">
        <v>31880</v>
      </c>
      <c r="B377">
        <v>208.8</v>
      </c>
    </row>
    <row r="378" spans="1:2" x14ac:dyDescent="0.25">
      <c r="A378" s="5">
        <v>31887</v>
      </c>
      <c r="B378">
        <v>209.3</v>
      </c>
    </row>
    <row r="379" spans="1:2" x14ac:dyDescent="0.25">
      <c r="A379" s="5">
        <v>31894</v>
      </c>
      <c r="B379">
        <v>209</v>
      </c>
    </row>
    <row r="380" spans="1:2" x14ac:dyDescent="0.25">
      <c r="A380" s="5">
        <v>31901</v>
      </c>
      <c r="B380">
        <v>207.2</v>
      </c>
    </row>
    <row r="381" spans="1:2" x14ac:dyDescent="0.25">
      <c r="A381" s="5">
        <v>31908</v>
      </c>
      <c r="B381">
        <v>204.8</v>
      </c>
    </row>
    <row r="382" spans="1:2" x14ac:dyDescent="0.25">
      <c r="A382" s="5">
        <v>31915</v>
      </c>
      <c r="B382">
        <v>204.5</v>
      </c>
    </row>
    <row r="383" spans="1:2" x14ac:dyDescent="0.25">
      <c r="A383" s="5">
        <v>31922</v>
      </c>
      <c r="B383">
        <v>207.3</v>
      </c>
    </row>
    <row r="384" spans="1:2" x14ac:dyDescent="0.25">
      <c r="A384" s="5">
        <v>31929</v>
      </c>
      <c r="B384">
        <v>208.2</v>
      </c>
    </row>
    <row r="385" spans="1:2" x14ac:dyDescent="0.25">
      <c r="A385" s="5">
        <v>31936</v>
      </c>
      <c r="B385">
        <v>208.9</v>
      </c>
    </row>
    <row r="386" spans="1:2" x14ac:dyDescent="0.25">
      <c r="A386" s="5">
        <v>31943</v>
      </c>
      <c r="B386">
        <v>207.6</v>
      </c>
    </row>
    <row r="387" spans="1:2" x14ac:dyDescent="0.25">
      <c r="A387" s="5">
        <v>31950</v>
      </c>
      <c r="B387">
        <v>205.9</v>
      </c>
    </row>
    <row r="388" spans="1:2" x14ac:dyDescent="0.25">
      <c r="A388" s="5">
        <v>31957</v>
      </c>
      <c r="B388">
        <v>204.5</v>
      </c>
    </row>
    <row r="389" spans="1:2" x14ac:dyDescent="0.25">
      <c r="A389" s="5">
        <v>31964</v>
      </c>
      <c r="B389">
        <v>204.8</v>
      </c>
    </row>
    <row r="390" spans="1:2" x14ac:dyDescent="0.25">
      <c r="A390" s="5">
        <v>31971</v>
      </c>
      <c r="B390">
        <v>206.7</v>
      </c>
    </row>
    <row r="391" spans="1:2" x14ac:dyDescent="0.25">
      <c r="A391" s="5">
        <v>31978</v>
      </c>
      <c r="B391">
        <v>206.4</v>
      </c>
    </row>
    <row r="392" spans="1:2" x14ac:dyDescent="0.25">
      <c r="A392" s="5">
        <v>31985</v>
      </c>
      <c r="B392">
        <v>207.1</v>
      </c>
    </row>
    <row r="393" spans="1:2" x14ac:dyDescent="0.25">
      <c r="A393" s="5">
        <v>31992</v>
      </c>
      <c r="B393">
        <v>207.4</v>
      </c>
    </row>
    <row r="394" spans="1:2" x14ac:dyDescent="0.25">
      <c r="A394" s="5">
        <v>31999</v>
      </c>
      <c r="B394">
        <v>208.6</v>
      </c>
    </row>
    <row r="395" spans="1:2" x14ac:dyDescent="0.25">
      <c r="A395" s="5">
        <v>32006</v>
      </c>
      <c r="B395">
        <v>208.9</v>
      </c>
    </row>
    <row r="396" spans="1:2" x14ac:dyDescent="0.25">
      <c r="A396" s="5">
        <v>32013</v>
      </c>
      <c r="B396">
        <v>210</v>
      </c>
    </row>
    <row r="397" spans="1:2" x14ac:dyDescent="0.25">
      <c r="A397" s="5">
        <v>32020</v>
      </c>
      <c r="B397">
        <v>210.3</v>
      </c>
    </row>
    <row r="398" spans="1:2" x14ac:dyDescent="0.25">
      <c r="A398" s="5">
        <v>32027</v>
      </c>
      <c r="B398">
        <v>210.7</v>
      </c>
    </row>
    <row r="399" spans="1:2" x14ac:dyDescent="0.25">
      <c r="A399" s="5">
        <v>32034</v>
      </c>
      <c r="B399">
        <v>213.8</v>
      </c>
    </row>
    <row r="400" spans="1:2" x14ac:dyDescent="0.25">
      <c r="A400" s="5">
        <v>32041</v>
      </c>
      <c r="B400">
        <v>213.8</v>
      </c>
    </row>
    <row r="401" spans="1:2" x14ac:dyDescent="0.25">
      <c r="A401" s="5">
        <v>32048</v>
      </c>
      <c r="B401">
        <v>212.2</v>
      </c>
    </row>
    <row r="402" spans="1:2" x14ac:dyDescent="0.25">
      <c r="A402" s="5">
        <v>32055</v>
      </c>
      <c r="B402">
        <v>211.7</v>
      </c>
    </row>
    <row r="403" spans="1:2" x14ac:dyDescent="0.25">
      <c r="A403" s="5">
        <v>32062</v>
      </c>
      <c r="B403">
        <v>212.9</v>
      </c>
    </row>
    <row r="404" spans="1:2" x14ac:dyDescent="0.25">
      <c r="A404" s="5">
        <v>32069</v>
      </c>
      <c r="B404">
        <v>214.1</v>
      </c>
    </row>
    <row r="405" spans="1:2" x14ac:dyDescent="0.25">
      <c r="A405" s="5">
        <v>32076</v>
      </c>
      <c r="B405">
        <v>218.4</v>
      </c>
    </row>
    <row r="406" spans="1:2" x14ac:dyDescent="0.25">
      <c r="A406" s="5">
        <v>32083</v>
      </c>
      <c r="B406">
        <v>215.7</v>
      </c>
    </row>
    <row r="407" spans="1:2" x14ac:dyDescent="0.25">
      <c r="A407" s="5">
        <v>32090</v>
      </c>
      <c r="B407">
        <v>215.5</v>
      </c>
    </row>
    <row r="408" spans="1:2" x14ac:dyDescent="0.25">
      <c r="A408" s="5">
        <v>32097</v>
      </c>
      <c r="B408">
        <v>215.6</v>
      </c>
    </row>
    <row r="409" spans="1:2" x14ac:dyDescent="0.25">
      <c r="A409" s="5">
        <v>32104</v>
      </c>
      <c r="B409">
        <v>216.2</v>
      </c>
    </row>
    <row r="410" spans="1:2" x14ac:dyDescent="0.25">
      <c r="A410" s="5">
        <v>32111</v>
      </c>
      <c r="B410">
        <v>215.6</v>
      </c>
    </row>
    <row r="411" spans="1:2" x14ac:dyDescent="0.25">
      <c r="A411" s="5">
        <v>32118</v>
      </c>
      <c r="B411">
        <v>216.5</v>
      </c>
    </row>
    <row r="412" spans="1:2" x14ac:dyDescent="0.25">
      <c r="A412" s="5">
        <v>32125</v>
      </c>
      <c r="B412">
        <v>217.9</v>
      </c>
    </row>
    <row r="413" spans="1:2" x14ac:dyDescent="0.25">
      <c r="A413" s="5">
        <v>32132</v>
      </c>
      <c r="B413">
        <v>217.8</v>
      </c>
    </row>
    <row r="414" spans="1:2" x14ac:dyDescent="0.25">
      <c r="A414" s="5">
        <v>32139</v>
      </c>
      <c r="B414">
        <v>216.5</v>
      </c>
    </row>
    <row r="415" spans="1:2" x14ac:dyDescent="0.25">
      <c r="A415" s="5">
        <v>32146</v>
      </c>
      <c r="B415">
        <v>214</v>
      </c>
    </row>
    <row r="416" spans="1:2" x14ac:dyDescent="0.25">
      <c r="A416" s="5">
        <v>32153</v>
      </c>
      <c r="B416">
        <v>217.2</v>
      </c>
    </row>
    <row r="417" spans="1:2" x14ac:dyDescent="0.25">
      <c r="A417" s="5">
        <v>32160</v>
      </c>
      <c r="B417">
        <v>222.8</v>
      </c>
    </row>
    <row r="418" spans="1:2" x14ac:dyDescent="0.25">
      <c r="A418" s="5">
        <v>32167</v>
      </c>
      <c r="B418">
        <v>224.6</v>
      </c>
    </row>
    <row r="419" spans="1:2" x14ac:dyDescent="0.25">
      <c r="A419" s="5">
        <v>32174</v>
      </c>
      <c r="B419">
        <v>225.5</v>
      </c>
    </row>
    <row r="420" spans="1:2" x14ac:dyDescent="0.25">
      <c r="A420" s="5">
        <v>32181</v>
      </c>
      <c r="B420">
        <v>225.7</v>
      </c>
    </row>
    <row r="421" spans="1:2" x14ac:dyDescent="0.25">
      <c r="A421" s="5">
        <v>32188</v>
      </c>
      <c r="B421">
        <v>226.9</v>
      </c>
    </row>
    <row r="422" spans="1:2" x14ac:dyDescent="0.25">
      <c r="A422" s="5">
        <v>32195</v>
      </c>
      <c r="B422">
        <v>228.1</v>
      </c>
    </row>
    <row r="423" spans="1:2" x14ac:dyDescent="0.25">
      <c r="A423" s="5">
        <v>32202</v>
      </c>
      <c r="B423">
        <v>228.7</v>
      </c>
    </row>
    <row r="424" spans="1:2" x14ac:dyDescent="0.25">
      <c r="A424" s="5">
        <v>32209</v>
      </c>
      <c r="B424">
        <v>228.8</v>
      </c>
    </row>
    <row r="425" spans="1:2" x14ac:dyDescent="0.25">
      <c r="A425" s="5">
        <v>32216</v>
      </c>
      <c r="B425">
        <v>230</v>
      </c>
    </row>
    <row r="426" spans="1:2" x14ac:dyDescent="0.25">
      <c r="A426" s="5">
        <v>32223</v>
      </c>
      <c r="B426">
        <v>231.7</v>
      </c>
    </row>
    <row r="427" spans="1:2" x14ac:dyDescent="0.25">
      <c r="A427" s="5">
        <v>32230</v>
      </c>
      <c r="B427">
        <v>232.5</v>
      </c>
    </row>
    <row r="428" spans="1:2" x14ac:dyDescent="0.25">
      <c r="A428" s="5">
        <v>32237</v>
      </c>
      <c r="B428">
        <v>232</v>
      </c>
    </row>
    <row r="429" spans="1:2" x14ac:dyDescent="0.25">
      <c r="A429" s="5">
        <v>32244</v>
      </c>
      <c r="B429">
        <v>234.2</v>
      </c>
    </row>
    <row r="430" spans="1:2" x14ac:dyDescent="0.25">
      <c r="A430" s="5">
        <v>32251</v>
      </c>
      <c r="B430">
        <v>232.7</v>
      </c>
    </row>
    <row r="431" spans="1:2" x14ac:dyDescent="0.25">
      <c r="A431" s="5">
        <v>32258</v>
      </c>
      <c r="B431">
        <v>233</v>
      </c>
    </row>
    <row r="432" spans="1:2" x14ac:dyDescent="0.25">
      <c r="A432" s="5">
        <v>32265</v>
      </c>
      <c r="B432">
        <v>230</v>
      </c>
    </row>
    <row r="433" spans="1:2" x14ac:dyDescent="0.25">
      <c r="A433" s="5">
        <v>32272</v>
      </c>
      <c r="B433">
        <v>227.9</v>
      </c>
    </row>
    <row r="434" spans="1:2" x14ac:dyDescent="0.25">
      <c r="A434" s="5">
        <v>32279</v>
      </c>
      <c r="B434">
        <v>228.3</v>
      </c>
    </row>
    <row r="435" spans="1:2" x14ac:dyDescent="0.25">
      <c r="A435" s="5">
        <v>32286</v>
      </c>
      <c r="B435">
        <v>230.2</v>
      </c>
    </row>
    <row r="436" spans="1:2" x14ac:dyDescent="0.25">
      <c r="A436" s="5">
        <v>32293</v>
      </c>
      <c r="B436">
        <v>230.1</v>
      </c>
    </row>
    <row r="437" spans="1:2" x14ac:dyDescent="0.25">
      <c r="A437" s="5">
        <v>32300</v>
      </c>
      <c r="B437">
        <v>227.7</v>
      </c>
    </row>
    <row r="438" spans="1:2" x14ac:dyDescent="0.25">
      <c r="A438" s="5">
        <v>32307</v>
      </c>
      <c r="B438">
        <v>227.4</v>
      </c>
    </row>
    <row r="439" spans="1:2" x14ac:dyDescent="0.25">
      <c r="A439" s="5">
        <v>32314</v>
      </c>
      <c r="B439">
        <v>225.6</v>
      </c>
    </row>
    <row r="440" spans="1:2" x14ac:dyDescent="0.25">
      <c r="A440" s="5">
        <v>32321</v>
      </c>
      <c r="B440">
        <v>225.8</v>
      </c>
    </row>
    <row r="441" spans="1:2" x14ac:dyDescent="0.25">
      <c r="A441" s="5">
        <v>32328</v>
      </c>
      <c r="B441">
        <v>223.9</v>
      </c>
    </row>
    <row r="442" spans="1:2" x14ac:dyDescent="0.25">
      <c r="A442" s="5">
        <v>32335</v>
      </c>
      <c r="B442">
        <v>225.1</v>
      </c>
    </row>
    <row r="443" spans="1:2" x14ac:dyDescent="0.25">
      <c r="A443" s="5">
        <v>32342</v>
      </c>
      <c r="B443">
        <v>227.1</v>
      </c>
    </row>
    <row r="444" spans="1:2" x14ac:dyDescent="0.25">
      <c r="A444" s="5">
        <v>32349</v>
      </c>
      <c r="B444">
        <v>227.4</v>
      </c>
    </row>
    <row r="445" spans="1:2" x14ac:dyDescent="0.25">
      <c r="A445" s="5">
        <v>32356</v>
      </c>
      <c r="B445">
        <v>226.9</v>
      </c>
    </row>
    <row r="446" spans="1:2" x14ac:dyDescent="0.25">
      <c r="A446" s="5">
        <v>32363</v>
      </c>
      <c r="B446">
        <v>225.5</v>
      </c>
    </row>
    <row r="447" spans="1:2" x14ac:dyDescent="0.25">
      <c r="A447" s="5">
        <v>32370</v>
      </c>
      <c r="B447">
        <v>226.5</v>
      </c>
    </row>
    <row r="448" spans="1:2" x14ac:dyDescent="0.25">
      <c r="A448" s="5">
        <v>32377</v>
      </c>
      <c r="B448">
        <v>229.3</v>
      </c>
    </row>
    <row r="449" spans="1:2" x14ac:dyDescent="0.25">
      <c r="A449" s="5">
        <v>32384</v>
      </c>
      <c r="B449">
        <v>229</v>
      </c>
    </row>
    <row r="450" spans="1:2" x14ac:dyDescent="0.25">
      <c r="A450" s="5">
        <v>32391</v>
      </c>
      <c r="B450">
        <v>227.6</v>
      </c>
    </row>
    <row r="451" spans="1:2" x14ac:dyDescent="0.25">
      <c r="A451" s="5">
        <v>32398</v>
      </c>
      <c r="B451">
        <v>227.9</v>
      </c>
    </row>
    <row r="452" spans="1:2" x14ac:dyDescent="0.25">
      <c r="A452" s="5">
        <v>32405</v>
      </c>
      <c r="B452">
        <v>227.7</v>
      </c>
    </row>
    <row r="453" spans="1:2" x14ac:dyDescent="0.25">
      <c r="A453" s="5">
        <v>32412</v>
      </c>
      <c r="B453">
        <v>227.7</v>
      </c>
    </row>
    <row r="454" spans="1:2" x14ac:dyDescent="0.25">
      <c r="A454" s="5">
        <v>32419</v>
      </c>
      <c r="B454">
        <v>227.2</v>
      </c>
    </row>
    <row r="455" spans="1:2" x14ac:dyDescent="0.25">
      <c r="A455" s="5">
        <v>32426</v>
      </c>
      <c r="B455">
        <v>226.9</v>
      </c>
    </row>
    <row r="456" spans="1:2" x14ac:dyDescent="0.25">
      <c r="A456" s="5">
        <v>32433</v>
      </c>
      <c r="B456">
        <v>227.9</v>
      </c>
    </row>
    <row r="457" spans="1:2" x14ac:dyDescent="0.25">
      <c r="A457" s="5">
        <v>32440</v>
      </c>
      <c r="B457">
        <v>228.6</v>
      </c>
    </row>
    <row r="458" spans="1:2" x14ac:dyDescent="0.25">
      <c r="A458" s="5">
        <v>32447</v>
      </c>
      <c r="B458">
        <v>229.4</v>
      </c>
    </row>
    <row r="459" spans="1:2" x14ac:dyDescent="0.25">
      <c r="A459" s="5">
        <v>32454</v>
      </c>
      <c r="B459">
        <v>230.9</v>
      </c>
    </row>
    <row r="460" spans="1:2" x14ac:dyDescent="0.25">
      <c r="A460" s="5">
        <v>32461</v>
      </c>
      <c r="B460">
        <v>232.7</v>
      </c>
    </row>
    <row r="461" spans="1:2" x14ac:dyDescent="0.25">
      <c r="A461" s="5">
        <v>32468</v>
      </c>
      <c r="B461">
        <v>236.3</v>
      </c>
    </row>
    <row r="462" spans="1:2" x14ac:dyDescent="0.25">
      <c r="A462" s="5">
        <v>32475</v>
      </c>
      <c r="B462">
        <v>238</v>
      </c>
    </row>
    <row r="463" spans="1:2" x14ac:dyDescent="0.25">
      <c r="A463" s="5">
        <v>32482</v>
      </c>
      <c r="B463">
        <v>236.8</v>
      </c>
    </row>
    <row r="464" spans="1:2" x14ac:dyDescent="0.25">
      <c r="A464" s="5">
        <v>32489</v>
      </c>
      <c r="B464">
        <v>237.6</v>
      </c>
    </row>
    <row r="465" spans="1:2" x14ac:dyDescent="0.25">
      <c r="A465" s="5">
        <v>32496</v>
      </c>
      <c r="B465">
        <v>237.6</v>
      </c>
    </row>
    <row r="466" spans="1:2" x14ac:dyDescent="0.25">
      <c r="A466" s="5">
        <v>32503</v>
      </c>
      <c r="B466">
        <v>236.4</v>
      </c>
    </row>
    <row r="467" spans="1:2" x14ac:dyDescent="0.25">
      <c r="A467" s="5">
        <v>32510</v>
      </c>
      <c r="B467">
        <v>235.7</v>
      </c>
    </row>
    <row r="468" spans="1:2" x14ac:dyDescent="0.25">
      <c r="A468" s="5">
        <v>32517</v>
      </c>
      <c r="B468">
        <v>234.8</v>
      </c>
    </row>
    <row r="469" spans="1:2" x14ac:dyDescent="0.25">
      <c r="A469" s="5">
        <v>32524</v>
      </c>
      <c r="B469">
        <v>240.6</v>
      </c>
    </row>
    <row r="470" spans="1:2" x14ac:dyDescent="0.25">
      <c r="A470" s="5">
        <v>32531</v>
      </c>
      <c r="B470">
        <v>242.1</v>
      </c>
    </row>
    <row r="471" spans="1:2" x14ac:dyDescent="0.25">
      <c r="A471" s="5">
        <v>32538</v>
      </c>
      <c r="B471">
        <v>241</v>
      </c>
    </row>
    <row r="472" spans="1:2" x14ac:dyDescent="0.25">
      <c r="A472" s="5">
        <v>32545</v>
      </c>
      <c r="B472">
        <v>241</v>
      </c>
    </row>
    <row r="473" spans="1:2" x14ac:dyDescent="0.25">
      <c r="A473" s="5">
        <v>32552</v>
      </c>
      <c r="B473">
        <v>244</v>
      </c>
    </row>
    <row r="474" spans="1:2" x14ac:dyDescent="0.25">
      <c r="A474" s="5">
        <v>32559</v>
      </c>
      <c r="B474">
        <v>246.2</v>
      </c>
    </row>
    <row r="475" spans="1:2" x14ac:dyDescent="0.25">
      <c r="A475" s="5">
        <v>32566</v>
      </c>
      <c r="B475">
        <v>248.6</v>
      </c>
    </row>
    <row r="476" spans="1:2" x14ac:dyDescent="0.25">
      <c r="A476" s="5">
        <v>32573</v>
      </c>
      <c r="B476">
        <v>251.5</v>
      </c>
    </row>
    <row r="477" spans="1:2" x14ac:dyDescent="0.25">
      <c r="A477" s="5">
        <v>32580</v>
      </c>
      <c r="B477">
        <v>252.9</v>
      </c>
    </row>
    <row r="478" spans="1:2" x14ac:dyDescent="0.25">
      <c r="A478" s="5">
        <v>32587</v>
      </c>
      <c r="B478">
        <v>254</v>
      </c>
    </row>
    <row r="479" spans="1:2" x14ac:dyDescent="0.25">
      <c r="A479" s="5">
        <v>32594</v>
      </c>
      <c r="B479">
        <v>256.2</v>
      </c>
    </row>
    <row r="480" spans="1:2" x14ac:dyDescent="0.25">
      <c r="A480" s="5">
        <v>32601</v>
      </c>
      <c r="B480">
        <v>257.10000000000002</v>
      </c>
    </row>
    <row r="481" spans="1:2" x14ac:dyDescent="0.25">
      <c r="A481" s="5">
        <v>32608</v>
      </c>
      <c r="B481">
        <v>258.5</v>
      </c>
    </row>
    <row r="482" spans="1:2" x14ac:dyDescent="0.25">
      <c r="A482" s="5">
        <v>32615</v>
      </c>
      <c r="B482">
        <v>260.10000000000002</v>
      </c>
    </row>
    <row r="483" spans="1:2" x14ac:dyDescent="0.25">
      <c r="A483" s="5">
        <v>32622</v>
      </c>
      <c r="B483">
        <v>259.8</v>
      </c>
    </row>
    <row r="484" spans="1:2" x14ac:dyDescent="0.25">
      <c r="A484" s="5">
        <v>32629</v>
      </c>
      <c r="B484">
        <v>257.3</v>
      </c>
    </row>
    <row r="485" spans="1:2" x14ac:dyDescent="0.25">
      <c r="A485" s="5">
        <v>32636</v>
      </c>
      <c r="B485">
        <v>256.5</v>
      </c>
    </row>
    <row r="486" spans="1:2" x14ac:dyDescent="0.25">
      <c r="A486" s="5">
        <v>32643</v>
      </c>
      <c r="B486">
        <v>257.7</v>
      </c>
    </row>
    <row r="487" spans="1:2" x14ac:dyDescent="0.25">
      <c r="A487" s="5">
        <v>32650</v>
      </c>
      <c r="B487">
        <v>260.8</v>
      </c>
    </row>
    <row r="488" spans="1:2" x14ac:dyDescent="0.25">
      <c r="A488" s="5">
        <v>32657</v>
      </c>
      <c r="B488">
        <v>261</v>
      </c>
    </row>
    <row r="489" spans="1:2" x14ac:dyDescent="0.25">
      <c r="A489" s="5">
        <v>32664</v>
      </c>
      <c r="B489">
        <v>261.89999999999998</v>
      </c>
    </row>
    <row r="490" spans="1:2" x14ac:dyDescent="0.25">
      <c r="A490" s="5">
        <v>32671</v>
      </c>
      <c r="B490">
        <v>264.5</v>
      </c>
    </row>
    <row r="491" spans="1:2" x14ac:dyDescent="0.25">
      <c r="A491" s="5">
        <v>32678</v>
      </c>
      <c r="B491">
        <v>266</v>
      </c>
    </row>
    <row r="492" spans="1:2" x14ac:dyDescent="0.25">
      <c r="A492" s="5">
        <v>32685</v>
      </c>
      <c r="B492">
        <v>267.89999999999998</v>
      </c>
    </row>
    <row r="493" spans="1:2" x14ac:dyDescent="0.25">
      <c r="A493" s="5">
        <v>32692</v>
      </c>
      <c r="B493">
        <v>268</v>
      </c>
    </row>
    <row r="494" spans="1:2" x14ac:dyDescent="0.25">
      <c r="A494" s="5">
        <v>32699</v>
      </c>
      <c r="B494">
        <v>271.5</v>
      </c>
    </row>
    <row r="495" spans="1:2" x14ac:dyDescent="0.25">
      <c r="A495" s="5">
        <v>32706</v>
      </c>
      <c r="B495">
        <v>274.8</v>
      </c>
    </row>
    <row r="496" spans="1:2" x14ac:dyDescent="0.25">
      <c r="A496" s="5">
        <v>32713</v>
      </c>
      <c r="B496">
        <v>276.8</v>
      </c>
    </row>
    <row r="497" spans="1:2" x14ac:dyDescent="0.25">
      <c r="A497" s="5">
        <v>32720</v>
      </c>
      <c r="B497">
        <v>278.5</v>
      </c>
    </row>
    <row r="498" spans="1:2" x14ac:dyDescent="0.25">
      <c r="A498" s="5">
        <v>32727</v>
      </c>
      <c r="B498">
        <v>280.39999999999998</v>
      </c>
    </row>
    <row r="499" spans="1:2" x14ac:dyDescent="0.25">
      <c r="A499" s="5">
        <v>32734</v>
      </c>
      <c r="B499">
        <v>283.2</v>
      </c>
    </row>
    <row r="500" spans="1:2" x14ac:dyDescent="0.25">
      <c r="A500" s="5">
        <v>32741</v>
      </c>
      <c r="B500">
        <v>286.60000000000002</v>
      </c>
    </row>
    <row r="501" spans="1:2" x14ac:dyDescent="0.25">
      <c r="A501" s="5">
        <v>32748</v>
      </c>
      <c r="B501">
        <v>289.5</v>
      </c>
    </row>
    <row r="502" spans="1:2" x14ac:dyDescent="0.25">
      <c r="A502" s="5">
        <v>32755</v>
      </c>
      <c r="B502">
        <v>289.8</v>
      </c>
    </row>
    <row r="503" spans="1:2" x14ac:dyDescent="0.25">
      <c r="A503" s="5">
        <v>32762</v>
      </c>
      <c r="B503">
        <v>292.10000000000002</v>
      </c>
    </row>
    <row r="504" spans="1:2" x14ac:dyDescent="0.25">
      <c r="A504" s="5">
        <v>32769</v>
      </c>
      <c r="B504">
        <v>295.10000000000002</v>
      </c>
    </row>
    <row r="505" spans="1:2" x14ac:dyDescent="0.25">
      <c r="A505" s="5">
        <v>32776</v>
      </c>
      <c r="B505">
        <v>296.2</v>
      </c>
    </row>
    <row r="506" spans="1:2" x14ac:dyDescent="0.25">
      <c r="A506" s="5">
        <v>32783</v>
      </c>
      <c r="B506">
        <v>297</v>
      </c>
    </row>
    <row r="507" spans="1:2" x14ac:dyDescent="0.25">
      <c r="A507" s="5">
        <v>32790</v>
      </c>
      <c r="B507">
        <v>297.8</v>
      </c>
    </row>
    <row r="508" spans="1:2" x14ac:dyDescent="0.25">
      <c r="A508" s="5">
        <v>32797</v>
      </c>
      <c r="B508">
        <v>298.60000000000002</v>
      </c>
    </row>
    <row r="509" spans="1:2" x14ac:dyDescent="0.25">
      <c r="A509" s="5">
        <v>32804</v>
      </c>
      <c r="B509">
        <v>302.39999999999998</v>
      </c>
    </row>
    <row r="510" spans="1:2" x14ac:dyDescent="0.25">
      <c r="A510" s="5">
        <v>32811</v>
      </c>
      <c r="B510">
        <v>304.5</v>
      </c>
    </row>
    <row r="511" spans="1:2" x14ac:dyDescent="0.25">
      <c r="A511" s="5">
        <v>32818</v>
      </c>
      <c r="B511">
        <v>307.2</v>
      </c>
    </row>
    <row r="512" spans="1:2" x14ac:dyDescent="0.25">
      <c r="A512" s="5">
        <v>32825</v>
      </c>
      <c r="B512">
        <v>309.8</v>
      </c>
    </row>
    <row r="513" spans="1:2" x14ac:dyDescent="0.25">
      <c r="A513" s="5">
        <v>32832</v>
      </c>
      <c r="B513">
        <v>309.39999999999998</v>
      </c>
    </row>
    <row r="514" spans="1:2" x14ac:dyDescent="0.25">
      <c r="A514" s="5">
        <v>32839</v>
      </c>
      <c r="B514">
        <v>312.10000000000002</v>
      </c>
    </row>
    <row r="515" spans="1:2" x14ac:dyDescent="0.25">
      <c r="A515" s="5">
        <v>32846</v>
      </c>
      <c r="B515">
        <v>312</v>
      </c>
    </row>
    <row r="516" spans="1:2" x14ac:dyDescent="0.25">
      <c r="A516" s="5">
        <v>32853</v>
      </c>
      <c r="B516">
        <v>313.2</v>
      </c>
    </row>
    <row r="517" spans="1:2" x14ac:dyDescent="0.25">
      <c r="A517" s="5">
        <v>32860</v>
      </c>
      <c r="B517">
        <v>313.5</v>
      </c>
    </row>
    <row r="518" spans="1:2" x14ac:dyDescent="0.25">
      <c r="A518" s="5">
        <v>32867</v>
      </c>
      <c r="B518">
        <v>313.89999999999998</v>
      </c>
    </row>
    <row r="519" spans="1:2" x14ac:dyDescent="0.25">
      <c r="A519" s="5">
        <v>32874</v>
      </c>
      <c r="B519">
        <v>312.8</v>
      </c>
    </row>
    <row r="520" spans="1:2" x14ac:dyDescent="0.25">
      <c r="A520" s="5">
        <v>32881</v>
      </c>
      <c r="B520">
        <v>314.3</v>
      </c>
    </row>
    <row r="521" spans="1:2" x14ac:dyDescent="0.25">
      <c r="A521" s="5">
        <v>32888</v>
      </c>
      <c r="B521">
        <v>318.5</v>
      </c>
    </row>
    <row r="522" spans="1:2" x14ac:dyDescent="0.25">
      <c r="A522" s="5">
        <v>32895</v>
      </c>
      <c r="B522">
        <v>321.8</v>
      </c>
    </row>
    <row r="523" spans="1:2" x14ac:dyDescent="0.25">
      <c r="A523" s="5">
        <v>32902</v>
      </c>
      <c r="B523">
        <v>323.60000000000002</v>
      </c>
    </row>
    <row r="524" spans="1:2" x14ac:dyDescent="0.25">
      <c r="A524" s="5">
        <v>32909</v>
      </c>
      <c r="B524">
        <v>326</v>
      </c>
    </row>
    <row r="525" spans="1:2" x14ac:dyDescent="0.25">
      <c r="A525" s="5">
        <v>32916</v>
      </c>
      <c r="B525">
        <v>329</v>
      </c>
    </row>
    <row r="526" spans="1:2" x14ac:dyDescent="0.25">
      <c r="A526" s="5">
        <v>32923</v>
      </c>
      <c r="B526">
        <v>329.1</v>
      </c>
    </row>
    <row r="527" spans="1:2" x14ac:dyDescent="0.25">
      <c r="A527" s="5">
        <v>32930</v>
      </c>
      <c r="B527">
        <v>331.9</v>
      </c>
    </row>
    <row r="528" spans="1:2" x14ac:dyDescent="0.25">
      <c r="A528" s="5">
        <v>32937</v>
      </c>
      <c r="B528">
        <v>330.5</v>
      </c>
    </row>
    <row r="529" spans="1:2" x14ac:dyDescent="0.25">
      <c r="A529" s="5">
        <v>32944</v>
      </c>
      <c r="B529">
        <v>333</v>
      </c>
    </row>
    <row r="530" spans="1:2" x14ac:dyDescent="0.25">
      <c r="A530" s="5">
        <v>32951</v>
      </c>
      <c r="B530">
        <v>333.8</v>
      </c>
    </row>
    <row r="531" spans="1:2" x14ac:dyDescent="0.25">
      <c r="A531" s="5">
        <v>32958</v>
      </c>
      <c r="B531">
        <v>335.1</v>
      </c>
    </row>
    <row r="532" spans="1:2" x14ac:dyDescent="0.25">
      <c r="A532" s="5">
        <v>32965</v>
      </c>
      <c r="B532">
        <v>332.4</v>
      </c>
    </row>
    <row r="533" spans="1:2" x14ac:dyDescent="0.25">
      <c r="A533" s="5">
        <v>32972</v>
      </c>
      <c r="B533">
        <v>333.6</v>
      </c>
    </row>
    <row r="534" spans="1:2" x14ac:dyDescent="0.25">
      <c r="A534" s="5">
        <v>32979</v>
      </c>
      <c r="B534">
        <v>333.5</v>
      </c>
    </row>
    <row r="535" spans="1:2" x14ac:dyDescent="0.25">
      <c r="A535" s="5">
        <v>32986</v>
      </c>
      <c r="B535">
        <v>332.6</v>
      </c>
    </row>
    <row r="536" spans="1:2" x14ac:dyDescent="0.25">
      <c r="A536" s="5">
        <v>32993</v>
      </c>
      <c r="B536">
        <v>330.9</v>
      </c>
    </row>
    <row r="537" spans="1:2" x14ac:dyDescent="0.25">
      <c r="A537" s="5">
        <v>33000</v>
      </c>
      <c r="B537">
        <v>326.39999999999998</v>
      </c>
    </row>
    <row r="538" spans="1:2" x14ac:dyDescent="0.25">
      <c r="A538" s="5">
        <v>33007</v>
      </c>
      <c r="B538">
        <v>325.3</v>
      </c>
    </row>
    <row r="539" spans="1:2" x14ac:dyDescent="0.25">
      <c r="A539" s="5">
        <v>33014</v>
      </c>
      <c r="B539">
        <v>321.2</v>
      </c>
    </row>
    <row r="540" spans="1:2" x14ac:dyDescent="0.25">
      <c r="A540" s="5">
        <v>33021</v>
      </c>
      <c r="B540">
        <v>322.8</v>
      </c>
    </row>
    <row r="541" spans="1:2" x14ac:dyDescent="0.25">
      <c r="A541" s="5">
        <v>33028</v>
      </c>
      <c r="B541">
        <v>323.2</v>
      </c>
    </row>
    <row r="542" spans="1:2" x14ac:dyDescent="0.25">
      <c r="A542" s="5">
        <v>33035</v>
      </c>
      <c r="B542">
        <v>324.10000000000002</v>
      </c>
    </row>
    <row r="543" spans="1:2" x14ac:dyDescent="0.25">
      <c r="A543" s="5">
        <v>33042</v>
      </c>
      <c r="B543">
        <v>327.39999999999998</v>
      </c>
    </row>
    <row r="544" spans="1:2" x14ac:dyDescent="0.25">
      <c r="A544" s="5">
        <v>33049</v>
      </c>
      <c r="B544">
        <v>326.2</v>
      </c>
    </row>
    <row r="545" spans="1:2" x14ac:dyDescent="0.25">
      <c r="A545" s="5">
        <v>33056</v>
      </c>
      <c r="B545">
        <v>325.39999999999998</v>
      </c>
    </row>
    <row r="546" spans="1:2" x14ac:dyDescent="0.25">
      <c r="A546" s="5">
        <v>33063</v>
      </c>
      <c r="B546">
        <v>324</v>
      </c>
    </row>
    <row r="547" spans="1:2" x14ac:dyDescent="0.25">
      <c r="A547" s="5">
        <v>33070</v>
      </c>
      <c r="B547">
        <v>328.6</v>
      </c>
    </row>
    <row r="548" spans="1:2" x14ac:dyDescent="0.25">
      <c r="A548" s="5">
        <v>33077</v>
      </c>
      <c r="B548">
        <v>328</v>
      </c>
    </row>
    <row r="549" spans="1:2" x14ac:dyDescent="0.25">
      <c r="A549" s="5">
        <v>33084</v>
      </c>
      <c r="B549">
        <v>330</v>
      </c>
    </row>
    <row r="550" spans="1:2" x14ac:dyDescent="0.25">
      <c r="A550" s="5">
        <v>33091</v>
      </c>
      <c r="B550">
        <v>330.5</v>
      </c>
    </row>
    <row r="551" spans="1:2" x14ac:dyDescent="0.25">
      <c r="A551" s="5">
        <v>33098</v>
      </c>
      <c r="B551">
        <v>335.6</v>
      </c>
    </row>
    <row r="552" spans="1:2" x14ac:dyDescent="0.25">
      <c r="A552" s="5">
        <v>33105</v>
      </c>
      <c r="B552">
        <v>337.3</v>
      </c>
    </row>
    <row r="553" spans="1:2" x14ac:dyDescent="0.25">
      <c r="A553" s="5">
        <v>33112</v>
      </c>
      <c r="B553">
        <v>342.2</v>
      </c>
    </row>
    <row r="554" spans="1:2" x14ac:dyDescent="0.25">
      <c r="A554" s="5">
        <v>33119</v>
      </c>
      <c r="B554">
        <v>341.8</v>
      </c>
    </row>
    <row r="555" spans="1:2" x14ac:dyDescent="0.25">
      <c r="A555" s="5">
        <v>33126</v>
      </c>
      <c r="B555">
        <v>341.9</v>
      </c>
    </row>
    <row r="556" spans="1:2" x14ac:dyDescent="0.25">
      <c r="A556" s="5">
        <v>33133</v>
      </c>
      <c r="B556">
        <v>342.9</v>
      </c>
    </row>
    <row r="557" spans="1:2" x14ac:dyDescent="0.25">
      <c r="A557" s="5">
        <v>33140</v>
      </c>
      <c r="B557">
        <v>343.7</v>
      </c>
    </row>
    <row r="558" spans="1:2" x14ac:dyDescent="0.25">
      <c r="A558" s="5">
        <v>33147</v>
      </c>
      <c r="B558">
        <v>343.2</v>
      </c>
    </row>
    <row r="559" spans="1:2" x14ac:dyDescent="0.25">
      <c r="A559" s="5">
        <v>33154</v>
      </c>
      <c r="B559">
        <v>344.1</v>
      </c>
    </row>
    <row r="560" spans="1:2" x14ac:dyDescent="0.25">
      <c r="A560" s="5">
        <v>33161</v>
      </c>
      <c r="B560">
        <v>345.2</v>
      </c>
    </row>
    <row r="561" spans="1:2" x14ac:dyDescent="0.25">
      <c r="A561" s="5">
        <v>33168</v>
      </c>
      <c r="B561">
        <v>345.7</v>
      </c>
    </row>
    <row r="562" spans="1:2" x14ac:dyDescent="0.25">
      <c r="A562" s="5">
        <v>33175</v>
      </c>
      <c r="B562">
        <v>345.9</v>
      </c>
    </row>
    <row r="563" spans="1:2" x14ac:dyDescent="0.25">
      <c r="A563" s="5">
        <v>33182</v>
      </c>
      <c r="B563">
        <v>343.8</v>
      </c>
    </row>
    <row r="564" spans="1:2" x14ac:dyDescent="0.25">
      <c r="A564" s="5">
        <v>33189</v>
      </c>
      <c r="B564">
        <v>345.8</v>
      </c>
    </row>
    <row r="565" spans="1:2" x14ac:dyDescent="0.25">
      <c r="A565" s="5">
        <v>33196</v>
      </c>
      <c r="B565">
        <v>345.4</v>
      </c>
    </row>
    <row r="566" spans="1:2" x14ac:dyDescent="0.25">
      <c r="A566" s="5">
        <v>33203</v>
      </c>
      <c r="B566">
        <v>348.6</v>
      </c>
    </row>
    <row r="567" spans="1:2" x14ac:dyDescent="0.25">
      <c r="A567" s="5">
        <v>33210</v>
      </c>
      <c r="B567">
        <v>348.5</v>
      </c>
    </row>
    <row r="568" spans="1:2" x14ac:dyDescent="0.25">
      <c r="A568" s="5">
        <v>33217</v>
      </c>
      <c r="B568">
        <v>349.7</v>
      </c>
    </row>
    <row r="569" spans="1:2" x14ac:dyDescent="0.25">
      <c r="A569" s="5">
        <v>33224</v>
      </c>
      <c r="B569">
        <v>349.9</v>
      </c>
    </row>
    <row r="570" spans="1:2" x14ac:dyDescent="0.25">
      <c r="A570" s="5">
        <v>33231</v>
      </c>
      <c r="B570">
        <v>349.9</v>
      </c>
    </row>
    <row r="571" spans="1:2" x14ac:dyDescent="0.25">
      <c r="A571" s="5">
        <v>33238</v>
      </c>
      <c r="B571">
        <v>349</v>
      </c>
    </row>
    <row r="572" spans="1:2" x14ac:dyDescent="0.25">
      <c r="A572" s="5">
        <v>33245</v>
      </c>
      <c r="B572">
        <v>345.9</v>
      </c>
    </row>
    <row r="573" spans="1:2" x14ac:dyDescent="0.25">
      <c r="A573" s="5">
        <v>33252</v>
      </c>
      <c r="B573">
        <v>357.9</v>
      </c>
    </row>
    <row r="574" spans="1:2" x14ac:dyDescent="0.25">
      <c r="A574" s="5">
        <v>33259</v>
      </c>
      <c r="B574">
        <v>363.3</v>
      </c>
    </row>
    <row r="575" spans="1:2" x14ac:dyDescent="0.25">
      <c r="A575" s="5">
        <v>33266</v>
      </c>
      <c r="B575">
        <v>364.8</v>
      </c>
    </row>
    <row r="576" spans="1:2" x14ac:dyDescent="0.25">
      <c r="A576" s="5">
        <v>33273</v>
      </c>
      <c r="B576">
        <v>364.8</v>
      </c>
    </row>
    <row r="577" spans="1:2" x14ac:dyDescent="0.25">
      <c r="A577" s="5">
        <v>33280</v>
      </c>
      <c r="B577">
        <v>367.3</v>
      </c>
    </row>
    <row r="578" spans="1:2" x14ac:dyDescent="0.25">
      <c r="A578" s="5">
        <v>33287</v>
      </c>
      <c r="B578">
        <v>366.6</v>
      </c>
    </row>
    <row r="579" spans="1:2" x14ac:dyDescent="0.25">
      <c r="A579" s="5">
        <v>33294</v>
      </c>
      <c r="B579">
        <v>372</v>
      </c>
    </row>
    <row r="580" spans="1:2" x14ac:dyDescent="0.25">
      <c r="A580" s="5">
        <v>33301</v>
      </c>
      <c r="B580">
        <v>373.9</v>
      </c>
    </row>
    <row r="581" spans="1:2" x14ac:dyDescent="0.25">
      <c r="A581" s="5">
        <v>33308</v>
      </c>
      <c r="B581">
        <v>376</v>
      </c>
    </row>
    <row r="582" spans="1:2" x14ac:dyDescent="0.25">
      <c r="A582" s="5">
        <v>33315</v>
      </c>
      <c r="B582">
        <v>377.7</v>
      </c>
    </row>
    <row r="583" spans="1:2" x14ac:dyDescent="0.25">
      <c r="A583" s="5">
        <v>33322</v>
      </c>
      <c r="B583">
        <v>380</v>
      </c>
    </row>
    <row r="584" spans="1:2" x14ac:dyDescent="0.25">
      <c r="A584" s="5">
        <v>33329</v>
      </c>
      <c r="B584">
        <v>377.4</v>
      </c>
    </row>
    <row r="585" spans="1:2" x14ac:dyDescent="0.25">
      <c r="A585" s="5">
        <v>33336</v>
      </c>
      <c r="B585">
        <v>378.6</v>
      </c>
    </row>
    <row r="586" spans="1:2" x14ac:dyDescent="0.25">
      <c r="A586" s="5">
        <v>33343</v>
      </c>
      <c r="B586">
        <v>379.4</v>
      </c>
    </row>
    <row r="587" spans="1:2" x14ac:dyDescent="0.25">
      <c r="A587" s="5">
        <v>33350</v>
      </c>
      <c r="B587">
        <v>377.4</v>
      </c>
    </row>
    <row r="588" spans="1:2" x14ac:dyDescent="0.25">
      <c r="A588" s="5">
        <v>33357</v>
      </c>
      <c r="B588">
        <v>372.9</v>
      </c>
    </row>
    <row r="589" spans="1:2" x14ac:dyDescent="0.25">
      <c r="A589" s="5">
        <v>33364</v>
      </c>
      <c r="B589">
        <v>369.4</v>
      </c>
    </row>
    <row r="590" spans="1:2" x14ac:dyDescent="0.25">
      <c r="A590" s="5">
        <v>33371</v>
      </c>
      <c r="B590">
        <v>370.4</v>
      </c>
    </row>
    <row r="591" spans="1:2" x14ac:dyDescent="0.25">
      <c r="A591" s="5">
        <v>33378</v>
      </c>
      <c r="B591">
        <v>369.6</v>
      </c>
    </row>
    <row r="592" spans="1:2" x14ac:dyDescent="0.25">
      <c r="A592" s="5">
        <v>33385</v>
      </c>
      <c r="B592">
        <v>371.7</v>
      </c>
    </row>
    <row r="593" spans="1:2" x14ac:dyDescent="0.25">
      <c r="A593" s="5">
        <v>33392</v>
      </c>
      <c r="B593">
        <v>370.4</v>
      </c>
    </row>
    <row r="594" spans="1:2" x14ac:dyDescent="0.25">
      <c r="A594" s="5">
        <v>33399</v>
      </c>
      <c r="B594">
        <v>370</v>
      </c>
    </row>
    <row r="595" spans="1:2" x14ac:dyDescent="0.25">
      <c r="A595" s="5">
        <v>33406</v>
      </c>
      <c r="B595">
        <v>370.7</v>
      </c>
    </row>
    <row r="596" spans="1:2" x14ac:dyDescent="0.25">
      <c r="A596" s="5">
        <v>33413</v>
      </c>
      <c r="B596">
        <v>369.8</v>
      </c>
    </row>
    <row r="597" spans="1:2" x14ac:dyDescent="0.25">
      <c r="A597" s="5">
        <v>33420</v>
      </c>
      <c r="B597">
        <v>367</v>
      </c>
    </row>
    <row r="598" spans="1:2" x14ac:dyDescent="0.25">
      <c r="A598" s="5">
        <v>33427</v>
      </c>
      <c r="B598">
        <v>365.7</v>
      </c>
    </row>
    <row r="599" spans="1:2" x14ac:dyDescent="0.25">
      <c r="A599" s="5">
        <v>33434</v>
      </c>
      <c r="B599">
        <v>369.7</v>
      </c>
    </row>
    <row r="600" spans="1:2" x14ac:dyDescent="0.25">
      <c r="A600" s="5">
        <v>33441</v>
      </c>
      <c r="B600">
        <v>369.3</v>
      </c>
    </row>
    <row r="601" spans="1:2" x14ac:dyDescent="0.25">
      <c r="A601" s="5">
        <v>33448</v>
      </c>
      <c r="B601">
        <v>367</v>
      </c>
    </row>
    <row r="602" spans="1:2" x14ac:dyDescent="0.25">
      <c r="A602" s="5">
        <v>33455</v>
      </c>
      <c r="B602">
        <v>363.8</v>
      </c>
    </row>
    <row r="603" spans="1:2" x14ac:dyDescent="0.25">
      <c r="A603" s="5">
        <v>33462</v>
      </c>
      <c r="B603">
        <v>366.3</v>
      </c>
    </row>
    <row r="604" spans="1:2" x14ac:dyDescent="0.25">
      <c r="A604" s="5">
        <v>33469</v>
      </c>
      <c r="B604">
        <v>365.3</v>
      </c>
    </row>
    <row r="605" spans="1:2" x14ac:dyDescent="0.25">
      <c r="A605" s="5">
        <v>33476</v>
      </c>
      <c r="B605">
        <v>368.5</v>
      </c>
    </row>
    <row r="606" spans="1:2" x14ac:dyDescent="0.25">
      <c r="A606" s="5">
        <v>33483</v>
      </c>
      <c r="B606">
        <v>365.8</v>
      </c>
    </row>
    <row r="607" spans="1:2" x14ac:dyDescent="0.25">
      <c r="A607" s="5">
        <v>33490</v>
      </c>
      <c r="B607">
        <v>364.3</v>
      </c>
    </row>
    <row r="608" spans="1:2" x14ac:dyDescent="0.25">
      <c r="A608" s="5">
        <v>33497</v>
      </c>
      <c r="B608">
        <v>366.3</v>
      </c>
    </row>
    <row r="609" spans="1:2" x14ac:dyDescent="0.25">
      <c r="A609" s="5">
        <v>33504</v>
      </c>
      <c r="B609">
        <v>365.9</v>
      </c>
    </row>
    <row r="610" spans="1:2" x14ac:dyDescent="0.25">
      <c r="A610" s="5">
        <v>33511</v>
      </c>
      <c r="B610">
        <v>362.8</v>
      </c>
    </row>
    <row r="611" spans="1:2" x14ac:dyDescent="0.25">
      <c r="A611" s="5">
        <v>33518</v>
      </c>
      <c r="B611">
        <v>361.7</v>
      </c>
    </row>
    <row r="612" spans="1:2" x14ac:dyDescent="0.25">
      <c r="A612" s="5">
        <v>33525</v>
      </c>
      <c r="B612">
        <v>364.9</v>
      </c>
    </row>
    <row r="613" spans="1:2" x14ac:dyDescent="0.25">
      <c r="A613" s="5">
        <v>33532</v>
      </c>
      <c r="B613">
        <v>365.2</v>
      </c>
    </row>
    <row r="614" spans="1:2" x14ac:dyDescent="0.25">
      <c r="A614" s="5">
        <v>33539</v>
      </c>
      <c r="B614">
        <v>364.7</v>
      </c>
    </row>
    <row r="615" spans="1:2" x14ac:dyDescent="0.25">
      <c r="A615" s="5">
        <v>33546</v>
      </c>
      <c r="B615">
        <v>362.2</v>
      </c>
    </row>
    <row r="616" spans="1:2" x14ac:dyDescent="0.25">
      <c r="A616" s="5">
        <v>33553</v>
      </c>
      <c r="B616">
        <v>365.1</v>
      </c>
    </row>
    <row r="617" spans="1:2" x14ac:dyDescent="0.25">
      <c r="A617" s="5">
        <v>33560</v>
      </c>
      <c r="B617">
        <v>364.3</v>
      </c>
    </row>
    <row r="618" spans="1:2" x14ac:dyDescent="0.25">
      <c r="A618" s="5">
        <v>33567</v>
      </c>
      <c r="B618">
        <v>368</v>
      </c>
    </row>
    <row r="619" spans="1:2" x14ac:dyDescent="0.25">
      <c r="A619" s="5">
        <v>33574</v>
      </c>
      <c r="B619">
        <v>365.6</v>
      </c>
    </row>
    <row r="620" spans="1:2" x14ac:dyDescent="0.25">
      <c r="A620" s="5">
        <v>33581</v>
      </c>
      <c r="B620">
        <v>367.3</v>
      </c>
    </row>
    <row r="621" spans="1:2" x14ac:dyDescent="0.25">
      <c r="A621" s="5">
        <v>33588</v>
      </c>
      <c r="B621">
        <v>371</v>
      </c>
    </row>
    <row r="622" spans="1:2" x14ac:dyDescent="0.25">
      <c r="A622" s="5">
        <v>33595</v>
      </c>
      <c r="B622">
        <v>363.6</v>
      </c>
    </row>
    <row r="623" spans="1:2" x14ac:dyDescent="0.25">
      <c r="A623" s="5">
        <v>33602</v>
      </c>
      <c r="B623">
        <v>358.4</v>
      </c>
    </row>
    <row r="624" spans="1:2" x14ac:dyDescent="0.25">
      <c r="A624" s="5">
        <v>33609</v>
      </c>
      <c r="B624">
        <v>349.8</v>
      </c>
    </row>
    <row r="625" spans="1:2" x14ac:dyDescent="0.25">
      <c r="A625" s="5">
        <v>33616</v>
      </c>
      <c r="B625">
        <v>360.8</v>
      </c>
    </row>
    <row r="626" spans="1:2" x14ac:dyDescent="0.25">
      <c r="A626" s="5">
        <v>33623</v>
      </c>
      <c r="B626">
        <v>366</v>
      </c>
    </row>
    <row r="627" spans="1:2" x14ac:dyDescent="0.25">
      <c r="A627" s="5">
        <v>33630</v>
      </c>
      <c r="B627">
        <v>369.9</v>
      </c>
    </row>
    <row r="628" spans="1:2" x14ac:dyDescent="0.25">
      <c r="A628" s="5">
        <v>33637</v>
      </c>
      <c r="B628">
        <v>369.9</v>
      </c>
    </row>
    <row r="629" spans="1:2" x14ac:dyDescent="0.25">
      <c r="A629" s="5">
        <v>33644</v>
      </c>
      <c r="B629">
        <v>371.9</v>
      </c>
    </row>
    <row r="630" spans="1:2" x14ac:dyDescent="0.25">
      <c r="A630" s="5">
        <v>33651</v>
      </c>
      <c r="B630">
        <v>372</v>
      </c>
    </row>
    <row r="631" spans="1:2" x14ac:dyDescent="0.25">
      <c r="A631" s="5">
        <v>33658</v>
      </c>
      <c r="B631">
        <v>373.7</v>
      </c>
    </row>
    <row r="632" spans="1:2" x14ac:dyDescent="0.25">
      <c r="A632" s="5">
        <v>33665</v>
      </c>
      <c r="B632">
        <v>374.6</v>
      </c>
    </row>
    <row r="633" spans="1:2" x14ac:dyDescent="0.25">
      <c r="A633" s="5">
        <v>33672</v>
      </c>
      <c r="B633">
        <v>371.9</v>
      </c>
    </row>
    <row r="634" spans="1:2" x14ac:dyDescent="0.25">
      <c r="A634" s="5">
        <v>33679</v>
      </c>
      <c r="B634">
        <v>370.8</v>
      </c>
    </row>
    <row r="635" spans="1:2" x14ac:dyDescent="0.25">
      <c r="A635" s="5">
        <v>33686</v>
      </c>
      <c r="B635">
        <v>370.8</v>
      </c>
    </row>
    <row r="636" spans="1:2" x14ac:dyDescent="0.25">
      <c r="A636" s="5">
        <v>33693</v>
      </c>
      <c r="B636">
        <v>367.9</v>
      </c>
    </row>
    <row r="637" spans="1:2" x14ac:dyDescent="0.25">
      <c r="A637" s="5">
        <v>33700</v>
      </c>
      <c r="B637">
        <v>364.7</v>
      </c>
    </row>
    <row r="638" spans="1:2" x14ac:dyDescent="0.25">
      <c r="A638" s="5">
        <v>33707</v>
      </c>
      <c r="B638">
        <v>368.1</v>
      </c>
    </row>
    <row r="639" spans="1:2" x14ac:dyDescent="0.25">
      <c r="A639" s="5">
        <v>33714</v>
      </c>
      <c r="B639">
        <v>364.4</v>
      </c>
    </row>
    <row r="640" spans="1:2" x14ac:dyDescent="0.25">
      <c r="A640" s="5">
        <v>33721</v>
      </c>
      <c r="B640">
        <v>362.5</v>
      </c>
    </row>
    <row r="641" spans="1:2" x14ac:dyDescent="0.25">
      <c r="A641" s="5">
        <v>33728</v>
      </c>
      <c r="B641">
        <v>359.6</v>
      </c>
    </row>
    <row r="642" spans="1:2" x14ac:dyDescent="0.25">
      <c r="A642" s="5">
        <v>33735</v>
      </c>
      <c r="B642">
        <v>357.1</v>
      </c>
    </row>
    <row r="643" spans="1:2" x14ac:dyDescent="0.25">
      <c r="A643" s="5">
        <v>33742</v>
      </c>
      <c r="B643">
        <v>355.2</v>
      </c>
    </row>
    <row r="644" spans="1:2" x14ac:dyDescent="0.25">
      <c r="A644" s="5">
        <v>33749</v>
      </c>
      <c r="B644">
        <v>355.8</v>
      </c>
    </row>
    <row r="645" spans="1:2" x14ac:dyDescent="0.25">
      <c r="A645" s="5">
        <v>33756</v>
      </c>
      <c r="B645">
        <v>355.3</v>
      </c>
    </row>
    <row r="646" spans="1:2" x14ac:dyDescent="0.25">
      <c r="A646" s="5">
        <v>33763</v>
      </c>
      <c r="B646">
        <v>354</v>
      </c>
    </row>
    <row r="647" spans="1:2" x14ac:dyDescent="0.25">
      <c r="A647" s="5">
        <v>33770</v>
      </c>
      <c r="B647">
        <v>353.9</v>
      </c>
    </row>
    <row r="648" spans="1:2" x14ac:dyDescent="0.25">
      <c r="A648" s="5">
        <v>33777</v>
      </c>
      <c r="B648">
        <v>352.3</v>
      </c>
    </row>
    <row r="649" spans="1:2" x14ac:dyDescent="0.25">
      <c r="A649" s="5">
        <v>33784</v>
      </c>
      <c r="B649">
        <v>350</v>
      </c>
    </row>
    <row r="650" spans="1:2" x14ac:dyDescent="0.25">
      <c r="A650" s="5">
        <v>33791</v>
      </c>
      <c r="B650">
        <v>344.1</v>
      </c>
    </row>
    <row r="651" spans="1:2" x14ac:dyDescent="0.25">
      <c r="A651" s="5">
        <v>33798</v>
      </c>
      <c r="B651">
        <v>351.2</v>
      </c>
    </row>
    <row r="652" spans="1:2" x14ac:dyDescent="0.25">
      <c r="A652" s="5">
        <v>33805</v>
      </c>
      <c r="B652">
        <v>348.9</v>
      </c>
    </row>
    <row r="653" spans="1:2" x14ac:dyDescent="0.25">
      <c r="A653" s="5">
        <v>33812</v>
      </c>
      <c r="B653">
        <v>349.6</v>
      </c>
    </row>
    <row r="654" spans="1:2" x14ac:dyDescent="0.25">
      <c r="A654" s="5">
        <v>33819</v>
      </c>
      <c r="B654">
        <v>348.7</v>
      </c>
    </row>
    <row r="655" spans="1:2" x14ac:dyDescent="0.25">
      <c r="A655" s="5">
        <v>33826</v>
      </c>
      <c r="B655">
        <v>348</v>
      </c>
    </row>
    <row r="656" spans="1:2" x14ac:dyDescent="0.25">
      <c r="A656" s="5">
        <v>33833</v>
      </c>
      <c r="B656">
        <v>349.3</v>
      </c>
    </row>
    <row r="657" spans="1:2" x14ac:dyDescent="0.25">
      <c r="A657" s="5">
        <v>33840</v>
      </c>
      <c r="B657">
        <v>351.3</v>
      </c>
    </row>
    <row r="658" spans="1:2" x14ac:dyDescent="0.25">
      <c r="A658" s="5">
        <v>33847</v>
      </c>
      <c r="B658">
        <v>351.5</v>
      </c>
    </row>
    <row r="659" spans="1:2" x14ac:dyDescent="0.25">
      <c r="A659" s="5">
        <v>33854</v>
      </c>
      <c r="B659">
        <v>346.7</v>
      </c>
    </row>
    <row r="660" spans="1:2" x14ac:dyDescent="0.25">
      <c r="A660" s="5">
        <v>33861</v>
      </c>
      <c r="B660">
        <v>347.3</v>
      </c>
    </row>
    <row r="661" spans="1:2" x14ac:dyDescent="0.25">
      <c r="A661" s="5">
        <v>33868</v>
      </c>
      <c r="B661">
        <v>344</v>
      </c>
    </row>
    <row r="662" spans="1:2" x14ac:dyDescent="0.25">
      <c r="A662" s="5">
        <v>33875</v>
      </c>
      <c r="B662">
        <v>343.2</v>
      </c>
    </row>
    <row r="663" spans="1:2" x14ac:dyDescent="0.25">
      <c r="A663" s="5">
        <v>33882</v>
      </c>
      <c r="B663">
        <v>340.2</v>
      </c>
    </row>
    <row r="664" spans="1:2" x14ac:dyDescent="0.25">
      <c r="A664" s="5">
        <v>33889</v>
      </c>
      <c r="B664">
        <v>348.5</v>
      </c>
    </row>
    <row r="665" spans="1:2" x14ac:dyDescent="0.25">
      <c r="A665" s="5">
        <v>33896</v>
      </c>
      <c r="B665">
        <v>350</v>
      </c>
    </row>
    <row r="666" spans="1:2" x14ac:dyDescent="0.25">
      <c r="A666" s="5">
        <v>33903</v>
      </c>
      <c r="B666">
        <v>349.8</v>
      </c>
    </row>
    <row r="667" spans="1:2" x14ac:dyDescent="0.25">
      <c r="A667" s="5">
        <v>33910</v>
      </c>
      <c r="B667">
        <v>351</v>
      </c>
    </row>
    <row r="668" spans="1:2" x14ac:dyDescent="0.25">
      <c r="A668" s="5">
        <v>33917</v>
      </c>
      <c r="B668">
        <v>348.5</v>
      </c>
    </row>
    <row r="669" spans="1:2" x14ac:dyDescent="0.25">
      <c r="A669" s="5">
        <v>33924</v>
      </c>
      <c r="B669">
        <v>346.9</v>
      </c>
    </row>
    <row r="670" spans="1:2" x14ac:dyDescent="0.25">
      <c r="A670" s="5">
        <v>33931</v>
      </c>
      <c r="B670">
        <v>347.8</v>
      </c>
    </row>
    <row r="671" spans="1:2" x14ac:dyDescent="0.25">
      <c r="A671" s="5">
        <v>33938</v>
      </c>
      <c r="B671">
        <v>348.9</v>
      </c>
    </row>
    <row r="672" spans="1:2" x14ac:dyDescent="0.25">
      <c r="A672" s="5">
        <v>33945</v>
      </c>
      <c r="B672">
        <v>347.6</v>
      </c>
    </row>
    <row r="673" spans="1:2" x14ac:dyDescent="0.25">
      <c r="A673" s="5">
        <v>33952</v>
      </c>
      <c r="B673">
        <v>346.7</v>
      </c>
    </row>
    <row r="674" spans="1:2" x14ac:dyDescent="0.25">
      <c r="A674" s="5">
        <v>33959</v>
      </c>
      <c r="B674">
        <v>345.2</v>
      </c>
    </row>
    <row r="675" spans="1:2" x14ac:dyDescent="0.25">
      <c r="A675" s="5">
        <v>33966</v>
      </c>
      <c r="B675">
        <v>341.5</v>
      </c>
    </row>
    <row r="676" spans="1:2" x14ac:dyDescent="0.25">
      <c r="A676" s="5">
        <v>33973</v>
      </c>
      <c r="B676">
        <v>338.7</v>
      </c>
    </row>
    <row r="677" spans="1:2" x14ac:dyDescent="0.25">
      <c r="A677" s="5">
        <v>33980</v>
      </c>
      <c r="B677">
        <v>344.1</v>
      </c>
    </row>
    <row r="678" spans="1:2" x14ac:dyDescent="0.25">
      <c r="A678" s="5">
        <v>33987</v>
      </c>
      <c r="B678">
        <v>346.1</v>
      </c>
    </row>
    <row r="679" spans="1:2" x14ac:dyDescent="0.25">
      <c r="A679" s="5">
        <v>33994</v>
      </c>
      <c r="B679">
        <v>346.5</v>
      </c>
    </row>
    <row r="680" spans="1:2" x14ac:dyDescent="0.25">
      <c r="A680" s="5">
        <v>34001</v>
      </c>
      <c r="B680">
        <v>343.5</v>
      </c>
    </row>
    <row r="681" spans="1:2" x14ac:dyDescent="0.25">
      <c r="A681" s="5">
        <v>34008</v>
      </c>
      <c r="B681">
        <v>343.9</v>
      </c>
    </row>
    <row r="682" spans="1:2" x14ac:dyDescent="0.25">
      <c r="A682" s="5">
        <v>34015</v>
      </c>
      <c r="B682">
        <v>344.3</v>
      </c>
    </row>
    <row r="683" spans="1:2" x14ac:dyDescent="0.25">
      <c r="A683" s="5">
        <v>34022</v>
      </c>
      <c r="B683">
        <v>347.3</v>
      </c>
    </row>
    <row r="684" spans="1:2" x14ac:dyDescent="0.25">
      <c r="A684" s="5">
        <v>34029</v>
      </c>
      <c r="B684">
        <v>348.7</v>
      </c>
    </row>
    <row r="685" spans="1:2" x14ac:dyDescent="0.25">
      <c r="A685" s="5">
        <v>34036</v>
      </c>
      <c r="B685">
        <v>350</v>
      </c>
    </row>
    <row r="686" spans="1:2" x14ac:dyDescent="0.25">
      <c r="A686" s="5">
        <v>34043</v>
      </c>
      <c r="B686">
        <v>350</v>
      </c>
    </row>
    <row r="687" spans="1:2" x14ac:dyDescent="0.25">
      <c r="A687" s="5">
        <v>34050</v>
      </c>
      <c r="B687">
        <v>348.7</v>
      </c>
    </row>
    <row r="688" spans="1:2" x14ac:dyDescent="0.25">
      <c r="A688" s="5">
        <v>34057</v>
      </c>
      <c r="B688">
        <v>348.4</v>
      </c>
    </row>
    <row r="689" spans="1:2" x14ac:dyDescent="0.25">
      <c r="A689" s="5">
        <v>34064</v>
      </c>
      <c r="B689">
        <v>343</v>
      </c>
    </row>
    <row r="690" spans="1:2" x14ac:dyDescent="0.25">
      <c r="A690" s="5">
        <v>34071</v>
      </c>
      <c r="B690">
        <v>347.3</v>
      </c>
    </row>
    <row r="691" spans="1:2" x14ac:dyDescent="0.25">
      <c r="A691" s="5">
        <v>34078</v>
      </c>
      <c r="B691">
        <v>345.2</v>
      </c>
    </row>
    <row r="692" spans="1:2" x14ac:dyDescent="0.25">
      <c r="A692" s="5">
        <v>34085</v>
      </c>
      <c r="B692">
        <v>344.2</v>
      </c>
    </row>
    <row r="693" spans="1:2" x14ac:dyDescent="0.25">
      <c r="A693" s="5">
        <v>34092</v>
      </c>
      <c r="B693">
        <v>341.9</v>
      </c>
    </row>
    <row r="694" spans="1:2" x14ac:dyDescent="0.25">
      <c r="A694" s="5">
        <v>34099</v>
      </c>
      <c r="B694">
        <v>340.5</v>
      </c>
    </row>
    <row r="695" spans="1:2" x14ac:dyDescent="0.25">
      <c r="A695" s="5">
        <v>34106</v>
      </c>
      <c r="B695">
        <v>339.5</v>
      </c>
    </row>
    <row r="696" spans="1:2" x14ac:dyDescent="0.25">
      <c r="A696" s="5">
        <v>34113</v>
      </c>
      <c r="B696">
        <v>343.6</v>
      </c>
    </row>
    <row r="697" spans="1:2" x14ac:dyDescent="0.25">
      <c r="A697" s="5">
        <v>34120</v>
      </c>
      <c r="B697">
        <v>343</v>
      </c>
    </row>
    <row r="698" spans="1:2" x14ac:dyDescent="0.25">
      <c r="A698" s="5">
        <v>34127</v>
      </c>
      <c r="B698">
        <v>342.3</v>
      </c>
    </row>
    <row r="699" spans="1:2" x14ac:dyDescent="0.25">
      <c r="A699" s="5">
        <v>34134</v>
      </c>
      <c r="B699">
        <v>343.1</v>
      </c>
    </row>
    <row r="700" spans="1:2" x14ac:dyDescent="0.25">
      <c r="A700" s="5">
        <v>34141</v>
      </c>
      <c r="B700">
        <v>340.5</v>
      </c>
    </row>
    <row r="701" spans="1:2" x14ac:dyDescent="0.25">
      <c r="A701" s="5">
        <v>34148</v>
      </c>
      <c r="B701">
        <v>337</v>
      </c>
    </row>
    <row r="702" spans="1:2" x14ac:dyDescent="0.25">
      <c r="A702" s="5">
        <v>34155</v>
      </c>
      <c r="B702">
        <v>331.5</v>
      </c>
    </row>
    <row r="703" spans="1:2" x14ac:dyDescent="0.25">
      <c r="A703" s="5">
        <v>34162</v>
      </c>
      <c r="B703">
        <v>339.2</v>
      </c>
    </row>
    <row r="704" spans="1:2" x14ac:dyDescent="0.25">
      <c r="A704" s="5">
        <v>34169</v>
      </c>
      <c r="B704">
        <v>339.1</v>
      </c>
    </row>
    <row r="705" spans="1:2" x14ac:dyDescent="0.25">
      <c r="A705" s="5">
        <v>34176</v>
      </c>
      <c r="B705">
        <v>339.2</v>
      </c>
    </row>
    <row r="706" spans="1:2" x14ac:dyDescent="0.25">
      <c r="A706" s="5">
        <v>34183</v>
      </c>
      <c r="B706">
        <v>338.7</v>
      </c>
    </row>
    <row r="707" spans="1:2" x14ac:dyDescent="0.25">
      <c r="A707" s="5">
        <v>34190</v>
      </c>
      <c r="B707">
        <v>337.4</v>
      </c>
    </row>
    <row r="708" spans="1:2" x14ac:dyDescent="0.25">
      <c r="A708" s="5">
        <v>34197</v>
      </c>
      <c r="B708">
        <v>336.5</v>
      </c>
    </row>
    <row r="709" spans="1:2" x14ac:dyDescent="0.25">
      <c r="A709" s="5">
        <v>34204</v>
      </c>
      <c r="B709">
        <v>338.8</v>
      </c>
    </row>
    <row r="710" spans="1:2" x14ac:dyDescent="0.25">
      <c r="A710" s="5">
        <v>34211</v>
      </c>
      <c r="B710">
        <v>336</v>
      </c>
    </row>
    <row r="711" spans="1:2" x14ac:dyDescent="0.25">
      <c r="A711" s="5">
        <v>34218</v>
      </c>
      <c r="B711">
        <v>332.6</v>
      </c>
    </row>
    <row r="712" spans="1:2" x14ac:dyDescent="0.25">
      <c r="A712" s="5">
        <v>34225</v>
      </c>
      <c r="B712">
        <v>336.7</v>
      </c>
    </row>
    <row r="713" spans="1:2" x14ac:dyDescent="0.25">
      <c r="A713" s="5">
        <v>34232</v>
      </c>
      <c r="B713">
        <v>335.6</v>
      </c>
    </row>
    <row r="714" spans="1:2" x14ac:dyDescent="0.25">
      <c r="A714" s="5">
        <v>34239</v>
      </c>
      <c r="B714">
        <v>336.8</v>
      </c>
    </row>
    <row r="715" spans="1:2" x14ac:dyDescent="0.25">
      <c r="A715" s="5">
        <v>34246</v>
      </c>
      <c r="B715">
        <v>334.8</v>
      </c>
    </row>
    <row r="716" spans="1:2" x14ac:dyDescent="0.25">
      <c r="A716" s="5">
        <v>34253</v>
      </c>
      <c r="B716">
        <v>337.5</v>
      </c>
    </row>
    <row r="717" spans="1:2" x14ac:dyDescent="0.25">
      <c r="A717" s="5">
        <v>34260</v>
      </c>
      <c r="B717">
        <v>335.9</v>
      </c>
    </row>
    <row r="718" spans="1:2" x14ac:dyDescent="0.25">
      <c r="A718" s="5">
        <v>34267</v>
      </c>
      <c r="B718">
        <v>336.2</v>
      </c>
    </row>
    <row r="719" spans="1:2" x14ac:dyDescent="0.25">
      <c r="A719" s="5">
        <v>34274</v>
      </c>
      <c r="B719">
        <v>337.2</v>
      </c>
    </row>
    <row r="720" spans="1:2" x14ac:dyDescent="0.25">
      <c r="A720" s="5">
        <v>34281</v>
      </c>
      <c r="B720">
        <v>337.5</v>
      </c>
    </row>
    <row r="721" spans="1:2" x14ac:dyDescent="0.25">
      <c r="A721" s="5">
        <v>34288</v>
      </c>
      <c r="B721">
        <v>339.3</v>
      </c>
    </row>
    <row r="722" spans="1:2" x14ac:dyDescent="0.25">
      <c r="A722" s="5">
        <v>34295</v>
      </c>
      <c r="B722">
        <v>345</v>
      </c>
    </row>
    <row r="723" spans="1:2" x14ac:dyDescent="0.25">
      <c r="A723" s="5">
        <v>34302</v>
      </c>
      <c r="B723">
        <v>344.6</v>
      </c>
    </row>
    <row r="724" spans="1:2" x14ac:dyDescent="0.25">
      <c r="A724" s="5">
        <v>34309</v>
      </c>
      <c r="B724">
        <v>344</v>
      </c>
    </row>
    <row r="725" spans="1:2" x14ac:dyDescent="0.25">
      <c r="A725" s="5">
        <v>34316</v>
      </c>
      <c r="B725">
        <v>348</v>
      </c>
    </row>
    <row r="726" spans="1:2" x14ac:dyDescent="0.25">
      <c r="A726" s="5">
        <v>34323</v>
      </c>
      <c r="B726">
        <v>345.8</v>
      </c>
    </row>
    <row r="727" spans="1:2" x14ac:dyDescent="0.25">
      <c r="A727" s="5">
        <v>34330</v>
      </c>
      <c r="B727">
        <v>342.4</v>
      </c>
    </row>
    <row r="728" spans="1:2" x14ac:dyDescent="0.25">
      <c r="A728" s="5">
        <v>34337</v>
      </c>
      <c r="B728">
        <v>340.3</v>
      </c>
    </row>
    <row r="729" spans="1:2" x14ac:dyDescent="0.25">
      <c r="A729" s="5">
        <v>34344</v>
      </c>
      <c r="B729">
        <v>344.4</v>
      </c>
    </row>
    <row r="730" spans="1:2" x14ac:dyDescent="0.25">
      <c r="A730" s="5">
        <v>34351</v>
      </c>
      <c r="B730">
        <v>346.4</v>
      </c>
    </row>
    <row r="731" spans="1:2" x14ac:dyDescent="0.25">
      <c r="A731" s="5">
        <v>34358</v>
      </c>
      <c r="B731">
        <v>347.4</v>
      </c>
    </row>
    <row r="732" spans="1:2" x14ac:dyDescent="0.25">
      <c r="A732" s="5">
        <v>34365</v>
      </c>
      <c r="B732">
        <v>344.1</v>
      </c>
    </row>
    <row r="733" spans="1:2" x14ac:dyDescent="0.25">
      <c r="A733" s="5">
        <v>34372</v>
      </c>
      <c r="B733">
        <v>344.5</v>
      </c>
    </row>
    <row r="734" spans="1:2" x14ac:dyDescent="0.25">
      <c r="A734" s="5">
        <v>34379</v>
      </c>
      <c r="B734">
        <v>346.6</v>
      </c>
    </row>
    <row r="735" spans="1:2" x14ac:dyDescent="0.25">
      <c r="A735" s="5">
        <v>34386</v>
      </c>
      <c r="B735">
        <v>346.2</v>
      </c>
    </row>
    <row r="736" spans="1:2" x14ac:dyDescent="0.25">
      <c r="A736" s="5">
        <v>34393</v>
      </c>
      <c r="B736">
        <v>348.2</v>
      </c>
    </row>
    <row r="737" spans="1:2" x14ac:dyDescent="0.25">
      <c r="A737" s="5">
        <v>34400</v>
      </c>
      <c r="B737">
        <v>351</v>
      </c>
    </row>
    <row r="738" spans="1:2" x14ac:dyDescent="0.25">
      <c r="A738" s="5">
        <v>34407</v>
      </c>
      <c r="B738">
        <v>354.6</v>
      </c>
    </row>
    <row r="739" spans="1:2" x14ac:dyDescent="0.25">
      <c r="A739" s="5">
        <v>34414</v>
      </c>
      <c r="B739">
        <v>355.9</v>
      </c>
    </row>
    <row r="740" spans="1:2" x14ac:dyDescent="0.25">
      <c r="A740" s="5">
        <v>34421</v>
      </c>
      <c r="B740">
        <v>350.3</v>
      </c>
    </row>
    <row r="741" spans="1:2" x14ac:dyDescent="0.25">
      <c r="A741" s="5">
        <v>34428</v>
      </c>
      <c r="B741">
        <v>349.9</v>
      </c>
    </row>
    <row r="742" spans="1:2" x14ac:dyDescent="0.25">
      <c r="A742" s="5">
        <v>34435</v>
      </c>
      <c r="B742">
        <v>360.2</v>
      </c>
    </row>
    <row r="743" spans="1:2" x14ac:dyDescent="0.25">
      <c r="A743" s="5">
        <v>34442</v>
      </c>
      <c r="B743">
        <v>360.5</v>
      </c>
    </row>
    <row r="744" spans="1:2" x14ac:dyDescent="0.25">
      <c r="A744" s="5">
        <v>34449</v>
      </c>
      <c r="B744">
        <v>362.2</v>
      </c>
    </row>
    <row r="745" spans="1:2" x14ac:dyDescent="0.25">
      <c r="A745" s="5">
        <v>34456</v>
      </c>
      <c r="B745">
        <v>357.5</v>
      </c>
    </row>
    <row r="746" spans="1:2" x14ac:dyDescent="0.25">
      <c r="A746" s="5">
        <v>34463</v>
      </c>
      <c r="B746">
        <v>357.4</v>
      </c>
    </row>
    <row r="747" spans="1:2" x14ac:dyDescent="0.25">
      <c r="A747" s="5">
        <v>34470</v>
      </c>
      <c r="B747">
        <v>357</v>
      </c>
    </row>
    <row r="748" spans="1:2" x14ac:dyDescent="0.25">
      <c r="A748" s="5">
        <v>34477</v>
      </c>
      <c r="B748">
        <v>359.6</v>
      </c>
    </row>
    <row r="749" spans="1:2" x14ac:dyDescent="0.25">
      <c r="A749" s="5">
        <v>34484</v>
      </c>
      <c r="B749">
        <v>356.2</v>
      </c>
    </row>
    <row r="750" spans="1:2" x14ac:dyDescent="0.25">
      <c r="A750" s="5">
        <v>34491</v>
      </c>
      <c r="B750">
        <v>353.4</v>
      </c>
    </row>
    <row r="751" spans="1:2" x14ac:dyDescent="0.25">
      <c r="A751" s="5">
        <v>34498</v>
      </c>
      <c r="B751">
        <v>354.4</v>
      </c>
    </row>
    <row r="752" spans="1:2" x14ac:dyDescent="0.25">
      <c r="A752" s="5">
        <v>34505</v>
      </c>
      <c r="B752">
        <v>350.2</v>
      </c>
    </row>
    <row r="753" spans="1:2" x14ac:dyDescent="0.25">
      <c r="A753" s="5">
        <v>34512</v>
      </c>
      <c r="B753">
        <v>349.5</v>
      </c>
    </row>
    <row r="754" spans="1:2" x14ac:dyDescent="0.25">
      <c r="A754" s="5">
        <v>34519</v>
      </c>
      <c r="B754">
        <v>348.9</v>
      </c>
    </row>
    <row r="755" spans="1:2" x14ac:dyDescent="0.25">
      <c r="A755" s="5">
        <v>34526</v>
      </c>
      <c r="B755">
        <v>355.5</v>
      </c>
    </row>
    <row r="756" spans="1:2" x14ac:dyDescent="0.25">
      <c r="A756" s="5">
        <v>34533</v>
      </c>
      <c r="B756">
        <v>356.2</v>
      </c>
    </row>
    <row r="757" spans="1:2" x14ac:dyDescent="0.25">
      <c r="A757" s="5">
        <v>34540</v>
      </c>
      <c r="B757">
        <v>355.3</v>
      </c>
    </row>
    <row r="758" spans="1:2" x14ac:dyDescent="0.25">
      <c r="A758" s="5">
        <v>34547</v>
      </c>
      <c r="B758">
        <v>355.4</v>
      </c>
    </row>
    <row r="759" spans="1:2" x14ac:dyDescent="0.25">
      <c r="A759" s="5">
        <v>34554</v>
      </c>
      <c r="B759">
        <v>356.2</v>
      </c>
    </row>
    <row r="760" spans="1:2" x14ac:dyDescent="0.25">
      <c r="A760" s="5">
        <v>34561</v>
      </c>
      <c r="B760">
        <v>356.3</v>
      </c>
    </row>
    <row r="761" spans="1:2" x14ac:dyDescent="0.25">
      <c r="A761" s="5">
        <v>34568</v>
      </c>
      <c r="B761">
        <v>357.7</v>
      </c>
    </row>
    <row r="762" spans="1:2" x14ac:dyDescent="0.25">
      <c r="A762" s="5">
        <v>34575</v>
      </c>
      <c r="B762">
        <v>353.7</v>
      </c>
    </row>
    <row r="763" spans="1:2" x14ac:dyDescent="0.25">
      <c r="A763" s="5">
        <v>34582</v>
      </c>
      <c r="B763">
        <v>349.6</v>
      </c>
    </row>
    <row r="764" spans="1:2" x14ac:dyDescent="0.25">
      <c r="A764" s="5">
        <v>34589</v>
      </c>
      <c r="B764">
        <v>353.7</v>
      </c>
    </row>
    <row r="765" spans="1:2" x14ac:dyDescent="0.25">
      <c r="A765" s="5">
        <v>34596</v>
      </c>
      <c r="B765">
        <v>354.9</v>
      </c>
    </row>
    <row r="766" spans="1:2" x14ac:dyDescent="0.25">
      <c r="A766" s="5">
        <v>34603</v>
      </c>
      <c r="B766">
        <v>353.7</v>
      </c>
    </row>
    <row r="767" spans="1:2" x14ac:dyDescent="0.25">
      <c r="A767" s="5">
        <v>34610</v>
      </c>
      <c r="B767">
        <v>352.4</v>
      </c>
    </row>
    <row r="768" spans="1:2" x14ac:dyDescent="0.25">
      <c r="A768" s="5">
        <v>34617</v>
      </c>
      <c r="B768">
        <v>355.3</v>
      </c>
    </row>
    <row r="769" spans="1:2" x14ac:dyDescent="0.25">
      <c r="A769" s="5">
        <v>34624</v>
      </c>
      <c r="B769">
        <v>355.9</v>
      </c>
    </row>
    <row r="770" spans="1:2" x14ac:dyDescent="0.25">
      <c r="A770" s="5">
        <v>34631</v>
      </c>
      <c r="B770">
        <v>355.3</v>
      </c>
    </row>
    <row r="771" spans="1:2" x14ac:dyDescent="0.25">
      <c r="A771" s="5">
        <v>34638</v>
      </c>
      <c r="B771">
        <v>356.3</v>
      </c>
    </row>
    <row r="772" spans="1:2" x14ac:dyDescent="0.25">
      <c r="A772" s="5">
        <v>34645</v>
      </c>
      <c r="B772">
        <v>356.6</v>
      </c>
    </row>
    <row r="773" spans="1:2" x14ac:dyDescent="0.25">
      <c r="A773" s="5">
        <v>34652</v>
      </c>
      <c r="B773">
        <v>359.4</v>
      </c>
    </row>
    <row r="774" spans="1:2" x14ac:dyDescent="0.25">
      <c r="A774" s="5">
        <v>34659</v>
      </c>
      <c r="B774">
        <v>363</v>
      </c>
    </row>
    <row r="775" spans="1:2" x14ac:dyDescent="0.25">
      <c r="A775" s="5">
        <v>34666</v>
      </c>
      <c r="B775">
        <v>365.1</v>
      </c>
    </row>
    <row r="776" spans="1:2" x14ac:dyDescent="0.25">
      <c r="A776" s="5">
        <v>34673</v>
      </c>
      <c r="B776">
        <v>365.9</v>
      </c>
    </row>
    <row r="777" spans="1:2" x14ac:dyDescent="0.25">
      <c r="A777" s="5">
        <v>34680</v>
      </c>
      <c r="B777">
        <v>370.4</v>
      </c>
    </row>
    <row r="778" spans="1:2" x14ac:dyDescent="0.25">
      <c r="A778" s="5">
        <v>34687</v>
      </c>
      <c r="B778">
        <v>369.5</v>
      </c>
    </row>
    <row r="779" spans="1:2" x14ac:dyDescent="0.25">
      <c r="A779" s="5">
        <v>34694</v>
      </c>
      <c r="B779">
        <v>367.5</v>
      </c>
    </row>
    <row r="780" spans="1:2" x14ac:dyDescent="0.25">
      <c r="A780" s="5">
        <v>34701</v>
      </c>
      <c r="B780">
        <v>364.2</v>
      </c>
    </row>
    <row r="781" spans="1:2" x14ac:dyDescent="0.25">
      <c r="A781" s="5">
        <v>34708</v>
      </c>
      <c r="B781">
        <v>366.1</v>
      </c>
    </row>
    <row r="782" spans="1:2" x14ac:dyDescent="0.25">
      <c r="A782" s="5">
        <v>34715</v>
      </c>
      <c r="B782">
        <v>373.8</v>
      </c>
    </row>
    <row r="783" spans="1:2" x14ac:dyDescent="0.25">
      <c r="A783" s="5">
        <v>34722</v>
      </c>
      <c r="B783">
        <v>375.2</v>
      </c>
    </row>
    <row r="784" spans="1:2" x14ac:dyDescent="0.25">
      <c r="A784" s="5">
        <v>34729</v>
      </c>
      <c r="B784">
        <v>373.5</v>
      </c>
    </row>
    <row r="785" spans="1:2" x14ac:dyDescent="0.25">
      <c r="A785" s="5">
        <v>34736</v>
      </c>
      <c r="B785">
        <v>372.5</v>
      </c>
    </row>
    <row r="786" spans="1:2" x14ac:dyDescent="0.25">
      <c r="A786" s="5">
        <v>34743</v>
      </c>
      <c r="B786">
        <v>374.2</v>
      </c>
    </row>
    <row r="787" spans="1:2" x14ac:dyDescent="0.25">
      <c r="A787" s="5">
        <v>34750</v>
      </c>
      <c r="B787">
        <v>371.3</v>
      </c>
    </row>
    <row r="788" spans="1:2" x14ac:dyDescent="0.25">
      <c r="A788" s="5">
        <v>34757</v>
      </c>
      <c r="B788">
        <v>374.1</v>
      </c>
    </row>
    <row r="789" spans="1:2" x14ac:dyDescent="0.25">
      <c r="A789" s="5">
        <v>34764</v>
      </c>
      <c r="B789">
        <v>369.9</v>
      </c>
    </row>
    <row r="790" spans="1:2" x14ac:dyDescent="0.25">
      <c r="A790" s="5">
        <v>34771</v>
      </c>
      <c r="B790">
        <v>374.8</v>
      </c>
    </row>
    <row r="791" spans="1:2" x14ac:dyDescent="0.25">
      <c r="A791" s="5">
        <v>34778</v>
      </c>
      <c r="B791">
        <v>373.6</v>
      </c>
    </row>
    <row r="792" spans="1:2" x14ac:dyDescent="0.25">
      <c r="A792" s="5">
        <v>34785</v>
      </c>
      <c r="B792">
        <v>374.8</v>
      </c>
    </row>
    <row r="793" spans="1:2" x14ac:dyDescent="0.25">
      <c r="A793" s="5">
        <v>34792</v>
      </c>
      <c r="B793">
        <v>373.1</v>
      </c>
    </row>
    <row r="794" spans="1:2" x14ac:dyDescent="0.25">
      <c r="A794" s="5">
        <v>34799</v>
      </c>
      <c r="B794">
        <v>377.6</v>
      </c>
    </row>
    <row r="795" spans="1:2" x14ac:dyDescent="0.25">
      <c r="A795" s="5">
        <v>34806</v>
      </c>
      <c r="B795">
        <v>377.5</v>
      </c>
    </row>
    <row r="796" spans="1:2" x14ac:dyDescent="0.25">
      <c r="A796" s="5">
        <v>34813</v>
      </c>
      <c r="B796">
        <v>376.7</v>
      </c>
    </row>
    <row r="797" spans="1:2" x14ac:dyDescent="0.25">
      <c r="A797" s="5">
        <v>34820</v>
      </c>
      <c r="B797">
        <v>372.4</v>
      </c>
    </row>
    <row r="798" spans="1:2" x14ac:dyDescent="0.25">
      <c r="A798" s="5">
        <v>34827</v>
      </c>
      <c r="B798">
        <v>373.5</v>
      </c>
    </row>
    <row r="799" spans="1:2" x14ac:dyDescent="0.25">
      <c r="A799" s="5">
        <v>34834</v>
      </c>
      <c r="B799">
        <v>372.6</v>
      </c>
    </row>
    <row r="800" spans="1:2" x14ac:dyDescent="0.25">
      <c r="A800" s="5">
        <v>34841</v>
      </c>
      <c r="B800">
        <v>378.8</v>
      </c>
    </row>
    <row r="801" spans="1:2" x14ac:dyDescent="0.25">
      <c r="A801" s="5">
        <v>34848</v>
      </c>
      <c r="B801">
        <v>380.2</v>
      </c>
    </row>
    <row r="802" spans="1:2" x14ac:dyDescent="0.25">
      <c r="A802" s="5">
        <v>34855</v>
      </c>
      <c r="B802">
        <v>382</v>
      </c>
    </row>
    <row r="803" spans="1:2" x14ac:dyDescent="0.25">
      <c r="A803" s="5">
        <v>34862</v>
      </c>
      <c r="B803">
        <v>389.1</v>
      </c>
    </row>
    <row r="804" spans="1:2" x14ac:dyDescent="0.25">
      <c r="A804" s="5">
        <v>34869</v>
      </c>
      <c r="B804">
        <v>389.9</v>
      </c>
    </row>
    <row r="805" spans="1:2" x14ac:dyDescent="0.25">
      <c r="A805" s="5">
        <v>34876</v>
      </c>
      <c r="B805">
        <v>389.9</v>
      </c>
    </row>
    <row r="806" spans="1:2" x14ac:dyDescent="0.25">
      <c r="A806" s="5">
        <v>34883</v>
      </c>
      <c r="B806">
        <v>392.9</v>
      </c>
    </row>
    <row r="807" spans="1:2" x14ac:dyDescent="0.25">
      <c r="A807" s="5">
        <v>34890</v>
      </c>
      <c r="B807">
        <v>397.9</v>
      </c>
    </row>
    <row r="808" spans="1:2" x14ac:dyDescent="0.25">
      <c r="A808" s="5">
        <v>34897</v>
      </c>
      <c r="B808">
        <v>401.3</v>
      </c>
    </row>
    <row r="809" spans="1:2" x14ac:dyDescent="0.25">
      <c r="A809" s="5">
        <v>34904</v>
      </c>
      <c r="B809">
        <v>406.3</v>
      </c>
    </row>
    <row r="810" spans="1:2" x14ac:dyDescent="0.25">
      <c r="A810" s="5">
        <v>34911</v>
      </c>
      <c r="B810">
        <v>407.1</v>
      </c>
    </row>
    <row r="811" spans="1:2" x14ac:dyDescent="0.25">
      <c r="A811" s="5">
        <v>34918</v>
      </c>
      <c r="B811">
        <v>411.3</v>
      </c>
    </row>
    <row r="812" spans="1:2" x14ac:dyDescent="0.25">
      <c r="A812" s="5">
        <v>34925</v>
      </c>
      <c r="B812">
        <v>414.3</v>
      </c>
    </row>
    <row r="813" spans="1:2" x14ac:dyDescent="0.25">
      <c r="A813" s="5">
        <v>34932</v>
      </c>
      <c r="B813">
        <v>416.9</v>
      </c>
    </row>
    <row r="814" spans="1:2" x14ac:dyDescent="0.25">
      <c r="A814" s="5">
        <v>34939</v>
      </c>
      <c r="B814">
        <v>418.8</v>
      </c>
    </row>
    <row r="815" spans="1:2" x14ac:dyDescent="0.25">
      <c r="A815" s="5">
        <v>34946</v>
      </c>
      <c r="B815">
        <v>418.2</v>
      </c>
    </row>
    <row r="816" spans="1:2" x14ac:dyDescent="0.25">
      <c r="A816" s="5">
        <v>34953</v>
      </c>
      <c r="B816">
        <v>419.7</v>
      </c>
    </row>
    <row r="817" spans="1:2" x14ac:dyDescent="0.25">
      <c r="A817" s="5">
        <v>34960</v>
      </c>
      <c r="B817">
        <v>419.9</v>
      </c>
    </row>
    <row r="818" spans="1:2" x14ac:dyDescent="0.25">
      <c r="A818" s="5">
        <v>34967</v>
      </c>
      <c r="B818">
        <v>418.1</v>
      </c>
    </row>
    <row r="819" spans="1:2" x14ac:dyDescent="0.25">
      <c r="A819" s="5">
        <v>34974</v>
      </c>
      <c r="B819">
        <v>417.9</v>
      </c>
    </row>
    <row r="820" spans="1:2" x14ac:dyDescent="0.25">
      <c r="A820" s="5">
        <v>34981</v>
      </c>
      <c r="B820">
        <v>422.3</v>
      </c>
    </row>
    <row r="821" spans="1:2" x14ac:dyDescent="0.25">
      <c r="A821" s="5">
        <v>34988</v>
      </c>
      <c r="B821">
        <v>423.7</v>
      </c>
    </row>
    <row r="822" spans="1:2" x14ac:dyDescent="0.25">
      <c r="A822" s="5">
        <v>34995</v>
      </c>
      <c r="B822">
        <v>423.5</v>
      </c>
    </row>
    <row r="823" spans="1:2" x14ac:dyDescent="0.25">
      <c r="A823" s="5">
        <v>35002</v>
      </c>
      <c r="B823">
        <v>424</v>
      </c>
    </row>
    <row r="824" spans="1:2" x14ac:dyDescent="0.25">
      <c r="A824" s="5">
        <v>35009</v>
      </c>
      <c r="B824">
        <v>424.8</v>
      </c>
    </row>
    <row r="825" spans="1:2" x14ac:dyDescent="0.25">
      <c r="A825" s="5">
        <v>35016</v>
      </c>
      <c r="B825">
        <v>428</v>
      </c>
    </row>
    <row r="826" spans="1:2" x14ac:dyDescent="0.25">
      <c r="A826" s="5">
        <v>35023</v>
      </c>
      <c r="B826">
        <v>428.8</v>
      </c>
    </row>
    <row r="827" spans="1:2" x14ac:dyDescent="0.25">
      <c r="A827" s="5">
        <v>35030</v>
      </c>
      <c r="B827">
        <v>433.6</v>
      </c>
    </row>
    <row r="828" spans="1:2" x14ac:dyDescent="0.25">
      <c r="A828" s="5">
        <v>35037</v>
      </c>
      <c r="B828">
        <v>432.4</v>
      </c>
    </row>
    <row r="829" spans="1:2" x14ac:dyDescent="0.25">
      <c r="A829" s="5">
        <v>35044</v>
      </c>
      <c r="B829">
        <v>436.4</v>
      </c>
    </row>
    <row r="830" spans="1:2" x14ac:dyDescent="0.25">
      <c r="A830" s="5">
        <v>35051</v>
      </c>
      <c r="B830">
        <v>438.1</v>
      </c>
    </row>
    <row r="831" spans="1:2" x14ac:dyDescent="0.25">
      <c r="A831" s="5">
        <v>35058</v>
      </c>
      <c r="B831">
        <v>435.5</v>
      </c>
    </row>
    <row r="832" spans="1:2" x14ac:dyDescent="0.25">
      <c r="A832" s="5">
        <v>35065</v>
      </c>
      <c r="B832">
        <v>430.2</v>
      </c>
    </row>
    <row r="833" spans="1:2" x14ac:dyDescent="0.25">
      <c r="A833" s="5">
        <v>35072</v>
      </c>
      <c r="B833">
        <v>431.8</v>
      </c>
    </row>
    <row r="834" spans="1:2" x14ac:dyDescent="0.25">
      <c r="A834" s="5">
        <v>35079</v>
      </c>
      <c r="B834">
        <v>445.1</v>
      </c>
    </row>
    <row r="835" spans="1:2" x14ac:dyDescent="0.25">
      <c r="A835" s="5">
        <v>35086</v>
      </c>
      <c r="B835">
        <v>444.6</v>
      </c>
    </row>
    <row r="836" spans="1:2" x14ac:dyDescent="0.25">
      <c r="A836" s="5">
        <v>35093</v>
      </c>
      <c r="B836">
        <v>443.8</v>
      </c>
    </row>
    <row r="837" spans="1:2" x14ac:dyDescent="0.25">
      <c r="A837" s="5">
        <v>35100</v>
      </c>
      <c r="B837">
        <v>441</v>
      </c>
    </row>
    <row r="838" spans="1:2" x14ac:dyDescent="0.25">
      <c r="A838" s="5">
        <v>35107</v>
      </c>
      <c r="B838">
        <v>446.2</v>
      </c>
    </row>
    <row r="839" spans="1:2" x14ac:dyDescent="0.25">
      <c r="A839" s="5">
        <v>35114</v>
      </c>
      <c r="B839">
        <v>447.7</v>
      </c>
    </row>
    <row r="840" spans="1:2" x14ac:dyDescent="0.25">
      <c r="A840" s="5">
        <v>35121</v>
      </c>
      <c r="B840">
        <v>456.8</v>
      </c>
    </row>
    <row r="841" spans="1:2" x14ac:dyDescent="0.25">
      <c r="A841" s="5">
        <v>35128</v>
      </c>
      <c r="B841">
        <v>456.9</v>
      </c>
    </row>
    <row r="842" spans="1:2" x14ac:dyDescent="0.25">
      <c r="A842" s="5">
        <v>35135</v>
      </c>
      <c r="B842">
        <v>460</v>
      </c>
    </row>
    <row r="843" spans="1:2" x14ac:dyDescent="0.25">
      <c r="A843" s="5">
        <v>35142</v>
      </c>
      <c r="B843">
        <v>463.3</v>
      </c>
    </row>
    <row r="844" spans="1:2" x14ac:dyDescent="0.25">
      <c r="A844" s="5">
        <v>35149</v>
      </c>
      <c r="B844">
        <v>464.6</v>
      </c>
    </row>
    <row r="845" spans="1:2" x14ac:dyDescent="0.25">
      <c r="A845" s="5">
        <v>35156</v>
      </c>
      <c r="B845">
        <v>462.2</v>
      </c>
    </row>
    <row r="846" spans="1:2" x14ac:dyDescent="0.25">
      <c r="A846" s="5">
        <v>35163</v>
      </c>
      <c r="B846">
        <v>465.5</v>
      </c>
    </row>
    <row r="847" spans="1:2" x14ac:dyDescent="0.25">
      <c r="A847" s="5">
        <v>35170</v>
      </c>
      <c r="B847">
        <v>470.1</v>
      </c>
    </row>
    <row r="848" spans="1:2" x14ac:dyDescent="0.25">
      <c r="A848" s="5">
        <v>35177</v>
      </c>
      <c r="B848">
        <v>464</v>
      </c>
    </row>
    <row r="849" spans="1:2" x14ac:dyDescent="0.25">
      <c r="A849" s="5">
        <v>35184</v>
      </c>
      <c r="B849">
        <v>456.1</v>
      </c>
    </row>
    <row r="850" spans="1:2" x14ac:dyDescent="0.25">
      <c r="A850" s="5">
        <v>35191</v>
      </c>
      <c r="B850">
        <v>454.5</v>
      </c>
    </row>
    <row r="851" spans="1:2" x14ac:dyDescent="0.25">
      <c r="A851" s="5">
        <v>35198</v>
      </c>
      <c r="B851">
        <v>461.1</v>
      </c>
    </row>
    <row r="852" spans="1:2" x14ac:dyDescent="0.25">
      <c r="A852" s="5">
        <v>35205</v>
      </c>
      <c r="B852">
        <v>456.8</v>
      </c>
    </row>
    <row r="853" spans="1:2" x14ac:dyDescent="0.25">
      <c r="A853" s="5">
        <v>35212</v>
      </c>
      <c r="B853">
        <v>456.7</v>
      </c>
    </row>
    <row r="854" spans="1:2" x14ac:dyDescent="0.25">
      <c r="A854" s="5">
        <v>35219</v>
      </c>
      <c r="B854">
        <v>461.2</v>
      </c>
    </row>
    <row r="855" spans="1:2" x14ac:dyDescent="0.25">
      <c r="A855" s="5">
        <v>35226</v>
      </c>
      <c r="B855">
        <v>464.7</v>
      </c>
    </row>
    <row r="856" spans="1:2" x14ac:dyDescent="0.25">
      <c r="A856" s="5">
        <v>35233</v>
      </c>
      <c r="B856">
        <v>467.9</v>
      </c>
    </row>
    <row r="857" spans="1:2" x14ac:dyDescent="0.25">
      <c r="A857" s="5">
        <v>35240</v>
      </c>
      <c r="B857">
        <v>466.5</v>
      </c>
    </row>
    <row r="858" spans="1:2" x14ac:dyDescent="0.25">
      <c r="A858" s="5">
        <v>35247</v>
      </c>
      <c r="B858">
        <v>463.6</v>
      </c>
    </row>
    <row r="859" spans="1:2" x14ac:dyDescent="0.25">
      <c r="A859" s="5">
        <v>35254</v>
      </c>
      <c r="B859">
        <v>467.4</v>
      </c>
    </row>
    <row r="860" spans="1:2" x14ac:dyDescent="0.25">
      <c r="A860" s="5">
        <v>35261</v>
      </c>
      <c r="B860">
        <v>471.9</v>
      </c>
    </row>
    <row r="861" spans="1:2" x14ac:dyDescent="0.25">
      <c r="A861" s="5">
        <v>35268</v>
      </c>
      <c r="B861">
        <v>476.4</v>
      </c>
    </row>
    <row r="862" spans="1:2" x14ac:dyDescent="0.25">
      <c r="A862" s="5">
        <v>35275</v>
      </c>
      <c r="B862">
        <v>475.5</v>
      </c>
    </row>
    <row r="863" spans="1:2" x14ac:dyDescent="0.25">
      <c r="A863" s="5">
        <v>35282</v>
      </c>
      <c r="B863">
        <v>474.9</v>
      </c>
    </row>
    <row r="864" spans="1:2" x14ac:dyDescent="0.25">
      <c r="A864" s="5">
        <v>35289</v>
      </c>
      <c r="B864">
        <v>477.9</v>
      </c>
    </row>
    <row r="865" spans="1:2" x14ac:dyDescent="0.25">
      <c r="A865" s="5">
        <v>35296</v>
      </c>
      <c r="B865">
        <v>479.2</v>
      </c>
    </row>
    <row r="866" spans="1:2" x14ac:dyDescent="0.25">
      <c r="A866" s="5">
        <v>35303</v>
      </c>
      <c r="B866">
        <v>480.8</v>
      </c>
    </row>
    <row r="867" spans="1:2" x14ac:dyDescent="0.25">
      <c r="A867" s="5">
        <v>35310</v>
      </c>
      <c r="B867">
        <v>477.7</v>
      </c>
    </row>
    <row r="868" spans="1:2" x14ac:dyDescent="0.25">
      <c r="A868" s="5">
        <v>35317</v>
      </c>
      <c r="B868">
        <v>478.8</v>
      </c>
    </row>
    <row r="869" spans="1:2" x14ac:dyDescent="0.25">
      <c r="A869" s="5">
        <v>35324</v>
      </c>
      <c r="B869">
        <v>478.5</v>
      </c>
    </row>
    <row r="870" spans="1:2" x14ac:dyDescent="0.25">
      <c r="A870" s="5">
        <v>35331</v>
      </c>
      <c r="B870">
        <v>477.1</v>
      </c>
    </row>
    <row r="871" spans="1:2" x14ac:dyDescent="0.25">
      <c r="A871" s="5">
        <v>35338</v>
      </c>
      <c r="B871">
        <v>478.1</v>
      </c>
    </row>
    <row r="872" spans="1:2" x14ac:dyDescent="0.25">
      <c r="A872" s="5">
        <v>35345</v>
      </c>
      <c r="B872">
        <v>481.4</v>
      </c>
    </row>
    <row r="873" spans="1:2" x14ac:dyDescent="0.25">
      <c r="A873" s="5">
        <v>35352</v>
      </c>
      <c r="B873">
        <v>487.9</v>
      </c>
    </row>
    <row r="874" spans="1:2" x14ac:dyDescent="0.25">
      <c r="A874" s="5">
        <v>35359</v>
      </c>
      <c r="B874">
        <v>489.4</v>
      </c>
    </row>
    <row r="875" spans="1:2" x14ac:dyDescent="0.25">
      <c r="A875" s="5">
        <v>35366</v>
      </c>
      <c r="B875">
        <v>493.5</v>
      </c>
    </row>
    <row r="876" spans="1:2" x14ac:dyDescent="0.25">
      <c r="A876" s="5">
        <v>35373</v>
      </c>
      <c r="B876">
        <v>493.3</v>
      </c>
    </row>
    <row r="877" spans="1:2" x14ac:dyDescent="0.25">
      <c r="A877" s="5">
        <v>35380</v>
      </c>
      <c r="B877">
        <v>498.6</v>
      </c>
    </row>
    <row r="878" spans="1:2" x14ac:dyDescent="0.25">
      <c r="A878" s="5">
        <v>35387</v>
      </c>
      <c r="B878">
        <v>498.8</v>
      </c>
    </row>
    <row r="879" spans="1:2" x14ac:dyDescent="0.25">
      <c r="A879" s="5">
        <v>35394</v>
      </c>
      <c r="B879">
        <v>504.8</v>
      </c>
    </row>
    <row r="880" spans="1:2" x14ac:dyDescent="0.25">
      <c r="A880" s="5">
        <v>35401</v>
      </c>
      <c r="B880">
        <v>503.4</v>
      </c>
    </row>
    <row r="881" spans="1:2" x14ac:dyDescent="0.25">
      <c r="A881" s="5">
        <v>35408</v>
      </c>
      <c r="B881">
        <v>513.9</v>
      </c>
    </row>
    <row r="882" spans="1:2" x14ac:dyDescent="0.25">
      <c r="A882" s="5">
        <v>35415</v>
      </c>
      <c r="B882">
        <v>516.29999999999995</v>
      </c>
    </row>
    <row r="883" spans="1:2" x14ac:dyDescent="0.25">
      <c r="A883" s="5">
        <v>35422</v>
      </c>
      <c r="B883">
        <v>518.9</v>
      </c>
    </row>
    <row r="884" spans="1:2" x14ac:dyDescent="0.25">
      <c r="A884" s="5">
        <v>35429</v>
      </c>
      <c r="B884">
        <v>515.4</v>
      </c>
    </row>
    <row r="885" spans="1:2" x14ac:dyDescent="0.25">
      <c r="A885" s="5">
        <v>35436</v>
      </c>
      <c r="B885">
        <v>511.5</v>
      </c>
    </row>
    <row r="886" spans="1:2" x14ac:dyDescent="0.25">
      <c r="A886" s="5">
        <v>35443</v>
      </c>
      <c r="B886">
        <v>526</v>
      </c>
    </row>
    <row r="887" spans="1:2" x14ac:dyDescent="0.25">
      <c r="A887" s="5">
        <v>35450</v>
      </c>
      <c r="B887">
        <v>525.6</v>
      </c>
    </row>
    <row r="888" spans="1:2" x14ac:dyDescent="0.25">
      <c r="A888" s="5">
        <v>35457</v>
      </c>
      <c r="B888">
        <v>525.70000000000005</v>
      </c>
    </row>
    <row r="889" spans="1:2" x14ac:dyDescent="0.25">
      <c r="A889" s="5">
        <v>35464</v>
      </c>
      <c r="B889">
        <v>528</v>
      </c>
    </row>
    <row r="890" spans="1:2" x14ac:dyDescent="0.25">
      <c r="A890" s="5">
        <v>35471</v>
      </c>
      <c r="B890">
        <v>530.5</v>
      </c>
    </row>
    <row r="891" spans="1:2" x14ac:dyDescent="0.25">
      <c r="A891" s="5">
        <v>35478</v>
      </c>
      <c r="B891">
        <v>531.1</v>
      </c>
    </row>
    <row r="892" spans="1:2" x14ac:dyDescent="0.25">
      <c r="A892" s="5">
        <v>35485</v>
      </c>
      <c r="B892">
        <v>530.5</v>
      </c>
    </row>
    <row r="893" spans="1:2" x14ac:dyDescent="0.25">
      <c r="A893" s="5">
        <v>35492</v>
      </c>
      <c r="B893">
        <v>535.1</v>
      </c>
    </row>
    <row r="894" spans="1:2" x14ac:dyDescent="0.25">
      <c r="A894" s="5">
        <v>35499</v>
      </c>
      <c r="B894">
        <v>540.70000000000005</v>
      </c>
    </row>
    <row r="895" spans="1:2" x14ac:dyDescent="0.25">
      <c r="A895" s="5">
        <v>35506</v>
      </c>
      <c r="B895">
        <v>541.6</v>
      </c>
    </row>
    <row r="896" spans="1:2" x14ac:dyDescent="0.25">
      <c r="A896" s="5">
        <v>35513</v>
      </c>
      <c r="B896">
        <v>544.1</v>
      </c>
    </row>
    <row r="897" spans="1:2" x14ac:dyDescent="0.25">
      <c r="A897" s="5">
        <v>35520</v>
      </c>
      <c r="B897">
        <v>545.9</v>
      </c>
    </row>
    <row r="898" spans="1:2" x14ac:dyDescent="0.25">
      <c r="A898" s="5">
        <v>35527</v>
      </c>
      <c r="B898">
        <v>551.9</v>
      </c>
    </row>
    <row r="899" spans="1:2" x14ac:dyDescent="0.25">
      <c r="A899" s="5">
        <v>35534</v>
      </c>
      <c r="B899">
        <v>557.29999999999995</v>
      </c>
    </row>
    <row r="900" spans="1:2" x14ac:dyDescent="0.25">
      <c r="A900" s="5">
        <v>35541</v>
      </c>
      <c r="B900">
        <v>553.20000000000005</v>
      </c>
    </row>
    <row r="901" spans="1:2" x14ac:dyDescent="0.25">
      <c r="A901" s="5">
        <v>35548</v>
      </c>
      <c r="B901">
        <v>544.70000000000005</v>
      </c>
    </row>
    <row r="902" spans="1:2" x14ac:dyDescent="0.25">
      <c r="A902" s="5">
        <v>35555</v>
      </c>
      <c r="B902">
        <v>531.70000000000005</v>
      </c>
    </row>
    <row r="903" spans="1:2" x14ac:dyDescent="0.25">
      <c r="A903" s="5">
        <v>35562</v>
      </c>
      <c r="B903">
        <v>534.4</v>
      </c>
    </row>
    <row r="904" spans="1:2" x14ac:dyDescent="0.25">
      <c r="A904" s="5">
        <v>35569</v>
      </c>
      <c r="B904">
        <v>535.20000000000005</v>
      </c>
    </row>
    <row r="905" spans="1:2" x14ac:dyDescent="0.25">
      <c r="A905" s="5">
        <v>35576</v>
      </c>
      <c r="B905">
        <v>539.4</v>
      </c>
    </row>
    <row r="906" spans="1:2" x14ac:dyDescent="0.25">
      <c r="A906" s="5">
        <v>35583</v>
      </c>
      <c r="B906">
        <v>537.5</v>
      </c>
    </row>
    <row r="907" spans="1:2" x14ac:dyDescent="0.25">
      <c r="A907" s="5">
        <v>35590</v>
      </c>
      <c r="B907">
        <v>543.1</v>
      </c>
    </row>
    <row r="908" spans="1:2" x14ac:dyDescent="0.25">
      <c r="A908" s="5">
        <v>35597</v>
      </c>
      <c r="B908">
        <v>541.20000000000005</v>
      </c>
    </row>
    <row r="909" spans="1:2" x14ac:dyDescent="0.25">
      <c r="A909" s="5">
        <v>35604</v>
      </c>
      <c r="B909">
        <v>540.79999999999995</v>
      </c>
    </row>
    <row r="910" spans="1:2" x14ac:dyDescent="0.25">
      <c r="A910" s="5">
        <v>35611</v>
      </c>
      <c r="B910">
        <v>540.4</v>
      </c>
    </row>
    <row r="911" spans="1:2" x14ac:dyDescent="0.25">
      <c r="A911" s="5">
        <v>35618</v>
      </c>
      <c r="B911">
        <v>545.79999999999995</v>
      </c>
    </row>
    <row r="912" spans="1:2" x14ac:dyDescent="0.25">
      <c r="A912" s="5">
        <v>35625</v>
      </c>
      <c r="B912">
        <v>550.79999999999995</v>
      </c>
    </row>
    <row r="913" spans="1:2" x14ac:dyDescent="0.25">
      <c r="A913" s="5">
        <v>35632</v>
      </c>
      <c r="B913">
        <v>551.20000000000005</v>
      </c>
    </row>
    <row r="914" spans="1:2" x14ac:dyDescent="0.25">
      <c r="A914" s="5">
        <v>35639</v>
      </c>
      <c r="B914">
        <v>552.6</v>
      </c>
    </row>
    <row r="915" spans="1:2" x14ac:dyDescent="0.25">
      <c r="A915" s="5">
        <v>35646</v>
      </c>
      <c r="B915">
        <v>555.4</v>
      </c>
    </row>
    <row r="916" spans="1:2" x14ac:dyDescent="0.25">
      <c r="A916" s="5">
        <v>35653</v>
      </c>
      <c r="B916">
        <v>565</v>
      </c>
    </row>
    <row r="917" spans="1:2" x14ac:dyDescent="0.25">
      <c r="A917" s="5">
        <v>35660</v>
      </c>
      <c r="B917">
        <v>571</v>
      </c>
    </row>
    <row r="918" spans="1:2" x14ac:dyDescent="0.25">
      <c r="A918" s="5">
        <v>35667</v>
      </c>
      <c r="B918">
        <v>574.29999999999995</v>
      </c>
    </row>
    <row r="919" spans="1:2" x14ac:dyDescent="0.25">
      <c r="A919" s="5">
        <v>35674</v>
      </c>
      <c r="B919">
        <v>577.29999999999995</v>
      </c>
    </row>
    <row r="920" spans="1:2" x14ac:dyDescent="0.25">
      <c r="A920" s="5">
        <v>35681</v>
      </c>
      <c r="B920">
        <v>575.6</v>
      </c>
    </row>
    <row r="921" spans="1:2" x14ac:dyDescent="0.25">
      <c r="A921" s="5">
        <v>35688</v>
      </c>
      <c r="B921">
        <v>577.6</v>
      </c>
    </row>
    <row r="922" spans="1:2" x14ac:dyDescent="0.25">
      <c r="A922" s="5">
        <v>35695</v>
      </c>
      <c r="B922">
        <v>574.5</v>
      </c>
    </row>
    <row r="923" spans="1:2" x14ac:dyDescent="0.25">
      <c r="A923" s="5">
        <v>35702</v>
      </c>
      <c r="B923">
        <v>572.20000000000005</v>
      </c>
    </row>
    <row r="924" spans="1:2" x14ac:dyDescent="0.25">
      <c r="A924" s="5">
        <v>35709</v>
      </c>
      <c r="B924">
        <v>570.79999999999995</v>
      </c>
    </row>
    <row r="925" spans="1:2" x14ac:dyDescent="0.25">
      <c r="A925" s="5">
        <v>35716</v>
      </c>
      <c r="B925">
        <v>577.5</v>
      </c>
    </row>
    <row r="926" spans="1:2" x14ac:dyDescent="0.25">
      <c r="A926" s="5">
        <v>35723</v>
      </c>
      <c r="B926">
        <v>580</v>
      </c>
    </row>
    <row r="927" spans="1:2" x14ac:dyDescent="0.25">
      <c r="A927" s="5">
        <v>35730</v>
      </c>
      <c r="B927">
        <v>580.29999999999995</v>
      </c>
    </row>
    <row r="928" spans="1:2" x14ac:dyDescent="0.25">
      <c r="A928" s="5">
        <v>35737</v>
      </c>
      <c r="B928">
        <v>580.4</v>
      </c>
    </row>
    <row r="929" spans="1:2" x14ac:dyDescent="0.25">
      <c r="A929" s="5">
        <v>35744</v>
      </c>
      <c r="B929">
        <v>583</v>
      </c>
    </row>
    <row r="930" spans="1:2" x14ac:dyDescent="0.25">
      <c r="A930" s="5">
        <v>35751</v>
      </c>
      <c r="B930">
        <v>584.79999999999995</v>
      </c>
    </row>
    <row r="931" spans="1:2" x14ac:dyDescent="0.25">
      <c r="A931" s="5">
        <v>35758</v>
      </c>
      <c r="B931">
        <v>592.6</v>
      </c>
    </row>
    <row r="932" spans="1:2" x14ac:dyDescent="0.25">
      <c r="A932" s="5">
        <v>35765</v>
      </c>
      <c r="B932">
        <v>589.4</v>
      </c>
    </row>
    <row r="933" spans="1:2" x14ac:dyDescent="0.25">
      <c r="A933" s="5">
        <v>35772</v>
      </c>
      <c r="B933">
        <v>595.29999999999995</v>
      </c>
    </row>
    <row r="934" spans="1:2" x14ac:dyDescent="0.25">
      <c r="A934" s="5">
        <v>35779</v>
      </c>
      <c r="B934">
        <v>593.79999999999995</v>
      </c>
    </row>
    <row r="935" spans="1:2" x14ac:dyDescent="0.25">
      <c r="A935" s="5">
        <v>35786</v>
      </c>
      <c r="B935">
        <v>591</v>
      </c>
    </row>
    <row r="936" spans="1:2" x14ac:dyDescent="0.25">
      <c r="A936" s="5">
        <v>35793</v>
      </c>
      <c r="B936">
        <v>589.6</v>
      </c>
    </row>
    <row r="937" spans="1:2" x14ac:dyDescent="0.25">
      <c r="A937" s="5">
        <v>35800</v>
      </c>
      <c r="B937">
        <v>583.9</v>
      </c>
    </row>
    <row r="938" spans="1:2" x14ac:dyDescent="0.25">
      <c r="A938" s="5">
        <v>35807</v>
      </c>
      <c r="B938">
        <v>603.20000000000005</v>
      </c>
    </row>
    <row r="939" spans="1:2" x14ac:dyDescent="0.25">
      <c r="A939" s="5">
        <v>35814</v>
      </c>
      <c r="B939">
        <v>605.70000000000005</v>
      </c>
    </row>
    <row r="940" spans="1:2" x14ac:dyDescent="0.25">
      <c r="A940" s="5">
        <v>35821</v>
      </c>
      <c r="B940">
        <v>606.29999999999995</v>
      </c>
    </row>
    <row r="941" spans="1:2" x14ac:dyDescent="0.25">
      <c r="A941" s="5">
        <v>35828</v>
      </c>
      <c r="B941">
        <v>606.70000000000005</v>
      </c>
    </row>
    <row r="942" spans="1:2" x14ac:dyDescent="0.25">
      <c r="A942" s="5">
        <v>35835</v>
      </c>
      <c r="B942">
        <v>612.70000000000005</v>
      </c>
    </row>
    <row r="943" spans="1:2" x14ac:dyDescent="0.25">
      <c r="A943" s="5">
        <v>35842</v>
      </c>
      <c r="B943">
        <v>615.9</v>
      </c>
    </row>
    <row r="944" spans="1:2" x14ac:dyDescent="0.25">
      <c r="A944" s="5">
        <v>35849</v>
      </c>
      <c r="B944">
        <v>622.6</v>
      </c>
    </row>
    <row r="945" spans="1:2" x14ac:dyDescent="0.25">
      <c r="A945" s="5">
        <v>35856</v>
      </c>
      <c r="B945">
        <v>625.5</v>
      </c>
    </row>
    <row r="946" spans="1:2" x14ac:dyDescent="0.25">
      <c r="A946" s="5">
        <v>35863</v>
      </c>
      <c r="B946">
        <v>633.29999999999995</v>
      </c>
    </row>
    <row r="947" spans="1:2" x14ac:dyDescent="0.25">
      <c r="A947" s="5">
        <v>35870</v>
      </c>
      <c r="B947">
        <v>634.4</v>
      </c>
    </row>
    <row r="948" spans="1:2" x14ac:dyDescent="0.25">
      <c r="A948" s="5">
        <v>35877</v>
      </c>
      <c r="B948">
        <v>636.29999999999995</v>
      </c>
    </row>
    <row r="949" spans="1:2" x14ac:dyDescent="0.25">
      <c r="A949" s="5">
        <v>35884</v>
      </c>
      <c r="B949">
        <v>636.79999999999995</v>
      </c>
    </row>
    <row r="950" spans="1:2" x14ac:dyDescent="0.25">
      <c r="A950" s="5">
        <v>35891</v>
      </c>
      <c r="B950">
        <v>639.70000000000005</v>
      </c>
    </row>
    <row r="951" spans="1:2" x14ac:dyDescent="0.25">
      <c r="A951" s="5">
        <v>35898</v>
      </c>
      <c r="B951">
        <v>650.5</v>
      </c>
    </row>
    <row r="952" spans="1:2" x14ac:dyDescent="0.25">
      <c r="A952" s="5">
        <v>35905</v>
      </c>
      <c r="B952">
        <v>643.6</v>
      </c>
    </row>
    <row r="953" spans="1:2" x14ac:dyDescent="0.25">
      <c r="A953" s="5">
        <v>35912</v>
      </c>
      <c r="B953">
        <v>637.6</v>
      </c>
    </row>
    <row r="954" spans="1:2" x14ac:dyDescent="0.25">
      <c r="A954" s="5">
        <v>35919</v>
      </c>
      <c r="B954">
        <v>628.6</v>
      </c>
    </row>
    <row r="955" spans="1:2" x14ac:dyDescent="0.25">
      <c r="A955" s="5">
        <v>35926</v>
      </c>
      <c r="B955">
        <v>632.4</v>
      </c>
    </row>
    <row r="956" spans="1:2" x14ac:dyDescent="0.25">
      <c r="A956" s="5">
        <v>35933</v>
      </c>
      <c r="B956">
        <v>631.70000000000005</v>
      </c>
    </row>
    <row r="957" spans="1:2" x14ac:dyDescent="0.25">
      <c r="A957" s="5">
        <v>35940</v>
      </c>
      <c r="B957">
        <v>638</v>
      </c>
    </row>
    <row r="958" spans="1:2" x14ac:dyDescent="0.25">
      <c r="A958" s="5">
        <v>35947</v>
      </c>
      <c r="B958">
        <v>640.79999999999995</v>
      </c>
    </row>
    <row r="959" spans="1:2" x14ac:dyDescent="0.25">
      <c r="A959" s="5">
        <v>35954</v>
      </c>
      <c r="B959">
        <v>645.5</v>
      </c>
    </row>
    <row r="960" spans="1:2" x14ac:dyDescent="0.25">
      <c r="A960" s="5">
        <v>35961</v>
      </c>
      <c r="B960">
        <v>644.6</v>
      </c>
    </row>
    <row r="961" spans="1:2" x14ac:dyDescent="0.25">
      <c r="A961" s="5">
        <v>35968</v>
      </c>
      <c r="B961">
        <v>644.70000000000005</v>
      </c>
    </row>
    <row r="962" spans="1:2" x14ac:dyDescent="0.25">
      <c r="A962" s="5">
        <v>35975</v>
      </c>
      <c r="B962">
        <v>642.5</v>
      </c>
    </row>
    <row r="963" spans="1:2" x14ac:dyDescent="0.25">
      <c r="A963" s="5">
        <v>35982</v>
      </c>
      <c r="B963">
        <v>640.6</v>
      </c>
    </row>
    <row r="964" spans="1:2" x14ac:dyDescent="0.25">
      <c r="A964" s="5">
        <v>35989</v>
      </c>
      <c r="B964">
        <v>648.70000000000005</v>
      </c>
    </row>
    <row r="965" spans="1:2" x14ac:dyDescent="0.25">
      <c r="A965" s="5">
        <v>35996</v>
      </c>
      <c r="B965">
        <v>647.29999999999995</v>
      </c>
    </row>
    <row r="966" spans="1:2" x14ac:dyDescent="0.25">
      <c r="A966" s="5">
        <v>36003</v>
      </c>
      <c r="B966">
        <v>650.9</v>
      </c>
    </row>
    <row r="967" spans="1:2" x14ac:dyDescent="0.25">
      <c r="A967" s="5">
        <v>36010</v>
      </c>
      <c r="B967">
        <v>651.1</v>
      </c>
    </row>
    <row r="968" spans="1:2" x14ac:dyDescent="0.25">
      <c r="A968" s="5">
        <v>36017</v>
      </c>
      <c r="B968">
        <v>661.9</v>
      </c>
    </row>
    <row r="969" spans="1:2" x14ac:dyDescent="0.25">
      <c r="A969" s="5">
        <v>36024</v>
      </c>
      <c r="B969">
        <v>665.7</v>
      </c>
    </row>
    <row r="970" spans="1:2" x14ac:dyDescent="0.25">
      <c r="A970" s="5">
        <v>36031</v>
      </c>
      <c r="B970">
        <v>672.5</v>
      </c>
    </row>
    <row r="971" spans="1:2" x14ac:dyDescent="0.25">
      <c r="A971" s="5">
        <v>36038</v>
      </c>
      <c r="B971">
        <v>676.2</v>
      </c>
    </row>
    <row r="972" spans="1:2" x14ac:dyDescent="0.25">
      <c r="A972" s="5">
        <v>36045</v>
      </c>
      <c r="B972">
        <v>683.5</v>
      </c>
    </row>
    <row r="973" spans="1:2" x14ac:dyDescent="0.25">
      <c r="A973" s="5">
        <v>36052</v>
      </c>
      <c r="B973">
        <v>690.2</v>
      </c>
    </row>
    <row r="974" spans="1:2" x14ac:dyDescent="0.25">
      <c r="A974" s="5">
        <v>36059</v>
      </c>
      <c r="B974">
        <v>690.3</v>
      </c>
    </row>
    <row r="975" spans="1:2" x14ac:dyDescent="0.25">
      <c r="A975" s="5">
        <v>36066</v>
      </c>
      <c r="B975">
        <v>683.8</v>
      </c>
    </row>
    <row r="976" spans="1:2" x14ac:dyDescent="0.25">
      <c r="A976" s="5">
        <v>36073</v>
      </c>
      <c r="B976">
        <v>681.9</v>
      </c>
    </row>
    <row r="977" spans="1:2" x14ac:dyDescent="0.25">
      <c r="A977" s="5">
        <v>36080</v>
      </c>
      <c r="B977">
        <v>695.2</v>
      </c>
    </row>
    <row r="978" spans="1:2" x14ac:dyDescent="0.25">
      <c r="A978" s="5">
        <v>36087</v>
      </c>
      <c r="B978">
        <v>702.8</v>
      </c>
    </row>
    <row r="979" spans="1:2" x14ac:dyDescent="0.25">
      <c r="A979" s="5">
        <v>36094</v>
      </c>
      <c r="B979">
        <v>708.3</v>
      </c>
    </row>
    <row r="980" spans="1:2" x14ac:dyDescent="0.25">
      <c r="A980" s="5">
        <v>36101</v>
      </c>
      <c r="B980">
        <v>708.3</v>
      </c>
    </row>
    <row r="981" spans="1:2" x14ac:dyDescent="0.25">
      <c r="A981" s="5">
        <v>36108</v>
      </c>
      <c r="B981">
        <v>710.3</v>
      </c>
    </row>
    <row r="982" spans="1:2" x14ac:dyDescent="0.25">
      <c r="A982" s="5">
        <v>36115</v>
      </c>
      <c r="B982">
        <v>710.3</v>
      </c>
    </row>
    <row r="983" spans="1:2" x14ac:dyDescent="0.25">
      <c r="A983" s="5">
        <v>36122</v>
      </c>
      <c r="B983">
        <v>714.4</v>
      </c>
    </row>
    <row r="984" spans="1:2" x14ac:dyDescent="0.25">
      <c r="A984" s="5">
        <v>36129</v>
      </c>
      <c r="B984">
        <v>713.1</v>
      </c>
    </row>
    <row r="985" spans="1:2" x14ac:dyDescent="0.25">
      <c r="A985" s="5">
        <v>36136</v>
      </c>
      <c r="B985">
        <v>720.6</v>
      </c>
    </row>
    <row r="986" spans="1:2" x14ac:dyDescent="0.25">
      <c r="A986" s="5">
        <v>36143</v>
      </c>
      <c r="B986">
        <v>726.8</v>
      </c>
    </row>
    <row r="987" spans="1:2" x14ac:dyDescent="0.25">
      <c r="A987" s="5">
        <v>36150</v>
      </c>
      <c r="B987">
        <v>728.4</v>
      </c>
    </row>
    <row r="988" spans="1:2" x14ac:dyDescent="0.25">
      <c r="A988" s="5">
        <v>36157</v>
      </c>
      <c r="B988">
        <v>727.2</v>
      </c>
    </row>
    <row r="989" spans="1:2" x14ac:dyDescent="0.25">
      <c r="A989" s="5">
        <v>36164</v>
      </c>
      <c r="B989">
        <v>721</v>
      </c>
    </row>
    <row r="990" spans="1:2" x14ac:dyDescent="0.25">
      <c r="A990" s="5">
        <v>36171</v>
      </c>
      <c r="B990">
        <v>732.8</v>
      </c>
    </row>
    <row r="991" spans="1:2" x14ac:dyDescent="0.25">
      <c r="A991" s="5">
        <v>36178</v>
      </c>
      <c r="B991">
        <v>746.3</v>
      </c>
    </row>
    <row r="992" spans="1:2" x14ac:dyDescent="0.25">
      <c r="A992" s="5">
        <v>36185</v>
      </c>
      <c r="B992">
        <v>746.9</v>
      </c>
    </row>
    <row r="993" spans="1:2" x14ac:dyDescent="0.25">
      <c r="A993" s="5">
        <v>36192</v>
      </c>
      <c r="B993">
        <v>747.6</v>
      </c>
    </row>
    <row r="994" spans="1:2" x14ac:dyDescent="0.25">
      <c r="A994" s="5">
        <v>36199</v>
      </c>
      <c r="B994">
        <v>755.1</v>
      </c>
    </row>
    <row r="995" spans="1:2" x14ac:dyDescent="0.25">
      <c r="A995" s="5">
        <v>36206</v>
      </c>
      <c r="B995">
        <v>757.9</v>
      </c>
    </row>
    <row r="996" spans="1:2" x14ac:dyDescent="0.25">
      <c r="A996" s="5">
        <v>36213</v>
      </c>
      <c r="B996">
        <v>761.4</v>
      </c>
    </row>
    <row r="997" spans="1:2" x14ac:dyDescent="0.25">
      <c r="A997" s="5">
        <v>36220</v>
      </c>
      <c r="B997">
        <v>761.6</v>
      </c>
    </row>
    <row r="998" spans="1:2" x14ac:dyDescent="0.25">
      <c r="A998" s="5">
        <v>36227</v>
      </c>
      <c r="B998">
        <v>766.2</v>
      </c>
    </row>
    <row r="999" spans="1:2" x14ac:dyDescent="0.25">
      <c r="A999" s="5">
        <v>36234</v>
      </c>
      <c r="B999">
        <v>763.5</v>
      </c>
    </row>
    <row r="1000" spans="1:2" x14ac:dyDescent="0.25">
      <c r="A1000" s="5">
        <v>36241</v>
      </c>
      <c r="B1000">
        <v>766.1</v>
      </c>
    </row>
    <row r="1001" spans="1:2" x14ac:dyDescent="0.25">
      <c r="A1001" s="5">
        <v>36248</v>
      </c>
      <c r="B1001">
        <v>768.3</v>
      </c>
    </row>
    <row r="1002" spans="1:2" x14ac:dyDescent="0.25">
      <c r="A1002" s="5">
        <v>36255</v>
      </c>
      <c r="B1002">
        <v>767.1</v>
      </c>
    </row>
    <row r="1003" spans="1:2" x14ac:dyDescent="0.25">
      <c r="A1003" s="5">
        <v>36262</v>
      </c>
      <c r="B1003">
        <v>776</v>
      </c>
    </row>
    <row r="1004" spans="1:2" x14ac:dyDescent="0.25">
      <c r="A1004" s="5">
        <v>36269</v>
      </c>
      <c r="B1004">
        <v>774.4</v>
      </c>
    </row>
    <row r="1005" spans="1:2" x14ac:dyDescent="0.25">
      <c r="A1005" s="5">
        <v>36276</v>
      </c>
      <c r="B1005">
        <v>769.1</v>
      </c>
    </row>
    <row r="1006" spans="1:2" x14ac:dyDescent="0.25">
      <c r="A1006" s="5">
        <v>36283</v>
      </c>
      <c r="B1006">
        <v>753.8</v>
      </c>
    </row>
    <row r="1007" spans="1:2" x14ac:dyDescent="0.25">
      <c r="A1007" s="5">
        <v>36290</v>
      </c>
      <c r="B1007">
        <v>753.4</v>
      </c>
    </row>
    <row r="1008" spans="1:2" x14ac:dyDescent="0.25">
      <c r="A1008" s="5">
        <v>36297</v>
      </c>
      <c r="B1008">
        <v>751.9</v>
      </c>
    </row>
    <row r="1009" spans="1:2" x14ac:dyDescent="0.25">
      <c r="A1009" s="5">
        <v>36304</v>
      </c>
      <c r="B1009">
        <v>760.6</v>
      </c>
    </row>
    <row r="1010" spans="1:2" x14ac:dyDescent="0.25">
      <c r="A1010" s="5">
        <v>36311</v>
      </c>
      <c r="B1010">
        <v>759.3</v>
      </c>
    </row>
    <row r="1011" spans="1:2" x14ac:dyDescent="0.25">
      <c r="A1011" s="5">
        <v>36318</v>
      </c>
      <c r="B1011">
        <v>764.8</v>
      </c>
    </row>
    <row r="1012" spans="1:2" x14ac:dyDescent="0.25">
      <c r="A1012" s="5">
        <v>36325</v>
      </c>
      <c r="B1012">
        <v>770.6</v>
      </c>
    </row>
    <row r="1013" spans="1:2" x14ac:dyDescent="0.25">
      <c r="A1013" s="5">
        <v>36332</v>
      </c>
      <c r="B1013">
        <v>768.1</v>
      </c>
    </row>
    <row r="1014" spans="1:2" x14ac:dyDescent="0.25">
      <c r="A1014" s="5">
        <v>36339</v>
      </c>
      <c r="B1014">
        <v>767.6</v>
      </c>
    </row>
    <row r="1015" spans="1:2" x14ac:dyDescent="0.25">
      <c r="A1015" s="5">
        <v>36346</v>
      </c>
      <c r="B1015">
        <v>760.7</v>
      </c>
    </row>
    <row r="1016" spans="1:2" x14ac:dyDescent="0.25">
      <c r="A1016" s="5">
        <v>36353</v>
      </c>
      <c r="B1016">
        <v>775.2</v>
      </c>
    </row>
    <row r="1017" spans="1:2" x14ac:dyDescent="0.25">
      <c r="A1017" s="5">
        <v>36360</v>
      </c>
      <c r="B1017">
        <v>775.3</v>
      </c>
    </row>
    <row r="1018" spans="1:2" x14ac:dyDescent="0.25">
      <c r="A1018" s="5">
        <v>36367</v>
      </c>
      <c r="B1018">
        <v>777.3</v>
      </c>
    </row>
    <row r="1019" spans="1:2" x14ac:dyDescent="0.25">
      <c r="A1019" s="5">
        <v>36374</v>
      </c>
      <c r="B1019">
        <v>772.9</v>
      </c>
    </row>
    <row r="1020" spans="1:2" x14ac:dyDescent="0.25">
      <c r="A1020" s="5">
        <v>36381</v>
      </c>
      <c r="B1020">
        <v>785.6</v>
      </c>
    </row>
    <row r="1021" spans="1:2" x14ac:dyDescent="0.25">
      <c r="A1021" s="5">
        <v>36388</v>
      </c>
      <c r="B1021">
        <v>789.2</v>
      </c>
    </row>
    <row r="1022" spans="1:2" x14ac:dyDescent="0.25">
      <c r="A1022" s="5">
        <v>36395</v>
      </c>
      <c r="B1022">
        <v>790.7</v>
      </c>
    </row>
    <row r="1023" spans="1:2" x14ac:dyDescent="0.25">
      <c r="A1023" s="5">
        <v>36402</v>
      </c>
      <c r="B1023">
        <v>789.2</v>
      </c>
    </row>
    <row r="1024" spans="1:2" x14ac:dyDescent="0.25">
      <c r="A1024" s="5">
        <v>36409</v>
      </c>
      <c r="B1024">
        <v>790.1</v>
      </c>
    </row>
    <row r="1025" spans="1:2" x14ac:dyDescent="0.25">
      <c r="A1025" s="5">
        <v>36416</v>
      </c>
      <c r="B1025">
        <v>796.5</v>
      </c>
    </row>
    <row r="1026" spans="1:2" x14ac:dyDescent="0.25">
      <c r="A1026" s="5">
        <v>36423</v>
      </c>
      <c r="B1026">
        <v>796.4</v>
      </c>
    </row>
    <row r="1027" spans="1:2" x14ac:dyDescent="0.25">
      <c r="A1027" s="5">
        <v>36430</v>
      </c>
      <c r="B1027">
        <v>793.6</v>
      </c>
    </row>
    <row r="1028" spans="1:2" x14ac:dyDescent="0.25">
      <c r="A1028" s="5">
        <v>36437</v>
      </c>
      <c r="B1028">
        <v>789.8</v>
      </c>
    </row>
    <row r="1029" spans="1:2" x14ac:dyDescent="0.25">
      <c r="A1029" s="5">
        <v>36444</v>
      </c>
      <c r="B1029">
        <v>798.7</v>
      </c>
    </row>
    <row r="1030" spans="1:2" x14ac:dyDescent="0.25">
      <c r="A1030" s="5">
        <v>36451</v>
      </c>
      <c r="B1030">
        <v>802.4</v>
      </c>
    </row>
    <row r="1031" spans="1:2" x14ac:dyDescent="0.25">
      <c r="A1031" s="5">
        <v>36458</v>
      </c>
      <c r="B1031">
        <v>801</v>
      </c>
    </row>
    <row r="1032" spans="1:2" x14ac:dyDescent="0.25">
      <c r="A1032" s="5">
        <v>36465</v>
      </c>
      <c r="B1032">
        <v>799.8</v>
      </c>
    </row>
    <row r="1033" spans="1:2" x14ac:dyDescent="0.25">
      <c r="A1033" s="5">
        <v>36472</v>
      </c>
      <c r="B1033">
        <v>803.1</v>
      </c>
    </row>
    <row r="1034" spans="1:2" x14ac:dyDescent="0.25">
      <c r="A1034" s="5">
        <v>36479</v>
      </c>
      <c r="B1034">
        <v>801.6</v>
      </c>
    </row>
    <row r="1035" spans="1:2" x14ac:dyDescent="0.25">
      <c r="A1035" s="5">
        <v>36486</v>
      </c>
      <c r="B1035">
        <v>806.6</v>
      </c>
    </row>
    <row r="1036" spans="1:2" x14ac:dyDescent="0.25">
      <c r="A1036" s="5">
        <v>36493</v>
      </c>
      <c r="B1036">
        <v>810.1</v>
      </c>
    </row>
    <row r="1037" spans="1:2" x14ac:dyDescent="0.25">
      <c r="A1037" s="5">
        <v>36500</v>
      </c>
      <c r="B1037">
        <v>814.3</v>
      </c>
    </row>
    <row r="1038" spans="1:2" x14ac:dyDescent="0.25">
      <c r="A1038" s="5">
        <v>36507</v>
      </c>
      <c r="B1038">
        <v>821.2</v>
      </c>
    </row>
    <row r="1039" spans="1:2" x14ac:dyDescent="0.25">
      <c r="A1039" s="5">
        <v>36514</v>
      </c>
      <c r="B1039">
        <v>823.2</v>
      </c>
    </row>
    <row r="1040" spans="1:2" x14ac:dyDescent="0.25">
      <c r="A1040" s="5">
        <v>36521</v>
      </c>
      <c r="B1040">
        <v>824.3</v>
      </c>
    </row>
    <row r="1041" spans="1:2" x14ac:dyDescent="0.25">
      <c r="A1041" s="5">
        <v>36528</v>
      </c>
      <c r="B1041">
        <v>826.9</v>
      </c>
    </row>
    <row r="1042" spans="1:2" x14ac:dyDescent="0.25">
      <c r="A1042" s="5">
        <v>36535</v>
      </c>
      <c r="B1042">
        <v>843.2</v>
      </c>
    </row>
    <row r="1043" spans="1:2" x14ac:dyDescent="0.25">
      <c r="A1043" s="5">
        <v>36542</v>
      </c>
      <c r="B1043">
        <v>849</v>
      </c>
    </row>
    <row r="1044" spans="1:2" x14ac:dyDescent="0.25">
      <c r="A1044" s="5">
        <v>36549</v>
      </c>
      <c r="B1044">
        <v>850.1</v>
      </c>
    </row>
    <row r="1045" spans="1:2" x14ac:dyDescent="0.25">
      <c r="A1045" s="5">
        <v>36556</v>
      </c>
      <c r="B1045">
        <v>852.5</v>
      </c>
    </row>
    <row r="1046" spans="1:2" x14ac:dyDescent="0.25">
      <c r="A1046" s="5">
        <v>36563</v>
      </c>
      <c r="B1046">
        <v>855.9</v>
      </c>
    </row>
    <row r="1047" spans="1:2" x14ac:dyDescent="0.25">
      <c r="A1047" s="5">
        <v>36570</v>
      </c>
      <c r="B1047">
        <v>859.1</v>
      </c>
    </row>
    <row r="1048" spans="1:2" x14ac:dyDescent="0.25">
      <c r="A1048" s="5">
        <v>36577</v>
      </c>
      <c r="B1048">
        <v>861.4</v>
      </c>
    </row>
    <row r="1049" spans="1:2" x14ac:dyDescent="0.25">
      <c r="A1049" s="5">
        <v>36584</v>
      </c>
      <c r="B1049">
        <v>867.7</v>
      </c>
    </row>
    <row r="1050" spans="1:2" x14ac:dyDescent="0.25">
      <c r="A1050" s="5">
        <v>36591</v>
      </c>
      <c r="B1050">
        <v>866.1</v>
      </c>
    </row>
    <row r="1051" spans="1:2" x14ac:dyDescent="0.25">
      <c r="A1051" s="5">
        <v>36598</v>
      </c>
      <c r="B1051">
        <v>878.6</v>
      </c>
    </row>
    <row r="1052" spans="1:2" x14ac:dyDescent="0.25">
      <c r="A1052" s="5">
        <v>36605</v>
      </c>
      <c r="B1052">
        <v>885.6</v>
      </c>
    </row>
    <row r="1053" spans="1:2" x14ac:dyDescent="0.25">
      <c r="A1053" s="5">
        <v>36612</v>
      </c>
      <c r="B1053">
        <v>887</v>
      </c>
    </row>
    <row r="1054" spans="1:2" x14ac:dyDescent="0.25">
      <c r="A1054" s="5">
        <v>36619</v>
      </c>
      <c r="B1054">
        <v>895.2</v>
      </c>
    </row>
    <row r="1055" spans="1:2" x14ac:dyDescent="0.25">
      <c r="A1055" s="5">
        <v>36626</v>
      </c>
      <c r="B1055">
        <v>907.8</v>
      </c>
    </row>
    <row r="1056" spans="1:2" x14ac:dyDescent="0.25">
      <c r="A1056" s="5">
        <v>36633</v>
      </c>
      <c r="B1056">
        <v>904.8</v>
      </c>
    </row>
    <row r="1057" spans="1:2" x14ac:dyDescent="0.25">
      <c r="A1057" s="5">
        <v>36640</v>
      </c>
      <c r="B1057">
        <v>895.6</v>
      </c>
    </row>
    <row r="1058" spans="1:2" x14ac:dyDescent="0.25">
      <c r="A1058" s="5">
        <v>36647</v>
      </c>
      <c r="B1058">
        <v>872.9</v>
      </c>
    </row>
    <row r="1059" spans="1:2" x14ac:dyDescent="0.25">
      <c r="A1059" s="5">
        <v>36654</v>
      </c>
      <c r="B1059">
        <v>865.8</v>
      </c>
    </row>
    <row r="1060" spans="1:2" x14ac:dyDescent="0.25">
      <c r="A1060" s="5">
        <v>36661</v>
      </c>
      <c r="B1060">
        <v>869</v>
      </c>
    </row>
    <row r="1061" spans="1:2" x14ac:dyDescent="0.25">
      <c r="A1061" s="5">
        <v>36668</v>
      </c>
      <c r="B1061">
        <v>871.8</v>
      </c>
    </row>
    <row r="1062" spans="1:2" x14ac:dyDescent="0.25">
      <c r="A1062" s="5">
        <v>36675</v>
      </c>
      <c r="B1062">
        <v>875.9</v>
      </c>
    </row>
    <row r="1063" spans="1:2" x14ac:dyDescent="0.25">
      <c r="A1063" s="5">
        <v>36682</v>
      </c>
      <c r="B1063">
        <v>872.4</v>
      </c>
    </row>
    <row r="1064" spans="1:2" x14ac:dyDescent="0.25">
      <c r="A1064" s="5">
        <v>36689</v>
      </c>
      <c r="B1064">
        <v>877.9</v>
      </c>
    </row>
    <row r="1065" spans="1:2" x14ac:dyDescent="0.25">
      <c r="A1065" s="5">
        <v>36696</v>
      </c>
      <c r="B1065">
        <v>872.1</v>
      </c>
    </row>
    <row r="1066" spans="1:2" x14ac:dyDescent="0.25">
      <c r="A1066" s="5">
        <v>36703</v>
      </c>
      <c r="B1066">
        <v>865.4</v>
      </c>
    </row>
    <row r="1067" spans="1:2" x14ac:dyDescent="0.25">
      <c r="A1067" s="5">
        <v>36710</v>
      </c>
      <c r="B1067">
        <v>859.2</v>
      </c>
    </row>
    <row r="1068" spans="1:2" x14ac:dyDescent="0.25">
      <c r="A1068" s="5">
        <v>36717</v>
      </c>
      <c r="B1068">
        <v>858.5</v>
      </c>
    </row>
    <row r="1069" spans="1:2" x14ac:dyDescent="0.25">
      <c r="A1069" s="5">
        <v>36724</v>
      </c>
      <c r="B1069">
        <v>861.4</v>
      </c>
    </row>
    <row r="1070" spans="1:2" x14ac:dyDescent="0.25">
      <c r="A1070" s="5">
        <v>36731</v>
      </c>
      <c r="B1070">
        <v>865</v>
      </c>
    </row>
    <row r="1071" spans="1:2" x14ac:dyDescent="0.25">
      <c r="A1071" s="5">
        <v>36738</v>
      </c>
      <c r="B1071">
        <v>865.4</v>
      </c>
    </row>
    <row r="1072" spans="1:2" x14ac:dyDescent="0.25">
      <c r="A1072" s="5">
        <v>36745</v>
      </c>
      <c r="B1072">
        <v>873.2</v>
      </c>
    </row>
    <row r="1073" spans="1:2" x14ac:dyDescent="0.25">
      <c r="A1073" s="5">
        <v>36752</v>
      </c>
      <c r="B1073">
        <v>875.5</v>
      </c>
    </row>
    <row r="1074" spans="1:2" x14ac:dyDescent="0.25">
      <c r="A1074" s="5">
        <v>36759</v>
      </c>
      <c r="B1074">
        <v>881.8</v>
      </c>
    </row>
    <row r="1075" spans="1:2" x14ac:dyDescent="0.25">
      <c r="A1075" s="5">
        <v>36766</v>
      </c>
      <c r="B1075">
        <v>882.6</v>
      </c>
    </row>
    <row r="1076" spans="1:2" x14ac:dyDescent="0.25">
      <c r="A1076" s="5">
        <v>36773</v>
      </c>
      <c r="B1076">
        <v>879.6</v>
      </c>
    </row>
    <row r="1077" spans="1:2" x14ac:dyDescent="0.25">
      <c r="A1077" s="5">
        <v>36780</v>
      </c>
      <c r="B1077">
        <v>888</v>
      </c>
    </row>
    <row r="1078" spans="1:2" x14ac:dyDescent="0.25">
      <c r="A1078" s="5">
        <v>36787</v>
      </c>
      <c r="B1078">
        <v>892</v>
      </c>
    </row>
    <row r="1079" spans="1:2" x14ac:dyDescent="0.25">
      <c r="A1079" s="5">
        <v>36794</v>
      </c>
      <c r="B1079">
        <v>885.7</v>
      </c>
    </row>
    <row r="1080" spans="1:2" x14ac:dyDescent="0.25">
      <c r="A1080" s="5">
        <v>36801</v>
      </c>
      <c r="B1080">
        <v>885.1</v>
      </c>
    </row>
    <row r="1081" spans="1:2" x14ac:dyDescent="0.25">
      <c r="A1081" s="5">
        <v>36808</v>
      </c>
      <c r="B1081">
        <v>887.8</v>
      </c>
    </row>
    <row r="1082" spans="1:2" x14ac:dyDescent="0.25">
      <c r="A1082" s="5">
        <v>36815</v>
      </c>
      <c r="B1082">
        <v>896.1</v>
      </c>
    </row>
    <row r="1083" spans="1:2" x14ac:dyDescent="0.25">
      <c r="A1083" s="5">
        <v>36822</v>
      </c>
      <c r="B1083">
        <v>896.1</v>
      </c>
    </row>
    <row r="1084" spans="1:2" x14ac:dyDescent="0.25">
      <c r="A1084" s="5">
        <v>36829</v>
      </c>
      <c r="B1084">
        <v>889.7</v>
      </c>
    </row>
    <row r="1085" spans="1:2" x14ac:dyDescent="0.25">
      <c r="A1085" s="5">
        <v>36836</v>
      </c>
      <c r="B1085">
        <v>884.5</v>
      </c>
    </row>
    <row r="1086" spans="1:2" x14ac:dyDescent="0.25">
      <c r="A1086" s="5">
        <v>36843</v>
      </c>
      <c r="B1086">
        <v>894</v>
      </c>
    </row>
    <row r="1087" spans="1:2" x14ac:dyDescent="0.25">
      <c r="A1087" s="5">
        <v>36850</v>
      </c>
      <c r="B1087">
        <v>894.1</v>
      </c>
    </row>
    <row r="1088" spans="1:2" x14ac:dyDescent="0.25">
      <c r="A1088" s="5">
        <v>36857</v>
      </c>
      <c r="B1088">
        <v>903.3</v>
      </c>
    </row>
    <row r="1089" spans="1:2" x14ac:dyDescent="0.25">
      <c r="A1089" s="5">
        <v>36864</v>
      </c>
      <c r="B1089">
        <v>904.5</v>
      </c>
    </row>
    <row r="1090" spans="1:2" x14ac:dyDescent="0.25">
      <c r="A1090" s="5">
        <v>36871</v>
      </c>
      <c r="B1090">
        <v>909.6</v>
      </c>
    </row>
    <row r="1091" spans="1:2" x14ac:dyDescent="0.25">
      <c r="A1091" s="5">
        <v>36878</v>
      </c>
      <c r="B1091">
        <v>916.8</v>
      </c>
    </row>
    <row r="1092" spans="1:2" x14ac:dyDescent="0.25">
      <c r="A1092" s="5">
        <v>36885</v>
      </c>
      <c r="B1092">
        <v>919.7</v>
      </c>
    </row>
    <row r="1093" spans="1:2" x14ac:dyDescent="0.25">
      <c r="A1093" s="5">
        <v>36892</v>
      </c>
      <c r="B1093">
        <v>917.1</v>
      </c>
    </row>
    <row r="1094" spans="1:2" x14ac:dyDescent="0.25">
      <c r="A1094" s="5">
        <v>36899</v>
      </c>
      <c r="B1094">
        <v>924.1</v>
      </c>
    </row>
    <row r="1095" spans="1:2" x14ac:dyDescent="0.25">
      <c r="A1095" s="5">
        <v>36906</v>
      </c>
      <c r="B1095">
        <v>941.5</v>
      </c>
    </row>
    <row r="1096" spans="1:2" x14ac:dyDescent="0.25">
      <c r="A1096" s="5">
        <v>36913</v>
      </c>
      <c r="B1096">
        <v>946.4</v>
      </c>
    </row>
    <row r="1097" spans="1:2" x14ac:dyDescent="0.25">
      <c r="A1097" s="5">
        <v>36920</v>
      </c>
      <c r="B1097">
        <v>940.3</v>
      </c>
    </row>
    <row r="1098" spans="1:2" x14ac:dyDescent="0.25">
      <c r="A1098" s="5">
        <v>36927</v>
      </c>
      <c r="B1098">
        <v>936.8</v>
      </c>
    </row>
    <row r="1099" spans="1:2" x14ac:dyDescent="0.25">
      <c r="A1099" s="5">
        <v>36934</v>
      </c>
      <c r="B1099">
        <v>945.9</v>
      </c>
    </row>
    <row r="1100" spans="1:2" x14ac:dyDescent="0.25">
      <c r="A1100" s="5">
        <v>36941</v>
      </c>
      <c r="B1100">
        <v>945.4</v>
      </c>
    </row>
    <row r="1101" spans="1:2" x14ac:dyDescent="0.25">
      <c r="A1101" s="5">
        <v>36948</v>
      </c>
      <c r="B1101">
        <v>952.1</v>
      </c>
    </row>
    <row r="1102" spans="1:2" x14ac:dyDescent="0.25">
      <c r="A1102" s="5">
        <v>36955</v>
      </c>
      <c r="B1102">
        <v>953.6</v>
      </c>
    </row>
    <row r="1103" spans="1:2" x14ac:dyDescent="0.25">
      <c r="A1103" s="5">
        <v>36962</v>
      </c>
      <c r="B1103">
        <v>962.8</v>
      </c>
    </row>
    <row r="1104" spans="1:2" x14ac:dyDescent="0.25">
      <c r="A1104" s="5">
        <v>36969</v>
      </c>
      <c r="B1104">
        <v>966.6</v>
      </c>
    </row>
    <row r="1105" spans="1:2" x14ac:dyDescent="0.25">
      <c r="A1105" s="5">
        <v>36976</v>
      </c>
      <c r="B1105">
        <v>977.5</v>
      </c>
    </row>
    <row r="1106" spans="1:2" x14ac:dyDescent="0.25">
      <c r="A1106" s="5">
        <v>36983</v>
      </c>
      <c r="B1106">
        <v>978.5</v>
      </c>
    </row>
    <row r="1107" spans="1:2" x14ac:dyDescent="0.25">
      <c r="A1107" s="5">
        <v>36990</v>
      </c>
      <c r="B1107">
        <v>988.5</v>
      </c>
    </row>
    <row r="1108" spans="1:2" x14ac:dyDescent="0.25">
      <c r="A1108" s="5">
        <v>36997</v>
      </c>
      <c r="B1108">
        <v>990.7</v>
      </c>
    </row>
    <row r="1109" spans="1:2" x14ac:dyDescent="0.25">
      <c r="A1109" s="5">
        <v>37004</v>
      </c>
      <c r="B1109">
        <v>984.3</v>
      </c>
    </row>
    <row r="1110" spans="1:2" x14ac:dyDescent="0.25">
      <c r="A1110" s="5">
        <v>37011</v>
      </c>
      <c r="B1110">
        <v>963.2</v>
      </c>
    </row>
    <row r="1111" spans="1:2" x14ac:dyDescent="0.25">
      <c r="A1111" s="5">
        <v>37018</v>
      </c>
      <c r="B1111">
        <v>938.6</v>
      </c>
    </row>
    <row r="1112" spans="1:2" x14ac:dyDescent="0.25">
      <c r="A1112" s="5">
        <v>37025</v>
      </c>
      <c r="B1112">
        <v>943.2</v>
      </c>
    </row>
    <row r="1113" spans="1:2" x14ac:dyDescent="0.25">
      <c r="A1113" s="5">
        <v>37032</v>
      </c>
      <c r="B1113">
        <v>941.4</v>
      </c>
    </row>
    <row r="1114" spans="1:2" x14ac:dyDescent="0.25">
      <c r="A1114" s="5">
        <v>37039</v>
      </c>
      <c r="B1114">
        <v>938.9</v>
      </c>
    </row>
    <row r="1115" spans="1:2" x14ac:dyDescent="0.25">
      <c r="A1115" s="5">
        <v>37046</v>
      </c>
      <c r="B1115">
        <v>943.5</v>
      </c>
    </row>
    <row r="1116" spans="1:2" x14ac:dyDescent="0.25">
      <c r="A1116" s="5">
        <v>37053</v>
      </c>
      <c r="B1116">
        <v>946.6</v>
      </c>
    </row>
    <row r="1117" spans="1:2" x14ac:dyDescent="0.25">
      <c r="A1117" s="5">
        <v>37060</v>
      </c>
      <c r="B1117">
        <v>950</v>
      </c>
    </row>
    <row r="1118" spans="1:2" x14ac:dyDescent="0.25">
      <c r="A1118" s="5">
        <v>37067</v>
      </c>
      <c r="B1118">
        <v>947.3</v>
      </c>
    </row>
    <row r="1119" spans="1:2" x14ac:dyDescent="0.25">
      <c r="A1119" s="5">
        <v>37074</v>
      </c>
      <c r="B1119">
        <v>941.2</v>
      </c>
    </row>
    <row r="1120" spans="1:2" x14ac:dyDescent="0.25">
      <c r="A1120" s="5">
        <v>37081</v>
      </c>
      <c r="B1120">
        <v>944.9</v>
      </c>
    </row>
    <row r="1121" spans="1:2" x14ac:dyDescent="0.25">
      <c r="A1121" s="5">
        <v>37088</v>
      </c>
      <c r="B1121">
        <v>951.5</v>
      </c>
    </row>
    <row r="1122" spans="1:2" x14ac:dyDescent="0.25">
      <c r="A1122" s="5">
        <v>37095</v>
      </c>
      <c r="B1122">
        <v>950.2</v>
      </c>
    </row>
    <row r="1123" spans="1:2" x14ac:dyDescent="0.25">
      <c r="A1123" s="5">
        <v>37102</v>
      </c>
      <c r="B1123">
        <v>949.2</v>
      </c>
    </row>
    <row r="1124" spans="1:2" x14ac:dyDescent="0.25">
      <c r="A1124" s="5">
        <v>37109</v>
      </c>
      <c r="B1124">
        <v>944.2</v>
      </c>
    </row>
    <row r="1125" spans="1:2" x14ac:dyDescent="0.25">
      <c r="A1125" s="5">
        <v>37116</v>
      </c>
      <c r="B1125">
        <v>950.2</v>
      </c>
    </row>
    <row r="1126" spans="1:2" x14ac:dyDescent="0.25">
      <c r="A1126" s="5">
        <v>37123</v>
      </c>
      <c r="B1126">
        <v>948.2</v>
      </c>
    </row>
    <row r="1127" spans="1:2" x14ac:dyDescent="0.25">
      <c r="A1127" s="5">
        <v>37130</v>
      </c>
      <c r="B1127">
        <v>950.4</v>
      </c>
    </row>
    <row r="1128" spans="1:2" x14ac:dyDescent="0.25">
      <c r="A1128" s="5">
        <v>37137</v>
      </c>
      <c r="B1128">
        <v>948.6</v>
      </c>
    </row>
    <row r="1129" spans="1:2" x14ac:dyDescent="0.25">
      <c r="A1129" s="5">
        <v>37144</v>
      </c>
      <c r="B1129">
        <v>952.9</v>
      </c>
    </row>
    <row r="1130" spans="1:2" x14ac:dyDescent="0.25">
      <c r="A1130" s="5">
        <v>37151</v>
      </c>
      <c r="B1130">
        <v>952.8</v>
      </c>
    </row>
    <row r="1131" spans="1:2" x14ac:dyDescent="0.25">
      <c r="A1131" s="5">
        <v>37158</v>
      </c>
      <c r="B1131">
        <v>961.9</v>
      </c>
    </row>
    <row r="1132" spans="1:2" x14ac:dyDescent="0.25">
      <c r="A1132" s="5">
        <v>37165</v>
      </c>
      <c r="B1132">
        <v>964.4</v>
      </c>
    </row>
    <row r="1133" spans="1:2" x14ac:dyDescent="0.25">
      <c r="A1133" s="5">
        <v>37172</v>
      </c>
      <c r="B1133">
        <v>965.9</v>
      </c>
    </row>
    <row r="1134" spans="1:2" x14ac:dyDescent="0.25">
      <c r="A1134" s="5">
        <v>37179</v>
      </c>
      <c r="B1134">
        <v>967.6</v>
      </c>
    </row>
    <row r="1135" spans="1:2" x14ac:dyDescent="0.25">
      <c r="A1135" s="5">
        <v>37186</v>
      </c>
      <c r="B1135">
        <v>965.3</v>
      </c>
    </row>
    <row r="1136" spans="1:2" x14ac:dyDescent="0.25">
      <c r="A1136" s="5">
        <v>37193</v>
      </c>
      <c r="B1136">
        <v>964.9</v>
      </c>
    </row>
    <row r="1137" spans="1:2" x14ac:dyDescent="0.25">
      <c r="A1137" s="5">
        <v>37200</v>
      </c>
      <c r="B1137">
        <v>963.5</v>
      </c>
    </row>
    <row r="1138" spans="1:2" x14ac:dyDescent="0.25">
      <c r="A1138" s="5">
        <v>37207</v>
      </c>
      <c r="B1138">
        <v>965.4</v>
      </c>
    </row>
    <row r="1139" spans="1:2" x14ac:dyDescent="0.25">
      <c r="A1139" s="5">
        <v>37214</v>
      </c>
      <c r="B1139">
        <v>965.1</v>
      </c>
    </row>
    <row r="1140" spans="1:2" x14ac:dyDescent="0.25">
      <c r="A1140" s="5">
        <v>37221</v>
      </c>
      <c r="B1140">
        <v>969.9</v>
      </c>
    </row>
    <row r="1141" spans="1:2" x14ac:dyDescent="0.25">
      <c r="A1141" s="5">
        <v>37228</v>
      </c>
      <c r="B1141">
        <v>972.7</v>
      </c>
    </row>
    <row r="1142" spans="1:2" x14ac:dyDescent="0.25">
      <c r="A1142" s="5">
        <v>37235</v>
      </c>
      <c r="B1142">
        <v>976.1</v>
      </c>
    </row>
    <row r="1143" spans="1:2" x14ac:dyDescent="0.25">
      <c r="A1143" s="5">
        <v>37242</v>
      </c>
      <c r="B1143">
        <v>976.6</v>
      </c>
    </row>
    <row r="1144" spans="1:2" x14ac:dyDescent="0.25">
      <c r="A1144" s="5">
        <v>37249</v>
      </c>
      <c r="B1144">
        <v>972.3</v>
      </c>
    </row>
    <row r="1145" spans="1:2" x14ac:dyDescent="0.25">
      <c r="A1145" s="5">
        <v>37256</v>
      </c>
      <c r="B1145">
        <v>968.9</v>
      </c>
    </row>
    <row r="1146" spans="1:2" x14ac:dyDescent="0.25">
      <c r="A1146" s="5">
        <v>37263</v>
      </c>
      <c r="B1146">
        <v>961.6</v>
      </c>
    </row>
    <row r="1147" spans="1:2" x14ac:dyDescent="0.25">
      <c r="A1147" s="5">
        <v>37270</v>
      </c>
      <c r="B1147">
        <v>973.6</v>
      </c>
    </row>
    <row r="1148" spans="1:2" x14ac:dyDescent="0.25">
      <c r="A1148" s="5">
        <v>37277</v>
      </c>
      <c r="B1148">
        <v>967.4</v>
      </c>
    </row>
    <row r="1149" spans="1:2" x14ac:dyDescent="0.25">
      <c r="A1149" s="5">
        <v>37284</v>
      </c>
      <c r="B1149">
        <v>965.5</v>
      </c>
    </row>
    <row r="1150" spans="1:2" x14ac:dyDescent="0.25">
      <c r="A1150" s="5">
        <v>37291</v>
      </c>
      <c r="B1150">
        <v>961.6</v>
      </c>
    </row>
    <row r="1151" spans="1:2" x14ac:dyDescent="0.25">
      <c r="A1151" s="5">
        <v>37298</v>
      </c>
      <c r="B1151">
        <v>964.9</v>
      </c>
    </row>
    <row r="1152" spans="1:2" x14ac:dyDescent="0.25">
      <c r="A1152" s="5">
        <v>37305</v>
      </c>
      <c r="B1152">
        <v>963.1</v>
      </c>
    </row>
    <row r="1153" spans="1:2" x14ac:dyDescent="0.25">
      <c r="A1153" s="5">
        <v>37312</v>
      </c>
      <c r="B1153">
        <v>965.2</v>
      </c>
    </row>
    <row r="1154" spans="1:2" x14ac:dyDescent="0.25">
      <c r="A1154" s="5">
        <v>37319</v>
      </c>
      <c r="B1154">
        <v>961.3</v>
      </c>
    </row>
    <row r="1155" spans="1:2" x14ac:dyDescent="0.25">
      <c r="A1155" s="5">
        <v>37326</v>
      </c>
      <c r="B1155">
        <v>960.3</v>
      </c>
    </row>
    <row r="1156" spans="1:2" x14ac:dyDescent="0.25">
      <c r="A1156" s="5">
        <v>37333</v>
      </c>
      <c r="B1156">
        <v>954.5</v>
      </c>
    </row>
    <row r="1157" spans="1:2" x14ac:dyDescent="0.25">
      <c r="A1157" s="5">
        <v>37340</v>
      </c>
      <c r="B1157">
        <v>952.1</v>
      </c>
    </row>
    <row r="1158" spans="1:2" x14ac:dyDescent="0.25">
      <c r="A1158" s="5">
        <v>37347</v>
      </c>
      <c r="B1158">
        <v>948</v>
      </c>
    </row>
    <row r="1159" spans="1:2" x14ac:dyDescent="0.25">
      <c r="A1159" s="5">
        <v>37354</v>
      </c>
      <c r="B1159">
        <v>947.6</v>
      </c>
    </row>
    <row r="1160" spans="1:2" x14ac:dyDescent="0.25">
      <c r="A1160" s="5">
        <v>37361</v>
      </c>
      <c r="B1160">
        <v>944</v>
      </c>
    </row>
    <row r="1161" spans="1:2" x14ac:dyDescent="0.25">
      <c r="A1161" s="5">
        <v>37368</v>
      </c>
      <c r="B1161">
        <v>933.9</v>
      </c>
    </row>
    <row r="1162" spans="1:2" x14ac:dyDescent="0.25">
      <c r="A1162" s="5">
        <v>37375</v>
      </c>
      <c r="B1162">
        <v>921.9</v>
      </c>
    </row>
    <row r="1163" spans="1:2" x14ac:dyDescent="0.25">
      <c r="A1163" s="5">
        <v>37382</v>
      </c>
      <c r="B1163">
        <v>910.9</v>
      </c>
    </row>
    <row r="1164" spans="1:2" x14ac:dyDescent="0.25">
      <c r="A1164" s="5">
        <v>37389</v>
      </c>
      <c r="B1164">
        <v>914.5</v>
      </c>
    </row>
    <row r="1165" spans="1:2" x14ac:dyDescent="0.25">
      <c r="A1165" s="5">
        <v>37396</v>
      </c>
      <c r="B1165">
        <v>911.6</v>
      </c>
    </row>
    <row r="1166" spans="1:2" x14ac:dyDescent="0.25">
      <c r="A1166" s="5">
        <v>37403</v>
      </c>
      <c r="B1166">
        <v>911</v>
      </c>
    </row>
    <row r="1167" spans="1:2" x14ac:dyDescent="0.25">
      <c r="A1167" s="5">
        <v>37410</v>
      </c>
      <c r="B1167">
        <v>907</v>
      </c>
    </row>
    <row r="1168" spans="1:2" x14ac:dyDescent="0.25">
      <c r="A1168" s="5">
        <v>37417</v>
      </c>
      <c r="B1168">
        <v>907.3</v>
      </c>
    </row>
    <row r="1169" spans="1:2" x14ac:dyDescent="0.25">
      <c r="A1169" s="5">
        <v>37424</v>
      </c>
      <c r="B1169">
        <v>909</v>
      </c>
    </row>
    <row r="1170" spans="1:2" x14ac:dyDescent="0.25">
      <c r="A1170" s="5">
        <v>37431</v>
      </c>
      <c r="B1170">
        <v>907.4</v>
      </c>
    </row>
    <row r="1171" spans="1:2" x14ac:dyDescent="0.25">
      <c r="A1171" s="5">
        <v>37438</v>
      </c>
      <c r="B1171">
        <v>903.3</v>
      </c>
    </row>
    <row r="1172" spans="1:2" x14ac:dyDescent="0.25">
      <c r="A1172" s="5">
        <v>37445</v>
      </c>
      <c r="B1172">
        <v>906.5</v>
      </c>
    </row>
    <row r="1173" spans="1:2" x14ac:dyDescent="0.25">
      <c r="A1173" s="5">
        <v>37452</v>
      </c>
      <c r="B1173">
        <v>915.3</v>
      </c>
    </row>
    <row r="1174" spans="1:2" x14ac:dyDescent="0.25">
      <c r="A1174" s="5">
        <v>37459</v>
      </c>
      <c r="B1174">
        <v>921</v>
      </c>
    </row>
    <row r="1175" spans="1:2" x14ac:dyDescent="0.25">
      <c r="A1175" s="5">
        <v>37466</v>
      </c>
      <c r="B1175">
        <v>927.2</v>
      </c>
    </row>
    <row r="1176" spans="1:2" x14ac:dyDescent="0.25">
      <c r="A1176" s="5">
        <v>37473</v>
      </c>
      <c r="B1176">
        <v>923</v>
      </c>
    </row>
    <row r="1177" spans="1:2" x14ac:dyDescent="0.25">
      <c r="A1177" s="5">
        <v>37480</v>
      </c>
      <c r="B1177">
        <v>923.4</v>
      </c>
    </row>
    <row r="1178" spans="1:2" x14ac:dyDescent="0.25">
      <c r="A1178" s="5">
        <v>37487</v>
      </c>
      <c r="B1178">
        <v>920.1</v>
      </c>
    </row>
    <row r="1179" spans="1:2" x14ac:dyDescent="0.25">
      <c r="A1179" s="5">
        <v>37494</v>
      </c>
      <c r="B1179">
        <v>919.1</v>
      </c>
    </row>
    <row r="1180" spans="1:2" x14ac:dyDescent="0.25">
      <c r="A1180" s="5">
        <v>37501</v>
      </c>
      <c r="B1180">
        <v>910.7</v>
      </c>
    </row>
    <row r="1181" spans="1:2" x14ac:dyDescent="0.25">
      <c r="A1181" s="5">
        <v>37508</v>
      </c>
      <c r="B1181">
        <v>906.1</v>
      </c>
    </row>
    <row r="1182" spans="1:2" x14ac:dyDescent="0.25">
      <c r="A1182" s="5">
        <v>37515</v>
      </c>
      <c r="B1182">
        <v>904.5</v>
      </c>
    </row>
    <row r="1183" spans="1:2" x14ac:dyDescent="0.25">
      <c r="A1183" s="5">
        <v>37522</v>
      </c>
      <c r="B1183">
        <v>903.5</v>
      </c>
    </row>
    <row r="1184" spans="1:2" x14ac:dyDescent="0.25">
      <c r="A1184" s="5">
        <v>37529</v>
      </c>
      <c r="B1184">
        <v>897.5</v>
      </c>
    </row>
    <row r="1185" spans="1:2" x14ac:dyDescent="0.25">
      <c r="A1185" s="5">
        <v>37536</v>
      </c>
      <c r="B1185">
        <v>895.5</v>
      </c>
    </row>
    <row r="1186" spans="1:2" x14ac:dyDescent="0.25">
      <c r="A1186" s="5">
        <v>37543</v>
      </c>
      <c r="B1186">
        <v>901.1</v>
      </c>
    </row>
    <row r="1187" spans="1:2" x14ac:dyDescent="0.25">
      <c r="A1187" s="5">
        <v>37550</v>
      </c>
      <c r="B1187">
        <v>905.6</v>
      </c>
    </row>
    <row r="1188" spans="1:2" x14ac:dyDescent="0.25">
      <c r="A1188" s="5">
        <v>37557</v>
      </c>
      <c r="B1188">
        <v>905.5</v>
      </c>
    </row>
    <row r="1189" spans="1:2" x14ac:dyDescent="0.25">
      <c r="A1189" s="5">
        <v>37564</v>
      </c>
      <c r="B1189">
        <v>902.1</v>
      </c>
    </row>
    <row r="1190" spans="1:2" x14ac:dyDescent="0.25">
      <c r="A1190" s="5">
        <v>37571</v>
      </c>
      <c r="B1190">
        <v>901.3</v>
      </c>
    </row>
    <row r="1191" spans="1:2" x14ac:dyDescent="0.25">
      <c r="A1191" s="5">
        <v>37578</v>
      </c>
      <c r="B1191">
        <v>901.2</v>
      </c>
    </row>
    <row r="1192" spans="1:2" x14ac:dyDescent="0.25">
      <c r="A1192" s="5">
        <v>37585</v>
      </c>
      <c r="B1192">
        <v>905.1</v>
      </c>
    </row>
    <row r="1193" spans="1:2" x14ac:dyDescent="0.25">
      <c r="A1193" s="5">
        <v>37592</v>
      </c>
      <c r="B1193">
        <v>899.2</v>
      </c>
    </row>
    <row r="1194" spans="1:2" x14ac:dyDescent="0.25">
      <c r="A1194" s="5">
        <v>37599</v>
      </c>
      <c r="B1194">
        <v>901.5</v>
      </c>
    </row>
    <row r="1195" spans="1:2" x14ac:dyDescent="0.25">
      <c r="A1195" s="5">
        <v>37606</v>
      </c>
      <c r="B1195">
        <v>898.1</v>
      </c>
    </row>
    <row r="1196" spans="1:2" x14ac:dyDescent="0.25">
      <c r="A1196" s="5">
        <v>37613</v>
      </c>
      <c r="B1196">
        <v>896.4</v>
      </c>
    </row>
    <row r="1197" spans="1:2" x14ac:dyDescent="0.25">
      <c r="A1197" s="5">
        <v>37620</v>
      </c>
      <c r="B1197">
        <v>890.2</v>
      </c>
    </row>
    <row r="1198" spans="1:2" x14ac:dyDescent="0.25">
      <c r="A1198" s="5">
        <v>37627</v>
      </c>
      <c r="B1198">
        <v>883.8</v>
      </c>
    </row>
    <row r="1199" spans="1:2" x14ac:dyDescent="0.25">
      <c r="A1199" s="5">
        <v>37634</v>
      </c>
      <c r="B1199">
        <v>891.9</v>
      </c>
    </row>
    <row r="1200" spans="1:2" x14ac:dyDescent="0.25">
      <c r="A1200" s="5">
        <v>37641</v>
      </c>
      <c r="B1200">
        <v>893.6</v>
      </c>
    </row>
    <row r="1201" spans="1:2" x14ac:dyDescent="0.25">
      <c r="A1201" s="5">
        <v>37648</v>
      </c>
      <c r="B1201">
        <v>894.3</v>
      </c>
    </row>
    <row r="1202" spans="1:2" x14ac:dyDescent="0.25">
      <c r="A1202" s="5">
        <v>37655</v>
      </c>
      <c r="B1202">
        <v>889.8</v>
      </c>
    </row>
    <row r="1203" spans="1:2" x14ac:dyDescent="0.25">
      <c r="A1203" s="5">
        <v>37662</v>
      </c>
      <c r="B1203">
        <v>888.9</v>
      </c>
    </row>
    <row r="1204" spans="1:2" x14ac:dyDescent="0.25">
      <c r="A1204" s="5">
        <v>37669</v>
      </c>
      <c r="B1204">
        <v>889.2</v>
      </c>
    </row>
    <row r="1205" spans="1:2" x14ac:dyDescent="0.25">
      <c r="A1205" s="5">
        <v>37676</v>
      </c>
      <c r="B1205">
        <v>892.1</v>
      </c>
    </row>
    <row r="1206" spans="1:2" x14ac:dyDescent="0.25">
      <c r="A1206" s="5">
        <v>37683</v>
      </c>
      <c r="B1206">
        <v>891</v>
      </c>
    </row>
    <row r="1207" spans="1:2" x14ac:dyDescent="0.25">
      <c r="A1207" s="5">
        <v>37690</v>
      </c>
      <c r="B1207">
        <v>888.9</v>
      </c>
    </row>
    <row r="1208" spans="1:2" x14ac:dyDescent="0.25">
      <c r="A1208" s="5">
        <v>37697</v>
      </c>
      <c r="B1208">
        <v>887.2</v>
      </c>
    </row>
    <row r="1209" spans="1:2" x14ac:dyDescent="0.25">
      <c r="A1209" s="5">
        <v>37704</v>
      </c>
      <c r="B1209">
        <v>888.5</v>
      </c>
    </row>
    <row r="1210" spans="1:2" x14ac:dyDescent="0.25">
      <c r="A1210" s="5">
        <v>37711</v>
      </c>
      <c r="B1210">
        <v>886.8</v>
      </c>
    </row>
    <row r="1211" spans="1:2" x14ac:dyDescent="0.25">
      <c r="A1211" s="5">
        <v>37718</v>
      </c>
      <c r="B1211">
        <v>883.2</v>
      </c>
    </row>
    <row r="1212" spans="1:2" x14ac:dyDescent="0.25">
      <c r="A1212" s="5">
        <v>37725</v>
      </c>
      <c r="B1212">
        <v>882.6</v>
      </c>
    </row>
    <row r="1213" spans="1:2" x14ac:dyDescent="0.25">
      <c r="A1213" s="5">
        <v>37732</v>
      </c>
      <c r="B1213">
        <v>876.1</v>
      </c>
    </row>
    <row r="1214" spans="1:2" x14ac:dyDescent="0.25">
      <c r="A1214" s="5">
        <v>37739</v>
      </c>
      <c r="B1214">
        <v>866.8</v>
      </c>
    </row>
    <row r="1215" spans="1:2" x14ac:dyDescent="0.25">
      <c r="A1215" s="5">
        <v>37746</v>
      </c>
      <c r="B1215">
        <v>857.6</v>
      </c>
    </row>
    <row r="1216" spans="1:2" x14ac:dyDescent="0.25">
      <c r="A1216" s="5">
        <v>37753</v>
      </c>
      <c r="B1216">
        <v>858.6</v>
      </c>
    </row>
    <row r="1217" spans="1:2" x14ac:dyDescent="0.25">
      <c r="A1217" s="5">
        <v>37760</v>
      </c>
      <c r="B1217">
        <v>854.4</v>
      </c>
    </row>
    <row r="1218" spans="1:2" x14ac:dyDescent="0.25">
      <c r="A1218" s="5">
        <v>37767</v>
      </c>
      <c r="B1218">
        <v>858.1</v>
      </c>
    </row>
    <row r="1219" spans="1:2" x14ac:dyDescent="0.25">
      <c r="A1219" s="5">
        <v>37774</v>
      </c>
      <c r="B1219">
        <v>856.4</v>
      </c>
    </row>
    <row r="1220" spans="1:2" x14ac:dyDescent="0.25">
      <c r="A1220" s="5">
        <v>37781</v>
      </c>
      <c r="B1220">
        <v>855</v>
      </c>
    </row>
    <row r="1221" spans="1:2" x14ac:dyDescent="0.25">
      <c r="A1221" s="5">
        <v>37788</v>
      </c>
      <c r="B1221">
        <v>852.3</v>
      </c>
    </row>
    <row r="1222" spans="1:2" x14ac:dyDescent="0.25">
      <c r="A1222" s="5">
        <v>37795</v>
      </c>
      <c r="B1222">
        <v>852.7</v>
      </c>
    </row>
    <row r="1223" spans="1:2" x14ac:dyDescent="0.25">
      <c r="A1223" s="5">
        <v>37802</v>
      </c>
      <c r="B1223">
        <v>850.8</v>
      </c>
    </row>
    <row r="1224" spans="1:2" x14ac:dyDescent="0.25">
      <c r="A1224" s="5">
        <v>37809</v>
      </c>
      <c r="B1224">
        <v>847.9</v>
      </c>
    </row>
    <row r="1225" spans="1:2" x14ac:dyDescent="0.25">
      <c r="A1225" s="5">
        <v>37816</v>
      </c>
      <c r="B1225">
        <v>848.2</v>
      </c>
    </row>
    <row r="1226" spans="1:2" x14ac:dyDescent="0.25">
      <c r="A1226" s="5">
        <v>37823</v>
      </c>
      <c r="B1226">
        <v>844.9</v>
      </c>
    </row>
    <row r="1227" spans="1:2" x14ac:dyDescent="0.25">
      <c r="A1227" s="5">
        <v>37830</v>
      </c>
      <c r="B1227">
        <v>845.3</v>
      </c>
    </row>
    <row r="1228" spans="1:2" x14ac:dyDescent="0.25">
      <c r="A1228" s="5">
        <v>37837</v>
      </c>
      <c r="B1228">
        <v>844.5</v>
      </c>
    </row>
    <row r="1229" spans="1:2" x14ac:dyDescent="0.25">
      <c r="A1229" s="5">
        <v>37844</v>
      </c>
      <c r="B1229">
        <v>849.4</v>
      </c>
    </row>
    <row r="1230" spans="1:2" x14ac:dyDescent="0.25">
      <c r="A1230" s="5">
        <v>37851</v>
      </c>
      <c r="B1230">
        <v>846.9</v>
      </c>
    </row>
    <row r="1231" spans="1:2" x14ac:dyDescent="0.25">
      <c r="A1231" s="5">
        <v>37858</v>
      </c>
      <c r="B1231">
        <v>852.4</v>
      </c>
    </row>
    <row r="1232" spans="1:2" x14ac:dyDescent="0.25">
      <c r="A1232" s="5">
        <v>37865</v>
      </c>
      <c r="B1232">
        <v>846.7</v>
      </c>
    </row>
    <row r="1233" spans="1:2" x14ac:dyDescent="0.25">
      <c r="A1233" s="5">
        <v>37872</v>
      </c>
      <c r="B1233">
        <v>842.1</v>
      </c>
    </row>
    <row r="1234" spans="1:2" x14ac:dyDescent="0.25">
      <c r="A1234" s="5">
        <v>37879</v>
      </c>
      <c r="B1234">
        <v>841</v>
      </c>
    </row>
    <row r="1235" spans="1:2" x14ac:dyDescent="0.25">
      <c r="A1235" s="5">
        <v>37886</v>
      </c>
      <c r="B1235">
        <v>834.2</v>
      </c>
    </row>
    <row r="1236" spans="1:2" x14ac:dyDescent="0.25">
      <c r="A1236" s="5">
        <v>37893</v>
      </c>
      <c r="B1236">
        <v>827.9</v>
      </c>
    </row>
    <row r="1237" spans="1:2" x14ac:dyDescent="0.25">
      <c r="A1237" s="5">
        <v>37900</v>
      </c>
      <c r="B1237">
        <v>815.2</v>
      </c>
    </row>
    <row r="1238" spans="1:2" x14ac:dyDescent="0.25">
      <c r="A1238" s="5">
        <v>37907</v>
      </c>
      <c r="B1238">
        <v>818.2</v>
      </c>
    </row>
    <row r="1239" spans="1:2" x14ac:dyDescent="0.25">
      <c r="A1239" s="5">
        <v>37914</v>
      </c>
      <c r="B1239">
        <v>813.7</v>
      </c>
    </row>
    <row r="1240" spans="1:2" x14ac:dyDescent="0.25">
      <c r="A1240" s="5">
        <v>37921</v>
      </c>
      <c r="B1240">
        <v>810</v>
      </c>
    </row>
    <row r="1241" spans="1:2" x14ac:dyDescent="0.25">
      <c r="A1241" s="5">
        <v>37928</v>
      </c>
      <c r="B1241">
        <v>805.6</v>
      </c>
    </row>
    <row r="1242" spans="1:2" x14ac:dyDescent="0.25">
      <c r="A1242" s="5">
        <v>37935</v>
      </c>
      <c r="B1242">
        <v>802</v>
      </c>
    </row>
    <row r="1243" spans="1:2" x14ac:dyDescent="0.25">
      <c r="A1243" s="5">
        <v>37942</v>
      </c>
      <c r="B1243">
        <v>803.2</v>
      </c>
    </row>
    <row r="1244" spans="1:2" x14ac:dyDescent="0.25">
      <c r="A1244" s="5">
        <v>37949</v>
      </c>
      <c r="B1244">
        <v>804.1</v>
      </c>
    </row>
    <row r="1245" spans="1:2" x14ac:dyDescent="0.25">
      <c r="A1245" s="5">
        <v>37956</v>
      </c>
      <c r="B1245">
        <v>798.2</v>
      </c>
    </row>
    <row r="1246" spans="1:2" x14ac:dyDescent="0.25">
      <c r="A1246" s="5">
        <v>37963</v>
      </c>
      <c r="B1246">
        <v>799.1</v>
      </c>
    </row>
    <row r="1247" spans="1:2" x14ac:dyDescent="0.25">
      <c r="A1247" s="5">
        <v>37970</v>
      </c>
      <c r="B1247">
        <v>796</v>
      </c>
    </row>
    <row r="1248" spans="1:2" x14ac:dyDescent="0.25">
      <c r="A1248" s="5">
        <v>37977</v>
      </c>
      <c r="B1248">
        <v>793.4</v>
      </c>
    </row>
    <row r="1249" spans="1:2" x14ac:dyDescent="0.25">
      <c r="A1249" s="5">
        <v>37984</v>
      </c>
      <c r="B1249">
        <v>786.7</v>
      </c>
    </row>
    <row r="1250" spans="1:2" x14ac:dyDescent="0.25">
      <c r="A1250" s="5">
        <v>37991</v>
      </c>
      <c r="B1250">
        <v>783.3</v>
      </c>
    </row>
    <row r="1251" spans="1:2" x14ac:dyDescent="0.25">
      <c r="A1251" s="5">
        <v>37998</v>
      </c>
      <c r="B1251">
        <v>783.7</v>
      </c>
    </row>
    <row r="1252" spans="1:2" x14ac:dyDescent="0.25">
      <c r="A1252" s="5">
        <v>38005</v>
      </c>
      <c r="B1252">
        <v>780.5</v>
      </c>
    </row>
    <row r="1253" spans="1:2" x14ac:dyDescent="0.25">
      <c r="A1253" s="5">
        <v>38012</v>
      </c>
      <c r="B1253">
        <v>777.4</v>
      </c>
    </row>
    <row r="1254" spans="1:2" x14ac:dyDescent="0.25">
      <c r="A1254" s="5">
        <v>38019</v>
      </c>
      <c r="B1254">
        <v>776.7</v>
      </c>
    </row>
    <row r="1255" spans="1:2" x14ac:dyDescent="0.25">
      <c r="A1255" s="5">
        <v>38026</v>
      </c>
      <c r="B1255">
        <v>775.4</v>
      </c>
    </row>
    <row r="1256" spans="1:2" x14ac:dyDescent="0.25">
      <c r="A1256" s="5">
        <v>38033</v>
      </c>
      <c r="B1256">
        <v>772.1</v>
      </c>
    </row>
    <row r="1257" spans="1:2" x14ac:dyDescent="0.25">
      <c r="A1257" s="5">
        <v>38040</v>
      </c>
      <c r="B1257">
        <v>773.1</v>
      </c>
    </row>
    <row r="1258" spans="1:2" x14ac:dyDescent="0.25">
      <c r="A1258" s="5">
        <v>38047</v>
      </c>
      <c r="B1258">
        <v>769.7</v>
      </c>
    </row>
    <row r="1259" spans="1:2" x14ac:dyDescent="0.25">
      <c r="A1259" s="5">
        <v>38054</v>
      </c>
      <c r="B1259">
        <v>767.2</v>
      </c>
    </row>
    <row r="1260" spans="1:2" x14ac:dyDescent="0.25">
      <c r="A1260" s="5">
        <v>38061</v>
      </c>
      <c r="B1260">
        <v>764.6</v>
      </c>
    </row>
    <row r="1261" spans="1:2" x14ac:dyDescent="0.25">
      <c r="A1261" s="5">
        <v>38068</v>
      </c>
      <c r="B1261">
        <v>768</v>
      </c>
    </row>
    <row r="1262" spans="1:2" x14ac:dyDescent="0.25">
      <c r="A1262" s="5">
        <v>38075</v>
      </c>
      <c r="B1262">
        <v>767.1</v>
      </c>
    </row>
    <row r="1263" spans="1:2" x14ac:dyDescent="0.25">
      <c r="A1263" s="5">
        <v>38082</v>
      </c>
      <c r="B1263">
        <v>758.4</v>
      </c>
    </row>
    <row r="1264" spans="1:2" x14ac:dyDescent="0.25">
      <c r="A1264" s="5">
        <v>38089</v>
      </c>
      <c r="B1264">
        <v>757.4</v>
      </c>
    </row>
    <row r="1265" spans="1:2" x14ac:dyDescent="0.25">
      <c r="A1265" s="5">
        <v>38096</v>
      </c>
      <c r="B1265">
        <v>754.7</v>
      </c>
    </row>
    <row r="1266" spans="1:2" x14ac:dyDescent="0.25">
      <c r="A1266" s="5">
        <v>38103</v>
      </c>
      <c r="B1266">
        <v>751.9</v>
      </c>
    </row>
    <row r="1267" spans="1:2" x14ac:dyDescent="0.25">
      <c r="A1267" s="5">
        <v>38110</v>
      </c>
      <c r="B1267">
        <v>743.2</v>
      </c>
    </row>
    <row r="1268" spans="1:2" x14ac:dyDescent="0.25">
      <c r="A1268" s="5">
        <v>38117</v>
      </c>
      <c r="B1268">
        <v>742.2</v>
      </c>
    </row>
    <row r="1269" spans="1:2" x14ac:dyDescent="0.25">
      <c r="A1269" s="5">
        <v>38124</v>
      </c>
      <c r="B1269">
        <v>746.6</v>
      </c>
    </row>
    <row r="1270" spans="1:2" x14ac:dyDescent="0.25">
      <c r="A1270" s="5">
        <v>38131</v>
      </c>
      <c r="B1270">
        <v>752</v>
      </c>
    </row>
    <row r="1271" spans="1:2" x14ac:dyDescent="0.25">
      <c r="A1271" s="5">
        <v>38138</v>
      </c>
      <c r="B1271">
        <v>748.2</v>
      </c>
    </row>
    <row r="1272" spans="1:2" x14ac:dyDescent="0.25">
      <c r="A1272" s="5">
        <v>38145</v>
      </c>
      <c r="B1272">
        <v>744.9</v>
      </c>
    </row>
    <row r="1273" spans="1:2" x14ac:dyDescent="0.25">
      <c r="A1273" s="5">
        <v>38152</v>
      </c>
      <c r="B1273">
        <v>743.8</v>
      </c>
    </row>
    <row r="1274" spans="1:2" x14ac:dyDescent="0.25">
      <c r="A1274" s="5">
        <v>38159</v>
      </c>
      <c r="B1274">
        <v>743</v>
      </c>
    </row>
    <row r="1275" spans="1:2" x14ac:dyDescent="0.25">
      <c r="A1275" s="5">
        <v>38166</v>
      </c>
      <c r="B1275">
        <v>738.6</v>
      </c>
    </row>
    <row r="1276" spans="1:2" x14ac:dyDescent="0.25">
      <c r="A1276" s="5">
        <v>38173</v>
      </c>
      <c r="B1276">
        <v>731.8</v>
      </c>
    </row>
    <row r="1277" spans="1:2" x14ac:dyDescent="0.25">
      <c r="A1277" s="5">
        <v>38180</v>
      </c>
      <c r="B1277">
        <v>735.8</v>
      </c>
    </row>
    <row r="1278" spans="1:2" x14ac:dyDescent="0.25">
      <c r="A1278" s="5">
        <v>38187</v>
      </c>
      <c r="B1278">
        <v>732.1</v>
      </c>
    </row>
    <row r="1279" spans="1:2" x14ac:dyDescent="0.25">
      <c r="A1279" s="5">
        <v>38194</v>
      </c>
      <c r="B1279">
        <v>731</v>
      </c>
    </row>
    <row r="1280" spans="1:2" x14ac:dyDescent="0.25">
      <c r="A1280" s="5">
        <v>38201</v>
      </c>
      <c r="B1280">
        <v>730</v>
      </c>
    </row>
    <row r="1281" spans="1:2" x14ac:dyDescent="0.25">
      <c r="A1281" s="5">
        <v>38208</v>
      </c>
      <c r="B1281">
        <v>731.9</v>
      </c>
    </row>
    <row r="1282" spans="1:2" x14ac:dyDescent="0.25">
      <c r="A1282" s="5">
        <v>38215</v>
      </c>
      <c r="B1282">
        <v>732</v>
      </c>
    </row>
    <row r="1283" spans="1:2" x14ac:dyDescent="0.25">
      <c r="A1283" s="5">
        <v>38222</v>
      </c>
      <c r="B1283">
        <v>735.9</v>
      </c>
    </row>
    <row r="1284" spans="1:2" x14ac:dyDescent="0.25">
      <c r="A1284" s="5">
        <v>38229</v>
      </c>
      <c r="B1284">
        <v>730.1</v>
      </c>
    </row>
    <row r="1285" spans="1:2" x14ac:dyDescent="0.25">
      <c r="A1285" s="5">
        <v>38236</v>
      </c>
      <c r="B1285">
        <v>724.4</v>
      </c>
    </row>
    <row r="1286" spans="1:2" x14ac:dyDescent="0.25">
      <c r="A1286" s="5">
        <v>38243</v>
      </c>
      <c r="B1286">
        <v>727.7</v>
      </c>
    </row>
    <row r="1287" spans="1:2" x14ac:dyDescent="0.25">
      <c r="A1287" s="5">
        <v>38250</v>
      </c>
      <c r="B1287">
        <v>724.3</v>
      </c>
    </row>
    <row r="1288" spans="1:2" x14ac:dyDescent="0.25">
      <c r="A1288" s="5">
        <v>38257</v>
      </c>
      <c r="B1288">
        <v>721.9</v>
      </c>
    </row>
    <row r="1289" spans="1:2" x14ac:dyDescent="0.25">
      <c r="A1289" s="5">
        <v>38264</v>
      </c>
      <c r="B1289">
        <v>716.7</v>
      </c>
    </row>
    <row r="1290" spans="1:2" x14ac:dyDescent="0.25">
      <c r="A1290" s="5">
        <v>38271</v>
      </c>
      <c r="B1290">
        <v>716.4</v>
      </c>
    </row>
    <row r="1291" spans="1:2" x14ac:dyDescent="0.25">
      <c r="A1291" s="5">
        <v>38278</v>
      </c>
      <c r="B1291">
        <v>715.8</v>
      </c>
    </row>
    <row r="1292" spans="1:2" x14ac:dyDescent="0.25">
      <c r="A1292" s="5">
        <v>38285</v>
      </c>
      <c r="B1292">
        <v>715.8</v>
      </c>
    </row>
    <row r="1293" spans="1:2" x14ac:dyDescent="0.25">
      <c r="A1293" s="5">
        <v>38292</v>
      </c>
      <c r="B1293">
        <v>713</v>
      </c>
    </row>
    <row r="1294" spans="1:2" x14ac:dyDescent="0.25">
      <c r="A1294" s="5">
        <v>38299</v>
      </c>
      <c r="B1294">
        <v>714.4</v>
      </c>
    </row>
    <row r="1295" spans="1:2" x14ac:dyDescent="0.25">
      <c r="A1295" s="5">
        <v>38306</v>
      </c>
      <c r="B1295">
        <v>710.4</v>
      </c>
    </row>
    <row r="1296" spans="1:2" x14ac:dyDescent="0.25">
      <c r="A1296" s="5">
        <v>38313</v>
      </c>
      <c r="B1296">
        <v>715.1</v>
      </c>
    </row>
    <row r="1297" spans="1:2" x14ac:dyDescent="0.25">
      <c r="A1297" s="5">
        <v>38320</v>
      </c>
      <c r="B1297">
        <v>713.9</v>
      </c>
    </row>
    <row r="1298" spans="1:2" x14ac:dyDescent="0.25">
      <c r="A1298" s="5">
        <v>38327</v>
      </c>
      <c r="B1298">
        <v>711.9</v>
      </c>
    </row>
    <row r="1299" spans="1:2" x14ac:dyDescent="0.25">
      <c r="A1299" s="5">
        <v>38334</v>
      </c>
      <c r="B1299">
        <v>718.5</v>
      </c>
    </row>
    <row r="1300" spans="1:2" x14ac:dyDescent="0.25">
      <c r="A1300" s="5">
        <v>38341</v>
      </c>
      <c r="B1300">
        <v>717.6</v>
      </c>
    </row>
    <row r="1301" spans="1:2" x14ac:dyDescent="0.25">
      <c r="A1301" s="5">
        <v>38348</v>
      </c>
      <c r="B1301">
        <v>715.9</v>
      </c>
    </row>
    <row r="1302" spans="1:2" x14ac:dyDescent="0.25">
      <c r="A1302" s="5">
        <v>38355</v>
      </c>
      <c r="B1302">
        <v>712.6</v>
      </c>
    </row>
    <row r="1303" spans="1:2" x14ac:dyDescent="0.25">
      <c r="A1303" s="5">
        <v>38362</v>
      </c>
      <c r="B1303">
        <v>713</v>
      </c>
    </row>
    <row r="1304" spans="1:2" x14ac:dyDescent="0.25">
      <c r="A1304" s="5">
        <v>38369</v>
      </c>
      <c r="B1304">
        <v>716.4</v>
      </c>
    </row>
    <row r="1305" spans="1:2" x14ac:dyDescent="0.25">
      <c r="A1305" s="5">
        <v>38376</v>
      </c>
      <c r="B1305">
        <v>719.4</v>
      </c>
    </row>
    <row r="1306" spans="1:2" x14ac:dyDescent="0.25">
      <c r="A1306" s="5">
        <v>38383</v>
      </c>
      <c r="B1306">
        <v>715.4</v>
      </c>
    </row>
    <row r="1307" spans="1:2" x14ac:dyDescent="0.25">
      <c r="A1307" s="5">
        <v>38390</v>
      </c>
      <c r="B1307">
        <v>714.8</v>
      </c>
    </row>
    <row r="1308" spans="1:2" x14ac:dyDescent="0.25">
      <c r="A1308" s="5">
        <v>38397</v>
      </c>
      <c r="B1308">
        <v>712.3</v>
      </c>
    </row>
    <row r="1309" spans="1:2" x14ac:dyDescent="0.25">
      <c r="A1309" s="5">
        <v>38404</v>
      </c>
      <c r="B1309">
        <v>712.5</v>
      </c>
    </row>
    <row r="1310" spans="1:2" x14ac:dyDescent="0.25">
      <c r="A1310" s="5">
        <v>38411</v>
      </c>
      <c r="B1310">
        <v>713.6</v>
      </c>
    </row>
    <row r="1311" spans="1:2" x14ac:dyDescent="0.25">
      <c r="A1311" s="5">
        <v>38418</v>
      </c>
      <c r="B1311">
        <v>709.6</v>
      </c>
    </row>
    <row r="1312" spans="1:2" x14ac:dyDescent="0.25">
      <c r="A1312" s="5">
        <v>38425</v>
      </c>
      <c r="B1312">
        <v>710</v>
      </c>
    </row>
    <row r="1313" spans="1:2" x14ac:dyDescent="0.25">
      <c r="A1313" s="5">
        <v>38432</v>
      </c>
      <c r="B1313">
        <v>712.1</v>
      </c>
    </row>
    <row r="1314" spans="1:2" x14ac:dyDescent="0.25">
      <c r="A1314" s="5">
        <v>38439</v>
      </c>
      <c r="B1314">
        <v>712.2</v>
      </c>
    </row>
    <row r="1315" spans="1:2" x14ac:dyDescent="0.25">
      <c r="A1315" s="5">
        <v>38446</v>
      </c>
      <c r="B1315">
        <v>709.9</v>
      </c>
    </row>
    <row r="1316" spans="1:2" x14ac:dyDescent="0.25">
      <c r="A1316" s="5">
        <v>38453</v>
      </c>
      <c r="B1316">
        <v>712</v>
      </c>
    </row>
    <row r="1317" spans="1:2" x14ac:dyDescent="0.25">
      <c r="A1317" s="5">
        <v>38460</v>
      </c>
      <c r="B1317">
        <v>708.8</v>
      </c>
    </row>
    <row r="1318" spans="1:2" x14ac:dyDescent="0.25">
      <c r="A1318" s="5">
        <v>38467</v>
      </c>
      <c r="B1318">
        <v>710.5</v>
      </c>
    </row>
    <row r="1319" spans="1:2" x14ac:dyDescent="0.25">
      <c r="A1319" s="5">
        <v>38474</v>
      </c>
      <c r="B1319">
        <v>703.1</v>
      </c>
    </row>
    <row r="1320" spans="1:2" x14ac:dyDescent="0.25">
      <c r="A1320" s="5">
        <v>38481</v>
      </c>
      <c r="B1320">
        <v>701</v>
      </c>
    </row>
    <row r="1321" spans="1:2" x14ac:dyDescent="0.25">
      <c r="A1321" s="5">
        <v>38488</v>
      </c>
      <c r="B1321">
        <v>698.8</v>
      </c>
    </row>
    <row r="1322" spans="1:2" x14ac:dyDescent="0.25">
      <c r="A1322" s="5">
        <v>38495</v>
      </c>
      <c r="B1322">
        <v>701.6</v>
      </c>
    </row>
    <row r="1323" spans="1:2" x14ac:dyDescent="0.25">
      <c r="A1323" s="5">
        <v>38502</v>
      </c>
      <c r="B1323">
        <v>701.2</v>
      </c>
    </row>
    <row r="1324" spans="1:2" x14ac:dyDescent="0.25">
      <c r="A1324" s="5">
        <v>38509</v>
      </c>
      <c r="B1324">
        <v>698.7</v>
      </c>
    </row>
    <row r="1325" spans="1:2" x14ac:dyDescent="0.25">
      <c r="A1325" s="5">
        <v>38516</v>
      </c>
      <c r="B1325">
        <v>700.9</v>
      </c>
    </row>
    <row r="1326" spans="1:2" x14ac:dyDescent="0.25">
      <c r="A1326" s="5">
        <v>38523</v>
      </c>
      <c r="B1326">
        <v>699</v>
      </c>
    </row>
    <row r="1327" spans="1:2" x14ac:dyDescent="0.25">
      <c r="A1327" s="5">
        <v>38530</v>
      </c>
      <c r="B1327">
        <v>697.6</v>
      </c>
    </row>
    <row r="1328" spans="1:2" x14ac:dyDescent="0.25">
      <c r="A1328" s="5">
        <v>38537</v>
      </c>
      <c r="B1328">
        <v>694.4</v>
      </c>
    </row>
    <row r="1329" spans="1:2" x14ac:dyDescent="0.25">
      <c r="A1329" s="5">
        <v>38544</v>
      </c>
      <c r="B1329">
        <v>699.9</v>
      </c>
    </row>
    <row r="1330" spans="1:2" x14ac:dyDescent="0.25">
      <c r="A1330" s="5">
        <v>38551</v>
      </c>
      <c r="B1330">
        <v>697.6</v>
      </c>
    </row>
    <row r="1331" spans="1:2" x14ac:dyDescent="0.25">
      <c r="A1331" s="5">
        <v>38558</v>
      </c>
      <c r="B1331">
        <v>698.6</v>
      </c>
    </row>
    <row r="1332" spans="1:2" x14ac:dyDescent="0.25">
      <c r="A1332" s="5">
        <v>38565</v>
      </c>
      <c r="B1332">
        <v>697.9</v>
      </c>
    </row>
    <row r="1333" spans="1:2" x14ac:dyDescent="0.25">
      <c r="A1333" s="5">
        <v>38572</v>
      </c>
      <c r="B1333">
        <v>698.6</v>
      </c>
    </row>
    <row r="1334" spans="1:2" x14ac:dyDescent="0.25">
      <c r="A1334" s="5">
        <v>38579</v>
      </c>
      <c r="B1334">
        <v>698.6</v>
      </c>
    </row>
    <row r="1335" spans="1:2" x14ac:dyDescent="0.25">
      <c r="A1335" s="5">
        <v>38586</v>
      </c>
      <c r="B1335">
        <v>703.4</v>
      </c>
    </row>
    <row r="1336" spans="1:2" x14ac:dyDescent="0.25">
      <c r="A1336" s="5">
        <v>38593</v>
      </c>
      <c r="B1336">
        <v>702.8</v>
      </c>
    </row>
    <row r="1337" spans="1:2" x14ac:dyDescent="0.25">
      <c r="A1337" s="5">
        <v>38600</v>
      </c>
      <c r="B1337">
        <v>701.1</v>
      </c>
    </row>
    <row r="1338" spans="1:2" x14ac:dyDescent="0.25">
      <c r="A1338" s="5">
        <v>38607</v>
      </c>
      <c r="B1338">
        <v>705.8</v>
      </c>
    </row>
    <row r="1339" spans="1:2" x14ac:dyDescent="0.25">
      <c r="A1339" s="5">
        <v>38614</v>
      </c>
      <c r="B1339">
        <v>706.5</v>
      </c>
    </row>
    <row r="1340" spans="1:2" x14ac:dyDescent="0.25">
      <c r="A1340" s="5">
        <v>38621</v>
      </c>
      <c r="B1340">
        <v>705.7</v>
      </c>
    </row>
    <row r="1341" spans="1:2" x14ac:dyDescent="0.25">
      <c r="A1341" s="5">
        <v>38628</v>
      </c>
      <c r="B1341">
        <v>702.6</v>
      </c>
    </row>
    <row r="1342" spans="1:2" x14ac:dyDescent="0.25">
      <c r="A1342" s="5">
        <v>38635</v>
      </c>
      <c r="B1342">
        <v>703.9</v>
      </c>
    </row>
    <row r="1343" spans="1:2" x14ac:dyDescent="0.25">
      <c r="A1343" s="5">
        <v>38642</v>
      </c>
      <c r="B1343">
        <v>708.3</v>
      </c>
    </row>
    <row r="1344" spans="1:2" x14ac:dyDescent="0.25">
      <c r="A1344" s="5">
        <v>38649</v>
      </c>
      <c r="B1344">
        <v>714</v>
      </c>
    </row>
    <row r="1345" spans="1:2" x14ac:dyDescent="0.25">
      <c r="A1345" s="5">
        <v>38656</v>
      </c>
      <c r="B1345">
        <v>713</v>
      </c>
    </row>
    <row r="1346" spans="1:2" x14ac:dyDescent="0.25">
      <c r="A1346" s="5">
        <v>38663</v>
      </c>
      <c r="B1346">
        <v>713.5</v>
      </c>
    </row>
    <row r="1347" spans="1:2" x14ac:dyDescent="0.25">
      <c r="A1347" s="5">
        <v>38670</v>
      </c>
      <c r="B1347">
        <v>713.6</v>
      </c>
    </row>
    <row r="1348" spans="1:2" x14ac:dyDescent="0.25">
      <c r="A1348" s="5">
        <v>38677</v>
      </c>
      <c r="B1348">
        <v>714.9</v>
      </c>
    </row>
    <row r="1349" spans="1:2" x14ac:dyDescent="0.25">
      <c r="A1349" s="5">
        <v>38684</v>
      </c>
      <c r="B1349">
        <v>715.5</v>
      </c>
    </row>
    <row r="1350" spans="1:2" x14ac:dyDescent="0.25">
      <c r="A1350" s="5">
        <v>38691</v>
      </c>
      <c r="B1350">
        <v>713.3</v>
      </c>
    </row>
    <row r="1351" spans="1:2" x14ac:dyDescent="0.25">
      <c r="A1351" s="5">
        <v>38698</v>
      </c>
      <c r="B1351">
        <v>717.9</v>
      </c>
    </row>
    <row r="1352" spans="1:2" x14ac:dyDescent="0.25">
      <c r="A1352" s="5">
        <v>38705</v>
      </c>
      <c r="B1352">
        <v>717.8</v>
      </c>
    </row>
    <row r="1353" spans="1:2" x14ac:dyDescent="0.25">
      <c r="A1353" s="5">
        <v>38712</v>
      </c>
      <c r="B1353">
        <v>723.6</v>
      </c>
    </row>
    <row r="1354" spans="1:2" x14ac:dyDescent="0.25">
      <c r="A1354" s="5">
        <v>38719</v>
      </c>
      <c r="B1354">
        <v>725.5</v>
      </c>
    </row>
    <row r="1355" spans="1:2" x14ac:dyDescent="0.25">
      <c r="A1355" s="5">
        <v>38726</v>
      </c>
      <c r="B1355">
        <v>727.5</v>
      </c>
    </row>
    <row r="1356" spans="1:2" x14ac:dyDescent="0.25">
      <c r="A1356" s="5">
        <v>38733</v>
      </c>
      <c r="B1356">
        <v>730.4</v>
      </c>
    </row>
    <row r="1357" spans="1:2" x14ac:dyDescent="0.25">
      <c r="A1357" s="5">
        <v>38740</v>
      </c>
      <c r="B1357">
        <v>730.4</v>
      </c>
    </row>
    <row r="1358" spans="1:2" x14ac:dyDescent="0.25">
      <c r="A1358" s="5">
        <v>38747</v>
      </c>
      <c r="B1358">
        <v>728.7</v>
      </c>
    </row>
    <row r="1359" spans="1:2" x14ac:dyDescent="0.25">
      <c r="A1359" s="5">
        <v>38754</v>
      </c>
      <c r="B1359">
        <v>726.7</v>
      </c>
    </row>
    <row r="1360" spans="1:2" x14ac:dyDescent="0.25">
      <c r="A1360" s="5">
        <v>38761</v>
      </c>
      <c r="B1360">
        <v>729.4</v>
      </c>
    </row>
    <row r="1361" spans="1:2" x14ac:dyDescent="0.25">
      <c r="A1361" s="5">
        <v>38768</v>
      </c>
      <c r="B1361">
        <v>730.8</v>
      </c>
    </row>
    <row r="1362" spans="1:2" x14ac:dyDescent="0.25">
      <c r="A1362" s="5">
        <v>38775</v>
      </c>
      <c r="B1362">
        <v>736.6</v>
      </c>
    </row>
    <row r="1363" spans="1:2" x14ac:dyDescent="0.25">
      <c r="A1363" s="5">
        <v>38782</v>
      </c>
      <c r="B1363">
        <v>734.6</v>
      </c>
    </row>
    <row r="1364" spans="1:2" x14ac:dyDescent="0.25">
      <c r="A1364" s="5">
        <v>38789</v>
      </c>
      <c r="B1364">
        <v>736.1</v>
      </c>
    </row>
    <row r="1365" spans="1:2" x14ac:dyDescent="0.25">
      <c r="A1365" s="5">
        <v>38796</v>
      </c>
      <c r="B1365">
        <v>739.3</v>
      </c>
    </row>
    <row r="1366" spans="1:2" x14ac:dyDescent="0.25">
      <c r="A1366" s="5">
        <v>38803</v>
      </c>
      <c r="B1366">
        <v>743</v>
      </c>
    </row>
    <row r="1367" spans="1:2" x14ac:dyDescent="0.25">
      <c r="A1367" s="5">
        <v>38810</v>
      </c>
      <c r="B1367">
        <v>741.6</v>
      </c>
    </row>
    <row r="1368" spans="1:2" x14ac:dyDescent="0.25">
      <c r="A1368" s="5">
        <v>38817</v>
      </c>
      <c r="B1368">
        <v>742.5</v>
      </c>
    </row>
    <row r="1369" spans="1:2" x14ac:dyDescent="0.25">
      <c r="A1369" s="5">
        <v>38824</v>
      </c>
      <c r="B1369">
        <v>740.9</v>
      </c>
    </row>
    <row r="1370" spans="1:2" x14ac:dyDescent="0.25">
      <c r="A1370" s="5">
        <v>38831</v>
      </c>
      <c r="B1370">
        <v>739.7</v>
      </c>
    </row>
    <row r="1371" spans="1:2" x14ac:dyDescent="0.25">
      <c r="A1371" s="5">
        <v>38838</v>
      </c>
      <c r="B1371">
        <v>731.5</v>
      </c>
    </row>
    <row r="1372" spans="1:2" x14ac:dyDescent="0.25">
      <c r="A1372" s="5">
        <v>38845</v>
      </c>
      <c r="B1372">
        <v>729.2</v>
      </c>
    </row>
    <row r="1373" spans="1:2" x14ac:dyDescent="0.25">
      <c r="A1373" s="5">
        <v>38852</v>
      </c>
      <c r="B1373">
        <v>729.5</v>
      </c>
    </row>
    <row r="1374" spans="1:2" x14ac:dyDescent="0.25">
      <c r="A1374" s="5">
        <v>38859</v>
      </c>
      <c r="B1374">
        <v>737.2</v>
      </c>
    </row>
    <row r="1375" spans="1:2" x14ac:dyDescent="0.25">
      <c r="A1375" s="5">
        <v>38866</v>
      </c>
      <c r="B1375">
        <v>744.1</v>
      </c>
    </row>
    <row r="1376" spans="1:2" x14ac:dyDescent="0.25">
      <c r="A1376" s="5">
        <v>38873</v>
      </c>
      <c r="B1376">
        <v>744.3</v>
      </c>
    </row>
    <row r="1377" spans="1:2" x14ac:dyDescent="0.25">
      <c r="A1377" s="5">
        <v>38880</v>
      </c>
      <c r="B1377">
        <v>745.2</v>
      </c>
    </row>
    <row r="1378" spans="1:2" x14ac:dyDescent="0.25">
      <c r="A1378" s="5">
        <v>38887</v>
      </c>
      <c r="B1378">
        <v>752.5</v>
      </c>
    </row>
    <row r="1379" spans="1:2" x14ac:dyDescent="0.25">
      <c r="A1379" s="5">
        <v>38894</v>
      </c>
      <c r="B1379">
        <v>756.5</v>
      </c>
    </row>
    <row r="1380" spans="1:2" x14ac:dyDescent="0.25">
      <c r="A1380" s="5">
        <v>38901</v>
      </c>
      <c r="B1380">
        <v>751.8</v>
      </c>
    </row>
    <row r="1381" spans="1:2" x14ac:dyDescent="0.25">
      <c r="A1381" s="5">
        <v>38908</v>
      </c>
      <c r="B1381">
        <v>757.5</v>
      </c>
    </row>
    <row r="1382" spans="1:2" x14ac:dyDescent="0.25">
      <c r="A1382" s="5">
        <v>38915</v>
      </c>
      <c r="B1382">
        <v>757.7</v>
      </c>
    </row>
    <row r="1383" spans="1:2" x14ac:dyDescent="0.25">
      <c r="A1383" s="5">
        <v>38922</v>
      </c>
      <c r="B1383">
        <v>762.1</v>
      </c>
    </row>
    <row r="1384" spans="1:2" x14ac:dyDescent="0.25">
      <c r="A1384" s="5">
        <v>38929</v>
      </c>
      <c r="B1384">
        <v>764.3</v>
      </c>
    </row>
    <row r="1385" spans="1:2" x14ac:dyDescent="0.25">
      <c r="A1385" s="5">
        <v>38936</v>
      </c>
      <c r="B1385">
        <v>768.2</v>
      </c>
    </row>
    <row r="1386" spans="1:2" x14ac:dyDescent="0.25">
      <c r="A1386" s="5">
        <v>38943</v>
      </c>
      <c r="B1386">
        <v>769.1</v>
      </c>
    </row>
    <row r="1387" spans="1:2" x14ac:dyDescent="0.25">
      <c r="A1387" s="5">
        <v>38950</v>
      </c>
      <c r="B1387">
        <v>776.3</v>
      </c>
    </row>
    <row r="1388" spans="1:2" x14ac:dyDescent="0.25">
      <c r="A1388" s="5">
        <v>38957</v>
      </c>
      <c r="B1388">
        <v>778.6</v>
      </c>
    </row>
    <row r="1389" spans="1:2" x14ac:dyDescent="0.25">
      <c r="A1389" s="5">
        <v>38964</v>
      </c>
      <c r="B1389">
        <v>777.7</v>
      </c>
    </row>
    <row r="1390" spans="1:2" x14ac:dyDescent="0.25">
      <c r="A1390" s="5">
        <v>38971</v>
      </c>
      <c r="B1390">
        <v>781.8</v>
      </c>
    </row>
    <row r="1391" spans="1:2" x14ac:dyDescent="0.25">
      <c r="A1391" s="5">
        <v>38978</v>
      </c>
      <c r="B1391">
        <v>782.4</v>
      </c>
    </row>
    <row r="1392" spans="1:2" x14ac:dyDescent="0.25">
      <c r="A1392" s="5">
        <v>38985</v>
      </c>
      <c r="B1392">
        <v>784.4</v>
      </c>
    </row>
    <row r="1393" spans="1:2" x14ac:dyDescent="0.25">
      <c r="A1393" s="5">
        <v>38992</v>
      </c>
      <c r="B1393">
        <v>783.3</v>
      </c>
    </row>
    <row r="1394" spans="1:2" x14ac:dyDescent="0.25">
      <c r="A1394" s="5">
        <v>38999</v>
      </c>
      <c r="B1394">
        <v>789.3</v>
      </c>
    </row>
    <row r="1395" spans="1:2" x14ac:dyDescent="0.25">
      <c r="A1395" s="5">
        <v>39006</v>
      </c>
      <c r="B1395">
        <v>792.9</v>
      </c>
    </row>
    <row r="1396" spans="1:2" x14ac:dyDescent="0.25">
      <c r="A1396" s="5">
        <v>39013</v>
      </c>
      <c r="B1396">
        <v>792</v>
      </c>
    </row>
    <row r="1397" spans="1:2" x14ac:dyDescent="0.25">
      <c r="A1397" s="5">
        <v>39020</v>
      </c>
      <c r="B1397">
        <v>791</v>
      </c>
    </row>
    <row r="1398" spans="1:2" x14ac:dyDescent="0.25">
      <c r="A1398" s="5">
        <v>39027</v>
      </c>
      <c r="B1398">
        <v>795.8</v>
      </c>
    </row>
    <row r="1399" spans="1:2" x14ac:dyDescent="0.25">
      <c r="A1399" s="5">
        <v>39034</v>
      </c>
      <c r="B1399">
        <v>799.7</v>
      </c>
    </row>
    <row r="1400" spans="1:2" x14ac:dyDescent="0.25">
      <c r="A1400" s="5">
        <v>39041</v>
      </c>
      <c r="B1400">
        <v>802.4</v>
      </c>
    </row>
    <row r="1401" spans="1:2" x14ac:dyDescent="0.25">
      <c r="A1401" s="5">
        <v>39048</v>
      </c>
      <c r="B1401">
        <v>809</v>
      </c>
    </row>
    <row r="1402" spans="1:2" x14ac:dyDescent="0.25">
      <c r="A1402" s="5">
        <v>39055</v>
      </c>
      <c r="B1402">
        <v>808.7</v>
      </c>
    </row>
    <row r="1403" spans="1:2" x14ac:dyDescent="0.25">
      <c r="A1403" s="5">
        <v>39062</v>
      </c>
      <c r="B1403">
        <v>814.7</v>
      </c>
    </row>
    <row r="1404" spans="1:2" x14ac:dyDescent="0.25">
      <c r="A1404" s="5">
        <v>39069</v>
      </c>
      <c r="B1404">
        <v>815</v>
      </c>
    </row>
    <row r="1405" spans="1:2" x14ac:dyDescent="0.25">
      <c r="A1405" s="5">
        <v>39076</v>
      </c>
      <c r="B1405">
        <v>819.9</v>
      </c>
    </row>
    <row r="1406" spans="1:2" x14ac:dyDescent="0.25">
      <c r="A1406" s="5">
        <v>39083</v>
      </c>
      <c r="B1406">
        <v>822.6</v>
      </c>
    </row>
    <row r="1407" spans="1:2" x14ac:dyDescent="0.25">
      <c r="A1407" s="5">
        <v>39090</v>
      </c>
      <c r="B1407">
        <v>830.5</v>
      </c>
    </row>
    <row r="1408" spans="1:2" x14ac:dyDescent="0.25">
      <c r="A1408" s="5">
        <v>39097</v>
      </c>
      <c r="B1408">
        <v>833.3</v>
      </c>
    </row>
    <row r="1409" spans="1:2" x14ac:dyDescent="0.25">
      <c r="A1409" s="5">
        <v>39104</v>
      </c>
      <c r="B1409">
        <v>836.4</v>
      </c>
    </row>
    <row r="1410" spans="1:2" x14ac:dyDescent="0.25">
      <c r="A1410" s="5">
        <v>39111</v>
      </c>
      <c r="B1410">
        <v>838.8</v>
      </c>
    </row>
    <row r="1411" spans="1:2" x14ac:dyDescent="0.25">
      <c r="A1411" s="5">
        <v>39118</v>
      </c>
      <c r="B1411">
        <v>835.7</v>
      </c>
    </row>
    <row r="1412" spans="1:2" x14ac:dyDescent="0.25">
      <c r="A1412" s="5">
        <v>39125</v>
      </c>
      <c r="B1412">
        <v>838.7</v>
      </c>
    </row>
    <row r="1413" spans="1:2" x14ac:dyDescent="0.25">
      <c r="A1413" s="5">
        <v>39132</v>
      </c>
      <c r="B1413">
        <v>840.1</v>
      </c>
    </row>
    <row r="1414" spans="1:2" x14ac:dyDescent="0.25">
      <c r="A1414" s="5">
        <v>39139</v>
      </c>
      <c r="B1414">
        <v>845.9</v>
      </c>
    </row>
    <row r="1415" spans="1:2" x14ac:dyDescent="0.25">
      <c r="A1415" s="5">
        <v>39146</v>
      </c>
      <c r="B1415">
        <v>844.3</v>
      </c>
    </row>
    <row r="1416" spans="1:2" x14ac:dyDescent="0.25">
      <c r="A1416" s="5">
        <v>39153</v>
      </c>
      <c r="B1416">
        <v>858.4</v>
      </c>
    </row>
    <row r="1417" spans="1:2" x14ac:dyDescent="0.25">
      <c r="A1417" s="5">
        <v>39160</v>
      </c>
      <c r="B1417">
        <v>858.5</v>
      </c>
    </row>
    <row r="1418" spans="1:2" x14ac:dyDescent="0.25">
      <c r="A1418" s="5">
        <v>39167</v>
      </c>
      <c r="B1418">
        <v>862</v>
      </c>
    </row>
    <row r="1419" spans="1:2" x14ac:dyDescent="0.25">
      <c r="A1419" s="5">
        <v>39174</v>
      </c>
      <c r="B1419">
        <v>859.2</v>
      </c>
    </row>
    <row r="1420" spans="1:2" x14ac:dyDescent="0.25">
      <c r="A1420" s="5">
        <v>39181</v>
      </c>
      <c r="B1420">
        <v>862.2</v>
      </c>
    </row>
    <row r="1421" spans="1:2" x14ac:dyDescent="0.25">
      <c r="A1421" s="5">
        <v>39188</v>
      </c>
      <c r="B1421">
        <v>862.6</v>
      </c>
    </row>
    <row r="1422" spans="1:2" x14ac:dyDescent="0.25">
      <c r="A1422" s="5">
        <v>39195</v>
      </c>
      <c r="B1422">
        <v>859.4</v>
      </c>
    </row>
    <row r="1423" spans="1:2" x14ac:dyDescent="0.25">
      <c r="A1423" s="5">
        <v>39202</v>
      </c>
      <c r="B1423">
        <v>848.4</v>
      </c>
    </row>
    <row r="1424" spans="1:2" x14ac:dyDescent="0.25">
      <c r="A1424" s="5">
        <v>39209</v>
      </c>
      <c r="B1424">
        <v>844.4</v>
      </c>
    </row>
    <row r="1425" spans="1:2" x14ac:dyDescent="0.25">
      <c r="A1425" s="5">
        <v>39216</v>
      </c>
      <c r="B1425">
        <v>850.4</v>
      </c>
    </row>
    <row r="1426" spans="1:2" x14ac:dyDescent="0.25">
      <c r="A1426" s="5">
        <v>39223</v>
      </c>
      <c r="B1426">
        <v>856.8</v>
      </c>
    </row>
    <row r="1427" spans="1:2" x14ac:dyDescent="0.25">
      <c r="A1427" s="5">
        <v>39230</v>
      </c>
      <c r="B1427">
        <v>861</v>
      </c>
    </row>
    <row r="1428" spans="1:2" x14ac:dyDescent="0.25">
      <c r="A1428" s="5">
        <v>39237</v>
      </c>
      <c r="B1428">
        <v>862</v>
      </c>
    </row>
    <row r="1429" spans="1:2" x14ac:dyDescent="0.25">
      <c r="A1429" s="5">
        <v>39244</v>
      </c>
      <c r="B1429">
        <v>867</v>
      </c>
    </row>
    <row r="1430" spans="1:2" x14ac:dyDescent="0.25">
      <c r="A1430" s="5">
        <v>39251</v>
      </c>
      <c r="B1430">
        <v>867.3</v>
      </c>
    </row>
    <row r="1431" spans="1:2" x14ac:dyDescent="0.25">
      <c r="A1431" s="5">
        <v>39258</v>
      </c>
      <c r="B1431">
        <v>871.2</v>
      </c>
    </row>
    <row r="1432" spans="1:2" x14ac:dyDescent="0.25">
      <c r="A1432" s="5">
        <v>39265</v>
      </c>
      <c r="B1432">
        <v>868</v>
      </c>
    </row>
    <row r="1433" spans="1:2" x14ac:dyDescent="0.25">
      <c r="A1433" s="5">
        <v>39272</v>
      </c>
      <c r="B1433">
        <v>876.1</v>
      </c>
    </row>
    <row r="1434" spans="1:2" x14ac:dyDescent="0.25">
      <c r="A1434" s="5">
        <v>39279</v>
      </c>
      <c r="B1434">
        <v>879.2</v>
      </c>
    </row>
    <row r="1435" spans="1:2" x14ac:dyDescent="0.25">
      <c r="A1435" s="5">
        <v>39286</v>
      </c>
      <c r="B1435">
        <v>880.3</v>
      </c>
    </row>
    <row r="1436" spans="1:2" x14ac:dyDescent="0.25">
      <c r="A1436" s="5">
        <v>39293</v>
      </c>
      <c r="B1436">
        <v>881.2</v>
      </c>
    </row>
    <row r="1437" spans="1:2" x14ac:dyDescent="0.25">
      <c r="A1437" s="5">
        <v>39300</v>
      </c>
      <c r="B1437">
        <v>884.7</v>
      </c>
    </row>
    <row r="1438" spans="1:2" x14ac:dyDescent="0.25">
      <c r="A1438" s="5">
        <v>39307</v>
      </c>
      <c r="B1438">
        <v>893.8</v>
      </c>
    </row>
    <row r="1439" spans="1:2" x14ac:dyDescent="0.25">
      <c r="A1439" s="5">
        <v>39314</v>
      </c>
      <c r="B1439">
        <v>900.9</v>
      </c>
    </row>
    <row r="1440" spans="1:2" x14ac:dyDescent="0.25">
      <c r="A1440" s="5">
        <v>39321</v>
      </c>
      <c r="B1440">
        <v>926.4</v>
      </c>
    </row>
    <row r="1441" spans="1:2" x14ac:dyDescent="0.25">
      <c r="A1441" s="5">
        <v>39328</v>
      </c>
      <c r="B1441">
        <v>921.7</v>
      </c>
    </row>
    <row r="1442" spans="1:2" x14ac:dyDescent="0.25">
      <c r="A1442" s="5">
        <v>39335</v>
      </c>
      <c r="B1442">
        <v>914.9</v>
      </c>
    </row>
    <row r="1443" spans="1:2" x14ac:dyDescent="0.25">
      <c r="A1443" s="5">
        <v>39342</v>
      </c>
      <c r="B1443">
        <v>913.8</v>
      </c>
    </row>
    <row r="1444" spans="1:2" x14ac:dyDescent="0.25">
      <c r="A1444" s="5">
        <v>39349</v>
      </c>
      <c r="B1444">
        <v>913.9</v>
      </c>
    </row>
    <row r="1445" spans="1:2" x14ac:dyDescent="0.25">
      <c r="A1445" s="5">
        <v>39356</v>
      </c>
      <c r="B1445">
        <v>912</v>
      </c>
    </row>
    <row r="1446" spans="1:2" x14ac:dyDescent="0.25">
      <c r="A1446" s="5">
        <v>39363</v>
      </c>
      <c r="B1446">
        <v>917.6</v>
      </c>
    </row>
    <row r="1447" spans="1:2" x14ac:dyDescent="0.25">
      <c r="A1447" s="5">
        <v>39370</v>
      </c>
      <c r="B1447">
        <v>919.4</v>
      </c>
    </row>
    <row r="1448" spans="1:2" x14ac:dyDescent="0.25">
      <c r="A1448" s="5">
        <v>39377</v>
      </c>
      <c r="B1448">
        <v>922</v>
      </c>
    </row>
    <row r="1449" spans="1:2" x14ac:dyDescent="0.25">
      <c r="A1449" s="5">
        <v>39384</v>
      </c>
      <c r="B1449">
        <v>922.8</v>
      </c>
    </row>
    <row r="1450" spans="1:2" x14ac:dyDescent="0.25">
      <c r="A1450" s="5">
        <v>39391</v>
      </c>
      <c r="B1450">
        <v>923.6</v>
      </c>
    </row>
    <row r="1451" spans="1:2" x14ac:dyDescent="0.25">
      <c r="A1451" s="5">
        <v>39398</v>
      </c>
      <c r="B1451">
        <v>929</v>
      </c>
    </row>
    <row r="1452" spans="1:2" x14ac:dyDescent="0.25">
      <c r="A1452" s="5">
        <v>39405</v>
      </c>
      <c r="B1452">
        <v>937.6</v>
      </c>
    </row>
    <row r="1453" spans="1:2" x14ac:dyDescent="0.25">
      <c r="A1453" s="5">
        <v>39412</v>
      </c>
      <c r="B1453">
        <v>953.8</v>
      </c>
    </row>
    <row r="1454" spans="1:2" x14ac:dyDescent="0.25">
      <c r="A1454" s="5">
        <v>39419</v>
      </c>
      <c r="B1454">
        <v>961.1</v>
      </c>
    </row>
    <row r="1455" spans="1:2" x14ac:dyDescent="0.25">
      <c r="A1455" s="5">
        <v>39426</v>
      </c>
      <c r="B1455">
        <v>969.6</v>
      </c>
    </row>
    <row r="1456" spans="1:2" x14ac:dyDescent="0.25">
      <c r="A1456" s="5">
        <v>39433</v>
      </c>
      <c r="B1456">
        <v>967.8</v>
      </c>
    </row>
    <row r="1457" spans="1:2" x14ac:dyDescent="0.25">
      <c r="A1457" s="5">
        <v>39440</v>
      </c>
      <c r="B1457">
        <v>972.6</v>
      </c>
    </row>
    <row r="1458" spans="1:2" x14ac:dyDescent="0.25">
      <c r="A1458" s="5">
        <v>39447</v>
      </c>
      <c r="B1458">
        <v>979.6</v>
      </c>
    </row>
    <row r="1459" spans="1:2" x14ac:dyDescent="0.25">
      <c r="A1459" s="5">
        <v>39454</v>
      </c>
      <c r="B1459">
        <v>983.4</v>
      </c>
    </row>
    <row r="1460" spans="1:2" x14ac:dyDescent="0.25">
      <c r="A1460" s="5">
        <v>39461</v>
      </c>
      <c r="B1460">
        <v>992.1</v>
      </c>
    </row>
    <row r="1461" spans="1:2" x14ac:dyDescent="0.25">
      <c r="A1461" s="5">
        <v>39468</v>
      </c>
      <c r="B1461">
        <v>1001.4</v>
      </c>
    </row>
    <row r="1462" spans="1:2" x14ac:dyDescent="0.25">
      <c r="A1462" s="5">
        <v>39475</v>
      </c>
      <c r="B1462">
        <v>1012.8</v>
      </c>
    </row>
    <row r="1463" spans="1:2" x14ac:dyDescent="0.25">
      <c r="A1463" s="5">
        <v>39482</v>
      </c>
      <c r="B1463">
        <v>1028.8</v>
      </c>
    </row>
    <row r="1464" spans="1:2" x14ac:dyDescent="0.25">
      <c r="A1464" s="5">
        <v>39489</v>
      </c>
      <c r="B1464">
        <v>1037.7</v>
      </c>
    </row>
    <row r="1465" spans="1:2" x14ac:dyDescent="0.25">
      <c r="A1465" s="5">
        <v>39496</v>
      </c>
      <c r="B1465">
        <v>1037.7</v>
      </c>
    </row>
    <row r="1466" spans="1:2" x14ac:dyDescent="0.25">
      <c r="A1466" s="5">
        <v>39503</v>
      </c>
      <c r="B1466">
        <v>1046.7</v>
      </c>
    </row>
    <row r="1467" spans="1:2" x14ac:dyDescent="0.25">
      <c r="A1467" s="5">
        <v>39510</v>
      </c>
      <c r="B1467">
        <v>1048.8</v>
      </c>
    </row>
    <row r="1468" spans="1:2" x14ac:dyDescent="0.25">
      <c r="A1468" s="5">
        <v>39517</v>
      </c>
      <c r="B1468">
        <v>1051.3</v>
      </c>
    </row>
    <row r="1469" spans="1:2" x14ac:dyDescent="0.25">
      <c r="A1469" s="5">
        <v>39524</v>
      </c>
      <c r="B1469">
        <v>1055</v>
      </c>
    </row>
    <row r="1470" spans="1:2" x14ac:dyDescent="0.25">
      <c r="A1470" s="5">
        <v>39531</v>
      </c>
      <c r="B1470">
        <v>1068.5</v>
      </c>
    </row>
    <row r="1471" spans="1:2" x14ac:dyDescent="0.25">
      <c r="A1471" s="5">
        <v>39538</v>
      </c>
      <c r="B1471">
        <v>1071.5</v>
      </c>
    </row>
    <row r="1472" spans="1:2" x14ac:dyDescent="0.25">
      <c r="A1472" s="5">
        <v>39545</v>
      </c>
      <c r="B1472">
        <v>1076.2</v>
      </c>
    </row>
    <row r="1473" spans="1:2" x14ac:dyDescent="0.25">
      <c r="A1473" s="5">
        <v>39552</v>
      </c>
      <c r="B1473">
        <v>1078.9000000000001</v>
      </c>
    </row>
    <row r="1474" spans="1:2" x14ac:dyDescent="0.25">
      <c r="A1474" s="5">
        <v>39559</v>
      </c>
      <c r="B1474">
        <v>1072.8</v>
      </c>
    </row>
    <row r="1475" spans="1:2" x14ac:dyDescent="0.25">
      <c r="A1475" s="5">
        <v>39566</v>
      </c>
      <c r="B1475">
        <v>1060.5999999999999</v>
      </c>
    </row>
    <row r="1476" spans="1:2" x14ac:dyDescent="0.25">
      <c r="A1476" s="5">
        <v>39573</v>
      </c>
      <c r="B1476">
        <v>1044.8</v>
      </c>
    </row>
    <row r="1477" spans="1:2" x14ac:dyDescent="0.25">
      <c r="A1477" s="5">
        <v>39580</v>
      </c>
      <c r="B1477">
        <v>1049.7</v>
      </c>
    </row>
    <row r="1478" spans="1:2" x14ac:dyDescent="0.25">
      <c r="A1478" s="5">
        <v>39587</v>
      </c>
      <c r="B1478">
        <v>1045.8</v>
      </c>
    </row>
    <row r="1479" spans="1:2" x14ac:dyDescent="0.25">
      <c r="A1479" s="5">
        <v>39594</v>
      </c>
      <c r="B1479">
        <v>1039.9000000000001</v>
      </c>
    </row>
    <row r="1480" spans="1:2" x14ac:dyDescent="0.25">
      <c r="A1480" s="5">
        <v>39601</v>
      </c>
      <c r="B1480">
        <v>1036.5</v>
      </c>
    </row>
    <row r="1481" spans="1:2" x14ac:dyDescent="0.25">
      <c r="A1481" s="5">
        <v>39608</v>
      </c>
      <c r="B1481">
        <v>1041.8</v>
      </c>
    </row>
    <row r="1482" spans="1:2" x14ac:dyDescent="0.25">
      <c r="A1482" s="5">
        <v>39615</v>
      </c>
      <c r="B1482">
        <v>1037.8</v>
      </c>
    </row>
    <row r="1483" spans="1:2" x14ac:dyDescent="0.25">
      <c r="A1483" s="5">
        <v>39622</v>
      </c>
      <c r="B1483">
        <v>1037.4000000000001</v>
      </c>
    </row>
    <row r="1484" spans="1:2" x14ac:dyDescent="0.25">
      <c r="A1484" s="5">
        <v>39629</v>
      </c>
      <c r="B1484">
        <v>1025.7</v>
      </c>
    </row>
    <row r="1485" spans="1:2" x14ac:dyDescent="0.25">
      <c r="A1485" s="5">
        <v>39636</v>
      </c>
      <c r="B1485">
        <v>1026.8</v>
      </c>
    </row>
    <row r="1486" spans="1:2" x14ac:dyDescent="0.25">
      <c r="A1486" s="5">
        <v>39643</v>
      </c>
      <c r="B1486">
        <v>1034.4000000000001</v>
      </c>
    </row>
    <row r="1487" spans="1:2" x14ac:dyDescent="0.25">
      <c r="A1487" s="5">
        <v>39650</v>
      </c>
      <c r="B1487">
        <v>1043.3</v>
      </c>
    </row>
    <row r="1488" spans="1:2" x14ac:dyDescent="0.25">
      <c r="A1488" s="5">
        <v>39657</v>
      </c>
      <c r="B1488">
        <v>1045.8</v>
      </c>
    </row>
    <row r="1489" spans="1:2" x14ac:dyDescent="0.25">
      <c r="A1489" s="5">
        <v>39664</v>
      </c>
      <c r="B1489">
        <v>1039.5</v>
      </c>
    </row>
    <row r="1490" spans="1:2" x14ac:dyDescent="0.25">
      <c r="A1490" s="5">
        <v>39671</v>
      </c>
      <c r="B1490">
        <v>1041.8</v>
      </c>
    </row>
    <row r="1491" spans="1:2" x14ac:dyDescent="0.25">
      <c r="A1491" s="5">
        <v>39678</v>
      </c>
      <c r="B1491">
        <v>1037.2</v>
      </c>
    </row>
    <row r="1492" spans="1:2" x14ac:dyDescent="0.25">
      <c r="A1492" s="5">
        <v>39685</v>
      </c>
      <c r="B1492">
        <v>1035</v>
      </c>
    </row>
    <row r="1493" spans="1:2" x14ac:dyDescent="0.25">
      <c r="A1493" s="5">
        <v>39692</v>
      </c>
      <c r="B1493">
        <v>1029.5</v>
      </c>
    </row>
    <row r="1494" spans="1:2" x14ac:dyDescent="0.25">
      <c r="A1494" s="5">
        <v>39699</v>
      </c>
      <c r="B1494">
        <v>1027.5</v>
      </c>
    </row>
    <row r="1495" spans="1:2" x14ac:dyDescent="0.25">
      <c r="A1495" s="5">
        <v>39706</v>
      </c>
      <c r="B1495">
        <v>1027.5999999999999</v>
      </c>
    </row>
    <row r="1496" spans="1:2" x14ac:dyDescent="0.25">
      <c r="A1496" s="5">
        <v>39713</v>
      </c>
      <c r="B1496">
        <v>1023.2</v>
      </c>
    </row>
    <row r="1497" spans="1:2" x14ac:dyDescent="0.25">
      <c r="A1497" s="5">
        <v>39720</v>
      </c>
      <c r="B1497">
        <v>1021.7</v>
      </c>
    </row>
    <row r="1498" spans="1:2" x14ac:dyDescent="0.25">
      <c r="A1498" s="5">
        <v>39727</v>
      </c>
      <c r="B1498">
        <v>1022.5</v>
      </c>
    </row>
    <row r="1499" spans="1:2" x14ac:dyDescent="0.25">
      <c r="A1499" s="5">
        <v>39734</v>
      </c>
      <c r="B1499">
        <v>1039.3</v>
      </c>
    </row>
    <row r="1500" spans="1:2" x14ac:dyDescent="0.25">
      <c r="A1500" s="5">
        <v>39741</v>
      </c>
      <c r="B1500">
        <v>1065.2</v>
      </c>
    </row>
    <row r="1501" spans="1:2" x14ac:dyDescent="0.25">
      <c r="A1501" s="5">
        <v>39748</v>
      </c>
      <c r="B1501">
        <v>1057.3</v>
      </c>
    </row>
    <row r="1502" spans="1:2" x14ac:dyDescent="0.25">
      <c r="A1502" s="5">
        <v>39755</v>
      </c>
      <c r="B1502">
        <v>1041.3</v>
      </c>
    </row>
    <row r="1503" spans="1:2" x14ac:dyDescent="0.25">
      <c r="A1503" s="5">
        <v>39762</v>
      </c>
      <c r="B1503">
        <v>1040.0999999999999</v>
      </c>
    </row>
    <row r="1504" spans="1:2" x14ac:dyDescent="0.25">
      <c r="A1504" s="5">
        <v>39769</v>
      </c>
      <c r="B1504">
        <v>1036</v>
      </c>
    </row>
    <row r="1505" spans="1:2" x14ac:dyDescent="0.25">
      <c r="A1505" s="5">
        <v>39776</v>
      </c>
      <c r="B1505">
        <v>1043.2</v>
      </c>
    </row>
    <row r="1506" spans="1:2" x14ac:dyDescent="0.25">
      <c r="A1506" s="5">
        <v>39783</v>
      </c>
      <c r="B1506">
        <v>1056.4000000000001</v>
      </c>
    </row>
    <row r="1507" spans="1:2" x14ac:dyDescent="0.25">
      <c r="A1507" s="5">
        <v>39790</v>
      </c>
      <c r="B1507">
        <v>1062.2</v>
      </c>
    </row>
    <row r="1508" spans="1:2" x14ac:dyDescent="0.25">
      <c r="A1508" s="5">
        <v>39797</v>
      </c>
      <c r="B1508">
        <v>1060.5999999999999</v>
      </c>
    </row>
    <row r="1509" spans="1:2" x14ac:dyDescent="0.25">
      <c r="A1509" s="5">
        <v>39804</v>
      </c>
      <c r="B1509">
        <v>1062</v>
      </c>
    </row>
    <row r="1510" spans="1:2" x14ac:dyDescent="0.25">
      <c r="A1510" s="5">
        <v>39811</v>
      </c>
      <c r="B1510">
        <v>1059.9000000000001</v>
      </c>
    </row>
    <row r="1511" spans="1:2" x14ac:dyDescent="0.25">
      <c r="A1511" s="5">
        <v>39818</v>
      </c>
      <c r="B1511">
        <v>1062.5999999999999</v>
      </c>
    </row>
    <row r="1512" spans="1:2" x14ac:dyDescent="0.25">
      <c r="A1512" s="5">
        <v>39825</v>
      </c>
      <c r="B1512">
        <v>1077.0999999999999</v>
      </c>
    </row>
    <row r="1513" spans="1:2" x14ac:dyDescent="0.25">
      <c r="A1513" s="5">
        <v>39832</v>
      </c>
      <c r="B1513">
        <v>1074.0999999999999</v>
      </c>
    </row>
    <row r="1514" spans="1:2" x14ac:dyDescent="0.25">
      <c r="A1514" s="5">
        <v>39839</v>
      </c>
      <c r="B1514">
        <v>1067.0999999999999</v>
      </c>
    </row>
    <row r="1515" spans="1:2" x14ac:dyDescent="0.25">
      <c r="A1515" s="5">
        <v>39846</v>
      </c>
      <c r="B1515">
        <v>1060.8</v>
      </c>
    </row>
    <row r="1516" spans="1:2" x14ac:dyDescent="0.25">
      <c r="A1516" s="5">
        <v>39853</v>
      </c>
      <c r="B1516">
        <v>1060.9000000000001</v>
      </c>
    </row>
    <row r="1517" spans="1:2" x14ac:dyDescent="0.25">
      <c r="A1517" s="5">
        <v>39860</v>
      </c>
      <c r="B1517">
        <v>1054.2</v>
      </c>
    </row>
    <row r="1518" spans="1:2" x14ac:dyDescent="0.25">
      <c r="A1518" s="5">
        <v>39867</v>
      </c>
      <c r="B1518">
        <v>1049.9000000000001</v>
      </c>
    </row>
    <row r="1519" spans="1:2" x14ac:dyDescent="0.25">
      <c r="A1519" s="5">
        <v>39874</v>
      </c>
      <c r="B1519">
        <v>1048.9000000000001</v>
      </c>
    </row>
    <row r="1520" spans="1:2" x14ac:dyDescent="0.25">
      <c r="A1520" s="5">
        <v>39881</v>
      </c>
      <c r="B1520">
        <v>1058.3</v>
      </c>
    </row>
    <row r="1521" spans="1:2" x14ac:dyDescent="0.25">
      <c r="A1521" s="5">
        <v>39888</v>
      </c>
      <c r="B1521">
        <v>1068.3</v>
      </c>
    </row>
    <row r="1522" spans="1:2" x14ac:dyDescent="0.25">
      <c r="A1522" s="5">
        <v>39895</v>
      </c>
      <c r="B1522">
        <v>1063.4000000000001</v>
      </c>
    </row>
    <row r="1523" spans="1:2" x14ac:dyDescent="0.25">
      <c r="A1523" s="5">
        <v>39902</v>
      </c>
      <c r="B1523">
        <v>1052.4000000000001</v>
      </c>
    </row>
    <row r="1524" spans="1:2" x14ac:dyDescent="0.25">
      <c r="A1524" s="5">
        <v>39909</v>
      </c>
      <c r="B1524">
        <v>1041.3</v>
      </c>
    </row>
    <row r="1525" spans="1:2" x14ac:dyDescent="0.25">
      <c r="A1525" s="5">
        <v>39916</v>
      </c>
      <c r="B1525">
        <v>1037.5</v>
      </c>
    </row>
    <row r="1526" spans="1:2" x14ac:dyDescent="0.25">
      <c r="A1526" s="5">
        <v>39923</v>
      </c>
      <c r="B1526">
        <v>1033.9000000000001</v>
      </c>
    </row>
    <row r="1527" spans="1:2" x14ac:dyDescent="0.25">
      <c r="A1527" s="5">
        <v>39930</v>
      </c>
      <c r="B1527">
        <v>1017.8</v>
      </c>
    </row>
    <row r="1528" spans="1:2" x14ac:dyDescent="0.25">
      <c r="A1528" s="5">
        <v>39937</v>
      </c>
      <c r="B1528">
        <v>1003.6</v>
      </c>
    </row>
    <row r="1529" spans="1:2" x14ac:dyDescent="0.25">
      <c r="A1529" s="5">
        <v>39944</v>
      </c>
      <c r="B1529">
        <v>998.4</v>
      </c>
    </row>
    <row r="1530" spans="1:2" x14ac:dyDescent="0.25">
      <c r="A1530" s="5">
        <v>39951</v>
      </c>
      <c r="B1530">
        <v>991</v>
      </c>
    </row>
    <row r="1531" spans="1:2" x14ac:dyDescent="0.25">
      <c r="A1531" s="5">
        <v>39958</v>
      </c>
      <c r="B1531">
        <v>990.5</v>
      </c>
    </row>
    <row r="1532" spans="1:2" x14ac:dyDescent="0.25">
      <c r="A1532" s="5">
        <v>39965</v>
      </c>
      <c r="B1532">
        <v>988.6</v>
      </c>
    </row>
    <row r="1533" spans="1:2" x14ac:dyDescent="0.25">
      <c r="A1533" s="5">
        <v>39972</v>
      </c>
      <c r="B1533">
        <v>981.1</v>
      </c>
    </row>
    <row r="1534" spans="1:2" x14ac:dyDescent="0.25">
      <c r="A1534" s="5">
        <v>39979</v>
      </c>
      <c r="B1534">
        <v>964</v>
      </c>
    </row>
    <row r="1535" spans="1:2" x14ac:dyDescent="0.25">
      <c r="A1535" s="5">
        <v>39986</v>
      </c>
      <c r="B1535">
        <v>959</v>
      </c>
    </row>
    <row r="1536" spans="1:2" x14ac:dyDescent="0.25">
      <c r="A1536" s="5">
        <v>39993</v>
      </c>
      <c r="B1536">
        <v>955.3</v>
      </c>
    </row>
    <row r="1537" spans="1:2" x14ac:dyDescent="0.25">
      <c r="A1537" s="5">
        <v>40000</v>
      </c>
      <c r="B1537">
        <v>945.1</v>
      </c>
    </row>
    <row r="1538" spans="1:2" x14ac:dyDescent="0.25">
      <c r="A1538" s="5">
        <v>40007</v>
      </c>
      <c r="B1538">
        <v>944.7</v>
      </c>
    </row>
    <row r="1539" spans="1:2" x14ac:dyDescent="0.25">
      <c r="A1539" s="5">
        <v>40014</v>
      </c>
      <c r="B1539">
        <v>938.4</v>
      </c>
    </row>
    <row r="1540" spans="1:2" x14ac:dyDescent="0.25">
      <c r="A1540" s="5">
        <v>40021</v>
      </c>
      <c r="B1540">
        <v>934.5</v>
      </c>
    </row>
    <row r="1541" spans="1:2" x14ac:dyDescent="0.25">
      <c r="A1541" s="5">
        <v>40028</v>
      </c>
      <c r="B1541">
        <v>927.6</v>
      </c>
    </row>
    <row r="1542" spans="1:2" x14ac:dyDescent="0.25">
      <c r="A1542" s="5">
        <v>40035</v>
      </c>
      <c r="B1542">
        <v>922.6</v>
      </c>
    </row>
    <row r="1543" spans="1:2" x14ac:dyDescent="0.25">
      <c r="A1543" s="5">
        <v>40042</v>
      </c>
      <c r="B1543">
        <v>914.4</v>
      </c>
    </row>
    <row r="1544" spans="1:2" x14ac:dyDescent="0.25">
      <c r="A1544" s="5">
        <v>40049</v>
      </c>
      <c r="B1544">
        <v>909.9</v>
      </c>
    </row>
    <row r="1545" spans="1:2" x14ac:dyDescent="0.25">
      <c r="A1545" s="5">
        <v>40056</v>
      </c>
      <c r="B1545">
        <v>905.5</v>
      </c>
    </row>
    <row r="1546" spans="1:2" x14ac:dyDescent="0.25">
      <c r="A1546" s="5">
        <v>40063</v>
      </c>
      <c r="B1546">
        <v>902.3</v>
      </c>
    </row>
    <row r="1547" spans="1:2" x14ac:dyDescent="0.25">
      <c r="A1547" s="5">
        <v>40070</v>
      </c>
      <c r="B1547">
        <v>901.9</v>
      </c>
    </row>
    <row r="1548" spans="1:2" x14ac:dyDescent="0.25">
      <c r="A1548" s="5">
        <v>40077</v>
      </c>
      <c r="B1548">
        <v>891.4</v>
      </c>
    </row>
    <row r="1549" spans="1:2" x14ac:dyDescent="0.25">
      <c r="A1549" s="5">
        <v>40084</v>
      </c>
      <c r="B1549">
        <v>878.7</v>
      </c>
    </row>
    <row r="1550" spans="1:2" x14ac:dyDescent="0.25">
      <c r="A1550" s="5">
        <v>40091</v>
      </c>
      <c r="B1550">
        <v>869.3</v>
      </c>
    </row>
    <row r="1551" spans="1:2" x14ac:dyDescent="0.25">
      <c r="A1551" s="5">
        <v>40098</v>
      </c>
      <c r="B1551">
        <v>865.9</v>
      </c>
    </row>
    <row r="1552" spans="1:2" x14ac:dyDescent="0.25">
      <c r="A1552" s="5">
        <v>40105</v>
      </c>
      <c r="B1552">
        <v>859.9</v>
      </c>
    </row>
    <row r="1553" spans="1:2" x14ac:dyDescent="0.25">
      <c r="A1553" s="5">
        <v>40112</v>
      </c>
      <c r="B1553">
        <v>849.1</v>
      </c>
    </row>
    <row r="1554" spans="1:2" x14ac:dyDescent="0.25">
      <c r="A1554" s="5">
        <v>40119</v>
      </c>
      <c r="B1554">
        <v>842.4</v>
      </c>
    </row>
    <row r="1555" spans="1:2" x14ac:dyDescent="0.25">
      <c r="A1555" s="5">
        <v>40126</v>
      </c>
      <c r="B1555">
        <v>841</v>
      </c>
    </row>
    <row r="1556" spans="1:2" x14ac:dyDescent="0.25">
      <c r="A1556" s="5">
        <v>40133</v>
      </c>
      <c r="B1556">
        <v>839.2</v>
      </c>
    </row>
    <row r="1557" spans="1:2" x14ac:dyDescent="0.25">
      <c r="A1557" s="5">
        <v>40140</v>
      </c>
      <c r="B1557">
        <v>835.2</v>
      </c>
    </row>
    <row r="1558" spans="1:2" x14ac:dyDescent="0.25">
      <c r="A1558" s="5">
        <v>40147</v>
      </c>
      <c r="B1558">
        <v>831.3</v>
      </c>
    </row>
    <row r="1559" spans="1:2" x14ac:dyDescent="0.25">
      <c r="A1559" s="5">
        <v>40154</v>
      </c>
      <c r="B1559">
        <v>829.8</v>
      </c>
    </row>
    <row r="1560" spans="1:2" x14ac:dyDescent="0.25">
      <c r="A1560" s="5">
        <v>40161</v>
      </c>
      <c r="B1560">
        <v>825.1</v>
      </c>
    </row>
    <row r="1561" spans="1:2" x14ac:dyDescent="0.25">
      <c r="A1561" s="5">
        <v>40168</v>
      </c>
      <c r="B1561">
        <v>822.6</v>
      </c>
    </row>
    <row r="1562" spans="1:2" x14ac:dyDescent="0.25">
      <c r="A1562" s="5">
        <v>40175</v>
      </c>
      <c r="B1562">
        <v>823</v>
      </c>
    </row>
    <row r="1563" spans="1:2" x14ac:dyDescent="0.25">
      <c r="A1563" s="5">
        <v>40182</v>
      </c>
      <c r="B1563">
        <v>821.8</v>
      </c>
    </row>
    <row r="1564" spans="1:2" x14ac:dyDescent="0.25">
      <c r="A1564" s="5">
        <v>40189</v>
      </c>
      <c r="B1564">
        <v>825.3</v>
      </c>
    </row>
    <row r="1565" spans="1:2" x14ac:dyDescent="0.25">
      <c r="A1565" s="5">
        <v>40196</v>
      </c>
      <c r="B1565">
        <v>817</v>
      </c>
    </row>
    <row r="1566" spans="1:2" x14ac:dyDescent="0.25">
      <c r="A1566" s="5">
        <v>40203</v>
      </c>
      <c r="B1566">
        <v>813.4</v>
      </c>
    </row>
    <row r="1567" spans="1:2" x14ac:dyDescent="0.25">
      <c r="A1567" s="5">
        <v>40210</v>
      </c>
      <c r="B1567">
        <v>807.1</v>
      </c>
    </row>
    <row r="1568" spans="1:2" x14ac:dyDescent="0.25">
      <c r="A1568" s="5">
        <v>40217</v>
      </c>
      <c r="B1568">
        <v>809.1</v>
      </c>
    </row>
    <row r="1569" spans="1:2" x14ac:dyDescent="0.25">
      <c r="A1569" s="5">
        <v>40224</v>
      </c>
      <c r="B1569">
        <v>806.5</v>
      </c>
    </row>
    <row r="1570" spans="1:2" x14ac:dyDescent="0.25">
      <c r="A1570" s="5">
        <v>40231</v>
      </c>
      <c r="B1570">
        <v>809.7</v>
      </c>
    </row>
    <row r="1571" spans="1:2" x14ac:dyDescent="0.25">
      <c r="A1571" s="5">
        <v>40238</v>
      </c>
      <c r="B1571">
        <v>804.2</v>
      </c>
    </row>
    <row r="1572" spans="1:2" x14ac:dyDescent="0.25">
      <c r="A1572" s="5">
        <v>40245</v>
      </c>
      <c r="B1572">
        <v>800.2</v>
      </c>
    </row>
    <row r="1573" spans="1:2" x14ac:dyDescent="0.25">
      <c r="A1573" s="5">
        <v>40252</v>
      </c>
      <c r="B1573">
        <v>791.7</v>
      </c>
    </row>
    <row r="1574" spans="1:2" x14ac:dyDescent="0.25">
      <c r="A1574" s="5">
        <v>40259</v>
      </c>
      <c r="B1574">
        <v>786.9</v>
      </c>
    </row>
    <row r="1575" spans="1:2" x14ac:dyDescent="0.25">
      <c r="A1575" s="5">
        <v>40266</v>
      </c>
      <c r="B1575">
        <v>783</v>
      </c>
    </row>
    <row r="1576" spans="1:2" x14ac:dyDescent="0.25">
      <c r="A1576" s="5">
        <v>40273</v>
      </c>
      <c r="B1576">
        <v>777.8</v>
      </c>
    </row>
    <row r="1577" spans="1:2" x14ac:dyDescent="0.25">
      <c r="A1577" s="5">
        <v>40280</v>
      </c>
      <c r="B1577">
        <v>775</v>
      </c>
    </row>
    <row r="1578" spans="1:2" x14ac:dyDescent="0.25">
      <c r="A1578" s="5">
        <v>40287</v>
      </c>
      <c r="B1578">
        <v>767.9</v>
      </c>
    </row>
    <row r="1579" spans="1:2" x14ac:dyDescent="0.25">
      <c r="A1579" s="5">
        <v>40294</v>
      </c>
      <c r="B1579">
        <v>760.5</v>
      </c>
    </row>
    <row r="1580" spans="1:2" x14ac:dyDescent="0.25">
      <c r="A1580" s="5">
        <v>40301</v>
      </c>
      <c r="B1580">
        <v>750</v>
      </c>
    </row>
    <row r="1581" spans="1:2" x14ac:dyDescent="0.25">
      <c r="A1581" s="5">
        <v>40308</v>
      </c>
      <c r="B1581">
        <v>747</v>
      </c>
    </row>
    <row r="1582" spans="1:2" x14ac:dyDescent="0.25">
      <c r="A1582" s="5">
        <v>40315</v>
      </c>
      <c r="B1582">
        <v>758.8</v>
      </c>
    </row>
    <row r="1583" spans="1:2" x14ac:dyDescent="0.25">
      <c r="A1583" s="5">
        <v>40322</v>
      </c>
      <c r="B1583">
        <v>756.2</v>
      </c>
    </row>
    <row r="1584" spans="1:2" x14ac:dyDescent="0.25">
      <c r="A1584" s="5">
        <v>40329</v>
      </c>
      <c r="B1584">
        <v>761.2</v>
      </c>
    </row>
    <row r="1585" spans="1:2" x14ac:dyDescent="0.25">
      <c r="A1585" s="5">
        <v>40336</v>
      </c>
      <c r="B1585">
        <v>762.3</v>
      </c>
    </row>
    <row r="1586" spans="1:2" x14ac:dyDescent="0.25">
      <c r="A1586" s="5">
        <v>40343</v>
      </c>
      <c r="B1586">
        <v>758.2</v>
      </c>
    </row>
    <row r="1587" spans="1:2" x14ac:dyDescent="0.25">
      <c r="A1587" s="5">
        <v>40350</v>
      </c>
      <c r="B1587">
        <v>757.4</v>
      </c>
    </row>
    <row r="1588" spans="1:2" x14ac:dyDescent="0.25">
      <c r="A1588" s="5">
        <v>40357</v>
      </c>
      <c r="B1588">
        <v>753</v>
      </c>
    </row>
    <row r="1589" spans="1:2" x14ac:dyDescent="0.25">
      <c r="A1589" s="5">
        <v>40364</v>
      </c>
      <c r="B1589">
        <v>750</v>
      </c>
    </row>
    <row r="1590" spans="1:2" x14ac:dyDescent="0.25">
      <c r="A1590" s="5">
        <v>40371</v>
      </c>
      <c r="B1590">
        <v>755.5</v>
      </c>
    </row>
    <row r="1591" spans="1:2" x14ac:dyDescent="0.25">
      <c r="A1591" s="5">
        <v>40378</v>
      </c>
      <c r="B1591">
        <v>754.2</v>
      </c>
    </row>
    <row r="1592" spans="1:2" x14ac:dyDescent="0.25">
      <c r="A1592" s="5">
        <v>40385</v>
      </c>
      <c r="B1592">
        <v>750.7</v>
      </c>
    </row>
    <row r="1593" spans="1:2" x14ac:dyDescent="0.25">
      <c r="A1593" s="5">
        <v>40392</v>
      </c>
      <c r="B1593">
        <v>747.5</v>
      </c>
    </row>
    <row r="1594" spans="1:2" x14ac:dyDescent="0.25">
      <c r="A1594" s="5">
        <v>40399</v>
      </c>
      <c r="B1594">
        <v>745.3</v>
      </c>
    </row>
    <row r="1595" spans="1:2" x14ac:dyDescent="0.25">
      <c r="A1595" s="5">
        <v>40406</v>
      </c>
      <c r="B1595">
        <v>740.5</v>
      </c>
    </row>
    <row r="1596" spans="1:2" x14ac:dyDescent="0.25">
      <c r="A1596" s="5">
        <v>40413</v>
      </c>
      <c r="B1596">
        <v>741.7</v>
      </c>
    </row>
    <row r="1597" spans="1:2" x14ac:dyDescent="0.25">
      <c r="A1597" s="5">
        <v>40420</v>
      </c>
      <c r="B1597">
        <v>738.5</v>
      </c>
    </row>
    <row r="1598" spans="1:2" x14ac:dyDescent="0.25">
      <c r="A1598" s="5">
        <v>40427</v>
      </c>
      <c r="B1598">
        <v>737.7</v>
      </c>
    </row>
    <row r="1599" spans="1:2" x14ac:dyDescent="0.25">
      <c r="A1599" s="5">
        <v>40434</v>
      </c>
      <c r="B1599">
        <v>741.6</v>
      </c>
    </row>
    <row r="1600" spans="1:2" x14ac:dyDescent="0.25">
      <c r="A1600" s="5">
        <v>40441</v>
      </c>
      <c r="B1600">
        <v>737.9</v>
      </c>
    </row>
    <row r="1601" spans="1:2" x14ac:dyDescent="0.25">
      <c r="A1601" s="5">
        <v>40448</v>
      </c>
      <c r="B1601">
        <v>732.5</v>
      </c>
    </row>
    <row r="1602" spans="1:2" x14ac:dyDescent="0.25">
      <c r="A1602" s="5">
        <v>40455</v>
      </c>
      <c r="B1602">
        <v>728.6</v>
      </c>
    </row>
    <row r="1603" spans="1:2" x14ac:dyDescent="0.25">
      <c r="A1603" s="5">
        <v>40462</v>
      </c>
      <c r="B1603">
        <v>729.7</v>
      </c>
    </row>
    <row r="1604" spans="1:2" x14ac:dyDescent="0.25">
      <c r="A1604" s="5">
        <v>40469</v>
      </c>
      <c r="B1604">
        <v>728</v>
      </c>
    </row>
    <row r="1605" spans="1:2" x14ac:dyDescent="0.25">
      <c r="A1605" s="5">
        <v>40476</v>
      </c>
      <c r="B1605">
        <v>724.3</v>
      </c>
    </row>
    <row r="1606" spans="1:2" x14ac:dyDescent="0.25">
      <c r="A1606" s="5">
        <v>40483</v>
      </c>
      <c r="B1606">
        <v>721.5</v>
      </c>
    </row>
    <row r="1607" spans="1:2" x14ac:dyDescent="0.25">
      <c r="A1607" s="5">
        <v>40490</v>
      </c>
      <c r="B1607">
        <v>720.7</v>
      </c>
    </row>
    <row r="1608" spans="1:2" x14ac:dyDescent="0.25">
      <c r="A1608" s="5">
        <v>40497</v>
      </c>
      <c r="B1608">
        <v>718.4</v>
      </c>
    </row>
    <row r="1609" spans="1:2" x14ac:dyDescent="0.25">
      <c r="A1609" s="5">
        <v>40504</v>
      </c>
      <c r="B1609">
        <v>719.9</v>
      </c>
    </row>
    <row r="1610" spans="1:2" x14ac:dyDescent="0.25">
      <c r="A1610" s="5">
        <v>40511</v>
      </c>
      <c r="B1610">
        <v>723.3</v>
      </c>
    </row>
    <row r="1611" spans="1:2" x14ac:dyDescent="0.25">
      <c r="A1611" s="5">
        <v>40518</v>
      </c>
      <c r="B1611">
        <v>718.5</v>
      </c>
    </row>
    <row r="1612" spans="1:2" x14ac:dyDescent="0.25">
      <c r="A1612" s="5">
        <v>40525</v>
      </c>
      <c r="B1612">
        <v>722.9</v>
      </c>
    </row>
    <row r="1613" spans="1:2" x14ac:dyDescent="0.25">
      <c r="A1613" s="5">
        <v>40532</v>
      </c>
      <c r="B1613">
        <v>725.3</v>
      </c>
    </row>
    <row r="1614" spans="1:2" x14ac:dyDescent="0.25">
      <c r="A1614" s="5">
        <v>40539</v>
      </c>
      <c r="B1614">
        <v>731.3</v>
      </c>
    </row>
    <row r="1615" spans="1:2" x14ac:dyDescent="0.25">
      <c r="A1615" s="5">
        <v>40546</v>
      </c>
      <c r="B1615">
        <v>733.6</v>
      </c>
    </row>
    <row r="1616" spans="1:2" x14ac:dyDescent="0.25">
      <c r="A1616" s="5">
        <v>40553</v>
      </c>
      <c r="B1616">
        <v>736.5</v>
      </c>
    </row>
    <row r="1617" spans="1:2" x14ac:dyDescent="0.25">
      <c r="A1617" s="5">
        <v>40560</v>
      </c>
      <c r="B1617">
        <v>730.7</v>
      </c>
    </row>
    <row r="1618" spans="1:2" x14ac:dyDescent="0.25">
      <c r="A1618" s="5">
        <v>40567</v>
      </c>
      <c r="B1618">
        <v>731.6</v>
      </c>
    </row>
    <row r="1619" spans="1:2" x14ac:dyDescent="0.25">
      <c r="A1619" s="5">
        <v>40574</v>
      </c>
      <c r="B1619">
        <v>727.1</v>
      </c>
    </row>
    <row r="1620" spans="1:2" x14ac:dyDescent="0.25">
      <c r="A1620" s="5">
        <v>40581</v>
      </c>
      <c r="B1620">
        <v>726.7</v>
      </c>
    </row>
    <row r="1621" spans="1:2" x14ac:dyDescent="0.25">
      <c r="A1621" s="5">
        <v>40588</v>
      </c>
      <c r="B1621">
        <v>725.6</v>
      </c>
    </row>
    <row r="1622" spans="1:2" x14ac:dyDescent="0.25">
      <c r="A1622" s="5">
        <v>40595</v>
      </c>
      <c r="B1622">
        <v>723.9</v>
      </c>
    </row>
    <row r="1623" spans="1:2" x14ac:dyDescent="0.25">
      <c r="A1623" s="5">
        <v>40602</v>
      </c>
      <c r="B1623">
        <v>722.8</v>
      </c>
    </row>
    <row r="1624" spans="1:2" x14ac:dyDescent="0.25">
      <c r="A1624" s="5">
        <v>40609</v>
      </c>
      <c r="B1624">
        <v>727.3</v>
      </c>
    </row>
    <row r="1625" spans="1:2" x14ac:dyDescent="0.25">
      <c r="A1625" s="5">
        <v>40616</v>
      </c>
      <c r="B1625">
        <v>723.5</v>
      </c>
    </row>
    <row r="1626" spans="1:2" x14ac:dyDescent="0.25">
      <c r="A1626" s="5">
        <v>40623</v>
      </c>
      <c r="B1626">
        <v>727.1</v>
      </c>
    </row>
    <row r="1627" spans="1:2" x14ac:dyDescent="0.25">
      <c r="A1627" s="5">
        <v>40630</v>
      </c>
      <c r="B1627">
        <v>728.3</v>
      </c>
    </row>
    <row r="1628" spans="1:2" x14ac:dyDescent="0.25">
      <c r="A1628" s="5">
        <v>40637</v>
      </c>
      <c r="B1628">
        <v>720.2</v>
      </c>
    </row>
    <row r="1629" spans="1:2" x14ac:dyDescent="0.25">
      <c r="A1629" s="5">
        <v>40644</v>
      </c>
      <c r="B1629">
        <v>717.7</v>
      </c>
    </row>
    <row r="1630" spans="1:2" x14ac:dyDescent="0.25">
      <c r="A1630" s="5">
        <v>40651</v>
      </c>
      <c r="B1630">
        <v>715.1</v>
      </c>
    </row>
    <row r="1631" spans="1:2" x14ac:dyDescent="0.25">
      <c r="A1631" s="5">
        <v>40658</v>
      </c>
      <c r="B1631">
        <v>714.2</v>
      </c>
    </row>
    <row r="1632" spans="1:2" x14ac:dyDescent="0.25">
      <c r="A1632" s="5">
        <v>40665</v>
      </c>
      <c r="B1632">
        <v>704.7</v>
      </c>
    </row>
    <row r="1633" spans="1:2" x14ac:dyDescent="0.25">
      <c r="A1633" s="5">
        <v>40672</v>
      </c>
      <c r="B1633">
        <v>703.8</v>
      </c>
    </row>
    <row r="1634" spans="1:2" x14ac:dyDescent="0.25">
      <c r="A1634" s="5">
        <v>40679</v>
      </c>
      <c r="B1634">
        <v>706.5</v>
      </c>
    </row>
    <row r="1635" spans="1:2" x14ac:dyDescent="0.25">
      <c r="A1635" s="5">
        <v>40686</v>
      </c>
      <c r="B1635">
        <v>707</v>
      </c>
    </row>
    <row r="1636" spans="1:2" x14ac:dyDescent="0.25">
      <c r="A1636" s="5">
        <v>40693</v>
      </c>
      <c r="B1636">
        <v>706.7</v>
      </c>
    </row>
    <row r="1637" spans="1:2" x14ac:dyDescent="0.25">
      <c r="A1637" s="5">
        <v>40700</v>
      </c>
      <c r="B1637">
        <v>703</v>
      </c>
    </row>
    <row r="1638" spans="1:2" x14ac:dyDescent="0.25">
      <c r="A1638" s="5">
        <v>40707</v>
      </c>
      <c r="B1638">
        <v>707.7</v>
      </c>
    </row>
    <row r="1639" spans="1:2" x14ac:dyDescent="0.25">
      <c r="A1639" s="5">
        <v>40714</v>
      </c>
      <c r="B1639">
        <v>708.9</v>
      </c>
    </row>
    <row r="1640" spans="1:2" x14ac:dyDescent="0.25">
      <c r="A1640" s="5">
        <v>40721</v>
      </c>
      <c r="B1640">
        <v>711.4</v>
      </c>
    </row>
    <row r="1641" spans="1:2" x14ac:dyDescent="0.25">
      <c r="A1641" s="5">
        <v>40728</v>
      </c>
      <c r="B1641">
        <v>705</v>
      </c>
    </row>
    <row r="1642" spans="1:2" x14ac:dyDescent="0.25">
      <c r="A1642" s="5">
        <v>40735</v>
      </c>
      <c r="B1642">
        <v>707</v>
      </c>
    </row>
    <row r="1643" spans="1:2" x14ac:dyDescent="0.25">
      <c r="A1643" s="5">
        <v>40742</v>
      </c>
      <c r="B1643">
        <v>702.5</v>
      </c>
    </row>
    <row r="1644" spans="1:2" x14ac:dyDescent="0.25">
      <c r="A1644" s="5">
        <v>40749</v>
      </c>
      <c r="B1644">
        <v>702.4</v>
      </c>
    </row>
    <row r="1645" spans="1:2" x14ac:dyDescent="0.25">
      <c r="A1645" s="5">
        <v>40756</v>
      </c>
      <c r="B1645">
        <v>703</v>
      </c>
    </row>
    <row r="1646" spans="1:2" x14ac:dyDescent="0.25">
      <c r="A1646" s="5">
        <v>40763</v>
      </c>
      <c r="B1646">
        <v>707.7</v>
      </c>
    </row>
    <row r="1647" spans="1:2" x14ac:dyDescent="0.25">
      <c r="A1647" s="5">
        <v>40770</v>
      </c>
      <c r="B1647">
        <v>718</v>
      </c>
    </row>
    <row r="1648" spans="1:2" x14ac:dyDescent="0.25">
      <c r="A1648" s="5">
        <v>40777</v>
      </c>
      <c r="B1648">
        <v>724.8</v>
      </c>
    </row>
    <row r="1649" spans="1:2" x14ac:dyDescent="0.25">
      <c r="A1649" s="5">
        <v>40784</v>
      </c>
      <c r="B1649">
        <v>716.8</v>
      </c>
    </row>
    <row r="1650" spans="1:2" x14ac:dyDescent="0.25">
      <c r="A1650" s="5">
        <v>40791</v>
      </c>
      <c r="B1650">
        <v>717.4</v>
      </c>
    </row>
    <row r="1651" spans="1:2" x14ac:dyDescent="0.25">
      <c r="A1651" s="5">
        <v>40798</v>
      </c>
      <c r="B1651">
        <v>715.2</v>
      </c>
    </row>
    <row r="1652" spans="1:2" x14ac:dyDescent="0.25">
      <c r="A1652" s="5">
        <v>40805</v>
      </c>
      <c r="B1652">
        <v>709.7</v>
      </c>
    </row>
    <row r="1653" spans="1:2" x14ac:dyDescent="0.25">
      <c r="A1653" s="5">
        <v>40812</v>
      </c>
      <c r="B1653">
        <v>709.8</v>
      </c>
    </row>
    <row r="1654" spans="1:2" x14ac:dyDescent="0.25">
      <c r="A1654" s="5">
        <v>40819</v>
      </c>
      <c r="B1654">
        <v>706.1</v>
      </c>
    </row>
    <row r="1655" spans="1:2" x14ac:dyDescent="0.25">
      <c r="A1655" s="5">
        <v>40826</v>
      </c>
      <c r="B1655">
        <v>710.8</v>
      </c>
    </row>
    <row r="1656" spans="1:2" x14ac:dyDescent="0.25">
      <c r="A1656" s="5">
        <v>40833</v>
      </c>
      <c r="B1656">
        <v>715.1</v>
      </c>
    </row>
    <row r="1657" spans="1:2" x14ac:dyDescent="0.25">
      <c r="A1657" s="5">
        <v>40840</v>
      </c>
      <c r="B1657">
        <v>713.4</v>
      </c>
    </row>
    <row r="1658" spans="1:2" x14ac:dyDescent="0.25">
      <c r="A1658" s="5">
        <v>40847</v>
      </c>
      <c r="B1658">
        <v>708.2</v>
      </c>
    </row>
    <row r="1659" spans="1:2" x14ac:dyDescent="0.25">
      <c r="A1659" s="5">
        <v>40854</v>
      </c>
      <c r="B1659">
        <v>708</v>
      </c>
    </row>
    <row r="1660" spans="1:2" x14ac:dyDescent="0.25">
      <c r="A1660" s="5">
        <v>40861</v>
      </c>
      <c r="B1660">
        <v>706.5</v>
      </c>
    </row>
    <row r="1661" spans="1:2" x14ac:dyDescent="0.25">
      <c r="A1661" s="5">
        <v>40868</v>
      </c>
      <c r="B1661">
        <v>706</v>
      </c>
    </row>
    <row r="1662" spans="1:2" x14ac:dyDescent="0.25">
      <c r="A1662" s="5">
        <v>40875</v>
      </c>
      <c r="B1662">
        <v>705.4</v>
      </c>
    </row>
    <row r="1663" spans="1:2" x14ac:dyDescent="0.25">
      <c r="A1663" s="5">
        <v>40882</v>
      </c>
      <c r="B1663">
        <v>704.5</v>
      </c>
    </row>
    <row r="1664" spans="1:2" x14ac:dyDescent="0.25">
      <c r="A1664" s="5">
        <v>40889</v>
      </c>
      <c r="B1664">
        <v>711</v>
      </c>
    </row>
    <row r="1665" spans="1:2" x14ac:dyDescent="0.25">
      <c r="A1665" s="5">
        <v>40896</v>
      </c>
      <c r="B1665">
        <v>711.9</v>
      </c>
    </row>
    <row r="1666" spans="1:2" x14ac:dyDescent="0.25">
      <c r="A1666" s="5">
        <v>40903</v>
      </c>
      <c r="B1666">
        <v>714.2</v>
      </c>
    </row>
    <row r="1667" spans="1:2" x14ac:dyDescent="0.25">
      <c r="A1667" s="5">
        <v>40910</v>
      </c>
      <c r="B1667">
        <v>713.8</v>
      </c>
    </row>
    <row r="1668" spans="1:2" x14ac:dyDescent="0.25">
      <c r="A1668" s="5">
        <v>40917</v>
      </c>
      <c r="B1668">
        <v>720.3</v>
      </c>
    </row>
    <row r="1669" spans="1:2" x14ac:dyDescent="0.25">
      <c r="A1669" s="5">
        <v>40924</v>
      </c>
      <c r="B1669">
        <v>716.1</v>
      </c>
    </row>
    <row r="1670" spans="1:2" x14ac:dyDescent="0.25">
      <c r="A1670" s="5">
        <v>40931</v>
      </c>
      <c r="B1670">
        <v>713</v>
      </c>
    </row>
    <row r="1671" spans="1:2" x14ac:dyDescent="0.25">
      <c r="A1671" s="5">
        <v>40938</v>
      </c>
      <c r="B1671">
        <v>707.4</v>
      </c>
    </row>
    <row r="1672" spans="1:2" x14ac:dyDescent="0.25">
      <c r="A1672" s="5">
        <v>40945</v>
      </c>
      <c r="B1672">
        <v>703.9</v>
      </c>
    </row>
    <row r="1673" spans="1:2" x14ac:dyDescent="0.25">
      <c r="A1673" s="5">
        <v>40952</v>
      </c>
      <c r="B1673">
        <v>701.8</v>
      </c>
    </row>
    <row r="1674" spans="1:2" x14ac:dyDescent="0.25">
      <c r="A1674" s="5">
        <v>40959</v>
      </c>
      <c r="B1674">
        <v>697.1</v>
      </c>
    </row>
    <row r="1675" spans="1:2" x14ac:dyDescent="0.25">
      <c r="A1675" s="5">
        <v>40966</v>
      </c>
      <c r="B1675">
        <v>699.5</v>
      </c>
    </row>
    <row r="1676" spans="1:2" x14ac:dyDescent="0.25">
      <c r="A1676" s="5">
        <v>40973</v>
      </c>
      <c r="B1676">
        <v>697.2</v>
      </c>
    </row>
    <row r="1677" spans="1:2" x14ac:dyDescent="0.25">
      <c r="A1677" s="5">
        <v>40980</v>
      </c>
      <c r="B1677">
        <v>696</v>
      </c>
    </row>
    <row r="1678" spans="1:2" x14ac:dyDescent="0.25">
      <c r="A1678" s="5">
        <v>40987</v>
      </c>
      <c r="B1678">
        <v>693.7</v>
      </c>
    </row>
    <row r="1679" spans="1:2" x14ac:dyDescent="0.25">
      <c r="A1679" s="5">
        <v>40994</v>
      </c>
      <c r="B1679">
        <v>696.5</v>
      </c>
    </row>
    <row r="1680" spans="1:2" x14ac:dyDescent="0.25">
      <c r="A1680" s="5">
        <v>41001</v>
      </c>
      <c r="B1680">
        <v>690.8</v>
      </c>
    </row>
    <row r="1681" spans="1:2" x14ac:dyDescent="0.25">
      <c r="A1681" s="5">
        <v>41008</v>
      </c>
      <c r="B1681">
        <v>690.4</v>
      </c>
    </row>
    <row r="1682" spans="1:2" x14ac:dyDescent="0.25">
      <c r="A1682" s="5">
        <v>41015</v>
      </c>
      <c r="B1682">
        <v>687.5</v>
      </c>
    </row>
    <row r="1683" spans="1:2" x14ac:dyDescent="0.25">
      <c r="A1683" s="5">
        <v>41022</v>
      </c>
      <c r="B1683">
        <v>684.1</v>
      </c>
    </row>
    <row r="1684" spans="1:2" x14ac:dyDescent="0.25">
      <c r="A1684" s="5">
        <v>41029</v>
      </c>
      <c r="B1684">
        <v>674.2</v>
      </c>
    </row>
    <row r="1685" spans="1:2" x14ac:dyDescent="0.25">
      <c r="A1685" s="5">
        <v>41036</v>
      </c>
      <c r="B1685">
        <v>672.6</v>
      </c>
    </row>
    <row r="1686" spans="1:2" x14ac:dyDescent="0.25">
      <c r="A1686" s="5">
        <v>41043</v>
      </c>
      <c r="B1686">
        <v>670.9</v>
      </c>
    </row>
    <row r="1687" spans="1:2" x14ac:dyDescent="0.25">
      <c r="A1687" s="5">
        <v>41050</v>
      </c>
      <c r="B1687">
        <v>670.7</v>
      </c>
    </row>
    <row r="1688" spans="1:2" x14ac:dyDescent="0.25">
      <c r="A1688" s="5">
        <v>41057</v>
      </c>
      <c r="B1688">
        <v>671.8</v>
      </c>
    </row>
    <row r="1689" spans="1:2" x14ac:dyDescent="0.25">
      <c r="A1689" s="5">
        <v>41064</v>
      </c>
      <c r="B1689">
        <v>667.6</v>
      </c>
    </row>
    <row r="1690" spans="1:2" x14ac:dyDescent="0.25">
      <c r="A1690" s="5">
        <v>41071</v>
      </c>
      <c r="B1690">
        <v>669.6</v>
      </c>
    </row>
    <row r="1691" spans="1:2" x14ac:dyDescent="0.25">
      <c r="A1691" s="5">
        <v>41078</v>
      </c>
      <c r="B1691">
        <v>668.9</v>
      </c>
    </row>
    <row r="1692" spans="1:2" x14ac:dyDescent="0.25">
      <c r="A1692" s="5">
        <v>41085</v>
      </c>
      <c r="B1692">
        <v>669.6</v>
      </c>
    </row>
    <row r="1693" spans="1:2" x14ac:dyDescent="0.25">
      <c r="A1693" s="5">
        <v>41092</v>
      </c>
      <c r="B1693">
        <v>662</v>
      </c>
    </row>
    <row r="1694" spans="1:2" x14ac:dyDescent="0.25">
      <c r="A1694" s="5">
        <v>41099</v>
      </c>
      <c r="B1694">
        <v>665.6</v>
      </c>
    </row>
    <row r="1695" spans="1:2" x14ac:dyDescent="0.25">
      <c r="A1695" s="5">
        <v>41106</v>
      </c>
      <c r="B1695">
        <v>664.3</v>
      </c>
    </row>
    <row r="1696" spans="1:2" x14ac:dyDescent="0.25">
      <c r="A1696" s="5">
        <v>41113</v>
      </c>
      <c r="B1696">
        <v>663.8</v>
      </c>
    </row>
    <row r="1697" spans="1:2" x14ac:dyDescent="0.25">
      <c r="A1697" s="5">
        <v>41120</v>
      </c>
      <c r="B1697">
        <v>662.1</v>
      </c>
    </row>
    <row r="1698" spans="1:2" x14ac:dyDescent="0.25">
      <c r="A1698" s="5">
        <v>41127</v>
      </c>
      <c r="B1698">
        <v>661.1</v>
      </c>
    </row>
    <row r="1699" spans="1:2" x14ac:dyDescent="0.25">
      <c r="A1699" s="5">
        <v>41134</v>
      </c>
      <c r="B1699">
        <v>665.8</v>
      </c>
    </row>
    <row r="1700" spans="1:2" x14ac:dyDescent="0.25">
      <c r="A1700" s="5">
        <v>41141</v>
      </c>
      <c r="B1700">
        <v>666.2</v>
      </c>
    </row>
    <row r="1701" spans="1:2" x14ac:dyDescent="0.25">
      <c r="A1701" s="5">
        <v>41148</v>
      </c>
      <c r="B1701">
        <v>667</v>
      </c>
    </row>
    <row r="1702" spans="1:2" x14ac:dyDescent="0.25">
      <c r="A1702" s="5">
        <v>41155</v>
      </c>
      <c r="B1702">
        <v>666.7</v>
      </c>
    </row>
    <row r="1703" spans="1:2" x14ac:dyDescent="0.25">
      <c r="A1703" s="5">
        <v>41162</v>
      </c>
      <c r="B1703">
        <v>665.9</v>
      </c>
    </row>
    <row r="1704" spans="1:2" x14ac:dyDescent="0.25">
      <c r="A1704" s="5">
        <v>41169</v>
      </c>
      <c r="B1704">
        <v>666.6</v>
      </c>
    </row>
    <row r="1705" spans="1:2" x14ac:dyDescent="0.25">
      <c r="A1705" s="5">
        <v>41176</v>
      </c>
      <c r="B1705">
        <v>667.6</v>
      </c>
    </row>
    <row r="1706" spans="1:2" x14ac:dyDescent="0.25">
      <c r="A1706" s="5">
        <v>41183</v>
      </c>
      <c r="B1706">
        <v>665.3</v>
      </c>
    </row>
    <row r="1707" spans="1:2" x14ac:dyDescent="0.25">
      <c r="A1707" s="5">
        <v>41190</v>
      </c>
      <c r="B1707">
        <v>669.1</v>
      </c>
    </row>
    <row r="1708" spans="1:2" x14ac:dyDescent="0.25">
      <c r="A1708" s="5">
        <v>41197</v>
      </c>
      <c r="B1708">
        <v>665.9</v>
      </c>
    </row>
    <row r="1709" spans="1:2" x14ac:dyDescent="0.25">
      <c r="A1709" s="5">
        <v>41204</v>
      </c>
      <c r="B1709">
        <v>663.9</v>
      </c>
    </row>
    <row r="1710" spans="1:2" x14ac:dyDescent="0.25">
      <c r="A1710" s="5">
        <v>41211</v>
      </c>
      <c r="B1710">
        <v>661.1</v>
      </c>
    </row>
    <row r="1711" spans="1:2" x14ac:dyDescent="0.25">
      <c r="A1711" s="5">
        <v>41218</v>
      </c>
      <c r="B1711">
        <v>659.5</v>
      </c>
    </row>
    <row r="1712" spans="1:2" x14ac:dyDescent="0.25">
      <c r="A1712" s="5">
        <v>41225</v>
      </c>
      <c r="B1712">
        <v>663.2</v>
      </c>
    </row>
    <row r="1713" spans="1:2" x14ac:dyDescent="0.25">
      <c r="A1713" s="5">
        <v>41232</v>
      </c>
      <c r="B1713">
        <v>663.9</v>
      </c>
    </row>
    <row r="1714" spans="1:2" x14ac:dyDescent="0.25">
      <c r="A1714" s="5">
        <v>41239</v>
      </c>
      <c r="B1714">
        <v>675.8</v>
      </c>
    </row>
    <row r="1715" spans="1:2" x14ac:dyDescent="0.25">
      <c r="A1715" s="5">
        <v>41246</v>
      </c>
      <c r="B1715">
        <v>677.1</v>
      </c>
    </row>
    <row r="1716" spans="1:2" x14ac:dyDescent="0.25">
      <c r="A1716" s="5">
        <v>41253</v>
      </c>
      <c r="B1716">
        <v>680.3</v>
      </c>
    </row>
    <row r="1717" spans="1:2" x14ac:dyDescent="0.25">
      <c r="A1717" s="5">
        <v>41260</v>
      </c>
      <c r="B1717">
        <v>683.4</v>
      </c>
    </row>
    <row r="1718" spans="1:2" x14ac:dyDescent="0.25">
      <c r="A1718" s="5">
        <v>41267</v>
      </c>
      <c r="B1718">
        <v>692.2</v>
      </c>
    </row>
    <row r="1719" spans="1:2" x14ac:dyDescent="0.25">
      <c r="A1719" s="5">
        <v>41274</v>
      </c>
      <c r="B1719">
        <v>701.7</v>
      </c>
    </row>
    <row r="1720" spans="1:2" x14ac:dyDescent="0.25">
      <c r="A1720" s="5">
        <v>41281</v>
      </c>
      <c r="B1720">
        <v>715.8</v>
      </c>
    </row>
    <row r="1721" spans="1:2" x14ac:dyDescent="0.25">
      <c r="A1721" s="5">
        <v>41288</v>
      </c>
      <c r="B1721">
        <v>714.7</v>
      </c>
    </row>
    <row r="1722" spans="1:2" x14ac:dyDescent="0.25">
      <c r="A1722" s="5">
        <v>41295</v>
      </c>
      <c r="B1722">
        <v>706.8</v>
      </c>
    </row>
    <row r="1723" spans="1:2" x14ac:dyDescent="0.25">
      <c r="A1723" s="5">
        <v>41302</v>
      </c>
      <c r="B1723">
        <v>698.8</v>
      </c>
    </row>
    <row r="1724" spans="1:2" x14ac:dyDescent="0.25">
      <c r="A1724" s="5">
        <v>41309</v>
      </c>
      <c r="B1724">
        <v>691.9</v>
      </c>
    </row>
    <row r="1725" spans="1:2" x14ac:dyDescent="0.25">
      <c r="A1725" s="5">
        <v>41316</v>
      </c>
      <c r="B1725">
        <v>693.4</v>
      </c>
    </row>
    <row r="1726" spans="1:2" x14ac:dyDescent="0.25">
      <c r="A1726" s="5">
        <v>41323</v>
      </c>
      <c r="B1726">
        <v>688.3</v>
      </c>
    </row>
    <row r="1727" spans="1:2" x14ac:dyDescent="0.25">
      <c r="A1727" s="5">
        <v>41330</v>
      </c>
      <c r="B1727">
        <v>688.4</v>
      </c>
    </row>
    <row r="1728" spans="1:2" x14ac:dyDescent="0.25">
      <c r="A1728" s="5">
        <v>41337</v>
      </c>
      <c r="B1728">
        <v>688.5</v>
      </c>
    </row>
    <row r="1729" spans="1:2" x14ac:dyDescent="0.25">
      <c r="A1729" s="5">
        <v>41344</v>
      </c>
      <c r="B1729">
        <v>690.5</v>
      </c>
    </row>
    <row r="1730" spans="1:2" x14ac:dyDescent="0.25">
      <c r="A1730" s="5">
        <v>41351</v>
      </c>
      <c r="B1730">
        <v>689.5</v>
      </c>
    </row>
    <row r="1731" spans="1:2" x14ac:dyDescent="0.25">
      <c r="A1731" s="5">
        <v>41358</v>
      </c>
      <c r="B1731">
        <v>690.6</v>
      </c>
    </row>
    <row r="1732" spans="1:2" x14ac:dyDescent="0.25">
      <c r="A1732" s="5">
        <v>41365</v>
      </c>
      <c r="B1732">
        <v>687.8</v>
      </c>
    </row>
    <row r="1733" spans="1:2" x14ac:dyDescent="0.25">
      <c r="A1733" s="5">
        <v>41372</v>
      </c>
      <c r="B1733">
        <v>685.6</v>
      </c>
    </row>
    <row r="1734" spans="1:2" x14ac:dyDescent="0.25">
      <c r="A1734" s="5">
        <v>41379</v>
      </c>
      <c r="B1734">
        <v>681.4</v>
      </c>
    </row>
    <row r="1735" spans="1:2" x14ac:dyDescent="0.25">
      <c r="A1735" s="5">
        <v>41386</v>
      </c>
      <c r="B1735">
        <v>678.3</v>
      </c>
    </row>
    <row r="1736" spans="1:2" x14ac:dyDescent="0.25">
      <c r="A1736" s="5">
        <v>41393</v>
      </c>
      <c r="B1736">
        <v>671.8</v>
      </c>
    </row>
    <row r="1737" spans="1:2" x14ac:dyDescent="0.25">
      <c r="A1737" s="5">
        <v>41400</v>
      </c>
      <c r="B1737">
        <v>663.7</v>
      </c>
    </row>
    <row r="1738" spans="1:2" x14ac:dyDescent="0.25">
      <c r="A1738" s="5">
        <v>41407</v>
      </c>
      <c r="B1738">
        <v>666.2</v>
      </c>
    </row>
    <row r="1739" spans="1:2" x14ac:dyDescent="0.25">
      <c r="A1739" s="5">
        <v>41414</v>
      </c>
      <c r="B1739">
        <v>664.2</v>
      </c>
    </row>
    <row r="1740" spans="1:2" x14ac:dyDescent="0.25">
      <c r="A1740" s="5">
        <v>41421</v>
      </c>
      <c r="B1740">
        <v>662.8</v>
      </c>
    </row>
    <row r="1741" spans="1:2" x14ac:dyDescent="0.25">
      <c r="A1741" s="5">
        <v>41428</v>
      </c>
      <c r="B1741">
        <v>663.2</v>
      </c>
    </row>
    <row r="1742" spans="1:2" x14ac:dyDescent="0.25">
      <c r="A1742" s="5">
        <v>41435</v>
      </c>
      <c r="B1742">
        <v>670.7</v>
      </c>
    </row>
    <row r="1743" spans="1:2" x14ac:dyDescent="0.25">
      <c r="A1743" s="5">
        <v>41442</v>
      </c>
      <c r="B1743">
        <v>679.4</v>
      </c>
    </row>
    <row r="1744" spans="1:2" x14ac:dyDescent="0.25">
      <c r="A1744" s="5">
        <v>41449</v>
      </c>
      <c r="B1744">
        <v>681.6</v>
      </c>
    </row>
    <row r="1745" spans="1:2" x14ac:dyDescent="0.25">
      <c r="A1745" s="5">
        <v>41456</v>
      </c>
      <c r="B1745">
        <v>684.6</v>
      </c>
    </row>
    <row r="1746" spans="1:2" x14ac:dyDescent="0.25">
      <c r="A1746" s="5">
        <v>41463</v>
      </c>
      <c r="B1746">
        <v>688.8</v>
      </c>
    </row>
    <row r="1747" spans="1:2" x14ac:dyDescent="0.25">
      <c r="A1747" s="5">
        <v>41470</v>
      </c>
      <c r="B1747">
        <v>687.3</v>
      </c>
    </row>
    <row r="1748" spans="1:2" x14ac:dyDescent="0.25">
      <c r="A1748" s="5">
        <v>41477</v>
      </c>
      <c r="B1748">
        <v>685.3</v>
      </c>
    </row>
    <row r="1749" spans="1:2" x14ac:dyDescent="0.25">
      <c r="A1749" s="5">
        <v>41484</v>
      </c>
      <c r="B1749">
        <v>679.5</v>
      </c>
    </row>
    <row r="1750" spans="1:2" x14ac:dyDescent="0.25">
      <c r="A1750" s="5">
        <v>41491</v>
      </c>
      <c r="B1750">
        <v>678</v>
      </c>
    </row>
    <row r="1751" spans="1:2" x14ac:dyDescent="0.25">
      <c r="A1751" s="5">
        <v>41498</v>
      </c>
      <c r="B1751">
        <v>682.2</v>
      </c>
    </row>
    <row r="1752" spans="1:2" x14ac:dyDescent="0.25">
      <c r="A1752" s="5">
        <v>41505</v>
      </c>
      <c r="B1752">
        <v>681</v>
      </c>
    </row>
    <row r="1753" spans="1:2" x14ac:dyDescent="0.25">
      <c r="A1753" s="5">
        <v>41512</v>
      </c>
      <c r="B1753">
        <v>687.5</v>
      </c>
    </row>
    <row r="1754" spans="1:2" x14ac:dyDescent="0.25">
      <c r="A1754" s="5">
        <v>41519</v>
      </c>
      <c r="B1754">
        <v>688.4</v>
      </c>
    </row>
    <row r="1755" spans="1:2" x14ac:dyDescent="0.25">
      <c r="A1755" s="5">
        <v>41526</v>
      </c>
      <c r="B1755">
        <v>688.9</v>
      </c>
    </row>
    <row r="1756" spans="1:2" x14ac:dyDescent="0.25">
      <c r="A1756" s="5">
        <v>41533</v>
      </c>
      <c r="B1756">
        <v>689.8</v>
      </c>
    </row>
    <row r="1757" spans="1:2" x14ac:dyDescent="0.25">
      <c r="A1757" s="5">
        <v>41540</v>
      </c>
      <c r="B1757">
        <v>686.2</v>
      </c>
    </row>
    <row r="1758" spans="1:2" x14ac:dyDescent="0.25">
      <c r="A1758" s="5">
        <v>41547</v>
      </c>
      <c r="B1758">
        <v>685.7</v>
      </c>
    </row>
    <row r="1759" spans="1:2" x14ac:dyDescent="0.25">
      <c r="A1759" s="5">
        <v>41554</v>
      </c>
      <c r="B1759">
        <v>688.1</v>
      </c>
    </row>
    <row r="1760" spans="1:2" x14ac:dyDescent="0.25">
      <c r="A1760" s="5">
        <v>41561</v>
      </c>
      <c r="B1760">
        <v>690.5</v>
      </c>
    </row>
    <row r="1761" spans="1:2" x14ac:dyDescent="0.25">
      <c r="A1761" s="5">
        <v>41568</v>
      </c>
      <c r="B1761">
        <v>690.8</v>
      </c>
    </row>
    <row r="1762" spans="1:2" x14ac:dyDescent="0.25">
      <c r="A1762" s="5">
        <v>41575</v>
      </c>
      <c r="B1762">
        <v>683.9</v>
      </c>
    </row>
    <row r="1763" spans="1:2" x14ac:dyDescent="0.25">
      <c r="A1763" s="5">
        <v>41582</v>
      </c>
      <c r="B1763">
        <v>676.7</v>
      </c>
    </row>
    <row r="1764" spans="1:2" x14ac:dyDescent="0.25">
      <c r="A1764" s="5">
        <v>41589</v>
      </c>
      <c r="B1764">
        <v>678.6</v>
      </c>
    </row>
    <row r="1765" spans="1:2" x14ac:dyDescent="0.25">
      <c r="A1765" s="5">
        <v>41596</v>
      </c>
      <c r="B1765">
        <v>676.5</v>
      </c>
    </row>
    <row r="1766" spans="1:2" x14ac:dyDescent="0.25">
      <c r="A1766" s="5">
        <v>41603</v>
      </c>
      <c r="B1766">
        <v>677.2</v>
      </c>
    </row>
    <row r="1767" spans="1:2" x14ac:dyDescent="0.25">
      <c r="A1767" s="5">
        <v>41610</v>
      </c>
      <c r="B1767">
        <v>677.5</v>
      </c>
    </row>
    <row r="1768" spans="1:2" x14ac:dyDescent="0.25">
      <c r="A1768" s="5">
        <v>41617</v>
      </c>
      <c r="B1768">
        <v>679.7</v>
      </c>
    </row>
    <row r="1769" spans="1:2" x14ac:dyDescent="0.25">
      <c r="A1769" s="5">
        <v>41624</v>
      </c>
      <c r="B1769">
        <v>682.2</v>
      </c>
    </row>
    <row r="1770" spans="1:2" x14ac:dyDescent="0.25">
      <c r="A1770" s="5">
        <v>41631</v>
      </c>
      <c r="B1770">
        <v>685.5</v>
      </c>
    </row>
    <row r="1771" spans="1:2" x14ac:dyDescent="0.25">
      <c r="A1771" s="5">
        <v>41638</v>
      </c>
      <c r="B1771">
        <v>687.1</v>
      </c>
    </row>
    <row r="1772" spans="1:2" x14ac:dyDescent="0.25">
      <c r="A1772" s="5">
        <v>41645</v>
      </c>
      <c r="B1772">
        <v>689.6</v>
      </c>
    </row>
    <row r="1773" spans="1:2" x14ac:dyDescent="0.25">
      <c r="A1773" s="5">
        <v>41652</v>
      </c>
      <c r="B1773">
        <v>692.1</v>
      </c>
    </row>
    <row r="1774" spans="1:2" x14ac:dyDescent="0.25">
      <c r="A1774" s="5">
        <v>41659</v>
      </c>
      <c r="B1774">
        <v>686.5</v>
      </c>
    </row>
    <row r="1775" spans="1:2" x14ac:dyDescent="0.25">
      <c r="A1775" s="5">
        <v>41666</v>
      </c>
      <c r="B1775">
        <v>683.1</v>
      </c>
    </row>
    <row r="1776" spans="1:2" x14ac:dyDescent="0.25">
      <c r="A1776" s="5">
        <v>41673</v>
      </c>
      <c r="B1776">
        <v>680.2</v>
      </c>
    </row>
    <row r="1777" spans="1:2" x14ac:dyDescent="0.25">
      <c r="A1777" s="5">
        <v>41680</v>
      </c>
      <c r="B1777">
        <v>684.5</v>
      </c>
    </row>
    <row r="1778" spans="1:2" x14ac:dyDescent="0.25">
      <c r="A1778" s="5">
        <v>41687</v>
      </c>
      <c r="B1778">
        <v>684.9</v>
      </c>
    </row>
    <row r="1779" spans="1:2" x14ac:dyDescent="0.25">
      <c r="A1779" s="5">
        <v>41694</v>
      </c>
      <c r="B1779">
        <v>682.4</v>
      </c>
    </row>
    <row r="1780" spans="1:2" x14ac:dyDescent="0.25">
      <c r="A1780" s="5">
        <v>41701</v>
      </c>
      <c r="B1780">
        <v>677.6</v>
      </c>
    </row>
    <row r="1781" spans="1:2" x14ac:dyDescent="0.25">
      <c r="A1781" s="5">
        <v>41708</v>
      </c>
      <c r="B1781">
        <v>678.3</v>
      </c>
    </row>
    <row r="1782" spans="1:2" x14ac:dyDescent="0.25">
      <c r="A1782" s="5">
        <v>41715</v>
      </c>
      <c r="B1782">
        <v>676.4</v>
      </c>
    </row>
    <row r="1783" spans="1:2" x14ac:dyDescent="0.25">
      <c r="A1783" s="5">
        <v>41722</v>
      </c>
      <c r="B1783">
        <v>677.7</v>
      </c>
    </row>
    <row r="1784" spans="1:2" x14ac:dyDescent="0.25">
      <c r="A1784" s="5">
        <v>41729</v>
      </c>
      <c r="B1784">
        <v>677.2</v>
      </c>
    </row>
    <row r="1785" spans="1:2" x14ac:dyDescent="0.25">
      <c r="A1785" s="5">
        <v>41736</v>
      </c>
      <c r="B1785">
        <v>678.2</v>
      </c>
    </row>
    <row r="1786" spans="1:2" x14ac:dyDescent="0.25">
      <c r="A1786" s="5">
        <v>41743</v>
      </c>
      <c r="B1786">
        <v>674.8</v>
      </c>
    </row>
    <row r="1787" spans="1:2" x14ac:dyDescent="0.25">
      <c r="A1787" s="5">
        <v>41750</v>
      </c>
      <c r="B1787">
        <v>669.1</v>
      </c>
    </row>
    <row r="1788" spans="1:2" x14ac:dyDescent="0.25">
      <c r="A1788" s="5">
        <v>41757</v>
      </c>
      <c r="B1788">
        <v>663.7</v>
      </c>
    </row>
    <row r="1789" spans="1:2" x14ac:dyDescent="0.25">
      <c r="A1789" s="5">
        <v>41764</v>
      </c>
      <c r="B1789">
        <v>658.2</v>
      </c>
    </row>
    <row r="1790" spans="1:2" x14ac:dyDescent="0.25">
      <c r="A1790" s="5">
        <v>41771</v>
      </c>
      <c r="B1790">
        <v>665</v>
      </c>
    </row>
    <row r="1791" spans="1:2" x14ac:dyDescent="0.25">
      <c r="A1791" s="5">
        <v>41778</v>
      </c>
      <c r="B1791">
        <v>661.9</v>
      </c>
    </row>
    <row r="1792" spans="1:2" x14ac:dyDescent="0.25">
      <c r="A1792" s="5">
        <v>41785</v>
      </c>
      <c r="B1792">
        <v>662.8</v>
      </c>
    </row>
    <row r="1793" spans="1:2" x14ac:dyDescent="0.25">
      <c r="A1793" s="5">
        <v>41792</v>
      </c>
      <c r="B1793">
        <v>661</v>
      </c>
    </row>
    <row r="1794" spans="1:2" x14ac:dyDescent="0.25">
      <c r="A1794" s="5">
        <v>41799</v>
      </c>
      <c r="B1794">
        <v>662</v>
      </c>
    </row>
    <row r="1795" spans="1:2" x14ac:dyDescent="0.25">
      <c r="A1795" s="5">
        <v>41806</v>
      </c>
      <c r="B1795">
        <v>658.4</v>
      </c>
    </row>
    <row r="1796" spans="1:2" x14ac:dyDescent="0.25">
      <c r="A1796" s="5">
        <v>41813</v>
      </c>
      <c r="B1796">
        <v>657.1</v>
      </c>
    </row>
    <row r="1797" spans="1:2" x14ac:dyDescent="0.25">
      <c r="A1797" s="5">
        <v>41820</v>
      </c>
      <c r="B1797">
        <v>652.29999999999995</v>
      </c>
    </row>
    <row r="1798" spans="1:2" x14ac:dyDescent="0.25">
      <c r="A1798" s="5">
        <v>41827</v>
      </c>
      <c r="B1798">
        <v>653.1</v>
      </c>
    </row>
    <row r="1799" spans="1:2" x14ac:dyDescent="0.25">
      <c r="A1799" s="5">
        <v>41834</v>
      </c>
      <c r="B1799">
        <v>654.4</v>
      </c>
    </row>
    <row r="1800" spans="1:2" x14ac:dyDescent="0.25">
      <c r="A1800" s="5">
        <v>41841</v>
      </c>
      <c r="B1800">
        <v>653.1</v>
      </c>
    </row>
    <row r="1801" spans="1:2" x14ac:dyDescent="0.25">
      <c r="A1801" s="5">
        <v>41848</v>
      </c>
      <c r="B1801">
        <v>655</v>
      </c>
    </row>
    <row r="1802" spans="1:2" x14ac:dyDescent="0.25">
      <c r="A1802" s="5">
        <v>41855</v>
      </c>
      <c r="B1802">
        <v>651</v>
      </c>
    </row>
    <row r="1803" spans="1:2" x14ac:dyDescent="0.25">
      <c r="A1803" s="5">
        <v>41862</v>
      </c>
      <c r="B1803">
        <v>661.5</v>
      </c>
    </row>
    <row r="1804" spans="1:2" x14ac:dyDescent="0.25">
      <c r="A1804" s="5">
        <v>41869</v>
      </c>
      <c r="B1804">
        <v>662.4</v>
      </c>
    </row>
    <row r="1805" spans="1:2" x14ac:dyDescent="0.25">
      <c r="A1805" s="5">
        <v>41876</v>
      </c>
      <c r="B1805">
        <v>660.6</v>
      </c>
    </row>
    <row r="1806" spans="1:2" x14ac:dyDescent="0.25">
      <c r="A1806" s="5">
        <v>41883</v>
      </c>
      <c r="B1806">
        <v>657.8</v>
      </c>
    </row>
    <row r="1807" spans="1:2" x14ac:dyDescent="0.25">
      <c r="A1807" s="5">
        <v>41890</v>
      </c>
      <c r="B1807">
        <v>658.1</v>
      </c>
    </row>
    <row r="1808" spans="1:2" x14ac:dyDescent="0.25">
      <c r="A1808" s="5">
        <v>41897</v>
      </c>
      <c r="B1808">
        <v>657.2</v>
      </c>
    </row>
    <row r="1809" spans="1:2" x14ac:dyDescent="0.25">
      <c r="A1809" s="5">
        <v>41904</v>
      </c>
      <c r="B1809">
        <v>656.8</v>
      </c>
    </row>
    <row r="1810" spans="1:2" x14ac:dyDescent="0.25">
      <c r="A1810" s="5">
        <v>41911</v>
      </c>
      <c r="B1810">
        <v>654.79999999999995</v>
      </c>
    </row>
    <row r="1811" spans="1:2" x14ac:dyDescent="0.25">
      <c r="A1811" s="5">
        <v>41918</v>
      </c>
      <c r="B1811">
        <v>655.6</v>
      </c>
    </row>
    <row r="1812" spans="1:2" x14ac:dyDescent="0.25">
      <c r="A1812" s="5">
        <v>41925</v>
      </c>
      <c r="B1812">
        <v>661.9</v>
      </c>
    </row>
    <row r="1813" spans="1:2" x14ac:dyDescent="0.25">
      <c r="A1813" s="5">
        <v>41932</v>
      </c>
      <c r="B1813">
        <v>661.7</v>
      </c>
    </row>
    <row r="1814" spans="1:2" x14ac:dyDescent="0.25">
      <c r="A1814" s="5">
        <v>41939</v>
      </c>
      <c r="B1814">
        <v>667.5</v>
      </c>
    </row>
    <row r="1815" spans="1:2" x14ac:dyDescent="0.25">
      <c r="A1815" s="5">
        <v>41946</v>
      </c>
      <c r="B1815">
        <v>657.6</v>
      </c>
    </row>
    <row r="1816" spans="1:2" x14ac:dyDescent="0.25">
      <c r="A1816" s="5">
        <v>41953</v>
      </c>
      <c r="B1816">
        <v>656.7</v>
      </c>
    </row>
    <row r="1817" spans="1:2" x14ac:dyDescent="0.25">
      <c r="A1817" s="5">
        <v>41960</v>
      </c>
      <c r="B1817">
        <v>654.20000000000005</v>
      </c>
    </row>
    <row r="1818" spans="1:2" x14ac:dyDescent="0.25">
      <c r="A1818" s="5">
        <v>41967</v>
      </c>
      <c r="B1818">
        <v>654.79999999999995</v>
      </c>
    </row>
    <row r="1819" spans="1:2" x14ac:dyDescent="0.25">
      <c r="A1819" s="5">
        <v>41974</v>
      </c>
      <c r="B1819">
        <v>652.70000000000005</v>
      </c>
    </row>
    <row r="1820" spans="1:2" x14ac:dyDescent="0.25">
      <c r="A1820" s="5">
        <v>41981</v>
      </c>
      <c r="B1820">
        <v>657</v>
      </c>
    </row>
    <row r="1821" spans="1:2" x14ac:dyDescent="0.25">
      <c r="A1821" s="5">
        <v>41988</v>
      </c>
      <c r="B1821">
        <v>654.6</v>
      </c>
    </row>
    <row r="1822" spans="1:2" x14ac:dyDescent="0.25">
      <c r="A1822" s="5">
        <v>41995</v>
      </c>
      <c r="B1822">
        <v>661.3</v>
      </c>
    </row>
    <row r="1823" spans="1:2" x14ac:dyDescent="0.25">
      <c r="A1823" s="5">
        <v>42002</v>
      </c>
      <c r="B1823">
        <v>664.2</v>
      </c>
    </row>
    <row r="1824" spans="1:2" x14ac:dyDescent="0.25">
      <c r="A1824" s="5">
        <v>42009</v>
      </c>
      <c r="B1824">
        <v>667.1</v>
      </c>
    </row>
    <row r="1825" spans="1:2" x14ac:dyDescent="0.25">
      <c r="A1825" s="5">
        <v>42016</v>
      </c>
      <c r="B1825">
        <v>672.3</v>
      </c>
    </row>
    <row r="1826" spans="1:2" x14ac:dyDescent="0.25">
      <c r="A1826" s="5">
        <v>42023</v>
      </c>
      <c r="B1826">
        <v>667.2</v>
      </c>
    </row>
    <row r="1827" spans="1:2" x14ac:dyDescent="0.25">
      <c r="A1827" s="5">
        <v>42030</v>
      </c>
      <c r="B1827">
        <v>665.3</v>
      </c>
    </row>
    <row r="1828" spans="1:2" x14ac:dyDescent="0.25">
      <c r="A1828" s="5">
        <v>42037</v>
      </c>
      <c r="B1828">
        <v>660.8</v>
      </c>
    </row>
    <row r="1829" spans="1:2" x14ac:dyDescent="0.25">
      <c r="A1829" s="5">
        <v>42044</v>
      </c>
      <c r="B1829">
        <v>658.1</v>
      </c>
    </row>
    <row r="1830" spans="1:2" x14ac:dyDescent="0.25">
      <c r="A1830" s="5">
        <v>42051</v>
      </c>
      <c r="B1830">
        <v>657.3</v>
      </c>
    </row>
    <row r="1831" spans="1:2" x14ac:dyDescent="0.25">
      <c r="A1831" s="5">
        <v>42058</v>
      </c>
      <c r="B1831">
        <v>658.7</v>
      </c>
    </row>
    <row r="1832" spans="1:2" x14ac:dyDescent="0.25">
      <c r="A1832" s="5">
        <v>42065</v>
      </c>
      <c r="B1832">
        <v>655.20000000000005</v>
      </c>
    </row>
    <row r="1833" spans="1:2" x14ac:dyDescent="0.25">
      <c r="A1833" s="5">
        <v>42072</v>
      </c>
      <c r="B1833">
        <v>653.4</v>
      </c>
    </row>
    <row r="1834" spans="1:2" x14ac:dyDescent="0.25">
      <c r="A1834" s="5">
        <v>42079</v>
      </c>
      <c r="B1834">
        <v>651.20000000000005</v>
      </c>
    </row>
    <row r="1835" spans="1:2" x14ac:dyDescent="0.25">
      <c r="A1835" s="5">
        <v>42086</v>
      </c>
      <c r="B1835">
        <v>653.29999999999995</v>
      </c>
    </row>
    <row r="1836" spans="1:2" x14ac:dyDescent="0.25">
      <c r="A1836" s="5">
        <v>42093</v>
      </c>
      <c r="B1836">
        <v>653.79999999999995</v>
      </c>
    </row>
    <row r="1837" spans="1:2" x14ac:dyDescent="0.25">
      <c r="A1837" s="5">
        <v>42100</v>
      </c>
      <c r="B1837">
        <v>651.6</v>
      </c>
    </row>
    <row r="1838" spans="1:2" x14ac:dyDescent="0.25">
      <c r="A1838" s="5">
        <v>42107</v>
      </c>
      <c r="B1838">
        <v>653.1</v>
      </c>
    </row>
    <row r="1839" spans="1:2" x14ac:dyDescent="0.25">
      <c r="A1839" s="5">
        <v>42114</v>
      </c>
      <c r="B1839">
        <v>645.9</v>
      </c>
    </row>
    <row r="1840" spans="1:2" x14ac:dyDescent="0.25">
      <c r="A1840" s="5">
        <v>42121</v>
      </c>
      <c r="B1840">
        <v>635.70000000000005</v>
      </c>
    </row>
    <row r="1841" spans="1:2" x14ac:dyDescent="0.25">
      <c r="A1841" s="5">
        <v>42128</v>
      </c>
      <c r="B1841">
        <v>630.1</v>
      </c>
    </row>
    <row r="1842" spans="1:2" x14ac:dyDescent="0.25">
      <c r="A1842" s="5">
        <v>42135</v>
      </c>
      <c r="B1842">
        <v>631.5</v>
      </c>
    </row>
    <row r="1843" spans="1:2" x14ac:dyDescent="0.25">
      <c r="A1843" s="5">
        <v>42142</v>
      </c>
      <c r="B1843">
        <v>629.9</v>
      </c>
    </row>
    <row r="1844" spans="1:2" x14ac:dyDescent="0.25">
      <c r="A1844" s="5">
        <v>42149</v>
      </c>
      <c r="B1844">
        <v>632.70000000000005</v>
      </c>
    </row>
    <row r="1845" spans="1:2" x14ac:dyDescent="0.25">
      <c r="A1845" s="5">
        <v>42156</v>
      </c>
      <c r="B1845">
        <v>633</v>
      </c>
    </row>
    <row r="1846" spans="1:2" x14ac:dyDescent="0.25">
      <c r="A1846" s="5">
        <v>42163</v>
      </c>
      <c r="B1846">
        <v>635.1</v>
      </c>
    </row>
    <row r="1847" spans="1:2" x14ac:dyDescent="0.25">
      <c r="A1847" s="5">
        <v>42170</v>
      </c>
      <c r="B1847">
        <v>633.4</v>
      </c>
    </row>
    <row r="1848" spans="1:2" x14ac:dyDescent="0.25">
      <c r="A1848" s="5">
        <v>42177</v>
      </c>
      <c r="B1848">
        <v>635.20000000000005</v>
      </c>
    </row>
    <row r="1849" spans="1:2" x14ac:dyDescent="0.25">
      <c r="A1849" s="5">
        <v>42184</v>
      </c>
      <c r="B1849">
        <v>635.20000000000005</v>
      </c>
    </row>
    <row r="1850" spans="1:2" x14ac:dyDescent="0.25">
      <c r="A1850" s="5">
        <v>42191</v>
      </c>
      <c r="B1850">
        <v>633.5</v>
      </c>
    </row>
    <row r="1851" spans="1:2" x14ac:dyDescent="0.25">
      <c r="A1851" s="5">
        <v>42198</v>
      </c>
      <c r="B1851">
        <v>639.79999999999995</v>
      </c>
    </row>
    <row r="1852" spans="1:2" x14ac:dyDescent="0.25">
      <c r="A1852" s="5">
        <v>42205</v>
      </c>
      <c r="B1852">
        <v>639.70000000000005</v>
      </c>
    </row>
    <row r="1853" spans="1:2" x14ac:dyDescent="0.25">
      <c r="A1853" s="5">
        <v>42212</v>
      </c>
      <c r="B1853">
        <v>637.9</v>
      </c>
    </row>
    <row r="1854" spans="1:2" x14ac:dyDescent="0.25">
      <c r="A1854" s="5">
        <v>42219</v>
      </c>
      <c r="B1854">
        <v>636.5</v>
      </c>
    </row>
    <row r="1855" spans="1:2" x14ac:dyDescent="0.25">
      <c r="A1855" s="5">
        <v>42226</v>
      </c>
      <c r="B1855">
        <v>640.29999999999995</v>
      </c>
    </row>
    <row r="1856" spans="1:2" x14ac:dyDescent="0.25">
      <c r="A1856" s="5">
        <v>42233</v>
      </c>
      <c r="B1856">
        <v>641.20000000000005</v>
      </c>
    </row>
    <row r="1857" spans="1:2" x14ac:dyDescent="0.25">
      <c r="A1857" s="5">
        <v>42240</v>
      </c>
      <c r="B1857">
        <v>644.6</v>
      </c>
    </row>
    <row r="1858" spans="1:2" x14ac:dyDescent="0.25">
      <c r="A1858" s="5">
        <v>42247</v>
      </c>
      <c r="B1858">
        <v>649.5</v>
      </c>
    </row>
    <row r="1859" spans="1:2" x14ac:dyDescent="0.25">
      <c r="A1859" s="5">
        <v>42254</v>
      </c>
      <c r="B1859">
        <v>653.9</v>
      </c>
    </row>
    <row r="1860" spans="1:2" x14ac:dyDescent="0.25">
      <c r="A1860" s="5">
        <v>42261</v>
      </c>
      <c r="B1860">
        <v>654.70000000000005</v>
      </c>
    </row>
    <row r="1861" spans="1:2" x14ac:dyDescent="0.25">
      <c r="A1861" s="5">
        <v>42268</v>
      </c>
      <c r="B1861">
        <v>655</v>
      </c>
    </row>
    <row r="1862" spans="1:2" x14ac:dyDescent="0.25">
      <c r="A1862" s="5">
        <v>42275</v>
      </c>
      <c r="B1862">
        <v>653.1</v>
      </c>
    </row>
    <row r="1863" spans="1:2" x14ac:dyDescent="0.25">
      <c r="A1863" s="5">
        <v>42282</v>
      </c>
      <c r="B1863">
        <v>650.79999999999995</v>
      </c>
    </row>
    <row r="1864" spans="1:2" x14ac:dyDescent="0.25">
      <c r="A1864" s="5">
        <v>42289</v>
      </c>
      <c r="B1864">
        <v>655.9</v>
      </c>
    </row>
    <row r="1865" spans="1:2" x14ac:dyDescent="0.25">
      <c r="A1865" s="5">
        <v>42296</v>
      </c>
      <c r="B1865">
        <v>655.29999999999995</v>
      </c>
    </row>
    <row r="1866" spans="1:2" x14ac:dyDescent="0.25">
      <c r="A1866" s="5">
        <v>42303</v>
      </c>
      <c r="B1866">
        <v>653</v>
      </c>
    </row>
    <row r="1867" spans="1:2" x14ac:dyDescent="0.25">
      <c r="A1867" s="5">
        <v>42310</v>
      </c>
      <c r="B1867">
        <v>650.29999999999995</v>
      </c>
    </row>
    <row r="1868" spans="1:2" x14ac:dyDescent="0.25">
      <c r="A1868" s="5">
        <v>42317</v>
      </c>
      <c r="B1868">
        <v>650.20000000000005</v>
      </c>
    </row>
    <row r="1869" spans="1:2" x14ac:dyDescent="0.25">
      <c r="A1869" s="5">
        <v>42324</v>
      </c>
      <c r="B1869">
        <v>656.4</v>
      </c>
    </row>
    <row r="1870" spans="1:2" x14ac:dyDescent="0.25">
      <c r="A1870" s="5">
        <v>42331</v>
      </c>
      <c r="B1870">
        <v>659.1</v>
      </c>
    </row>
    <row r="1871" spans="1:2" x14ac:dyDescent="0.25">
      <c r="A1871" s="5">
        <v>42338</v>
      </c>
      <c r="B1871">
        <v>661.6</v>
      </c>
    </row>
    <row r="1872" spans="1:2" x14ac:dyDescent="0.25">
      <c r="A1872" s="5">
        <v>42345</v>
      </c>
      <c r="B1872">
        <v>661.3</v>
      </c>
    </row>
    <row r="1873" spans="1:2" x14ac:dyDescent="0.25">
      <c r="A1873" s="5">
        <v>42352</v>
      </c>
      <c r="B1873">
        <v>658.9</v>
      </c>
    </row>
    <row r="1874" spans="1:2" x14ac:dyDescent="0.25">
      <c r="A1874" s="5">
        <v>42359</v>
      </c>
      <c r="B1874">
        <v>695.8</v>
      </c>
    </row>
    <row r="1875" spans="1:2" x14ac:dyDescent="0.25">
      <c r="A1875" s="5">
        <v>42366</v>
      </c>
      <c r="B1875">
        <v>702.5</v>
      </c>
    </row>
    <row r="1876" spans="1:2" x14ac:dyDescent="0.25">
      <c r="A1876" s="5">
        <v>42373</v>
      </c>
      <c r="B1876">
        <v>707.2</v>
      </c>
    </row>
    <row r="1877" spans="1:2" x14ac:dyDescent="0.25">
      <c r="A1877" s="5">
        <v>42380</v>
      </c>
      <c r="B1877">
        <v>784.4</v>
      </c>
    </row>
    <row r="1878" spans="1:2" x14ac:dyDescent="0.25">
      <c r="A1878" s="5">
        <v>42387</v>
      </c>
      <c r="B1878">
        <v>780.2</v>
      </c>
    </row>
    <row r="1879" spans="1:2" x14ac:dyDescent="0.25">
      <c r="A1879" s="5">
        <v>42394</v>
      </c>
      <c r="B1879">
        <v>781.4</v>
      </c>
    </row>
    <row r="1880" spans="1:2" x14ac:dyDescent="0.25">
      <c r="A1880" s="5">
        <v>42401</v>
      </c>
      <c r="B1880">
        <v>781.8</v>
      </c>
    </row>
    <row r="1881" spans="1:2" x14ac:dyDescent="0.25">
      <c r="A1881" s="5">
        <v>42408</v>
      </c>
      <c r="B1881">
        <v>779.6</v>
      </c>
    </row>
    <row r="1882" spans="1:2" x14ac:dyDescent="0.25">
      <c r="A1882" s="5">
        <v>42415</v>
      </c>
      <c r="B1882">
        <v>777.4</v>
      </c>
    </row>
    <row r="1883" spans="1:2" x14ac:dyDescent="0.25">
      <c r="A1883" s="5">
        <v>42422</v>
      </c>
      <c r="B1883">
        <v>778.2</v>
      </c>
    </row>
    <row r="1884" spans="1:2" x14ac:dyDescent="0.25">
      <c r="A1884" s="5">
        <v>42429</v>
      </c>
      <c r="B1884">
        <v>775.1</v>
      </c>
    </row>
    <row r="1885" spans="1:2" x14ac:dyDescent="0.25">
      <c r="A1885" s="5">
        <v>42436</v>
      </c>
      <c r="B1885">
        <v>771.9</v>
      </c>
    </row>
    <row r="1886" spans="1:2" x14ac:dyDescent="0.25">
      <c r="A1886" s="5">
        <v>42443</v>
      </c>
      <c r="B1886">
        <v>767.6</v>
      </c>
    </row>
    <row r="1887" spans="1:2" x14ac:dyDescent="0.25">
      <c r="A1887" s="5">
        <v>42450</v>
      </c>
      <c r="B1887">
        <v>760.1</v>
      </c>
    </row>
    <row r="1888" spans="1:2" x14ac:dyDescent="0.25">
      <c r="A1888" s="5">
        <v>42457</v>
      </c>
      <c r="B1888">
        <v>753.2</v>
      </c>
    </row>
    <row r="1889" spans="1:2" x14ac:dyDescent="0.25">
      <c r="A1889" s="5">
        <v>42464</v>
      </c>
      <c r="B1889">
        <v>749.7</v>
      </c>
    </row>
    <row r="1890" spans="1:2" x14ac:dyDescent="0.25">
      <c r="A1890" s="5">
        <v>42471</v>
      </c>
      <c r="B1890">
        <v>753.7</v>
      </c>
    </row>
    <row r="1891" spans="1:2" x14ac:dyDescent="0.25">
      <c r="A1891" s="5">
        <v>42478</v>
      </c>
      <c r="B1891">
        <v>744.4</v>
      </c>
    </row>
    <row r="1892" spans="1:2" x14ac:dyDescent="0.25">
      <c r="A1892" s="5">
        <v>42485</v>
      </c>
      <c r="B1892">
        <v>740.5</v>
      </c>
    </row>
    <row r="1893" spans="1:2" x14ac:dyDescent="0.25">
      <c r="A1893" s="5">
        <v>42492</v>
      </c>
      <c r="B1893">
        <v>735.2</v>
      </c>
    </row>
    <row r="1894" spans="1:2" x14ac:dyDescent="0.25">
      <c r="A1894" s="5">
        <v>42499</v>
      </c>
      <c r="B1894">
        <v>736.5</v>
      </c>
    </row>
    <row r="1895" spans="1:2" x14ac:dyDescent="0.25">
      <c r="A1895" s="5">
        <v>42506</v>
      </c>
      <c r="B1895">
        <v>734.9</v>
      </c>
    </row>
    <row r="1896" spans="1:2" x14ac:dyDescent="0.25">
      <c r="A1896" s="5">
        <v>42513</v>
      </c>
      <c r="B1896">
        <v>734.7</v>
      </c>
    </row>
    <row r="1897" spans="1:2" x14ac:dyDescent="0.25">
      <c r="A1897" s="5">
        <v>42520</v>
      </c>
      <c r="B1897">
        <v>731.7</v>
      </c>
    </row>
    <row r="1898" spans="1:2" x14ac:dyDescent="0.25">
      <c r="A1898" s="5">
        <v>42527</v>
      </c>
      <c r="B1898">
        <v>728.3</v>
      </c>
    </row>
    <row r="1899" spans="1:2" x14ac:dyDescent="0.25">
      <c r="A1899" s="5">
        <v>42534</v>
      </c>
      <c r="B1899">
        <v>726.7</v>
      </c>
    </row>
    <row r="1900" spans="1:2" x14ac:dyDescent="0.25">
      <c r="A1900" s="5">
        <v>42541</v>
      </c>
      <c r="B1900">
        <v>721.3</v>
      </c>
    </row>
    <row r="1901" spans="1:2" x14ac:dyDescent="0.25">
      <c r="A1901" s="5">
        <v>42548</v>
      </c>
      <c r="B1901">
        <v>716.9</v>
      </c>
    </row>
    <row r="1902" spans="1:2" x14ac:dyDescent="0.25">
      <c r="A1902" s="5">
        <v>42555</v>
      </c>
      <c r="B1902">
        <v>712.6</v>
      </c>
    </row>
    <row r="1903" spans="1:2" x14ac:dyDescent="0.25">
      <c r="A1903" s="5">
        <v>42562</v>
      </c>
      <c r="B1903">
        <v>713.9</v>
      </c>
    </row>
    <row r="1904" spans="1:2" x14ac:dyDescent="0.25">
      <c r="A1904" s="5">
        <v>42569</v>
      </c>
      <c r="B1904">
        <v>712.9</v>
      </c>
    </row>
    <row r="1905" spans="1:2" x14ac:dyDescent="0.25">
      <c r="A1905" s="5">
        <v>42576</v>
      </c>
      <c r="B1905">
        <v>715.9</v>
      </c>
    </row>
    <row r="1906" spans="1:2" x14ac:dyDescent="0.25">
      <c r="A1906" s="5">
        <v>42583</v>
      </c>
      <c r="B1906">
        <v>713</v>
      </c>
    </row>
    <row r="1907" spans="1:2" x14ac:dyDescent="0.25">
      <c r="A1907" s="5">
        <v>42590</v>
      </c>
      <c r="B1907">
        <v>714.2</v>
      </c>
    </row>
    <row r="1908" spans="1:2" x14ac:dyDescent="0.25">
      <c r="A1908" s="5">
        <v>42597</v>
      </c>
      <c r="B1908">
        <v>701.3</v>
      </c>
    </row>
    <row r="1909" spans="1:2" x14ac:dyDescent="0.25">
      <c r="A1909" s="5">
        <v>42604</v>
      </c>
      <c r="B1909">
        <v>690.2</v>
      </c>
    </row>
    <row r="1910" spans="1:2" x14ac:dyDescent="0.25">
      <c r="A1910" s="5">
        <v>42611</v>
      </c>
      <c r="B1910">
        <v>686.2</v>
      </c>
    </row>
    <row r="1911" spans="1:2" x14ac:dyDescent="0.25">
      <c r="A1911" s="5">
        <v>42618</v>
      </c>
      <c r="B1911">
        <v>682</v>
      </c>
    </row>
    <row r="1912" spans="1:2" x14ac:dyDescent="0.25">
      <c r="A1912" s="5">
        <v>42625</v>
      </c>
      <c r="B1912">
        <v>682.6</v>
      </c>
    </row>
    <row r="1913" spans="1:2" x14ac:dyDescent="0.25">
      <c r="A1913" s="5">
        <v>42632</v>
      </c>
      <c r="B1913">
        <v>675.6</v>
      </c>
    </row>
    <row r="1914" spans="1:2" x14ac:dyDescent="0.25">
      <c r="A1914" s="5">
        <v>42639</v>
      </c>
      <c r="B1914">
        <v>673.4</v>
      </c>
    </row>
    <row r="1915" spans="1:2" x14ac:dyDescent="0.25">
      <c r="A1915" s="5">
        <v>42646</v>
      </c>
      <c r="B1915">
        <v>665.3</v>
      </c>
    </row>
    <row r="1916" spans="1:2" x14ac:dyDescent="0.25">
      <c r="A1916" s="5">
        <v>42653</v>
      </c>
      <c r="B1916">
        <v>678.6</v>
      </c>
    </row>
    <row r="1917" spans="1:2" x14ac:dyDescent="0.25">
      <c r="A1917" s="5">
        <v>42660</v>
      </c>
      <c r="B1917">
        <v>673.8</v>
      </c>
    </row>
    <row r="1918" spans="1:2" x14ac:dyDescent="0.25">
      <c r="A1918" s="5">
        <v>42667</v>
      </c>
      <c r="B1918">
        <v>680.9</v>
      </c>
    </row>
    <row r="1919" spans="1:2" x14ac:dyDescent="0.25">
      <c r="A1919" s="5">
        <v>42674</v>
      </c>
      <c r="B1919">
        <v>679.6</v>
      </c>
    </row>
    <row r="1920" spans="1:2" x14ac:dyDescent="0.25">
      <c r="A1920" s="5">
        <v>42681</v>
      </c>
      <c r="B1920">
        <v>684.9</v>
      </c>
    </row>
    <row r="1921" spans="1:2" x14ac:dyDescent="0.25">
      <c r="A1921" s="5">
        <v>42688</v>
      </c>
      <c r="B1921">
        <v>694.7</v>
      </c>
    </row>
    <row r="1922" spans="1:2" x14ac:dyDescent="0.25">
      <c r="A1922" s="5">
        <v>42695</v>
      </c>
      <c r="B1922">
        <v>702.2</v>
      </c>
    </row>
    <row r="1923" spans="1:2" x14ac:dyDescent="0.25">
      <c r="A1923" s="5">
        <v>42702</v>
      </c>
      <c r="B1923">
        <v>703.5</v>
      </c>
    </row>
    <row r="1924" spans="1:2" x14ac:dyDescent="0.25">
      <c r="A1924" s="5">
        <v>42709</v>
      </c>
      <c r="B1924">
        <v>700.8</v>
      </c>
    </row>
    <row r="1925" spans="1:2" x14ac:dyDescent="0.25">
      <c r="A1925" s="5">
        <v>42716</v>
      </c>
      <c r="B1925">
        <v>705.1</v>
      </c>
    </row>
    <row r="1926" spans="1:2" x14ac:dyDescent="0.25">
      <c r="A1926" s="5">
        <v>42723</v>
      </c>
      <c r="B1926">
        <v>707.5</v>
      </c>
    </row>
    <row r="1927" spans="1:2" x14ac:dyDescent="0.25">
      <c r="A1927" s="5">
        <v>42730</v>
      </c>
      <c r="B1927">
        <v>709.8</v>
      </c>
    </row>
    <row r="1928" spans="1:2" x14ac:dyDescent="0.25">
      <c r="A1928" s="5">
        <v>42737</v>
      </c>
      <c r="B1928">
        <v>709.9</v>
      </c>
    </row>
    <row r="1929" spans="1:2" x14ac:dyDescent="0.25">
      <c r="A1929" s="5">
        <v>42744</v>
      </c>
      <c r="B1929">
        <v>716.4</v>
      </c>
    </row>
    <row r="1930" spans="1:2" x14ac:dyDescent="0.25">
      <c r="A1930" s="5">
        <v>42751</v>
      </c>
      <c r="B1930">
        <v>713.3</v>
      </c>
    </row>
    <row r="1931" spans="1:2" x14ac:dyDescent="0.25">
      <c r="A1931" s="5">
        <v>42758</v>
      </c>
      <c r="B1931">
        <v>711.7</v>
      </c>
    </row>
    <row r="1932" spans="1:2" x14ac:dyDescent="0.25">
      <c r="A1932" s="5">
        <v>42765</v>
      </c>
      <c r="B1932">
        <v>705.3</v>
      </c>
    </row>
    <row r="1933" spans="1:2" x14ac:dyDescent="0.25">
      <c r="A1933" s="5">
        <v>42772</v>
      </c>
      <c r="B1933">
        <v>703.6</v>
      </c>
    </row>
    <row r="1934" spans="1:2" x14ac:dyDescent="0.25">
      <c r="A1934" s="5">
        <v>42779</v>
      </c>
      <c r="B1934">
        <v>706.4</v>
      </c>
    </row>
    <row r="1935" spans="1:2" x14ac:dyDescent="0.25">
      <c r="A1935" s="5">
        <v>42786</v>
      </c>
      <c r="B1935">
        <v>703.2</v>
      </c>
    </row>
    <row r="1936" spans="1:2" x14ac:dyDescent="0.25">
      <c r="A1936" s="5">
        <v>42793</v>
      </c>
      <c r="B1936">
        <v>705.8</v>
      </c>
    </row>
    <row r="1937" spans="1:2" x14ac:dyDescent="0.25">
      <c r="A1937" s="5">
        <v>42800</v>
      </c>
      <c r="B1937">
        <v>704.3</v>
      </c>
    </row>
    <row r="1938" spans="1:2" x14ac:dyDescent="0.25">
      <c r="A1938" s="5">
        <v>42807</v>
      </c>
      <c r="B1938">
        <v>707.6</v>
      </c>
    </row>
    <row r="1939" spans="1:2" x14ac:dyDescent="0.25">
      <c r="A1939" s="5">
        <v>42814</v>
      </c>
      <c r="B1939">
        <v>710.2</v>
      </c>
    </row>
    <row r="1940" spans="1:2" x14ac:dyDescent="0.25">
      <c r="A1940" s="5">
        <v>42821</v>
      </c>
      <c r="B1940">
        <v>711.5</v>
      </c>
    </row>
    <row r="1941" spans="1:2" x14ac:dyDescent="0.25">
      <c r="A1941" s="5">
        <v>42828</v>
      </c>
      <c r="B1941">
        <v>711.8</v>
      </c>
    </row>
    <row r="1942" spans="1:2" x14ac:dyDescent="0.25">
      <c r="A1942" s="5">
        <v>42835</v>
      </c>
      <c r="B1942">
        <v>712.8</v>
      </c>
    </row>
    <row r="1943" spans="1:2" x14ac:dyDescent="0.25">
      <c r="A1943" s="5">
        <v>42842</v>
      </c>
      <c r="B1943">
        <v>708.6</v>
      </c>
    </row>
    <row r="1944" spans="1:2" x14ac:dyDescent="0.25">
      <c r="A1944" s="5">
        <v>42849</v>
      </c>
      <c r="B1944">
        <v>703.9</v>
      </c>
    </row>
    <row r="1945" spans="1:2" x14ac:dyDescent="0.25">
      <c r="A1945" s="5">
        <v>42856</v>
      </c>
      <c r="B1945">
        <v>697.5</v>
      </c>
    </row>
    <row r="1946" spans="1:2" x14ac:dyDescent="0.25">
      <c r="A1946" s="5">
        <v>42863</v>
      </c>
      <c r="B1946">
        <v>701.4</v>
      </c>
    </row>
    <row r="1947" spans="1:2" x14ac:dyDescent="0.25">
      <c r="A1947" s="5">
        <v>42870</v>
      </c>
      <c r="B1947">
        <v>698.2</v>
      </c>
    </row>
    <row r="1948" spans="1:2" x14ac:dyDescent="0.25">
      <c r="A1948" s="5">
        <v>42877</v>
      </c>
      <c r="B1948">
        <v>696.6</v>
      </c>
    </row>
    <row r="1949" spans="1:2" x14ac:dyDescent="0.25">
      <c r="A1949" s="5">
        <v>42884</v>
      </c>
      <c r="B1949">
        <v>695.9</v>
      </c>
    </row>
    <row r="1950" spans="1:2" x14ac:dyDescent="0.25">
      <c r="A1950" s="5">
        <v>42891</v>
      </c>
      <c r="B1950">
        <v>692.8</v>
      </c>
    </row>
    <row r="1951" spans="1:2" x14ac:dyDescent="0.25">
      <c r="A1951" s="5">
        <v>42898</v>
      </c>
      <c r="B1951">
        <v>696</v>
      </c>
    </row>
    <row r="1952" spans="1:2" x14ac:dyDescent="0.25">
      <c r="A1952" s="5">
        <v>42905</v>
      </c>
      <c r="B1952">
        <v>693.4</v>
      </c>
    </row>
    <row r="1953" spans="1:2" x14ac:dyDescent="0.25">
      <c r="A1953" s="5">
        <v>42912</v>
      </c>
      <c r="B1953">
        <v>692.7</v>
      </c>
    </row>
    <row r="1954" spans="1:2" x14ac:dyDescent="0.25">
      <c r="A1954" s="5">
        <v>42919</v>
      </c>
      <c r="B1954">
        <v>691.4</v>
      </c>
    </row>
    <row r="1955" spans="1:2" x14ac:dyDescent="0.25">
      <c r="A1955" s="5">
        <v>42926</v>
      </c>
      <c r="B1955">
        <v>696.3</v>
      </c>
    </row>
    <row r="1956" spans="1:2" x14ac:dyDescent="0.25">
      <c r="A1956" s="5">
        <v>42933</v>
      </c>
      <c r="B1956">
        <v>695.9</v>
      </c>
    </row>
    <row r="1957" spans="1:2" x14ac:dyDescent="0.25">
      <c r="A1957" s="5">
        <v>42940</v>
      </c>
      <c r="B1957">
        <v>694.8</v>
      </c>
    </row>
    <row r="1958" spans="1:2" x14ac:dyDescent="0.25">
      <c r="A1958" s="5">
        <v>42947</v>
      </c>
      <c r="B1958">
        <v>692.9</v>
      </c>
    </row>
    <row r="1959" spans="1:2" x14ac:dyDescent="0.25">
      <c r="A1959" s="5">
        <v>42954</v>
      </c>
      <c r="B1959">
        <v>697.9</v>
      </c>
    </row>
    <row r="1960" spans="1:2" x14ac:dyDescent="0.25">
      <c r="A1960" s="5">
        <v>42961</v>
      </c>
      <c r="B1960">
        <v>699.3</v>
      </c>
    </row>
    <row r="1961" spans="1:2" x14ac:dyDescent="0.25">
      <c r="A1961" s="5">
        <v>42968</v>
      </c>
      <c r="B1961">
        <v>705.6</v>
      </c>
    </row>
    <row r="1962" spans="1:2" x14ac:dyDescent="0.25">
      <c r="A1962" s="5">
        <v>42975</v>
      </c>
      <c r="B1962">
        <v>705.7</v>
      </c>
    </row>
    <row r="1963" spans="1:2" x14ac:dyDescent="0.25">
      <c r="A1963" s="5">
        <v>42982</v>
      </c>
      <c r="B1963">
        <v>705.2</v>
      </c>
    </row>
    <row r="1964" spans="1:2" x14ac:dyDescent="0.25">
      <c r="A1964" s="5">
        <v>42989</v>
      </c>
      <c r="B1964">
        <v>707.5</v>
      </c>
    </row>
    <row r="1965" spans="1:2" x14ac:dyDescent="0.25">
      <c r="A1965" s="5">
        <v>42996</v>
      </c>
      <c r="B1965">
        <v>708</v>
      </c>
    </row>
    <row r="1966" spans="1:2" x14ac:dyDescent="0.25">
      <c r="A1966" s="5">
        <v>43003</v>
      </c>
      <c r="B1966">
        <v>709.4</v>
      </c>
    </row>
    <row r="1967" spans="1:2" x14ac:dyDescent="0.25">
      <c r="A1967" s="5">
        <v>43010</v>
      </c>
      <c r="B1967">
        <v>709.3</v>
      </c>
    </row>
    <row r="1968" spans="1:2" x14ac:dyDescent="0.25">
      <c r="A1968" s="5">
        <v>43017</v>
      </c>
      <c r="B1968">
        <v>711.8</v>
      </c>
    </row>
    <row r="1969" spans="1:2" x14ac:dyDescent="0.25">
      <c r="A1969" s="5">
        <v>43024</v>
      </c>
      <c r="B1969">
        <v>710.4</v>
      </c>
    </row>
    <row r="1970" spans="1:2" x14ac:dyDescent="0.25">
      <c r="A1970" s="5">
        <v>43031</v>
      </c>
      <c r="B1970">
        <v>709.3</v>
      </c>
    </row>
    <row r="1971" spans="1:2" x14ac:dyDescent="0.25">
      <c r="A1971" s="5">
        <v>43038</v>
      </c>
      <c r="B1971">
        <v>707.1</v>
      </c>
    </row>
    <row r="1972" spans="1:2" x14ac:dyDescent="0.25">
      <c r="A1972" s="5">
        <v>43045</v>
      </c>
      <c r="B1972">
        <v>707.5</v>
      </c>
    </row>
    <row r="1973" spans="1:2" x14ac:dyDescent="0.25">
      <c r="A1973" s="5">
        <v>43052</v>
      </c>
      <c r="B1973">
        <v>708.9</v>
      </c>
    </row>
    <row r="1974" spans="1:2" x14ac:dyDescent="0.25">
      <c r="A1974" s="5">
        <v>43059</v>
      </c>
      <c r="B1974">
        <v>711.4</v>
      </c>
    </row>
    <row r="1975" spans="1:2" x14ac:dyDescent="0.25">
      <c r="A1975" s="5">
        <v>43066</v>
      </c>
      <c r="B1975">
        <v>716.5</v>
      </c>
    </row>
    <row r="1976" spans="1:2" x14ac:dyDescent="0.25">
      <c r="A1976" s="5">
        <v>43073</v>
      </c>
      <c r="B1976">
        <v>714.6</v>
      </c>
    </row>
    <row r="1977" spans="1:2" x14ac:dyDescent="0.25">
      <c r="A1977" s="5">
        <v>43080</v>
      </c>
      <c r="B1977">
        <v>722.4</v>
      </c>
    </row>
    <row r="1978" spans="1:2" x14ac:dyDescent="0.25">
      <c r="A1978" s="5">
        <v>43087</v>
      </c>
      <c r="B1978">
        <v>727.1</v>
      </c>
    </row>
    <row r="1979" spans="1:2" x14ac:dyDescent="0.25">
      <c r="A1979" s="5">
        <v>43094</v>
      </c>
      <c r="B1979">
        <v>732.2</v>
      </c>
    </row>
    <row r="1980" spans="1:2" x14ac:dyDescent="0.25">
      <c r="A1980" s="5">
        <v>43101</v>
      </c>
      <c r="B1980">
        <v>732.7</v>
      </c>
    </row>
    <row r="1981" spans="1:2" x14ac:dyDescent="0.25">
      <c r="A1981" s="5">
        <v>43108</v>
      </c>
      <c r="B1981">
        <v>741</v>
      </c>
    </row>
    <row r="1982" spans="1:2" x14ac:dyDescent="0.25">
      <c r="A1982" s="5">
        <v>43115</v>
      </c>
      <c r="B1982">
        <v>734.9</v>
      </c>
    </row>
    <row r="1983" spans="1:2" x14ac:dyDescent="0.25">
      <c r="A1983" s="5">
        <v>43122</v>
      </c>
      <c r="B1983">
        <v>731.8</v>
      </c>
    </row>
    <row r="1984" spans="1:2" x14ac:dyDescent="0.25">
      <c r="A1984" s="5">
        <v>43129</v>
      </c>
      <c r="B1984">
        <v>731.4</v>
      </c>
    </row>
    <row r="1985" spans="1:2" x14ac:dyDescent="0.25">
      <c r="A1985" s="5">
        <v>43136</v>
      </c>
      <c r="B1985">
        <v>727.7</v>
      </c>
    </row>
    <row r="1986" spans="1:2" x14ac:dyDescent="0.25">
      <c r="A1986" s="5">
        <v>43143</v>
      </c>
      <c r="B1986">
        <v>739.8</v>
      </c>
    </row>
    <row r="1987" spans="1:2" x14ac:dyDescent="0.25">
      <c r="A1987" s="5">
        <v>43150</v>
      </c>
      <c r="B1987">
        <v>742.2</v>
      </c>
    </row>
    <row r="1988" spans="1:2" x14ac:dyDescent="0.25">
      <c r="A1988" s="5">
        <v>43157</v>
      </c>
      <c r="B1988">
        <v>745.6</v>
      </c>
    </row>
    <row r="1989" spans="1:2" x14ac:dyDescent="0.25">
      <c r="A1989" s="5">
        <v>43164</v>
      </c>
      <c r="B1989">
        <v>740.4</v>
      </c>
    </row>
    <row r="1990" spans="1:2" x14ac:dyDescent="0.25">
      <c r="A1990" s="5">
        <v>43171</v>
      </c>
      <c r="B1990">
        <v>742.8</v>
      </c>
    </row>
    <row r="1991" spans="1:2" x14ac:dyDescent="0.25">
      <c r="A1991" s="5">
        <v>43178</v>
      </c>
      <c r="B1991">
        <v>744.7</v>
      </c>
    </row>
    <row r="1992" spans="1:2" x14ac:dyDescent="0.25">
      <c r="A1992" s="5">
        <v>43185</v>
      </c>
      <c r="B1992">
        <v>745.6</v>
      </c>
    </row>
    <row r="1993" spans="1:2" x14ac:dyDescent="0.25">
      <c r="A1993" s="5">
        <v>43192</v>
      </c>
      <c r="B1993">
        <v>741.5</v>
      </c>
    </row>
    <row r="1994" spans="1:2" x14ac:dyDescent="0.25">
      <c r="A1994" s="5">
        <v>43199</v>
      </c>
      <c r="B1994">
        <v>746.3</v>
      </c>
    </row>
    <row r="1995" spans="1:2" x14ac:dyDescent="0.25">
      <c r="A1995" s="5">
        <v>43206</v>
      </c>
      <c r="B1995">
        <v>743.5</v>
      </c>
    </row>
    <row r="1996" spans="1:2" x14ac:dyDescent="0.25">
      <c r="A1996" s="5">
        <v>43213</v>
      </c>
      <c r="B1996">
        <v>734.8</v>
      </c>
    </row>
    <row r="1997" spans="1:2" x14ac:dyDescent="0.25">
      <c r="A1997" s="5">
        <v>43220</v>
      </c>
      <c r="B1997">
        <v>729.5</v>
      </c>
    </row>
    <row r="1998" spans="1:2" x14ac:dyDescent="0.25">
      <c r="A1998" s="5">
        <v>43227</v>
      </c>
      <c r="B1998">
        <v>736.9</v>
      </c>
    </row>
    <row r="1999" spans="1:2" x14ac:dyDescent="0.25">
      <c r="A1999" s="5">
        <v>43234</v>
      </c>
      <c r="B1999">
        <v>739.7</v>
      </c>
    </row>
    <row r="2000" spans="1:2" x14ac:dyDescent="0.25">
      <c r="A2000" s="5">
        <v>43241</v>
      </c>
      <c r="B2000">
        <v>743.6</v>
      </c>
    </row>
    <row r="2001" spans="1:2" x14ac:dyDescent="0.25">
      <c r="A2001" s="5">
        <v>43248</v>
      </c>
      <c r="B2001">
        <v>743.1</v>
      </c>
    </row>
    <row r="2002" spans="1:2" x14ac:dyDescent="0.25">
      <c r="A2002" s="5">
        <v>43255</v>
      </c>
      <c r="B2002">
        <v>743.2</v>
      </c>
    </row>
    <row r="2003" spans="1:2" x14ac:dyDescent="0.25">
      <c r="A2003" s="5">
        <v>43262</v>
      </c>
      <c r="B2003">
        <v>747.9</v>
      </c>
    </row>
    <row r="2004" spans="1:2" x14ac:dyDescent="0.25">
      <c r="A2004" s="5">
        <v>43269</v>
      </c>
      <c r="B2004">
        <v>748.5</v>
      </c>
    </row>
    <row r="2005" spans="1:2" x14ac:dyDescent="0.25">
      <c r="A2005" s="5">
        <v>43276</v>
      </c>
      <c r="B2005">
        <v>747.6</v>
      </c>
    </row>
    <row r="2006" spans="1:2" x14ac:dyDescent="0.25">
      <c r="A2006" s="5">
        <v>43283</v>
      </c>
      <c r="B2006">
        <v>745.1</v>
      </c>
    </row>
    <row r="2007" spans="1:2" x14ac:dyDescent="0.25">
      <c r="A2007" s="5">
        <v>43290</v>
      </c>
      <c r="B2007">
        <v>751.2</v>
      </c>
    </row>
    <row r="2008" spans="1:2" x14ac:dyDescent="0.25">
      <c r="A2008" s="5">
        <v>43297</v>
      </c>
      <c r="B2008">
        <v>756</v>
      </c>
    </row>
    <row r="2009" spans="1:2" x14ac:dyDescent="0.25">
      <c r="A2009" s="5">
        <v>43304</v>
      </c>
      <c r="B2009">
        <v>757.1</v>
      </c>
    </row>
    <row r="2010" spans="1:2" x14ac:dyDescent="0.25">
      <c r="A2010" s="5">
        <v>43311</v>
      </c>
      <c r="B2010">
        <v>754</v>
      </c>
    </row>
    <row r="2011" spans="1:2" x14ac:dyDescent="0.25">
      <c r="A2011" s="5">
        <v>43318</v>
      </c>
      <c r="B2011">
        <v>755</v>
      </c>
    </row>
    <row r="2012" spans="1:2" x14ac:dyDescent="0.25">
      <c r="A2012" s="5">
        <v>43325</v>
      </c>
      <c r="B2012">
        <v>761</v>
      </c>
    </row>
    <row r="2013" spans="1:2" x14ac:dyDescent="0.25">
      <c r="A2013" s="5">
        <v>43332</v>
      </c>
      <c r="B2013">
        <v>760.2</v>
      </c>
    </row>
    <row r="2014" spans="1:2" x14ac:dyDescent="0.25">
      <c r="A2014" s="5">
        <v>43339</v>
      </c>
      <c r="B2014">
        <v>766.2</v>
      </c>
    </row>
    <row r="2015" spans="1:2" x14ac:dyDescent="0.25">
      <c r="A2015" s="5">
        <v>43346</v>
      </c>
      <c r="B2015">
        <v>768.6</v>
      </c>
    </row>
    <row r="2016" spans="1:2" x14ac:dyDescent="0.25">
      <c r="A2016" s="5">
        <v>43353</v>
      </c>
      <c r="B2016">
        <v>772.2</v>
      </c>
    </row>
    <row r="2017" spans="1:2" x14ac:dyDescent="0.25">
      <c r="A2017" s="5">
        <v>43360</v>
      </c>
      <c r="B2017">
        <v>774.7</v>
      </c>
    </row>
    <row r="2018" spans="1:2" x14ac:dyDescent="0.25">
      <c r="A2018" s="5">
        <v>43367</v>
      </c>
      <c r="B2018">
        <v>775.3</v>
      </c>
    </row>
    <row r="2019" spans="1:2" x14ac:dyDescent="0.25">
      <c r="A2019" s="5">
        <v>43374</v>
      </c>
      <c r="B2019">
        <v>776.4</v>
      </c>
    </row>
    <row r="2020" spans="1:2" x14ac:dyDescent="0.25">
      <c r="A2020" s="5">
        <v>43381</v>
      </c>
      <c r="B2020">
        <v>782</v>
      </c>
    </row>
    <row r="2021" spans="1:2" x14ac:dyDescent="0.25">
      <c r="A2021" s="5">
        <v>43388</v>
      </c>
      <c r="B2021">
        <v>784.9</v>
      </c>
    </row>
    <row r="2022" spans="1:2" x14ac:dyDescent="0.25">
      <c r="A2022" s="5">
        <v>43395</v>
      </c>
      <c r="B2022">
        <v>787.7</v>
      </c>
    </row>
    <row r="2023" spans="1:2" x14ac:dyDescent="0.25">
      <c r="A2023" s="5">
        <v>43402</v>
      </c>
      <c r="B2023">
        <v>787.1</v>
      </c>
    </row>
    <row r="2024" spans="1:2" x14ac:dyDescent="0.25">
      <c r="A2024" s="5">
        <v>43409</v>
      </c>
      <c r="B2024">
        <v>790</v>
      </c>
    </row>
    <row r="2025" spans="1:2" x14ac:dyDescent="0.25">
      <c r="A2025" s="5">
        <v>43416</v>
      </c>
      <c r="B2025">
        <v>798.2</v>
      </c>
    </row>
    <row r="2026" spans="1:2" x14ac:dyDescent="0.25">
      <c r="A2026" s="5">
        <v>43423</v>
      </c>
      <c r="B2026">
        <v>796.5</v>
      </c>
    </row>
    <row r="2027" spans="1:2" x14ac:dyDescent="0.25">
      <c r="A2027" s="5">
        <v>43430</v>
      </c>
      <c r="B2027">
        <v>803</v>
      </c>
    </row>
    <row r="2028" spans="1:2" x14ac:dyDescent="0.25">
      <c r="A2028" s="5">
        <v>43437</v>
      </c>
      <c r="B2028">
        <v>811.4</v>
      </c>
    </row>
    <row r="2029" spans="1:2" x14ac:dyDescent="0.25">
      <c r="A2029" s="5">
        <v>43444</v>
      </c>
      <c r="B2029">
        <v>806.4</v>
      </c>
    </row>
    <row r="2030" spans="1:2" x14ac:dyDescent="0.25">
      <c r="A2030" s="5">
        <v>43451</v>
      </c>
      <c r="B2030">
        <v>817.5</v>
      </c>
    </row>
    <row r="2031" spans="1:2" x14ac:dyDescent="0.25">
      <c r="A2031" s="5">
        <v>43458</v>
      </c>
      <c r="B2031">
        <v>831.2</v>
      </c>
    </row>
    <row r="2032" spans="1:2" x14ac:dyDescent="0.25">
      <c r="A2032" s="5">
        <v>43465</v>
      </c>
      <c r="B2032">
        <v>855</v>
      </c>
    </row>
    <row r="2033" spans="1:2" x14ac:dyDescent="0.25">
      <c r="A2033" s="5">
        <v>43472</v>
      </c>
      <c r="B2033">
        <v>874.2</v>
      </c>
    </row>
    <row r="2034" spans="1:2" x14ac:dyDescent="0.25">
      <c r="A2034" s="5">
        <v>43479</v>
      </c>
      <c r="B2034">
        <v>879.8</v>
      </c>
    </row>
    <row r="2035" spans="1:2" x14ac:dyDescent="0.25">
      <c r="A2035" s="5">
        <v>43486</v>
      </c>
      <c r="B2035">
        <v>876.8</v>
      </c>
    </row>
    <row r="2036" spans="1:2" x14ac:dyDescent="0.25">
      <c r="A2036" s="5">
        <v>43493</v>
      </c>
      <c r="B2036">
        <v>873.6</v>
      </c>
    </row>
    <row r="2037" spans="1:2" x14ac:dyDescent="0.25">
      <c r="A2037" s="5">
        <v>43500</v>
      </c>
      <c r="B2037">
        <v>870.1</v>
      </c>
    </row>
    <row r="2038" spans="1:2" x14ac:dyDescent="0.25">
      <c r="A2038" s="5">
        <v>43507</v>
      </c>
      <c r="B2038">
        <v>876.2</v>
      </c>
    </row>
    <row r="2039" spans="1:2" x14ac:dyDescent="0.25">
      <c r="A2039" s="5">
        <v>43514</v>
      </c>
      <c r="B2039">
        <v>875.1</v>
      </c>
    </row>
    <row r="2040" spans="1:2" x14ac:dyDescent="0.25">
      <c r="A2040" s="5">
        <v>43521</v>
      </c>
      <c r="B2040">
        <v>882.4</v>
      </c>
    </row>
    <row r="2041" spans="1:2" x14ac:dyDescent="0.25">
      <c r="A2041" s="5">
        <v>43528</v>
      </c>
      <c r="B2041">
        <v>880.7</v>
      </c>
    </row>
    <row r="2042" spans="1:2" x14ac:dyDescent="0.25">
      <c r="A2042" s="5">
        <v>43535</v>
      </c>
      <c r="B2042">
        <v>889.6</v>
      </c>
    </row>
    <row r="2043" spans="1:2" x14ac:dyDescent="0.25">
      <c r="A2043" s="5">
        <v>43542</v>
      </c>
      <c r="B2043">
        <v>889.4</v>
      </c>
    </row>
    <row r="2044" spans="1:2" x14ac:dyDescent="0.25">
      <c r="A2044" s="5">
        <v>43549</v>
      </c>
      <c r="B2044">
        <v>892.8</v>
      </c>
    </row>
    <row r="2045" spans="1:2" x14ac:dyDescent="0.25">
      <c r="A2045" s="5">
        <v>43556</v>
      </c>
      <c r="B2045">
        <v>894.6</v>
      </c>
    </row>
    <row r="2046" spans="1:2" x14ac:dyDescent="0.25">
      <c r="A2046" s="5">
        <v>43563</v>
      </c>
      <c r="B2046">
        <v>902.8</v>
      </c>
    </row>
    <row r="2047" spans="1:2" x14ac:dyDescent="0.25">
      <c r="A2047" s="5">
        <v>43570</v>
      </c>
      <c r="B2047">
        <v>898.8</v>
      </c>
    </row>
    <row r="2048" spans="1:2" x14ac:dyDescent="0.25">
      <c r="A2048" s="5">
        <v>43577</v>
      </c>
      <c r="B2048">
        <v>884.4</v>
      </c>
    </row>
    <row r="2049" spans="1:2" x14ac:dyDescent="0.25">
      <c r="A2049" s="5">
        <v>43584</v>
      </c>
      <c r="B2049">
        <v>880.4</v>
      </c>
    </row>
    <row r="2050" spans="1:2" x14ac:dyDescent="0.25">
      <c r="A2050" s="5">
        <v>43591</v>
      </c>
      <c r="B2050">
        <v>882.8</v>
      </c>
    </row>
    <row r="2051" spans="1:2" x14ac:dyDescent="0.25">
      <c r="A2051" s="5">
        <v>43598</v>
      </c>
      <c r="B2051">
        <v>887.6</v>
      </c>
    </row>
    <row r="2052" spans="1:2" x14ac:dyDescent="0.25">
      <c r="A2052" s="5">
        <v>43605</v>
      </c>
      <c r="B2052">
        <v>890.3</v>
      </c>
    </row>
    <row r="2053" spans="1:2" x14ac:dyDescent="0.25">
      <c r="A2053" s="5">
        <v>43612</v>
      </c>
      <c r="B2053">
        <v>894.2</v>
      </c>
    </row>
    <row r="2054" spans="1:2" x14ac:dyDescent="0.25">
      <c r="A2054" s="5">
        <v>43619</v>
      </c>
      <c r="B2054">
        <v>893.4</v>
      </c>
    </row>
    <row r="2055" spans="1:2" x14ac:dyDescent="0.25">
      <c r="A2055" s="5">
        <v>43626</v>
      </c>
      <c r="B2055">
        <v>897.7</v>
      </c>
    </row>
    <row r="2056" spans="1:2" x14ac:dyDescent="0.25">
      <c r="A2056" s="5">
        <v>43633</v>
      </c>
      <c r="B2056">
        <v>896.9</v>
      </c>
    </row>
    <row r="2057" spans="1:2" x14ac:dyDescent="0.25">
      <c r="A2057" s="5">
        <v>43640</v>
      </c>
      <c r="B2057">
        <v>896.5</v>
      </c>
    </row>
    <row r="2058" spans="1:2" x14ac:dyDescent="0.25">
      <c r="A2058" s="5">
        <v>43647</v>
      </c>
      <c r="B2058">
        <v>902.8</v>
      </c>
    </row>
    <row r="2059" spans="1:2" x14ac:dyDescent="0.25">
      <c r="A2059" s="5">
        <v>43654</v>
      </c>
      <c r="B2059">
        <v>911.4</v>
      </c>
    </row>
    <row r="2060" spans="1:2" x14ac:dyDescent="0.25">
      <c r="A2060" s="5">
        <v>43661</v>
      </c>
      <c r="B2060">
        <v>915</v>
      </c>
    </row>
    <row r="2061" spans="1:2" x14ac:dyDescent="0.25">
      <c r="A2061" s="5">
        <v>43668</v>
      </c>
      <c r="B2061">
        <v>920.6</v>
      </c>
    </row>
    <row r="2062" spans="1:2" x14ac:dyDescent="0.25">
      <c r="A2062" s="5">
        <v>43675</v>
      </c>
      <c r="B2062">
        <v>922.1</v>
      </c>
    </row>
    <row r="2063" spans="1:2" x14ac:dyDescent="0.25">
      <c r="A2063" s="5">
        <v>43682</v>
      </c>
      <c r="B2063">
        <v>922.5</v>
      </c>
    </row>
    <row r="2064" spans="1:2" x14ac:dyDescent="0.25">
      <c r="A2064" s="5">
        <v>43689</v>
      </c>
      <c r="B2064">
        <v>931.2</v>
      </c>
    </row>
    <row r="2065" spans="1:2" x14ac:dyDescent="0.25">
      <c r="A2065" s="5">
        <v>43696</v>
      </c>
      <c r="B2065">
        <v>930.9</v>
      </c>
    </row>
    <row r="2066" spans="1:2" x14ac:dyDescent="0.25">
      <c r="A2066" s="5">
        <v>43703</v>
      </c>
      <c r="B2066">
        <v>936.8</v>
      </c>
    </row>
    <row r="2067" spans="1:2" x14ac:dyDescent="0.25">
      <c r="A2067" s="5">
        <v>43710</v>
      </c>
      <c r="B2067">
        <v>937.9</v>
      </c>
    </row>
    <row r="2068" spans="1:2" x14ac:dyDescent="0.25">
      <c r="A2068" s="5">
        <v>43717</v>
      </c>
      <c r="B2068">
        <v>946.8</v>
      </c>
    </row>
    <row r="2069" spans="1:2" x14ac:dyDescent="0.25">
      <c r="A2069" s="5">
        <v>43724</v>
      </c>
      <c r="B2069">
        <v>950.2</v>
      </c>
    </row>
    <row r="2070" spans="1:2" x14ac:dyDescent="0.25">
      <c r="A2070" s="5">
        <v>43731</v>
      </c>
      <c r="B2070">
        <v>957.2</v>
      </c>
    </row>
    <row r="2071" spans="1:2" x14ac:dyDescent="0.25">
      <c r="A2071" s="5">
        <v>43738</v>
      </c>
      <c r="B2071">
        <v>959.8</v>
      </c>
    </row>
    <row r="2072" spans="1:2" x14ac:dyDescent="0.25">
      <c r="A2072" s="5">
        <v>43745</v>
      </c>
      <c r="B2072">
        <v>969.3</v>
      </c>
    </row>
    <row r="2073" spans="1:2" x14ac:dyDescent="0.25">
      <c r="A2073" s="5">
        <v>43752</v>
      </c>
      <c r="B2073">
        <v>974.5</v>
      </c>
    </row>
    <row r="2074" spans="1:2" x14ac:dyDescent="0.25">
      <c r="A2074" s="5">
        <v>43759</v>
      </c>
      <c r="B2074">
        <v>982.4</v>
      </c>
    </row>
    <row r="2075" spans="1:2" x14ac:dyDescent="0.25">
      <c r="A2075" s="5">
        <v>43766</v>
      </c>
      <c r="B2075">
        <v>986.8</v>
      </c>
    </row>
    <row r="2076" spans="1:2" x14ac:dyDescent="0.25">
      <c r="A2076" s="5">
        <v>43773</v>
      </c>
      <c r="B2076">
        <v>987.8</v>
      </c>
    </row>
    <row r="2077" spans="1:2" x14ac:dyDescent="0.25">
      <c r="A2077" s="5">
        <v>43780</v>
      </c>
      <c r="B2077">
        <v>997</v>
      </c>
    </row>
    <row r="2078" spans="1:2" x14ac:dyDescent="0.25">
      <c r="A2078" s="5">
        <v>43787</v>
      </c>
      <c r="B2078">
        <v>1001.8</v>
      </c>
    </row>
    <row r="2079" spans="1:2" x14ac:dyDescent="0.25">
      <c r="A2079" s="5">
        <v>43794</v>
      </c>
      <c r="B2079">
        <v>992.5</v>
      </c>
    </row>
    <row r="2080" spans="1:2" x14ac:dyDescent="0.25">
      <c r="A2080" s="5">
        <v>43801</v>
      </c>
      <c r="B2080">
        <v>994.7</v>
      </c>
    </row>
    <row r="2081" spans="1:2" x14ac:dyDescent="0.25">
      <c r="A2081" s="5">
        <v>43808</v>
      </c>
      <c r="B2081">
        <v>997.9</v>
      </c>
    </row>
    <row r="2082" spans="1:2" x14ac:dyDescent="0.25">
      <c r="A2082" s="5">
        <v>43815</v>
      </c>
      <c r="B2082">
        <v>1001.5</v>
      </c>
    </row>
    <row r="2083" spans="1:2" x14ac:dyDescent="0.25">
      <c r="A2083" s="5">
        <v>43822</v>
      </c>
      <c r="B2083">
        <v>1004.8</v>
      </c>
    </row>
    <row r="2084" spans="1:2" x14ac:dyDescent="0.25">
      <c r="A2084" s="5">
        <v>43829</v>
      </c>
      <c r="B2084">
        <v>1008.7</v>
      </c>
    </row>
    <row r="2085" spans="1:2" x14ac:dyDescent="0.25">
      <c r="A2085" s="5">
        <v>43836</v>
      </c>
      <c r="B2085">
        <v>1013.9</v>
      </c>
    </row>
    <row r="2086" spans="1:2" x14ac:dyDescent="0.25">
      <c r="A2086" s="5">
        <v>43843</v>
      </c>
      <c r="B2086">
        <v>1020.1</v>
      </c>
    </row>
    <row r="2087" spans="1:2" x14ac:dyDescent="0.25">
      <c r="A2087" s="5">
        <v>43850</v>
      </c>
      <c r="B2087">
        <v>1015.6</v>
      </c>
    </row>
    <row r="2088" spans="1:2" x14ac:dyDescent="0.25">
      <c r="A2088" s="5">
        <v>43857</v>
      </c>
      <c r="B2088">
        <v>1011.5</v>
      </c>
    </row>
    <row r="2089" spans="1:2" x14ac:dyDescent="0.25">
      <c r="A2089" s="5">
        <v>43864</v>
      </c>
      <c r="B2089">
        <v>1003.8</v>
      </c>
    </row>
    <row r="2090" spans="1:2" x14ac:dyDescent="0.25">
      <c r="A2090" s="5">
        <v>43871</v>
      </c>
      <c r="B2090">
        <v>1008.1</v>
      </c>
    </row>
    <row r="2091" spans="1:2" x14ac:dyDescent="0.25">
      <c r="A2091" s="5">
        <v>43878</v>
      </c>
      <c r="B2091">
        <v>1006.6</v>
      </c>
    </row>
    <row r="2092" spans="1:2" x14ac:dyDescent="0.25">
      <c r="A2092" s="5">
        <v>43885</v>
      </c>
      <c r="B2092">
        <v>1007.1</v>
      </c>
    </row>
    <row r="2093" spans="1:2" x14ac:dyDescent="0.25">
      <c r="A2093" s="5">
        <v>43892</v>
      </c>
      <c r="B2093">
        <v>1004.9</v>
      </c>
    </row>
    <row r="2094" spans="1:2" x14ac:dyDescent="0.25">
      <c r="A2094" s="5">
        <v>43899</v>
      </c>
      <c r="B2094">
        <v>1027.2</v>
      </c>
    </row>
    <row r="2095" spans="1:2" x14ac:dyDescent="0.25">
      <c r="A2095" s="5">
        <v>43906</v>
      </c>
      <c r="B2095">
        <v>1028.9000000000001</v>
      </c>
    </row>
    <row r="2096" spans="1:2" x14ac:dyDescent="0.25">
      <c r="A2096" s="5">
        <v>43913</v>
      </c>
      <c r="B2096">
        <v>1051.5</v>
      </c>
    </row>
    <row r="2097" spans="1:2" x14ac:dyDescent="0.25">
      <c r="A2097" s="5">
        <v>43920</v>
      </c>
      <c r="B2097">
        <v>1083.5</v>
      </c>
    </row>
    <row r="2098" spans="1:2" x14ac:dyDescent="0.25">
      <c r="A2098" s="5">
        <v>43927</v>
      </c>
      <c r="B2098">
        <v>1091.4000000000001</v>
      </c>
    </row>
    <row r="2099" spans="1:2" x14ac:dyDescent="0.25">
      <c r="A2099" s="5">
        <v>43934</v>
      </c>
      <c r="B2099">
        <v>1104</v>
      </c>
    </row>
    <row r="2100" spans="1:2" x14ac:dyDescent="0.25">
      <c r="A2100" s="5">
        <v>43941</v>
      </c>
      <c r="B2100">
        <v>1109</v>
      </c>
    </row>
    <row r="2101" spans="1:2" x14ac:dyDescent="0.25">
      <c r="A2101" s="5">
        <v>43948</v>
      </c>
      <c r="B2101">
        <v>1113.5</v>
      </c>
    </row>
    <row r="2102" spans="1:2" x14ac:dyDescent="0.25">
      <c r="A2102" s="5">
        <v>43955</v>
      </c>
      <c r="B2102">
        <v>1119.5999999999999</v>
      </c>
    </row>
    <row r="2103" spans="1:2" x14ac:dyDescent="0.25">
      <c r="A2103" s="5">
        <v>43962</v>
      </c>
      <c r="B2103">
        <v>1128.2</v>
      </c>
    </row>
    <row r="2104" spans="1:2" x14ac:dyDescent="0.25">
      <c r="A2104" s="5">
        <v>43969</v>
      </c>
      <c r="B2104">
        <v>1132.9000000000001</v>
      </c>
    </row>
    <row r="2105" spans="1:2" x14ac:dyDescent="0.25">
      <c r="A2105" s="5">
        <v>43976</v>
      </c>
      <c r="B2105">
        <v>1141.7</v>
      </c>
    </row>
    <row r="2106" spans="1:2" x14ac:dyDescent="0.25">
      <c r="A2106" s="5">
        <v>43983</v>
      </c>
      <c r="B2106">
        <v>1133.4000000000001</v>
      </c>
    </row>
    <row r="2107" spans="1:2" x14ac:dyDescent="0.25">
      <c r="A2107" s="5">
        <v>43990</v>
      </c>
      <c r="B2107">
        <v>1130.4000000000001</v>
      </c>
    </row>
    <row r="2108" spans="1:2" x14ac:dyDescent="0.25">
      <c r="A2108" s="5">
        <v>43997</v>
      </c>
      <c r="B2108">
        <v>1124.4000000000001</v>
      </c>
    </row>
    <row r="2109" spans="1:2" x14ac:dyDescent="0.25">
      <c r="A2109" s="5">
        <v>44004</v>
      </c>
      <c r="B2109">
        <v>1124.0999999999999</v>
      </c>
    </row>
    <row r="2110" spans="1:2" x14ac:dyDescent="0.25">
      <c r="A2110" s="5">
        <v>44011</v>
      </c>
      <c r="B2110">
        <v>1121.4000000000001</v>
      </c>
    </row>
    <row r="2111" spans="1:2" x14ac:dyDescent="0.25">
      <c r="A2111" s="5">
        <v>44018</v>
      </c>
      <c r="B2111">
        <v>1119.3</v>
      </c>
    </row>
    <row r="2112" spans="1:2" x14ac:dyDescent="0.25">
      <c r="A2112" s="5">
        <v>44025</v>
      </c>
      <c r="B2112">
        <v>1116.0999999999999</v>
      </c>
    </row>
    <row r="2113" spans="1:2" x14ac:dyDescent="0.25">
      <c r="A2113" s="5">
        <v>44032</v>
      </c>
      <c r="B2113">
        <v>1100.2</v>
      </c>
    </row>
    <row r="2114" spans="1:2" x14ac:dyDescent="0.25">
      <c r="A2114" s="5">
        <v>44039</v>
      </c>
      <c r="B2114">
        <v>1096.2</v>
      </c>
    </row>
    <row r="2115" spans="1:2" x14ac:dyDescent="0.25">
      <c r="A2115" s="5">
        <v>44046</v>
      </c>
      <c r="B2115">
        <v>1091</v>
      </c>
    </row>
    <row r="2116" spans="1:2" x14ac:dyDescent="0.25">
      <c r="A2116" s="5">
        <v>44053</v>
      </c>
      <c r="B2116">
        <v>1090.5</v>
      </c>
    </row>
    <row r="2117" spans="1:2" x14ac:dyDescent="0.25">
      <c r="A2117" s="5">
        <v>44060</v>
      </c>
      <c r="B2117">
        <v>1083.7</v>
      </c>
    </row>
    <row r="2118" spans="1:2" x14ac:dyDescent="0.25">
      <c r="A2118" s="5">
        <v>44067</v>
      </c>
      <c r="B2118">
        <v>1083.5999999999999</v>
      </c>
    </row>
    <row r="2119" spans="1:2" x14ac:dyDescent="0.25">
      <c r="A2119" s="5">
        <v>44074</v>
      </c>
      <c r="B2119">
        <v>1080.0999999999999</v>
      </c>
    </row>
    <row r="2120" spans="1:2" x14ac:dyDescent="0.25">
      <c r="A2120" s="5">
        <v>44081</v>
      </c>
      <c r="B2120">
        <v>1074.0999999999999</v>
      </c>
    </row>
    <row r="2121" spans="1:2" x14ac:dyDescent="0.25">
      <c r="A2121" s="5">
        <v>44088</v>
      </c>
      <c r="B2121">
        <v>1076.0999999999999</v>
      </c>
    </row>
    <row r="2122" spans="1:2" x14ac:dyDescent="0.25">
      <c r="A2122" s="5">
        <v>44095</v>
      </c>
      <c r="B2122">
        <v>1072.7</v>
      </c>
    </row>
    <row r="2123" spans="1:2" x14ac:dyDescent="0.25">
      <c r="A2123" s="5">
        <v>44102</v>
      </c>
      <c r="B2123">
        <v>1064</v>
      </c>
    </row>
    <row r="2124" spans="1:2" x14ac:dyDescent="0.25">
      <c r="A2124" s="5">
        <v>44109</v>
      </c>
      <c r="B2124">
        <v>1063.9000000000001</v>
      </c>
    </row>
    <row r="2125" spans="1:2" x14ac:dyDescent="0.25">
      <c r="A2125" s="5">
        <v>44116</v>
      </c>
      <c r="B2125">
        <v>1066.5</v>
      </c>
    </row>
    <row r="2126" spans="1:2" x14ac:dyDescent="0.25">
      <c r="A2126" s="5">
        <v>44123</v>
      </c>
      <c r="B2126">
        <v>1067.5</v>
      </c>
    </row>
    <row r="2127" spans="1:2" x14ac:dyDescent="0.25">
      <c r="A2127" s="5">
        <v>44130</v>
      </c>
      <c r="B2127">
        <v>1069.2</v>
      </c>
    </row>
    <row r="2128" spans="1:2" x14ac:dyDescent="0.25">
      <c r="A2128" s="5">
        <v>44137</v>
      </c>
      <c r="B2128">
        <v>1067.4000000000001</v>
      </c>
    </row>
    <row r="2129" spans="1:2" x14ac:dyDescent="0.25">
      <c r="A2129" s="5">
        <v>44144</v>
      </c>
      <c r="B2129">
        <v>1077.8</v>
      </c>
    </row>
    <row r="2130" spans="1:2" x14ac:dyDescent="0.25">
      <c r="A2130" s="5">
        <v>44151</v>
      </c>
      <c r="B2130">
        <v>1078.2</v>
      </c>
    </row>
    <row r="2131" spans="1:2" x14ac:dyDescent="0.25">
      <c r="A2131" s="5">
        <v>44158</v>
      </c>
      <c r="B2131">
        <v>1076.8</v>
      </c>
    </row>
    <row r="2132" spans="1:2" x14ac:dyDescent="0.25">
      <c r="A2132" s="5">
        <v>44165</v>
      </c>
      <c r="B2132">
        <v>1070.8</v>
      </c>
    </row>
    <row r="2133" spans="1:2" x14ac:dyDescent="0.25">
      <c r="A2133" s="5">
        <v>44172</v>
      </c>
      <c r="B2133">
        <v>1067.4000000000001</v>
      </c>
    </row>
    <row r="2134" spans="1:2" x14ac:dyDescent="0.25">
      <c r="A2134" s="5">
        <v>44179</v>
      </c>
      <c r="B2134">
        <v>1061.3</v>
      </c>
    </row>
    <row r="2135" spans="1:2" x14ac:dyDescent="0.25">
      <c r="A2135" s="5">
        <v>44186</v>
      </c>
      <c r="B2135">
        <v>1060.5999999999999</v>
      </c>
    </row>
    <row r="2136" spans="1:2" x14ac:dyDescent="0.25">
      <c r="A2136" s="5">
        <v>44193</v>
      </c>
      <c r="B2136">
        <v>1061.9000000000001</v>
      </c>
    </row>
    <row r="2137" spans="1:2" x14ac:dyDescent="0.25">
      <c r="A2137" s="5">
        <v>44200</v>
      </c>
      <c r="B2137">
        <v>1063.5999999999999</v>
      </c>
    </row>
    <row r="2138" spans="1:2" x14ac:dyDescent="0.25">
      <c r="A2138" s="5">
        <v>44207</v>
      </c>
      <c r="B2138">
        <v>1073.7</v>
      </c>
    </row>
    <row r="2139" spans="1:2" x14ac:dyDescent="0.25">
      <c r="A2139" s="5">
        <v>44214</v>
      </c>
      <c r="B2139">
        <v>1072.2</v>
      </c>
    </row>
    <row r="2140" spans="1:2" x14ac:dyDescent="0.25">
      <c r="A2140" s="5">
        <v>44221</v>
      </c>
      <c r="B2140">
        <v>1069.7</v>
      </c>
    </row>
    <row r="2141" spans="1:2" x14ac:dyDescent="0.25">
      <c r="A2141" s="5">
        <v>44228</v>
      </c>
      <c r="B2141">
        <v>1063.2</v>
      </c>
    </row>
    <row r="2142" spans="1:2" x14ac:dyDescent="0.25">
      <c r="A2142" s="5">
        <v>44235</v>
      </c>
      <c r="B2142">
        <v>1070</v>
      </c>
    </row>
    <row r="2143" spans="1:2" x14ac:dyDescent="0.25">
      <c r="A2143" s="5">
        <v>44242</v>
      </c>
      <c r="B2143">
        <v>1061.9000000000001</v>
      </c>
    </row>
    <row r="2144" spans="1:2" x14ac:dyDescent="0.25">
      <c r="A2144" s="5">
        <v>44249</v>
      </c>
      <c r="B2144">
        <v>1061.0999999999999</v>
      </c>
    </row>
    <row r="2145" spans="1:2" x14ac:dyDescent="0.25">
      <c r="A2145" s="5">
        <v>44256</v>
      </c>
      <c r="B2145">
        <v>1052.4000000000001</v>
      </c>
    </row>
    <row r="2146" spans="1:2" x14ac:dyDescent="0.25">
      <c r="A2146" s="5">
        <v>44263</v>
      </c>
      <c r="B2146">
        <v>1047.2</v>
      </c>
    </row>
    <row r="2147" spans="1:2" x14ac:dyDescent="0.25">
      <c r="A2147" s="5">
        <v>44270</v>
      </c>
      <c r="B2147">
        <v>1048.5</v>
      </c>
    </row>
    <row r="2148" spans="1:2" x14ac:dyDescent="0.25">
      <c r="A2148" s="5">
        <v>44277</v>
      </c>
      <c r="B2148">
        <v>1040.9000000000001</v>
      </c>
    </row>
    <row r="2149" spans="1:2" x14ac:dyDescent="0.25">
      <c r="A2149" s="5">
        <v>44284</v>
      </c>
      <c r="B2149">
        <v>1038</v>
      </c>
    </row>
    <row r="2150" spans="1:2" x14ac:dyDescent="0.25">
      <c r="A2150" s="5">
        <v>44291</v>
      </c>
      <c r="B2150">
        <v>1032.2</v>
      </c>
    </row>
    <row r="2151" spans="1:2" x14ac:dyDescent="0.25">
      <c r="A2151" s="5">
        <v>44298</v>
      </c>
      <c r="B2151">
        <v>1027.9000000000001</v>
      </c>
    </row>
    <row r="2152" spans="1:2" x14ac:dyDescent="0.25">
      <c r="A2152" s="5">
        <v>44305</v>
      </c>
      <c r="B2152">
        <v>1018.6</v>
      </c>
    </row>
    <row r="2153" spans="1:2" x14ac:dyDescent="0.25">
      <c r="A2153" s="5">
        <v>44312</v>
      </c>
      <c r="B2153">
        <v>1012.5</v>
      </c>
    </row>
    <row r="2154" spans="1:2" x14ac:dyDescent="0.25">
      <c r="A2154" s="5">
        <v>44319</v>
      </c>
      <c r="B2154">
        <v>1008</v>
      </c>
    </row>
    <row r="2155" spans="1:2" x14ac:dyDescent="0.25">
      <c r="A2155" s="5">
        <v>44326</v>
      </c>
      <c r="B2155">
        <v>1002.9</v>
      </c>
    </row>
    <row r="2156" spans="1:2" x14ac:dyDescent="0.25">
      <c r="A2156" s="5">
        <v>44333</v>
      </c>
      <c r="B2156">
        <v>997.7</v>
      </c>
    </row>
    <row r="2157" spans="1:2" x14ac:dyDescent="0.25">
      <c r="A2157" s="5">
        <v>44340</v>
      </c>
      <c r="B2157">
        <v>990.1</v>
      </c>
    </row>
    <row r="2158" spans="1:2" x14ac:dyDescent="0.25">
      <c r="A2158" s="5">
        <v>44347</v>
      </c>
      <c r="B2158">
        <v>988.7</v>
      </c>
    </row>
    <row r="2159" spans="1:2" x14ac:dyDescent="0.25">
      <c r="A2159" s="5">
        <v>44354</v>
      </c>
      <c r="B2159">
        <v>988</v>
      </c>
    </row>
    <row r="2160" spans="1:2" x14ac:dyDescent="0.25">
      <c r="A2160" s="5">
        <v>44361</v>
      </c>
      <c r="B2160">
        <v>985.3</v>
      </c>
    </row>
    <row r="2161" spans="1:2" x14ac:dyDescent="0.25">
      <c r="A2161" s="5">
        <v>44368</v>
      </c>
      <c r="B2161">
        <v>983.9</v>
      </c>
    </row>
    <row r="2162" spans="1:2" x14ac:dyDescent="0.25">
      <c r="A2162" s="5">
        <v>44375</v>
      </c>
      <c r="B2162">
        <v>982</v>
      </c>
    </row>
    <row r="2163" spans="1:2" x14ac:dyDescent="0.25">
      <c r="A2163" s="5">
        <v>44382</v>
      </c>
      <c r="B2163">
        <v>980.2</v>
      </c>
    </row>
    <row r="2164" spans="1:2" x14ac:dyDescent="0.25">
      <c r="A2164" s="5">
        <v>44389</v>
      </c>
      <c r="B2164">
        <v>981.3</v>
      </c>
    </row>
    <row r="2165" spans="1:2" x14ac:dyDescent="0.25">
      <c r="A2165" s="5">
        <v>44396</v>
      </c>
      <c r="B2165">
        <v>975.6</v>
      </c>
    </row>
    <row r="2166" spans="1:2" x14ac:dyDescent="0.25">
      <c r="A2166" s="5">
        <v>44403</v>
      </c>
      <c r="B2166">
        <v>974.4</v>
      </c>
    </row>
    <row r="2167" spans="1:2" x14ac:dyDescent="0.25">
      <c r="A2167" s="5">
        <v>44410</v>
      </c>
      <c r="B2167">
        <v>971.6</v>
      </c>
    </row>
    <row r="2168" spans="1:2" x14ac:dyDescent="0.25">
      <c r="A2168" s="5">
        <v>44417</v>
      </c>
      <c r="B2168">
        <v>973.1</v>
      </c>
    </row>
    <row r="2169" spans="1:2" x14ac:dyDescent="0.25">
      <c r="A2169" s="5">
        <v>44424</v>
      </c>
      <c r="B2169">
        <v>971.3</v>
      </c>
    </row>
    <row r="2170" spans="1:2" x14ac:dyDescent="0.25">
      <c r="A2170" s="5">
        <v>44431</v>
      </c>
      <c r="B2170">
        <v>971.4</v>
      </c>
    </row>
    <row r="2171" spans="1:2" x14ac:dyDescent="0.25">
      <c r="A2171" s="5">
        <v>44438</v>
      </c>
      <c r="B2171">
        <v>970</v>
      </c>
    </row>
    <row r="2172" spans="1:2" x14ac:dyDescent="0.25">
      <c r="A2172" s="5">
        <v>44445</v>
      </c>
      <c r="B2172">
        <v>970.8</v>
      </c>
    </row>
    <row r="2173" spans="1:2" x14ac:dyDescent="0.25">
      <c r="A2173" s="5">
        <v>44452</v>
      </c>
      <c r="B2173">
        <v>972.4</v>
      </c>
    </row>
    <row r="2174" spans="1:2" x14ac:dyDescent="0.25">
      <c r="A2174" s="5">
        <v>44459</v>
      </c>
      <c r="B2174">
        <v>972.5</v>
      </c>
    </row>
    <row r="2175" spans="1:2" x14ac:dyDescent="0.25">
      <c r="A2175" s="5">
        <v>44466</v>
      </c>
      <c r="B2175">
        <v>973.1</v>
      </c>
    </row>
    <row r="2176" spans="1:2" x14ac:dyDescent="0.25">
      <c r="A2176" s="5">
        <v>44473</v>
      </c>
      <c r="B2176">
        <v>972.8</v>
      </c>
    </row>
    <row r="2177" spans="1:2" x14ac:dyDescent="0.25">
      <c r="A2177" s="5">
        <v>44480</v>
      </c>
      <c r="B2177">
        <v>976.9</v>
      </c>
    </row>
    <row r="2178" spans="1:2" x14ac:dyDescent="0.25">
      <c r="A2178" s="5">
        <v>44487</v>
      </c>
      <c r="B2178">
        <v>976.2</v>
      </c>
    </row>
    <row r="2179" spans="1:2" x14ac:dyDescent="0.25">
      <c r="A2179" s="5">
        <v>44494</v>
      </c>
      <c r="B2179">
        <v>976.6</v>
      </c>
    </row>
    <row r="2180" spans="1:2" x14ac:dyDescent="0.25">
      <c r="A2180" s="5">
        <v>44501</v>
      </c>
      <c r="B2180">
        <v>975</v>
      </c>
    </row>
    <row r="2181" spans="1:2" x14ac:dyDescent="0.25">
      <c r="A2181" s="5">
        <v>44508</v>
      </c>
      <c r="B2181">
        <v>976.2</v>
      </c>
    </row>
    <row r="2182" spans="1:2" x14ac:dyDescent="0.25">
      <c r="A2182" s="5">
        <v>44515</v>
      </c>
      <c r="B2182">
        <v>973.8</v>
      </c>
    </row>
    <row r="2183" spans="1:2" x14ac:dyDescent="0.25">
      <c r="A2183" s="5">
        <v>44522</v>
      </c>
      <c r="B2183">
        <v>975.1</v>
      </c>
    </row>
    <row r="2184" spans="1:2" x14ac:dyDescent="0.25">
      <c r="A2184" s="5">
        <v>44529</v>
      </c>
      <c r="B2184">
        <v>976.3</v>
      </c>
    </row>
    <row r="2185" spans="1:2" x14ac:dyDescent="0.25">
      <c r="A2185" s="5">
        <v>44536</v>
      </c>
      <c r="B2185">
        <v>972</v>
      </c>
    </row>
    <row r="2186" spans="1:2" x14ac:dyDescent="0.25">
      <c r="A2186" s="5">
        <v>44543</v>
      </c>
      <c r="B2186">
        <v>979.9</v>
      </c>
    </row>
    <row r="2187" spans="1:2" x14ac:dyDescent="0.25">
      <c r="A2187" s="5">
        <v>44550</v>
      </c>
      <c r="B2187">
        <v>983.5</v>
      </c>
    </row>
    <row r="2188" spans="1:2" x14ac:dyDescent="0.25">
      <c r="A2188" s="5">
        <v>44557</v>
      </c>
      <c r="B2188">
        <v>999.9</v>
      </c>
    </row>
    <row r="2189" spans="1:2" x14ac:dyDescent="0.25">
      <c r="A2189" s="5">
        <v>44564</v>
      </c>
      <c r="B2189">
        <v>1010.1</v>
      </c>
    </row>
    <row r="2190" spans="1:2" x14ac:dyDescent="0.25">
      <c r="A2190" s="5">
        <v>44571</v>
      </c>
      <c r="B2190">
        <v>1022.4</v>
      </c>
    </row>
    <row r="2191" spans="1:2" x14ac:dyDescent="0.25">
      <c r="A2191" s="5">
        <v>44578</v>
      </c>
      <c r="B2191">
        <v>1017.4</v>
      </c>
    </row>
    <row r="2192" spans="1:2" x14ac:dyDescent="0.25">
      <c r="A2192" s="5">
        <v>44585</v>
      </c>
      <c r="B2192">
        <v>1010.2</v>
      </c>
    </row>
    <row r="2193" spans="1:2" x14ac:dyDescent="0.25">
      <c r="A2193" s="5">
        <v>44592</v>
      </c>
      <c r="B2193">
        <v>1015.6</v>
      </c>
    </row>
    <row r="2194" spans="1:2" x14ac:dyDescent="0.25">
      <c r="A2194" s="5">
        <v>44599</v>
      </c>
      <c r="B2194">
        <v>1013.2</v>
      </c>
    </row>
    <row r="2195" spans="1:2" x14ac:dyDescent="0.25">
      <c r="A2195" s="5">
        <v>44606</v>
      </c>
      <c r="B2195">
        <v>1006.9</v>
      </c>
    </row>
    <row r="2196" spans="1:2" x14ac:dyDescent="0.25">
      <c r="A2196" s="5">
        <v>44613</v>
      </c>
      <c r="B2196">
        <v>1003.9</v>
      </c>
    </row>
    <row r="2197" spans="1:2" x14ac:dyDescent="0.25">
      <c r="A2197" s="5">
        <v>44620</v>
      </c>
      <c r="B2197">
        <v>1004.8</v>
      </c>
    </row>
    <row r="2198" spans="1:2" x14ac:dyDescent="0.25">
      <c r="A2198" s="5">
        <v>44627</v>
      </c>
      <c r="B2198">
        <v>1009.5</v>
      </c>
    </row>
    <row r="2199" spans="1:2" x14ac:dyDescent="0.25">
      <c r="A2199" s="5">
        <v>44634</v>
      </c>
      <c r="B2199">
        <v>1009.3</v>
      </c>
    </row>
    <row r="2200" spans="1:2" x14ac:dyDescent="0.25">
      <c r="A2200" s="5">
        <v>44641</v>
      </c>
      <c r="B2200">
        <v>1013.9</v>
      </c>
    </row>
    <row r="2201" spans="1:2" x14ac:dyDescent="0.25">
      <c r="A2201" s="5">
        <v>44648</v>
      </c>
      <c r="B2201">
        <v>1011</v>
      </c>
    </row>
    <row r="2202" spans="1:2" x14ac:dyDescent="0.25">
      <c r="A2202" s="5">
        <v>44655</v>
      </c>
      <c r="B2202">
        <v>1011.1</v>
      </c>
    </row>
    <row r="2203" spans="1:2" x14ac:dyDescent="0.25">
      <c r="A2203" s="5">
        <v>44662</v>
      </c>
      <c r="B2203">
        <v>1006.3</v>
      </c>
    </row>
    <row r="2204" spans="1:2" x14ac:dyDescent="0.25">
      <c r="A2204" s="5">
        <v>44669</v>
      </c>
      <c r="B2204">
        <v>999.9</v>
      </c>
    </row>
    <row r="2205" spans="1:2" x14ac:dyDescent="0.25">
      <c r="A2205" s="5">
        <v>44676</v>
      </c>
      <c r="B2205">
        <v>978.2</v>
      </c>
    </row>
    <row r="2206" spans="1:2" x14ac:dyDescent="0.25">
      <c r="A2206" s="5">
        <v>44683</v>
      </c>
      <c r="B2206">
        <v>967.6</v>
      </c>
    </row>
    <row r="2207" spans="1:2" x14ac:dyDescent="0.25">
      <c r="A2207" s="5">
        <v>44690</v>
      </c>
      <c r="B2207">
        <v>966.6</v>
      </c>
    </row>
    <row r="2208" spans="1:2" x14ac:dyDescent="0.25">
      <c r="A2208" s="5">
        <v>44697</v>
      </c>
      <c r="B2208">
        <v>969.7</v>
      </c>
    </row>
    <row r="2209" spans="1:2" x14ac:dyDescent="0.25">
      <c r="A2209" s="5">
        <v>44704</v>
      </c>
      <c r="B2209">
        <v>977.8</v>
      </c>
    </row>
    <row r="2210" spans="1:2" x14ac:dyDescent="0.25">
      <c r="A2210" s="5">
        <v>44711</v>
      </c>
      <c r="B2210">
        <v>979.1</v>
      </c>
    </row>
    <row r="2211" spans="1:2" x14ac:dyDescent="0.25">
      <c r="A2211" s="5">
        <v>44718</v>
      </c>
      <c r="B2211">
        <v>978</v>
      </c>
    </row>
    <row r="2212" spans="1:2" x14ac:dyDescent="0.25">
      <c r="A2212" s="5">
        <v>44725</v>
      </c>
      <c r="B2212">
        <v>980.4</v>
      </c>
    </row>
    <row r="2213" spans="1:2" x14ac:dyDescent="0.25">
      <c r="A2213" s="5">
        <v>44732</v>
      </c>
      <c r="B2213">
        <v>987.4</v>
      </c>
    </row>
    <row r="2214" spans="1:2" x14ac:dyDescent="0.25">
      <c r="A2214" s="5">
        <v>44739</v>
      </c>
      <c r="B2214">
        <v>995.4</v>
      </c>
    </row>
    <row r="2215" spans="1:2" x14ac:dyDescent="0.25">
      <c r="A2215" s="5">
        <v>44746</v>
      </c>
      <c r="B2215">
        <v>1000.8</v>
      </c>
    </row>
    <row r="2216" spans="1:2" x14ac:dyDescent="0.25">
      <c r="A2216" s="5">
        <v>44753</v>
      </c>
      <c r="B2216">
        <v>1010.5</v>
      </c>
    </row>
    <row r="2217" spans="1:2" x14ac:dyDescent="0.25">
      <c r="A2217" s="5">
        <v>44760</v>
      </c>
      <c r="B2217">
        <v>1015.4</v>
      </c>
    </row>
    <row r="2218" spans="1:2" x14ac:dyDescent="0.25">
      <c r="A2218" s="5">
        <v>44767</v>
      </c>
      <c r="B2218">
        <v>1024</v>
      </c>
    </row>
    <row r="2219" spans="1:2" x14ac:dyDescent="0.25">
      <c r="A2219" s="5">
        <v>44774</v>
      </c>
      <c r="B2219">
        <v>1023.6</v>
      </c>
    </row>
    <row r="2220" spans="1:2" x14ac:dyDescent="0.25">
      <c r="A2220" s="5">
        <v>44781</v>
      </c>
      <c r="B2220">
        <v>1021.1</v>
      </c>
    </row>
    <row r="2221" spans="1:2" x14ac:dyDescent="0.25">
      <c r="A2221" s="5">
        <v>44788</v>
      </c>
      <c r="B2221">
        <v>1023.4</v>
      </c>
    </row>
    <row r="2222" spans="1:2" x14ac:dyDescent="0.25">
      <c r="A2222" s="5">
        <v>44795</v>
      </c>
      <c r="B2222">
        <v>1029.7</v>
      </c>
    </row>
    <row r="2223" spans="1:2" x14ac:dyDescent="0.25">
      <c r="A2223" s="5">
        <v>44802</v>
      </c>
      <c r="B2223">
        <v>1034.5999999999999</v>
      </c>
    </row>
    <row r="2224" spans="1:2" x14ac:dyDescent="0.25">
      <c r="A2224" s="5">
        <v>44809</v>
      </c>
      <c r="B2224">
        <v>1037.5</v>
      </c>
    </row>
    <row r="2225" spans="1:2" x14ac:dyDescent="0.25">
      <c r="A2225" s="5">
        <v>44816</v>
      </c>
      <c r="B2225">
        <v>1051.2</v>
      </c>
    </row>
    <row r="2226" spans="1:2" x14ac:dyDescent="0.25">
      <c r="A2226" s="5">
        <v>44823</v>
      </c>
      <c r="B2226">
        <v>1053.5</v>
      </c>
    </row>
    <row r="2227" spans="1:2" x14ac:dyDescent="0.25">
      <c r="A2227" s="5">
        <v>44830</v>
      </c>
      <c r="B2227">
        <v>1061.5</v>
      </c>
    </row>
    <row r="2228" spans="1:2" x14ac:dyDescent="0.25">
      <c r="A2228" s="5">
        <v>44837</v>
      </c>
      <c r="B2228">
        <v>1068.5</v>
      </c>
    </row>
    <row r="2229" spans="1:2" x14ac:dyDescent="0.25">
      <c r="A2229" s="5">
        <v>44844</v>
      </c>
      <c r="B2229">
        <v>1082.5</v>
      </c>
    </row>
    <row r="2230" spans="1:2" x14ac:dyDescent="0.25">
      <c r="A2230" s="5">
        <v>44851</v>
      </c>
      <c r="B2230">
        <v>1093.5999999999999</v>
      </c>
    </row>
    <row r="2231" spans="1:2" x14ac:dyDescent="0.25">
      <c r="A2231" s="5">
        <v>44858</v>
      </c>
      <c r="B2231">
        <v>1108</v>
      </c>
    </row>
    <row r="2232" spans="1:2" x14ac:dyDescent="0.25">
      <c r="A2232" s="5">
        <v>44865</v>
      </c>
      <c r="B2232">
        <v>1112.3</v>
      </c>
    </row>
    <row r="2233" spans="1:2" x14ac:dyDescent="0.25">
      <c r="A2233" s="5">
        <v>44872</v>
      </c>
      <c r="B2233">
        <v>1122.5999999999999</v>
      </c>
    </row>
    <row r="2234" spans="1:2" x14ac:dyDescent="0.25">
      <c r="A2234" s="5">
        <v>44879</v>
      </c>
      <c r="B2234">
        <v>1124.5999999999999</v>
      </c>
    </row>
    <row r="2235" spans="1:2" x14ac:dyDescent="0.25">
      <c r="A2235" s="5">
        <v>44886</v>
      </c>
      <c r="B2235">
        <v>1135.4000000000001</v>
      </c>
    </row>
    <row r="2236" spans="1:2" x14ac:dyDescent="0.25">
      <c r="A2236" s="5">
        <v>44893</v>
      </c>
      <c r="B2236">
        <v>1143.0999999999999</v>
      </c>
    </row>
    <row r="2237" spans="1:2" x14ac:dyDescent="0.25">
      <c r="A2237" s="5">
        <v>44900</v>
      </c>
      <c r="B2237">
        <v>1146.3</v>
      </c>
    </row>
    <row r="2238" spans="1:2" x14ac:dyDescent="0.25">
      <c r="A2238" s="5">
        <v>44907</v>
      </c>
      <c r="B2238">
        <v>1160.0999999999999</v>
      </c>
    </row>
    <row r="2239" spans="1:2" x14ac:dyDescent="0.25">
      <c r="A2239" s="5">
        <v>44914</v>
      </c>
      <c r="B2239">
        <v>1172.8</v>
      </c>
    </row>
    <row r="2240" spans="1:2" x14ac:dyDescent="0.25">
      <c r="A2240" s="5">
        <v>44921</v>
      </c>
      <c r="B2240">
        <v>1187.0999999999999</v>
      </c>
    </row>
    <row r="2241" spans="1:2" x14ac:dyDescent="0.25">
      <c r="A2241" s="5">
        <v>44928</v>
      </c>
      <c r="B2241">
        <v>1205</v>
      </c>
    </row>
    <row r="2242" spans="1:2" x14ac:dyDescent="0.25">
      <c r="A2242" s="5">
        <v>44935</v>
      </c>
      <c r="B2242">
        <v>1247.0999999999999</v>
      </c>
    </row>
    <row r="2243" spans="1:2" x14ac:dyDescent="0.25">
      <c r="A2243" s="5">
        <v>44942</v>
      </c>
      <c r="B2243">
        <v>1258.5999999999999</v>
      </c>
    </row>
    <row r="2244" spans="1:2" x14ac:dyDescent="0.25">
      <c r="A2244" s="5">
        <v>44949</v>
      </c>
      <c r="B2244">
        <v>1262.5</v>
      </c>
    </row>
    <row r="2245" spans="1:2" x14ac:dyDescent="0.25">
      <c r="A2245" s="5">
        <v>44956</v>
      </c>
      <c r="B2245">
        <v>1269.3</v>
      </c>
    </row>
    <row r="2246" spans="1:2" x14ac:dyDescent="0.25">
      <c r="A2246" s="5">
        <v>44963</v>
      </c>
      <c r="B2246">
        <v>1284.5999999999999</v>
      </c>
    </row>
    <row r="2247" spans="1:2" x14ac:dyDescent="0.25">
      <c r="A2247" s="5">
        <v>44970</v>
      </c>
      <c r="B2247">
        <v>1289.7</v>
      </c>
    </row>
    <row r="2248" spans="1:2" x14ac:dyDescent="0.25">
      <c r="A2248" s="5">
        <v>44977</v>
      </c>
      <c r="B2248">
        <v>1300.9000000000001</v>
      </c>
    </row>
    <row r="2249" spans="1:2" x14ac:dyDescent="0.25">
      <c r="A2249" s="5">
        <v>44984</v>
      </c>
      <c r="B2249">
        <v>1309.5</v>
      </c>
    </row>
    <row r="2250" spans="1:2" x14ac:dyDescent="0.25">
      <c r="A2250" s="5">
        <v>44991</v>
      </c>
      <c r="B2250">
        <v>1330.1</v>
      </c>
    </row>
    <row r="2251" spans="1:2" x14ac:dyDescent="0.25">
      <c r="A2251" s="5">
        <v>44998</v>
      </c>
      <c r="B2251">
        <v>1341.7</v>
      </c>
    </row>
    <row r="2252" spans="1:2" x14ac:dyDescent="0.25">
      <c r="A2252" s="5">
        <v>45005</v>
      </c>
      <c r="B2252">
        <v>1357.7</v>
      </c>
    </row>
    <row r="2253" spans="1:2" x14ac:dyDescent="0.25">
      <c r="A2253" s="5">
        <v>45012</v>
      </c>
      <c r="B2253">
        <v>1369.6</v>
      </c>
    </row>
    <row r="2254" spans="1:2" x14ac:dyDescent="0.25">
      <c r="A2254" s="5">
        <v>45019</v>
      </c>
      <c r="B2254">
        <v>1379</v>
      </c>
    </row>
    <row r="2255" spans="1:2" x14ac:dyDescent="0.25">
      <c r="A2255" s="5">
        <v>45026</v>
      </c>
      <c r="B2255">
        <v>1398.7</v>
      </c>
    </row>
    <row r="2256" spans="1:2" x14ac:dyDescent="0.25">
      <c r="A2256" s="5">
        <v>45033</v>
      </c>
      <c r="B2256">
        <v>1404.6</v>
      </c>
    </row>
    <row r="2257" spans="1:2" x14ac:dyDescent="0.25">
      <c r="A2257" s="5">
        <v>45040</v>
      </c>
      <c r="B2257">
        <v>1392.5</v>
      </c>
    </row>
    <row r="2258" spans="1:2" x14ac:dyDescent="0.25">
      <c r="A2258" s="5">
        <v>45047</v>
      </c>
      <c r="B2258">
        <v>1394.8</v>
      </c>
    </row>
    <row r="2259" spans="1:2" x14ac:dyDescent="0.25">
      <c r="A2259" s="5">
        <v>45054</v>
      </c>
      <c r="B2259">
        <v>1418.5</v>
      </c>
    </row>
    <row r="2260" spans="1:2" x14ac:dyDescent="0.25">
      <c r="A2260" s="5">
        <v>45061</v>
      </c>
      <c r="B2260">
        <v>1427.7</v>
      </c>
    </row>
    <row r="2261" spans="1:2" x14ac:dyDescent="0.25">
      <c r="A2261" s="5">
        <v>45068</v>
      </c>
      <c r="B2261">
        <v>1439.1</v>
      </c>
    </row>
    <row r="2262" spans="1:2" x14ac:dyDescent="0.25">
      <c r="A2262" s="5">
        <v>45075</v>
      </c>
      <c r="B2262">
        <v>1444.3</v>
      </c>
    </row>
    <row r="2263" spans="1:2" x14ac:dyDescent="0.25">
      <c r="A2263" s="5">
        <v>45082</v>
      </c>
      <c r="B2263">
        <v>1453.4</v>
      </c>
    </row>
    <row r="2264" spans="1:2" x14ac:dyDescent="0.25">
      <c r="A2264" s="5">
        <v>45089</v>
      </c>
      <c r="B2264">
        <v>1463.5</v>
      </c>
    </row>
    <row r="2265" spans="1:2" x14ac:dyDescent="0.25">
      <c r="A2265" s="5">
        <v>45096</v>
      </c>
      <c r="B2265">
        <v>1465.1</v>
      </c>
    </row>
    <row r="2266" spans="1:2" x14ac:dyDescent="0.25">
      <c r="A2266" s="5">
        <v>45103</v>
      </c>
      <c r="B2266">
        <v>1469.6</v>
      </c>
    </row>
    <row r="2267" spans="1:2" x14ac:dyDescent="0.25">
      <c r="A2267" s="5">
        <v>45110</v>
      </c>
      <c r="B2267">
        <v>1472.8</v>
      </c>
    </row>
    <row r="2268" spans="1:2" x14ac:dyDescent="0.25">
      <c r="A2268" s="5">
        <v>45117</v>
      </c>
      <c r="B2268">
        <v>1488.5</v>
      </c>
    </row>
    <row r="2269" spans="1:2" x14ac:dyDescent="0.25">
      <c r="A2269" s="5">
        <v>45124</v>
      </c>
      <c r="B2269">
        <v>1491.8</v>
      </c>
    </row>
    <row r="2270" spans="1:2" x14ac:dyDescent="0.25">
      <c r="A2270" s="5">
        <v>45131</v>
      </c>
      <c r="B2270">
        <v>1497.3</v>
      </c>
    </row>
    <row r="2271" spans="1:2" x14ac:dyDescent="0.25">
      <c r="A2271" s="5">
        <v>45138</v>
      </c>
      <c r="B2271">
        <v>1499</v>
      </c>
    </row>
    <row r="2272" spans="1:2" x14ac:dyDescent="0.25">
      <c r="A2272" s="5">
        <v>45145</v>
      </c>
      <c r="B2272">
        <v>1514</v>
      </c>
    </row>
    <row r="2273" spans="1:2" x14ac:dyDescent="0.25">
      <c r="A2273" s="5">
        <v>45152</v>
      </c>
      <c r="B2273">
        <v>1520.8</v>
      </c>
    </row>
    <row r="2274" spans="1:2" x14ac:dyDescent="0.25">
      <c r="A2274" s="5">
        <v>45159</v>
      </c>
      <c r="B2274">
        <v>1534</v>
      </c>
    </row>
    <row r="2275" spans="1:2" x14ac:dyDescent="0.25">
      <c r="A2275" s="5">
        <v>45166</v>
      </c>
      <c r="B2275">
        <v>1540.2</v>
      </c>
    </row>
    <row r="2276" spans="1:2" x14ac:dyDescent="0.25">
      <c r="A2276" s="5">
        <v>45173</v>
      </c>
      <c r="B2276">
        <v>1541.7</v>
      </c>
    </row>
    <row r="2277" spans="1:2" x14ac:dyDescent="0.25">
      <c r="A2277" s="5">
        <v>45180</v>
      </c>
      <c r="B2277">
        <v>1559.6</v>
      </c>
    </row>
    <row r="2278" spans="1:2" x14ac:dyDescent="0.25">
      <c r="A2278" s="5">
        <v>45187</v>
      </c>
      <c r="B2278">
        <v>1567</v>
      </c>
    </row>
    <row r="2279" spans="1:2" x14ac:dyDescent="0.25">
      <c r="A2279" s="5">
        <v>45194</v>
      </c>
      <c r="B2279">
        <v>1570.9</v>
      </c>
    </row>
    <row r="2280" spans="1:2" x14ac:dyDescent="0.25">
      <c r="A2280" s="5">
        <v>45201</v>
      </c>
      <c r="B2280">
        <v>1575.8</v>
      </c>
    </row>
    <row r="2281" spans="1:2" x14ac:dyDescent="0.25">
      <c r="A2281" s="5">
        <v>45208</v>
      </c>
      <c r="B2281">
        <v>1600.6</v>
      </c>
    </row>
    <row r="2282" spans="1:2" x14ac:dyDescent="0.25">
      <c r="A2282" s="5">
        <v>45215</v>
      </c>
      <c r="B2282">
        <v>1609.8</v>
      </c>
    </row>
    <row r="2283" spans="1:2" x14ac:dyDescent="0.25">
      <c r="A2283" s="5">
        <v>45222</v>
      </c>
      <c r="B2283">
        <v>1617.4</v>
      </c>
    </row>
    <row r="2284" spans="1:2" x14ac:dyDescent="0.25">
      <c r="A2284" s="5">
        <v>45229</v>
      </c>
      <c r="B2284">
        <v>1623</v>
      </c>
    </row>
    <row r="2285" spans="1:2" x14ac:dyDescent="0.25">
      <c r="A2285" s="5">
        <v>45236</v>
      </c>
      <c r="B2285">
        <v>1644.9</v>
      </c>
    </row>
    <row r="2286" spans="1:2" x14ac:dyDescent="0.25">
      <c r="A2286" s="5">
        <v>45243</v>
      </c>
      <c r="B2286">
        <v>1647.8</v>
      </c>
    </row>
    <row r="2287" spans="1:2" x14ac:dyDescent="0.25">
      <c r="A2287" s="5">
        <v>45250</v>
      </c>
      <c r="B2287">
        <v>1656.1</v>
      </c>
    </row>
    <row r="2288" spans="1:2" x14ac:dyDescent="0.25">
      <c r="A2288" s="5">
        <v>45257</v>
      </c>
      <c r="B2288">
        <v>1667.1</v>
      </c>
    </row>
    <row r="2289" spans="1:2" x14ac:dyDescent="0.25">
      <c r="A2289" s="5">
        <v>45264</v>
      </c>
      <c r="B2289">
        <v>1667.2</v>
      </c>
    </row>
    <row r="2290" spans="1:2" x14ac:dyDescent="0.25">
      <c r="A2290" s="5">
        <v>45271</v>
      </c>
      <c r="B2290">
        <v>1683.6</v>
      </c>
    </row>
    <row r="2291" spans="1:2" x14ac:dyDescent="0.25">
      <c r="A2291" s="5">
        <v>45278</v>
      </c>
      <c r="B2291">
        <v>1685.3</v>
      </c>
    </row>
    <row r="2292" spans="1:2" x14ac:dyDescent="0.25">
      <c r="A2292" s="5">
        <v>45285</v>
      </c>
      <c r="B2292">
        <v>1693.7</v>
      </c>
    </row>
    <row r="2293" spans="1:2" x14ac:dyDescent="0.25">
      <c r="A2293" s="5">
        <v>45292</v>
      </c>
      <c r="B2293">
        <v>1704.6</v>
      </c>
    </row>
    <row r="2294" spans="1:2" x14ac:dyDescent="0.25">
      <c r="A2294" s="5">
        <v>45299</v>
      </c>
      <c r="B2294">
        <v>1741.6</v>
      </c>
    </row>
    <row r="2295" spans="1:2" x14ac:dyDescent="0.25">
      <c r="A2295" s="5">
        <v>45306</v>
      </c>
      <c r="B2295">
        <v>1745.1</v>
      </c>
    </row>
    <row r="2296" spans="1:2" x14ac:dyDescent="0.25">
      <c r="A2296" s="5">
        <v>45313</v>
      </c>
      <c r="B2296">
        <v>1745.5</v>
      </c>
    </row>
    <row r="2297" spans="1:2" x14ac:dyDescent="0.25">
      <c r="A2297" s="5">
        <v>45320</v>
      </c>
      <c r="B2297">
        <v>1751</v>
      </c>
    </row>
    <row r="2298" spans="1:2" x14ac:dyDescent="0.25">
      <c r="A2298" s="5">
        <v>45327</v>
      </c>
      <c r="B2298">
        <v>1758.6</v>
      </c>
    </row>
    <row r="2299" spans="1:2" x14ac:dyDescent="0.25">
      <c r="A2299" s="5">
        <v>45334</v>
      </c>
      <c r="B2299">
        <v>1771.2</v>
      </c>
    </row>
    <row r="2300" spans="1:2" x14ac:dyDescent="0.25">
      <c r="A2300" s="5">
        <v>45341</v>
      </c>
      <c r="B2300">
        <v>1772.1</v>
      </c>
    </row>
    <row r="2301" spans="1:2" x14ac:dyDescent="0.25">
      <c r="A2301" s="5">
        <v>45348</v>
      </c>
      <c r="B2301">
        <v>1774.7</v>
      </c>
    </row>
    <row r="2302" spans="1:2" x14ac:dyDescent="0.25">
      <c r="A2302" s="5">
        <v>45355</v>
      </c>
      <c r="B2302">
        <v>1776.8</v>
      </c>
    </row>
    <row r="2303" spans="1:2" x14ac:dyDescent="0.25">
      <c r="A2303" s="5">
        <v>45362</v>
      </c>
      <c r="B2303">
        <v>1790.2</v>
      </c>
    </row>
    <row r="2304" spans="1:2" x14ac:dyDescent="0.25">
      <c r="A2304" s="5">
        <v>45369</v>
      </c>
      <c r="B2304">
        <v>1796</v>
      </c>
    </row>
    <row r="2305" spans="1:2" x14ac:dyDescent="0.25">
      <c r="A2305" s="5">
        <v>45376</v>
      </c>
      <c r="B2305">
        <v>1804.1</v>
      </c>
    </row>
    <row r="2306" spans="1:2" x14ac:dyDescent="0.25">
      <c r="A2306" s="5">
        <v>45383</v>
      </c>
      <c r="B2306">
        <v>1807.5</v>
      </c>
    </row>
    <row r="2307" spans="1:2" x14ac:dyDescent="0.25">
      <c r="A2307" s="5">
        <v>45390</v>
      </c>
      <c r="B2307">
        <v>1830.9</v>
      </c>
    </row>
    <row r="2308" spans="1:2" x14ac:dyDescent="0.25">
      <c r="A2308" s="5">
        <v>45397</v>
      </c>
      <c r="B2308">
        <v>1815.6</v>
      </c>
    </row>
    <row r="2309" spans="1:2" x14ac:dyDescent="0.25">
      <c r="A2309" s="5">
        <v>45404</v>
      </c>
      <c r="B2309">
        <v>1797.1</v>
      </c>
    </row>
    <row r="2310" spans="1:2" x14ac:dyDescent="0.25">
      <c r="A2310" s="5">
        <v>45411</v>
      </c>
      <c r="B2310">
        <v>1795.5</v>
      </c>
    </row>
    <row r="2311" spans="1:2" x14ac:dyDescent="0.25">
      <c r="A2311" s="5">
        <v>45418</v>
      </c>
      <c r="B2311">
        <v>1805.5</v>
      </c>
    </row>
    <row r="2312" spans="1:2" x14ac:dyDescent="0.25">
      <c r="A2312" s="5">
        <v>45425</v>
      </c>
      <c r="B2312">
        <v>1811.3</v>
      </c>
    </row>
    <row r="2313" spans="1:2" x14ac:dyDescent="0.25">
      <c r="A2313" s="5">
        <v>45432</v>
      </c>
      <c r="B2313">
        <v>1814.5</v>
      </c>
    </row>
    <row r="2314" spans="1:2" x14ac:dyDescent="0.25">
      <c r="A2314" s="5">
        <v>45439</v>
      </c>
      <c r="B2314">
        <v>1818.5</v>
      </c>
    </row>
    <row r="2315" spans="1:2" x14ac:dyDescent="0.25">
      <c r="A2315" s="5">
        <v>45446</v>
      </c>
      <c r="B2315">
        <v>1818.3</v>
      </c>
    </row>
    <row r="2316" spans="1:2" x14ac:dyDescent="0.25">
      <c r="A2316" s="5">
        <v>45453</v>
      </c>
      <c r="B2316">
        <v>1830.5</v>
      </c>
    </row>
    <row r="2317" spans="1:2" x14ac:dyDescent="0.25">
      <c r="A2317" s="5">
        <v>45460</v>
      </c>
      <c r="B2317">
        <v>1829.4</v>
      </c>
    </row>
    <row r="2318" spans="1:2" x14ac:dyDescent="0.25">
      <c r="A2318" s="5">
        <v>45467</v>
      </c>
      <c r="B2318">
        <v>1834.3</v>
      </c>
    </row>
    <row r="2319" spans="1:2" x14ac:dyDescent="0.25">
      <c r="A2319" s="5">
        <v>45474</v>
      </c>
      <c r="B2319">
        <v>1828.6</v>
      </c>
    </row>
    <row r="2320" spans="1:2" x14ac:dyDescent="0.25">
      <c r="A2320" s="5">
        <v>45481</v>
      </c>
      <c r="B2320">
        <v>1844.5</v>
      </c>
    </row>
    <row r="2321" spans="1:2" x14ac:dyDescent="0.25">
      <c r="A2321" s="5">
        <v>45488</v>
      </c>
      <c r="B2321">
        <v>1845.4</v>
      </c>
    </row>
    <row r="2322" spans="1:2" x14ac:dyDescent="0.25">
      <c r="A2322" s="5">
        <v>45495</v>
      </c>
      <c r="B2322">
        <v>1850.1</v>
      </c>
    </row>
    <row r="2323" spans="1:2" x14ac:dyDescent="0.25">
      <c r="A2323" s="5">
        <v>45502</v>
      </c>
      <c r="B2323">
        <v>1846.5</v>
      </c>
    </row>
    <row r="2324" spans="1:2" x14ac:dyDescent="0.25">
      <c r="A2324" s="5">
        <v>45509</v>
      </c>
      <c r="B2324">
        <v>1851.5</v>
      </c>
    </row>
    <row r="2325" spans="1:2" x14ac:dyDescent="0.25">
      <c r="A2325" s="5">
        <v>45516</v>
      </c>
      <c r="B2325">
        <v>1862.8</v>
      </c>
    </row>
    <row r="2326" spans="1:2" x14ac:dyDescent="0.25">
      <c r="A2326" s="5">
        <v>45523</v>
      </c>
      <c r="B2326">
        <v>1862.4</v>
      </c>
    </row>
    <row r="2327" spans="1:2" x14ac:dyDescent="0.25">
      <c r="A2327" s="5">
        <v>45530</v>
      </c>
      <c r="B2327">
        <v>1871.5</v>
      </c>
    </row>
    <row r="2328" spans="1:2" x14ac:dyDescent="0.25">
      <c r="A2328" s="5">
        <v>45537</v>
      </c>
      <c r="B2328">
        <v>1872.4</v>
      </c>
    </row>
    <row r="2329" spans="1:2" x14ac:dyDescent="0.25">
      <c r="A2329" s="5">
        <v>45544</v>
      </c>
      <c r="B2329">
        <v>1892.5</v>
      </c>
    </row>
    <row r="2330" spans="1:2" x14ac:dyDescent="0.25">
      <c r="A2330" s="5">
        <v>45551</v>
      </c>
      <c r="B2330">
        <v>1891.5</v>
      </c>
    </row>
    <row r="2331" spans="1:2" x14ac:dyDescent="0.25">
      <c r="A2331" s="5">
        <v>45558</v>
      </c>
      <c r="B2331">
        <v>1893.6</v>
      </c>
    </row>
    <row r="2332" spans="1:2" x14ac:dyDescent="0.25">
      <c r="A2332" s="5">
        <v>45565</v>
      </c>
      <c r="B2332">
        <v>1899.4</v>
      </c>
    </row>
    <row r="2333" spans="1:2" x14ac:dyDescent="0.25">
      <c r="A2333" s="5">
        <v>45572</v>
      </c>
      <c r="B2333">
        <v>1921</v>
      </c>
    </row>
    <row r="2334" spans="1:2" x14ac:dyDescent="0.25">
      <c r="A2334" s="5">
        <v>45579</v>
      </c>
      <c r="B2334">
        <v>1927.2</v>
      </c>
    </row>
    <row r="2335" spans="1:2" x14ac:dyDescent="0.25">
      <c r="A2335" s="5">
        <v>45586</v>
      </c>
      <c r="B2335">
        <v>1932.9</v>
      </c>
    </row>
    <row r="2336" spans="1:2" x14ac:dyDescent="0.25">
      <c r="A2336" s="5">
        <v>45593</v>
      </c>
      <c r="B2336">
        <v>1940.6</v>
      </c>
    </row>
    <row r="2337" spans="1:2" x14ac:dyDescent="0.25">
      <c r="A2337" s="5">
        <v>45600</v>
      </c>
      <c r="B2337">
        <v>1943</v>
      </c>
    </row>
    <row r="2338" spans="1:2" x14ac:dyDescent="0.25">
      <c r="A2338" s="5">
        <v>45607</v>
      </c>
      <c r="B2338">
        <v>1969.6</v>
      </c>
    </row>
    <row r="2339" spans="1:2" x14ac:dyDescent="0.25">
      <c r="A2339" s="5">
        <v>45614</v>
      </c>
      <c r="B2339">
        <v>1970.5</v>
      </c>
    </row>
    <row r="2340" spans="1:2" x14ac:dyDescent="0.25">
      <c r="A2340" s="5">
        <v>45621</v>
      </c>
      <c r="B2340">
        <v>1977.2</v>
      </c>
    </row>
    <row r="2341" spans="1:2" x14ac:dyDescent="0.25">
      <c r="A2341" s="5">
        <v>45628</v>
      </c>
      <c r="B2341">
        <v>1976</v>
      </c>
    </row>
    <row r="2342" spans="1:2" x14ac:dyDescent="0.25">
      <c r="A2342" s="5">
        <v>45635</v>
      </c>
      <c r="B2342">
        <v>1995.2</v>
      </c>
    </row>
    <row r="2343" spans="1:2" x14ac:dyDescent="0.25">
      <c r="A2343" s="5">
        <v>45642</v>
      </c>
      <c r="B2343">
        <v>1991.9</v>
      </c>
    </row>
    <row r="2344" spans="1:2" x14ac:dyDescent="0.25">
      <c r="A2344" s="5">
        <v>45649</v>
      </c>
      <c r="B2344">
        <v>1994</v>
      </c>
    </row>
    <row r="2345" spans="1:2" x14ac:dyDescent="0.25">
      <c r="A2345" s="5">
        <v>45656</v>
      </c>
      <c r="B2345">
        <v>2008.2</v>
      </c>
    </row>
    <row r="2346" spans="1:2" x14ac:dyDescent="0.25">
      <c r="A2346" s="5">
        <v>45663</v>
      </c>
      <c r="B2346">
        <v>2028.4</v>
      </c>
    </row>
    <row r="2347" spans="1:2" x14ac:dyDescent="0.25">
      <c r="A2347" s="5">
        <v>45670</v>
      </c>
      <c r="B2347">
        <v>2046.3</v>
      </c>
    </row>
    <row r="2348" spans="1:2" x14ac:dyDescent="0.25">
      <c r="A2348" s="5">
        <v>45677</v>
      </c>
      <c r="B2348">
        <v>2042.6</v>
      </c>
    </row>
    <row r="2349" spans="1:2" x14ac:dyDescent="0.25">
      <c r="A2349" s="5">
        <v>45684</v>
      </c>
      <c r="B2349">
        <v>2044.8</v>
      </c>
    </row>
    <row r="2350" spans="1:2" x14ac:dyDescent="0.25">
      <c r="A2350" s="5">
        <v>45691</v>
      </c>
      <c r="B2350">
        <v>2034.3</v>
      </c>
    </row>
    <row r="2351" spans="1:2" x14ac:dyDescent="0.25">
      <c r="A2351" s="5">
        <v>45698</v>
      </c>
      <c r="B2351">
        <v>2055.1</v>
      </c>
    </row>
    <row r="2352" spans="1:2" x14ac:dyDescent="0.25">
      <c r="A2352" s="5">
        <v>45705</v>
      </c>
      <c r="B2352">
        <v>2054</v>
      </c>
    </row>
    <row r="2353" spans="1:2" x14ac:dyDescent="0.25">
      <c r="A2353" s="5">
        <v>45712</v>
      </c>
      <c r="B2353">
        <v>2062.1</v>
      </c>
    </row>
    <row r="2354" spans="1:2" x14ac:dyDescent="0.25">
      <c r="A2354" s="5">
        <v>45719</v>
      </c>
      <c r="B2354">
        <v>2071.5</v>
      </c>
    </row>
    <row r="2355" spans="1:2" x14ac:dyDescent="0.25">
      <c r="A2355" s="5">
        <v>45726</v>
      </c>
      <c r="B2355">
        <v>2096.9</v>
      </c>
    </row>
    <row r="2356" spans="1:2" x14ac:dyDescent="0.25">
      <c r="A2356" s="5">
        <v>45733</v>
      </c>
      <c r="B2356">
        <v>2109.8000000000002</v>
      </c>
    </row>
    <row r="2357" spans="1:2" x14ac:dyDescent="0.25">
      <c r="A2357" s="5">
        <v>45740</v>
      </c>
      <c r="B2357">
        <v>2114.1</v>
      </c>
    </row>
    <row r="2358" spans="1:2" x14ac:dyDescent="0.25">
      <c r="A2358" s="5">
        <v>45747</v>
      </c>
      <c r="B2358">
        <v>2110.3000000000002</v>
      </c>
    </row>
    <row r="2359" spans="1:2" x14ac:dyDescent="0.25">
      <c r="A2359" s="5">
        <v>45754</v>
      </c>
      <c r="B2359">
        <v>2125.4</v>
      </c>
    </row>
    <row r="2360" spans="1:2" x14ac:dyDescent="0.25">
      <c r="A2360" s="5">
        <v>45761</v>
      </c>
      <c r="B2360">
        <v>2114.6999999999998</v>
      </c>
    </row>
    <row r="2361" spans="1:2" x14ac:dyDescent="0.25">
      <c r="A2361" s="5">
        <v>45768</v>
      </c>
      <c r="B2361">
        <v>2083.6999999999998</v>
      </c>
    </row>
    <row r="2362" spans="1:2" x14ac:dyDescent="0.25">
      <c r="A2362" s="5">
        <v>45775</v>
      </c>
      <c r="B2362">
        <v>2087.5</v>
      </c>
    </row>
    <row r="2363" spans="1:2" x14ac:dyDescent="0.25">
      <c r="A2363" s="5">
        <v>45782</v>
      </c>
      <c r="B2363">
        <v>2081.8000000000002</v>
      </c>
    </row>
    <row r="2364" spans="1:2" x14ac:dyDescent="0.25">
      <c r="A2364" s="5">
        <v>45789</v>
      </c>
      <c r="B2364">
        <v>2102.1</v>
      </c>
    </row>
    <row r="2365" spans="1:2" x14ac:dyDescent="0.25">
      <c r="A2365" s="5">
        <v>45796</v>
      </c>
      <c r="B2365">
        <v>2097.4</v>
      </c>
    </row>
    <row r="2366" spans="1:2" x14ac:dyDescent="0.25">
      <c r="A2366" s="5">
        <v>45803</v>
      </c>
      <c r="B2366">
        <v>2098.9</v>
      </c>
    </row>
    <row r="2367" spans="1:2" x14ac:dyDescent="0.25">
      <c r="A2367" s="5">
        <v>45810</v>
      </c>
      <c r="B2367">
        <v>2095.9</v>
      </c>
    </row>
    <row r="2368" spans="1:2" x14ac:dyDescent="0.25">
      <c r="A2368" s="5">
        <v>45817</v>
      </c>
      <c r="B2368">
        <v>2111.9</v>
      </c>
    </row>
    <row r="2369" spans="1:2" x14ac:dyDescent="0.25">
      <c r="A2369" s="5">
        <v>45824</v>
      </c>
      <c r="B2369">
        <v>2108.8000000000002</v>
      </c>
    </row>
    <row r="2370" spans="1:2" x14ac:dyDescent="0.25">
      <c r="A2370" s="5">
        <v>45831</v>
      </c>
      <c r="B2370">
        <v>2111.3000000000002</v>
      </c>
    </row>
    <row r="2371" spans="1:2" x14ac:dyDescent="0.25">
      <c r="A2371" s="5">
        <v>45838</v>
      </c>
      <c r="B2371">
        <v>2114.3000000000002</v>
      </c>
    </row>
    <row r="2372" spans="1:2" x14ac:dyDescent="0.25">
      <c r="A2372" s="5">
        <v>45845</v>
      </c>
      <c r="B2372">
        <v>2125.1999999999998</v>
      </c>
    </row>
    <row r="2373" spans="1:2" x14ac:dyDescent="0.25">
      <c r="A2373" s="5">
        <v>45852</v>
      </c>
      <c r="B2373">
        <v>2126.3000000000002</v>
      </c>
    </row>
    <row r="2374" spans="1:2" x14ac:dyDescent="0.25">
      <c r="A2374" s="5">
        <v>45859</v>
      </c>
      <c r="B2374">
        <v>2129.3000000000002</v>
      </c>
    </row>
    <row r="2375" spans="1:2" x14ac:dyDescent="0.25">
      <c r="A2375" s="5">
        <v>45866</v>
      </c>
      <c r="B2375">
        <v>2127.8000000000002</v>
      </c>
    </row>
    <row r="2376" spans="1:2" x14ac:dyDescent="0.25">
      <c r="A2376" s="5">
        <v>45873</v>
      </c>
      <c r="B2376">
        <v>2126.6</v>
      </c>
    </row>
    <row r="2377" spans="1:2" x14ac:dyDescent="0.25">
      <c r="A2377" s="5">
        <v>45880</v>
      </c>
      <c r="B2377">
        <v>2141.6999999999998</v>
      </c>
    </row>
    <row r="2378" spans="1:2" x14ac:dyDescent="0.25">
      <c r="A2378" s="5">
        <v>45887</v>
      </c>
      <c r="B2378">
        <v>2151.1999999999998</v>
      </c>
    </row>
    <row r="2379" spans="1:2" x14ac:dyDescent="0.25">
      <c r="A2379" s="5">
        <v>45894</v>
      </c>
      <c r="B2379">
        <v>2158.1999999999998</v>
      </c>
    </row>
    <row r="2380" spans="1:2" x14ac:dyDescent="0.25">
      <c r="A2380" s="5">
        <v>45901</v>
      </c>
      <c r="B2380">
        <v>2153.6</v>
      </c>
    </row>
    <row r="2381" spans="1:2" x14ac:dyDescent="0.25">
      <c r="A2381" s="5">
        <v>45908</v>
      </c>
      <c r="B2381">
        <v>2171.1999999999998</v>
      </c>
    </row>
    <row r="2382" spans="1:2" x14ac:dyDescent="0.25">
      <c r="A2382" s="5">
        <v>45915</v>
      </c>
      <c r="B2382">
        <v>2171.4</v>
      </c>
    </row>
    <row r="2383" spans="1:2" x14ac:dyDescent="0.25">
      <c r="A2383" s="5">
        <v>45922</v>
      </c>
      <c r="B2383">
        <v>2165.1999999999998</v>
      </c>
    </row>
    <row r="2384" spans="1:2" x14ac:dyDescent="0.25">
      <c r="A2384" s="5">
        <v>45929</v>
      </c>
      <c r="B2384">
        <v>2163.4</v>
      </c>
    </row>
    <row r="2385" spans="1:2" x14ac:dyDescent="0.25">
      <c r="A2385" s="5">
        <v>45936</v>
      </c>
      <c r="B2385">
        <v>2179.3000000000002</v>
      </c>
    </row>
    <row r="2386" spans="1:2" x14ac:dyDescent="0.25">
      <c r="A2386" s="5">
        <v>45943</v>
      </c>
      <c r="B2386">
        <v>2187.5</v>
      </c>
    </row>
    <row r="2387" spans="1:2" x14ac:dyDescent="0.25">
      <c r="A2387" s="5">
        <v>45950</v>
      </c>
      <c r="B2387">
        <v>2184</v>
      </c>
    </row>
    <row r="2388" spans="1:2" x14ac:dyDescent="0.25">
      <c r="A2388" s="5">
        <v>45957</v>
      </c>
      <c r="B2388">
        <v>2194.6</v>
      </c>
    </row>
    <row r="2389" spans="1:2" x14ac:dyDescent="0.25">
      <c r="A2389" s="5">
        <v>45964</v>
      </c>
      <c r="B2389">
        <v>2200.3000000000002</v>
      </c>
    </row>
    <row r="2390" spans="1:2" x14ac:dyDescent="0.25">
      <c r="A2390" s="5">
        <v>45971</v>
      </c>
      <c r="B2390">
        <v>2212.4</v>
      </c>
    </row>
    <row r="2391" spans="1:2" x14ac:dyDescent="0.25">
      <c r="A2391" s="5">
        <v>45978</v>
      </c>
      <c r="B2391">
        <v>2215.8000000000002</v>
      </c>
    </row>
    <row r="2392" spans="1:2" x14ac:dyDescent="0.25">
      <c r="A2392" s="5">
        <v>45985</v>
      </c>
      <c r="B2392">
        <v>2222.1999999999998</v>
      </c>
    </row>
    <row r="2393" spans="1:2" x14ac:dyDescent="0.25">
      <c r="A2393" s="5">
        <v>45992</v>
      </c>
      <c r="B2393">
        <v>2223</v>
      </c>
    </row>
    <row r="2394" spans="1:2" x14ac:dyDescent="0.25">
      <c r="A2394" s="5">
        <v>45999</v>
      </c>
      <c r="B2394">
        <v>2238.4</v>
      </c>
    </row>
    <row r="2395" spans="1:2" x14ac:dyDescent="0.25">
      <c r="A2395" s="5">
        <v>46006</v>
      </c>
      <c r="B2395">
        <v>2235.4</v>
      </c>
    </row>
    <row r="2396" spans="1:2" x14ac:dyDescent="0.25">
      <c r="A2396" s="5">
        <v>46013</v>
      </c>
      <c r="B2396">
        <v>2234.6999999999998</v>
      </c>
    </row>
    <row r="2397" spans="1:2" x14ac:dyDescent="0.25">
      <c r="A2397" s="5">
        <v>46020</v>
      </c>
      <c r="B2397">
        <v>2250.3000000000002</v>
      </c>
    </row>
    <row r="2398" spans="1:2" x14ac:dyDescent="0.25">
      <c r="A2398" s="5">
        <v>46027</v>
      </c>
      <c r="B2398">
        <v>2258.3000000000002</v>
      </c>
    </row>
    <row r="2399" spans="1:2" x14ac:dyDescent="0.25">
      <c r="A2399" s="5">
        <v>46034</v>
      </c>
      <c r="B2399">
        <v>2280.5</v>
      </c>
    </row>
    <row r="2400" spans="1:2" x14ac:dyDescent="0.25">
      <c r="A2400" s="5">
        <v>46041</v>
      </c>
      <c r="B2400">
        <v>2261.9</v>
      </c>
    </row>
    <row r="2401" spans="1:2" x14ac:dyDescent="0.25">
      <c r="A2401" s="5">
        <v>46048</v>
      </c>
      <c r="B2401">
        <v>2256</v>
      </c>
    </row>
    <row r="2402" spans="1:2" x14ac:dyDescent="0.25">
      <c r="A2402" s="5">
        <v>46055</v>
      </c>
      <c r="B2402">
        <v>2246.6999999999998</v>
      </c>
    </row>
    <row r="2403" spans="1:2" x14ac:dyDescent="0.25">
      <c r="A2403" s="5">
        <v>46062</v>
      </c>
      <c r="B2403">
        <v>2258.1</v>
      </c>
    </row>
    <row r="2404" spans="1:2" x14ac:dyDescent="0.25">
      <c r="A2404" s="5">
        <v>46069</v>
      </c>
      <c r="B2404">
        <v>2260.5</v>
      </c>
    </row>
    <row r="2405" spans="1:2" x14ac:dyDescent="0.25">
      <c r="A2405" s="5">
        <v>46076</v>
      </c>
      <c r="B2405">
        <v>2263.1</v>
      </c>
    </row>
    <row r="2406" spans="1:2" x14ac:dyDescent="0.25">
      <c r="A2406" s="5">
        <v>46083</v>
      </c>
      <c r="B2406">
        <v>2252.9</v>
      </c>
    </row>
    <row r="2407" spans="1:2" x14ac:dyDescent="0.25">
      <c r="A2407" s="5">
        <v>46090</v>
      </c>
      <c r="B2407">
        <v>2264.4</v>
      </c>
    </row>
    <row r="2408" spans="1:2" x14ac:dyDescent="0.25">
      <c r="A2408" s="5">
        <v>46097</v>
      </c>
      <c r="B2408">
        <v>2275</v>
      </c>
    </row>
    <row r="2409" spans="1:2" x14ac:dyDescent="0.25">
      <c r="A2409" s="5">
        <v>46104</v>
      </c>
      <c r="B2409">
        <v>2285.1999999999998</v>
      </c>
    </row>
    <row r="2410" spans="1:2" x14ac:dyDescent="0.25">
      <c r="A2410" s="5">
        <v>46111</v>
      </c>
      <c r="B2410">
        <v>2291.4</v>
      </c>
    </row>
    <row r="2411" spans="1:2" x14ac:dyDescent="0.25">
      <c r="A2411" s="5">
        <v>46118</v>
      </c>
      <c r="B2411">
        <v>2298.1999999999998</v>
      </c>
    </row>
    <row r="2412" spans="1:2" x14ac:dyDescent="0.25">
      <c r="A2412" s="5">
        <v>46125</v>
      </c>
      <c r="B2412">
        <v>2292.6999999999998</v>
      </c>
    </row>
    <row r="2413" spans="1:2" x14ac:dyDescent="0.25">
      <c r="A2413" s="5">
        <v>46132</v>
      </c>
      <c r="B2413">
        <v>2255</v>
      </c>
    </row>
    <row r="2414" spans="1:2" x14ac:dyDescent="0.25">
      <c r="A2414" s="5">
        <v>46139</v>
      </c>
      <c r="B2414">
        <v>2252</v>
      </c>
    </row>
    <row r="2415" spans="1:2" x14ac:dyDescent="0.25">
      <c r="A2415" s="5">
        <v>46146</v>
      </c>
      <c r="B2415">
        <v>2247.6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3590D8-7623-43B1-8024-BDE44EEEFB76}">
  <sheetPr codeName="Sheet5"/>
  <dimension ref="A1:B16733"/>
  <sheetViews>
    <sheetView topLeftCell="A16700" workbookViewId="0">
      <selection activeCell="A14222" sqref="A14222:B16733"/>
    </sheetView>
  </sheetViews>
  <sheetFormatPr defaultRowHeight="15" x14ac:dyDescent="0.25"/>
  <cols>
    <col min="1" max="1" width="16.7109375" style="5" bestFit="1" customWidth="1"/>
  </cols>
  <sheetData>
    <row r="1" spans="1:2" x14ac:dyDescent="0.25">
      <c r="A1" s="5" t="s">
        <v>358</v>
      </c>
      <c r="B1" t="s">
        <v>363</v>
      </c>
    </row>
    <row r="2" spans="1:2" x14ac:dyDescent="0.25">
      <c r="A2" s="5">
        <v>21919</v>
      </c>
      <c r="B2">
        <v>59.909999847412102</v>
      </c>
    </row>
    <row r="3" spans="1:2" x14ac:dyDescent="0.25">
      <c r="A3" s="5">
        <v>21920</v>
      </c>
      <c r="B3">
        <v>60.389999389648402</v>
      </c>
    </row>
    <row r="4" spans="1:2" x14ac:dyDescent="0.25">
      <c r="A4" s="5">
        <v>21921</v>
      </c>
      <c r="B4">
        <v>60.130001068115199</v>
      </c>
    </row>
    <row r="5" spans="1:2" x14ac:dyDescent="0.25">
      <c r="A5" s="5">
        <v>21922</v>
      </c>
      <c r="B5">
        <v>59.689998626708999</v>
      </c>
    </row>
    <row r="6" spans="1:2" x14ac:dyDescent="0.25">
      <c r="A6" s="5">
        <v>21923</v>
      </c>
      <c r="B6">
        <v>59.5</v>
      </c>
    </row>
    <row r="7" spans="1:2" x14ac:dyDescent="0.25">
      <c r="A7" s="5">
        <v>21926</v>
      </c>
      <c r="B7">
        <v>58.7700004577637</v>
      </c>
    </row>
    <row r="8" spans="1:2" x14ac:dyDescent="0.25">
      <c r="A8" s="5">
        <v>21927</v>
      </c>
      <c r="B8">
        <v>58.409999847412102</v>
      </c>
    </row>
    <row r="9" spans="1:2" x14ac:dyDescent="0.25">
      <c r="A9" s="5">
        <v>21928</v>
      </c>
      <c r="B9">
        <v>58.080001831054702</v>
      </c>
    </row>
    <row r="10" spans="1:2" x14ac:dyDescent="0.25">
      <c r="A10" s="5">
        <v>21929</v>
      </c>
      <c r="B10">
        <v>58.400001525878899</v>
      </c>
    </row>
    <row r="11" spans="1:2" x14ac:dyDescent="0.25">
      <c r="A11" s="5">
        <v>21930</v>
      </c>
      <c r="B11">
        <v>58.380001068115199</v>
      </c>
    </row>
    <row r="12" spans="1:2" x14ac:dyDescent="0.25">
      <c r="A12" s="5">
        <v>21933</v>
      </c>
      <c r="B12">
        <v>57.889999389648402</v>
      </c>
    </row>
    <row r="13" spans="1:2" x14ac:dyDescent="0.25">
      <c r="A13" s="5">
        <v>21934</v>
      </c>
      <c r="B13">
        <v>57.2700004577637</v>
      </c>
    </row>
    <row r="14" spans="1:2" x14ac:dyDescent="0.25">
      <c r="A14" s="5">
        <v>21935</v>
      </c>
      <c r="B14">
        <v>57.069999694824197</v>
      </c>
    </row>
    <row r="15" spans="1:2" x14ac:dyDescent="0.25">
      <c r="A15" s="5">
        <v>21936</v>
      </c>
      <c r="B15">
        <v>57.209999084472699</v>
      </c>
    </row>
    <row r="16" spans="1:2" x14ac:dyDescent="0.25">
      <c r="A16" s="5">
        <v>21937</v>
      </c>
      <c r="B16">
        <v>57.380001068115199</v>
      </c>
    </row>
    <row r="17" spans="1:2" x14ac:dyDescent="0.25">
      <c r="A17" s="5">
        <v>21940</v>
      </c>
      <c r="B17">
        <v>56.779998779296903</v>
      </c>
    </row>
    <row r="18" spans="1:2" x14ac:dyDescent="0.25">
      <c r="A18" s="5">
        <v>21941</v>
      </c>
      <c r="B18">
        <v>56.860000610351598</v>
      </c>
    </row>
    <row r="19" spans="1:2" x14ac:dyDescent="0.25">
      <c r="A19" s="5">
        <v>21942</v>
      </c>
      <c r="B19">
        <v>56.720001220703097</v>
      </c>
    </row>
    <row r="20" spans="1:2" x14ac:dyDescent="0.25">
      <c r="A20" s="5">
        <v>21943</v>
      </c>
      <c r="B20">
        <v>56.130001068115199</v>
      </c>
    </row>
    <row r="21" spans="1:2" x14ac:dyDescent="0.25">
      <c r="A21" s="5">
        <v>21944</v>
      </c>
      <c r="B21">
        <v>55.610000610351598</v>
      </c>
    </row>
    <row r="22" spans="1:2" x14ac:dyDescent="0.25">
      <c r="A22" s="5">
        <v>21947</v>
      </c>
      <c r="B22">
        <v>55.959999084472699</v>
      </c>
    </row>
    <row r="23" spans="1:2" x14ac:dyDescent="0.25">
      <c r="A23" s="5">
        <v>21948</v>
      </c>
      <c r="B23">
        <v>56.819999694824197</v>
      </c>
    </row>
    <row r="24" spans="1:2" x14ac:dyDescent="0.25">
      <c r="A24" s="5">
        <v>21949</v>
      </c>
      <c r="B24">
        <v>56.319999694824197</v>
      </c>
    </row>
    <row r="25" spans="1:2" x14ac:dyDescent="0.25">
      <c r="A25" s="5">
        <v>21950</v>
      </c>
      <c r="B25">
        <v>56.2700004577637</v>
      </c>
    </row>
    <row r="26" spans="1:2" x14ac:dyDescent="0.25">
      <c r="A26" s="5">
        <v>21951</v>
      </c>
      <c r="B26">
        <v>55.9799995422363</v>
      </c>
    </row>
    <row r="27" spans="1:2" x14ac:dyDescent="0.25">
      <c r="A27" s="5">
        <v>21954</v>
      </c>
      <c r="B27">
        <v>55.319999694824197</v>
      </c>
    </row>
    <row r="28" spans="1:2" x14ac:dyDescent="0.25">
      <c r="A28" s="5">
        <v>21955</v>
      </c>
      <c r="B28">
        <v>55.840000152587898</v>
      </c>
    </row>
    <row r="29" spans="1:2" x14ac:dyDescent="0.25">
      <c r="A29" s="5">
        <v>21956</v>
      </c>
      <c r="B29">
        <v>55.490001678466797</v>
      </c>
    </row>
    <row r="30" spans="1:2" x14ac:dyDescent="0.25">
      <c r="A30" s="5">
        <v>21957</v>
      </c>
      <c r="B30">
        <v>55.180000305175803</v>
      </c>
    </row>
    <row r="31" spans="1:2" x14ac:dyDescent="0.25">
      <c r="A31" s="5">
        <v>21958</v>
      </c>
      <c r="B31">
        <v>55.459999084472699</v>
      </c>
    </row>
    <row r="32" spans="1:2" x14ac:dyDescent="0.25">
      <c r="A32" s="5">
        <v>21961</v>
      </c>
      <c r="B32">
        <v>55.169998168945298</v>
      </c>
    </row>
    <row r="33" spans="1:2" x14ac:dyDescent="0.25">
      <c r="A33" s="5">
        <v>21962</v>
      </c>
      <c r="B33">
        <v>54.7299995422363</v>
      </c>
    </row>
    <row r="34" spans="1:2" x14ac:dyDescent="0.25">
      <c r="A34" s="5">
        <v>21963</v>
      </c>
      <c r="B34">
        <v>55.029998779296903</v>
      </c>
    </row>
    <row r="35" spans="1:2" x14ac:dyDescent="0.25">
      <c r="A35" s="5">
        <v>21964</v>
      </c>
      <c r="B35">
        <v>55.799999237060497</v>
      </c>
    </row>
    <row r="36" spans="1:2" x14ac:dyDescent="0.25">
      <c r="A36" s="5">
        <v>21965</v>
      </c>
      <c r="B36">
        <v>56.240001678466797</v>
      </c>
    </row>
    <row r="37" spans="1:2" x14ac:dyDescent="0.25">
      <c r="A37" s="5">
        <v>21969</v>
      </c>
      <c r="B37">
        <v>55.939998626708999</v>
      </c>
    </row>
    <row r="38" spans="1:2" x14ac:dyDescent="0.25">
      <c r="A38" s="5">
        <v>21970</v>
      </c>
      <c r="B38">
        <v>55.740001678466797</v>
      </c>
    </row>
    <row r="39" spans="1:2" x14ac:dyDescent="0.25">
      <c r="A39" s="5">
        <v>21971</v>
      </c>
      <c r="B39">
        <v>55.930000305175803</v>
      </c>
    </row>
    <row r="40" spans="1:2" x14ac:dyDescent="0.25">
      <c r="A40" s="5">
        <v>21972</v>
      </c>
      <c r="B40">
        <v>56.159999847412102</v>
      </c>
    </row>
    <row r="41" spans="1:2" x14ac:dyDescent="0.25">
      <c r="A41" s="5">
        <v>21975</v>
      </c>
      <c r="B41">
        <v>56.119998931884801</v>
      </c>
    </row>
    <row r="42" spans="1:2" x14ac:dyDescent="0.25">
      <c r="A42" s="5">
        <v>21976</v>
      </c>
      <c r="B42">
        <v>56.009998321533203</v>
      </c>
    </row>
    <row r="43" spans="1:2" x14ac:dyDescent="0.25">
      <c r="A43" s="5">
        <v>21977</v>
      </c>
      <c r="B43">
        <v>55.619998931884801</v>
      </c>
    </row>
    <row r="44" spans="1:2" x14ac:dyDescent="0.25">
      <c r="A44" s="5">
        <v>21978</v>
      </c>
      <c r="B44">
        <v>54.779998779296903</v>
      </c>
    </row>
    <row r="45" spans="1:2" x14ac:dyDescent="0.25">
      <c r="A45" s="5">
        <v>21979</v>
      </c>
      <c r="B45">
        <v>54.569999694824197</v>
      </c>
    </row>
    <row r="46" spans="1:2" x14ac:dyDescent="0.25">
      <c r="A46" s="5">
        <v>21982</v>
      </c>
      <c r="B46">
        <v>54.0200004577637</v>
      </c>
    </row>
    <row r="47" spans="1:2" x14ac:dyDescent="0.25">
      <c r="A47" s="5">
        <v>21983</v>
      </c>
      <c r="B47">
        <v>53.470001220703097</v>
      </c>
    </row>
    <row r="48" spans="1:2" x14ac:dyDescent="0.25">
      <c r="A48" s="5">
        <v>21984</v>
      </c>
      <c r="B48">
        <v>54.040000915527301</v>
      </c>
    </row>
    <row r="49" spans="1:2" x14ac:dyDescent="0.25">
      <c r="A49" s="5">
        <v>21985</v>
      </c>
      <c r="B49">
        <v>53.830001831054702</v>
      </c>
    </row>
    <row r="50" spans="1:2" x14ac:dyDescent="0.25">
      <c r="A50" s="5">
        <v>21986</v>
      </c>
      <c r="B50">
        <v>54.240001678466797</v>
      </c>
    </row>
    <row r="51" spans="1:2" x14ac:dyDescent="0.25">
      <c r="A51" s="5">
        <v>21989</v>
      </c>
      <c r="B51">
        <v>54.319999694824197</v>
      </c>
    </row>
    <row r="52" spans="1:2" x14ac:dyDescent="0.25">
      <c r="A52" s="5">
        <v>21990</v>
      </c>
      <c r="B52">
        <v>54.740001678466797</v>
      </c>
    </row>
    <row r="53" spans="1:2" x14ac:dyDescent="0.25">
      <c r="A53" s="5">
        <v>21991</v>
      </c>
      <c r="B53">
        <v>55.040000915527301</v>
      </c>
    </row>
    <row r="54" spans="1:2" x14ac:dyDescent="0.25">
      <c r="A54" s="5">
        <v>21992</v>
      </c>
      <c r="B54">
        <v>54.959999084472699</v>
      </c>
    </row>
    <row r="55" spans="1:2" x14ac:dyDescent="0.25">
      <c r="A55" s="5">
        <v>21993</v>
      </c>
      <c r="B55">
        <v>55.009998321533203</v>
      </c>
    </row>
    <row r="56" spans="1:2" x14ac:dyDescent="0.25">
      <c r="A56" s="5">
        <v>21996</v>
      </c>
      <c r="B56">
        <v>55.069999694824197</v>
      </c>
    </row>
    <row r="57" spans="1:2" x14ac:dyDescent="0.25">
      <c r="A57" s="5">
        <v>21997</v>
      </c>
      <c r="B57">
        <v>55.290000915527301</v>
      </c>
    </row>
    <row r="58" spans="1:2" x14ac:dyDescent="0.25">
      <c r="A58" s="5">
        <v>21998</v>
      </c>
      <c r="B58">
        <v>55.740001678466797</v>
      </c>
    </row>
    <row r="59" spans="1:2" x14ac:dyDescent="0.25">
      <c r="A59" s="5">
        <v>21999</v>
      </c>
      <c r="B59">
        <v>55.9799995422363</v>
      </c>
    </row>
    <row r="60" spans="1:2" x14ac:dyDescent="0.25">
      <c r="A60" s="5">
        <v>22000</v>
      </c>
      <c r="B60">
        <v>55.9799995422363</v>
      </c>
    </row>
    <row r="61" spans="1:2" x14ac:dyDescent="0.25">
      <c r="A61" s="5">
        <v>22003</v>
      </c>
      <c r="B61">
        <v>55.860000610351598</v>
      </c>
    </row>
    <row r="62" spans="1:2" x14ac:dyDescent="0.25">
      <c r="A62" s="5">
        <v>22004</v>
      </c>
      <c r="B62">
        <v>55.779998779296903</v>
      </c>
    </row>
    <row r="63" spans="1:2" x14ac:dyDescent="0.25">
      <c r="A63" s="5">
        <v>22005</v>
      </c>
      <c r="B63">
        <v>55.659999847412102</v>
      </c>
    </row>
    <row r="64" spans="1:2" x14ac:dyDescent="0.25">
      <c r="A64" s="5">
        <v>22006</v>
      </c>
      <c r="B64">
        <v>55.340000152587898</v>
      </c>
    </row>
    <row r="65" spans="1:2" x14ac:dyDescent="0.25">
      <c r="A65" s="5">
        <v>22007</v>
      </c>
      <c r="B65">
        <v>55.430000305175803</v>
      </c>
    </row>
    <row r="66" spans="1:2" x14ac:dyDescent="0.25">
      <c r="A66" s="5">
        <v>22010</v>
      </c>
      <c r="B66">
        <v>55.540000915527301</v>
      </c>
    </row>
    <row r="67" spans="1:2" x14ac:dyDescent="0.25">
      <c r="A67" s="5">
        <v>22011</v>
      </c>
      <c r="B67">
        <v>55.369998931884801</v>
      </c>
    </row>
    <row r="68" spans="1:2" x14ac:dyDescent="0.25">
      <c r="A68" s="5">
        <v>22012</v>
      </c>
      <c r="B68">
        <v>56.509998321533203</v>
      </c>
    </row>
    <row r="69" spans="1:2" x14ac:dyDescent="0.25">
      <c r="A69" s="5">
        <v>22013</v>
      </c>
      <c r="B69">
        <v>56.5200004577637</v>
      </c>
    </row>
    <row r="70" spans="1:2" x14ac:dyDescent="0.25">
      <c r="A70" s="5">
        <v>22014</v>
      </c>
      <c r="B70">
        <v>56.389999389648402</v>
      </c>
    </row>
    <row r="71" spans="1:2" x14ac:dyDescent="0.25">
      <c r="A71" s="5">
        <v>22017</v>
      </c>
      <c r="B71">
        <v>56.169998168945298</v>
      </c>
    </row>
    <row r="72" spans="1:2" x14ac:dyDescent="0.25">
      <c r="A72" s="5">
        <v>22018</v>
      </c>
      <c r="B72">
        <v>56.299999237060497</v>
      </c>
    </row>
    <row r="73" spans="1:2" x14ac:dyDescent="0.25">
      <c r="A73" s="5">
        <v>22019</v>
      </c>
      <c r="B73">
        <v>56.299999237060497</v>
      </c>
    </row>
    <row r="74" spans="1:2" x14ac:dyDescent="0.25">
      <c r="A74" s="5">
        <v>22020</v>
      </c>
      <c r="B74">
        <v>56.430000305175803</v>
      </c>
    </row>
    <row r="75" spans="1:2" x14ac:dyDescent="0.25">
      <c r="A75" s="5">
        <v>22024</v>
      </c>
      <c r="B75">
        <v>56.590000152587898</v>
      </c>
    </row>
    <row r="76" spans="1:2" x14ac:dyDescent="0.25">
      <c r="A76" s="5">
        <v>22025</v>
      </c>
      <c r="B76">
        <v>56.130001068115199</v>
      </c>
    </row>
    <row r="77" spans="1:2" x14ac:dyDescent="0.25">
      <c r="A77" s="5">
        <v>22026</v>
      </c>
      <c r="B77">
        <v>55.439998626708999</v>
      </c>
    </row>
    <row r="78" spans="1:2" x14ac:dyDescent="0.25">
      <c r="A78" s="5">
        <v>22027</v>
      </c>
      <c r="B78">
        <v>55.590000152587898</v>
      </c>
    </row>
    <row r="79" spans="1:2" x14ac:dyDescent="0.25">
      <c r="A79" s="5">
        <v>22028</v>
      </c>
      <c r="B79">
        <v>55.419998168945298</v>
      </c>
    </row>
    <row r="80" spans="1:2" x14ac:dyDescent="0.25">
      <c r="A80" s="5">
        <v>22031</v>
      </c>
      <c r="B80">
        <v>54.860000610351598</v>
      </c>
    </row>
    <row r="81" spans="1:2" x14ac:dyDescent="0.25">
      <c r="A81" s="5">
        <v>22032</v>
      </c>
      <c r="B81">
        <v>55.040000915527301</v>
      </c>
    </row>
    <row r="82" spans="1:2" x14ac:dyDescent="0.25">
      <c r="A82" s="5">
        <v>22033</v>
      </c>
      <c r="B82">
        <v>55.040000915527301</v>
      </c>
    </row>
    <row r="83" spans="1:2" x14ac:dyDescent="0.25">
      <c r="A83" s="5">
        <v>22034</v>
      </c>
      <c r="B83">
        <v>54.560001373291001</v>
      </c>
    </row>
    <row r="84" spans="1:2" x14ac:dyDescent="0.25">
      <c r="A84" s="5">
        <v>22035</v>
      </c>
      <c r="B84">
        <v>54.369998931884801</v>
      </c>
    </row>
    <row r="85" spans="1:2" x14ac:dyDescent="0.25">
      <c r="A85" s="5">
        <v>22038</v>
      </c>
      <c r="B85">
        <v>54.130001068115199</v>
      </c>
    </row>
    <row r="86" spans="1:2" x14ac:dyDescent="0.25">
      <c r="A86" s="5">
        <v>22039</v>
      </c>
      <c r="B86">
        <v>54.830001831054702</v>
      </c>
    </row>
    <row r="87" spans="1:2" x14ac:dyDescent="0.25">
      <c r="A87" s="5">
        <v>22040</v>
      </c>
      <c r="B87">
        <v>55.040000915527301</v>
      </c>
    </row>
    <row r="88" spans="1:2" x14ac:dyDescent="0.25">
      <c r="A88" s="5">
        <v>22041</v>
      </c>
      <c r="B88">
        <v>54.860000610351598</v>
      </c>
    </row>
    <row r="89" spans="1:2" x14ac:dyDescent="0.25">
      <c r="A89" s="5">
        <v>22042</v>
      </c>
      <c r="B89">
        <v>54.75</v>
      </c>
    </row>
    <row r="90" spans="1:2" x14ac:dyDescent="0.25">
      <c r="A90" s="5">
        <v>22045</v>
      </c>
      <c r="B90">
        <v>54.799999237060497</v>
      </c>
    </row>
    <row r="91" spans="1:2" x14ac:dyDescent="0.25">
      <c r="A91" s="5">
        <v>22046</v>
      </c>
      <c r="B91">
        <v>54.419998168945298</v>
      </c>
    </row>
    <row r="92" spans="1:2" x14ac:dyDescent="0.25">
      <c r="A92" s="5">
        <v>22047</v>
      </c>
      <c r="B92">
        <v>54.569999694824197</v>
      </c>
    </row>
    <row r="93" spans="1:2" x14ac:dyDescent="0.25">
      <c r="A93" s="5">
        <v>22048</v>
      </c>
      <c r="B93">
        <v>54.849998474121101</v>
      </c>
    </row>
    <row r="94" spans="1:2" x14ac:dyDescent="0.25">
      <c r="A94" s="5">
        <v>22049</v>
      </c>
      <c r="B94">
        <v>55.299999237060497</v>
      </c>
    </row>
    <row r="95" spans="1:2" x14ac:dyDescent="0.25">
      <c r="A95" s="5">
        <v>22052</v>
      </c>
      <c r="B95">
        <v>55.25</v>
      </c>
    </row>
    <row r="96" spans="1:2" x14ac:dyDescent="0.25">
      <c r="A96" s="5">
        <v>22053</v>
      </c>
      <c r="B96">
        <v>55.459999084472699</v>
      </c>
    </row>
    <row r="97" spans="1:2" x14ac:dyDescent="0.25">
      <c r="A97" s="5">
        <v>22054</v>
      </c>
      <c r="B97">
        <v>55.439998626708999</v>
      </c>
    </row>
    <row r="98" spans="1:2" x14ac:dyDescent="0.25">
      <c r="A98" s="5">
        <v>22055</v>
      </c>
      <c r="B98">
        <v>55.680000305175803</v>
      </c>
    </row>
    <row r="99" spans="1:2" x14ac:dyDescent="0.25">
      <c r="A99" s="5">
        <v>22056</v>
      </c>
      <c r="B99">
        <v>55.7299995422363</v>
      </c>
    </row>
    <row r="100" spans="1:2" x14ac:dyDescent="0.25">
      <c r="A100" s="5">
        <v>22059</v>
      </c>
      <c r="B100">
        <v>55.759998321533203</v>
      </c>
    </row>
    <row r="101" spans="1:2" x14ac:dyDescent="0.25">
      <c r="A101" s="5">
        <v>22060</v>
      </c>
      <c r="B101">
        <v>55.700000762939503</v>
      </c>
    </row>
    <row r="102" spans="1:2" x14ac:dyDescent="0.25">
      <c r="A102" s="5">
        <v>22061</v>
      </c>
      <c r="B102">
        <v>55.669998168945298</v>
      </c>
    </row>
    <row r="103" spans="1:2" x14ac:dyDescent="0.25">
      <c r="A103" s="5">
        <v>22062</v>
      </c>
      <c r="B103">
        <v>55.709999084472699</v>
      </c>
    </row>
    <row r="104" spans="1:2" x14ac:dyDescent="0.25">
      <c r="A104" s="5">
        <v>22063</v>
      </c>
      <c r="B104">
        <v>55.740001678466797</v>
      </c>
    </row>
    <row r="105" spans="1:2" x14ac:dyDescent="0.25">
      <c r="A105" s="5">
        <v>22067</v>
      </c>
      <c r="B105">
        <v>55.830001831054702</v>
      </c>
    </row>
    <row r="106" spans="1:2" x14ac:dyDescent="0.25">
      <c r="A106" s="5">
        <v>22068</v>
      </c>
      <c r="B106">
        <v>55.889999389648402</v>
      </c>
    </row>
    <row r="107" spans="1:2" x14ac:dyDescent="0.25">
      <c r="A107" s="5">
        <v>22069</v>
      </c>
      <c r="B107">
        <v>56.130001068115199</v>
      </c>
    </row>
    <row r="108" spans="1:2" x14ac:dyDescent="0.25">
      <c r="A108" s="5">
        <v>22070</v>
      </c>
      <c r="B108">
        <v>56.2299995422363</v>
      </c>
    </row>
    <row r="109" spans="1:2" x14ac:dyDescent="0.25">
      <c r="A109" s="5">
        <v>22073</v>
      </c>
      <c r="B109">
        <v>56.889999389648402</v>
      </c>
    </row>
    <row r="110" spans="1:2" x14ac:dyDescent="0.25">
      <c r="A110" s="5">
        <v>22074</v>
      </c>
      <c r="B110">
        <v>57.430000305175803</v>
      </c>
    </row>
    <row r="111" spans="1:2" x14ac:dyDescent="0.25">
      <c r="A111" s="5">
        <v>22075</v>
      </c>
      <c r="B111">
        <v>57.889999389648402</v>
      </c>
    </row>
    <row r="112" spans="1:2" x14ac:dyDescent="0.25">
      <c r="A112" s="5">
        <v>22076</v>
      </c>
      <c r="B112">
        <v>58</v>
      </c>
    </row>
    <row r="113" spans="1:2" x14ac:dyDescent="0.25">
      <c r="A113" s="5">
        <v>22077</v>
      </c>
      <c r="B113">
        <v>57.970001220703097</v>
      </c>
    </row>
    <row r="114" spans="1:2" x14ac:dyDescent="0.25">
      <c r="A114" s="5">
        <v>22080</v>
      </c>
      <c r="B114">
        <v>57.990001678466797</v>
      </c>
    </row>
    <row r="115" spans="1:2" x14ac:dyDescent="0.25">
      <c r="A115" s="5">
        <v>22081</v>
      </c>
      <c r="B115">
        <v>57.909999847412102</v>
      </c>
    </row>
    <row r="116" spans="1:2" x14ac:dyDescent="0.25">
      <c r="A116" s="5">
        <v>22082</v>
      </c>
      <c r="B116">
        <v>57.569999694824197</v>
      </c>
    </row>
    <row r="117" spans="1:2" x14ac:dyDescent="0.25">
      <c r="A117" s="5">
        <v>22083</v>
      </c>
      <c r="B117">
        <v>57.5</v>
      </c>
    </row>
    <row r="118" spans="1:2" x14ac:dyDescent="0.25">
      <c r="A118" s="5">
        <v>22084</v>
      </c>
      <c r="B118">
        <v>57.439998626708999</v>
      </c>
    </row>
    <row r="119" spans="1:2" x14ac:dyDescent="0.25">
      <c r="A119" s="5">
        <v>22087</v>
      </c>
      <c r="B119">
        <v>57.159999847412102</v>
      </c>
    </row>
    <row r="120" spans="1:2" x14ac:dyDescent="0.25">
      <c r="A120" s="5">
        <v>22088</v>
      </c>
      <c r="B120">
        <v>57.110000610351598</v>
      </c>
    </row>
    <row r="121" spans="1:2" x14ac:dyDescent="0.25">
      <c r="A121" s="5">
        <v>22089</v>
      </c>
      <c r="B121">
        <v>57.279998779296903</v>
      </c>
    </row>
    <row r="122" spans="1:2" x14ac:dyDescent="0.25">
      <c r="A122" s="5">
        <v>22090</v>
      </c>
      <c r="B122">
        <v>57.590000152587898</v>
      </c>
    </row>
    <row r="123" spans="1:2" x14ac:dyDescent="0.25">
      <c r="A123" s="5">
        <v>22091</v>
      </c>
      <c r="B123">
        <v>57.680000305175803</v>
      </c>
    </row>
    <row r="124" spans="1:2" x14ac:dyDescent="0.25">
      <c r="A124" s="5">
        <v>22094</v>
      </c>
      <c r="B124">
        <v>57.330001831054702</v>
      </c>
    </row>
    <row r="125" spans="1:2" x14ac:dyDescent="0.25">
      <c r="A125" s="5">
        <v>22095</v>
      </c>
      <c r="B125">
        <v>56.939998626708999</v>
      </c>
    </row>
    <row r="126" spans="1:2" x14ac:dyDescent="0.25">
      <c r="A126" s="5">
        <v>22096</v>
      </c>
      <c r="B126">
        <v>56.939998626708999</v>
      </c>
    </row>
    <row r="127" spans="1:2" x14ac:dyDescent="0.25">
      <c r="A127" s="5">
        <v>22097</v>
      </c>
      <c r="B127">
        <v>56.919998168945298</v>
      </c>
    </row>
    <row r="128" spans="1:2" x14ac:dyDescent="0.25">
      <c r="A128" s="5">
        <v>22098</v>
      </c>
      <c r="B128">
        <v>57.060001373291001</v>
      </c>
    </row>
    <row r="129" spans="1:2" x14ac:dyDescent="0.25">
      <c r="A129" s="5">
        <v>22102</v>
      </c>
      <c r="B129">
        <v>57.0200004577637</v>
      </c>
    </row>
    <row r="130" spans="1:2" x14ac:dyDescent="0.25">
      <c r="A130" s="5">
        <v>22103</v>
      </c>
      <c r="B130">
        <v>56.939998626708999</v>
      </c>
    </row>
    <row r="131" spans="1:2" x14ac:dyDescent="0.25">
      <c r="A131" s="5">
        <v>22104</v>
      </c>
      <c r="B131">
        <v>57.240001678466797</v>
      </c>
    </row>
    <row r="132" spans="1:2" x14ac:dyDescent="0.25">
      <c r="A132" s="5">
        <v>22105</v>
      </c>
      <c r="B132">
        <v>57.380001068115199</v>
      </c>
    </row>
    <row r="133" spans="1:2" x14ac:dyDescent="0.25">
      <c r="A133" s="5">
        <v>22108</v>
      </c>
      <c r="B133">
        <v>56.869998931884801</v>
      </c>
    </row>
    <row r="134" spans="1:2" x14ac:dyDescent="0.25">
      <c r="A134" s="5">
        <v>22109</v>
      </c>
      <c r="B134">
        <v>56.25</v>
      </c>
    </row>
    <row r="135" spans="1:2" x14ac:dyDescent="0.25">
      <c r="A135" s="5">
        <v>22110</v>
      </c>
      <c r="B135">
        <v>56.099998474121101</v>
      </c>
    </row>
    <row r="136" spans="1:2" x14ac:dyDescent="0.25">
      <c r="A136" s="5">
        <v>22111</v>
      </c>
      <c r="B136">
        <v>56.119998931884801</v>
      </c>
    </row>
    <row r="137" spans="1:2" x14ac:dyDescent="0.25">
      <c r="A137" s="5">
        <v>22112</v>
      </c>
      <c r="B137">
        <v>56.049999237060497</v>
      </c>
    </row>
    <row r="138" spans="1:2" x14ac:dyDescent="0.25">
      <c r="A138" s="5">
        <v>22115</v>
      </c>
      <c r="B138">
        <v>55.700000762939503</v>
      </c>
    </row>
    <row r="139" spans="1:2" x14ac:dyDescent="0.25">
      <c r="A139" s="5">
        <v>22116</v>
      </c>
      <c r="B139">
        <v>55.700000762939503</v>
      </c>
    </row>
    <row r="140" spans="1:2" x14ac:dyDescent="0.25">
      <c r="A140" s="5">
        <v>22117</v>
      </c>
      <c r="B140">
        <v>55.610000610351598</v>
      </c>
    </row>
    <row r="141" spans="1:2" x14ac:dyDescent="0.25">
      <c r="A141" s="5">
        <v>22118</v>
      </c>
      <c r="B141">
        <v>55.099998474121101</v>
      </c>
    </row>
    <row r="142" spans="1:2" x14ac:dyDescent="0.25">
      <c r="A142" s="5">
        <v>22119</v>
      </c>
      <c r="B142">
        <v>54.720001220703097</v>
      </c>
    </row>
    <row r="143" spans="1:2" x14ac:dyDescent="0.25">
      <c r="A143" s="5">
        <v>22122</v>
      </c>
      <c r="B143">
        <v>54.180000305175803</v>
      </c>
    </row>
    <row r="144" spans="1:2" x14ac:dyDescent="0.25">
      <c r="A144" s="5">
        <v>22123</v>
      </c>
      <c r="B144">
        <v>54.509998321533203</v>
      </c>
    </row>
    <row r="145" spans="1:2" x14ac:dyDescent="0.25">
      <c r="A145" s="5">
        <v>22124</v>
      </c>
      <c r="B145">
        <v>54.169998168945298</v>
      </c>
    </row>
    <row r="146" spans="1:2" x14ac:dyDescent="0.25">
      <c r="A146" s="5">
        <v>22125</v>
      </c>
      <c r="B146">
        <v>54.569999694824197</v>
      </c>
    </row>
    <row r="147" spans="1:2" x14ac:dyDescent="0.25">
      <c r="A147" s="5">
        <v>22126</v>
      </c>
      <c r="B147">
        <v>55.509998321533203</v>
      </c>
    </row>
    <row r="148" spans="1:2" x14ac:dyDescent="0.25">
      <c r="A148" s="5">
        <v>22129</v>
      </c>
      <c r="B148">
        <v>55.529998779296903</v>
      </c>
    </row>
    <row r="149" spans="1:2" x14ac:dyDescent="0.25">
      <c r="A149" s="5">
        <v>22130</v>
      </c>
      <c r="B149">
        <v>55.040000915527301</v>
      </c>
    </row>
    <row r="150" spans="1:2" x14ac:dyDescent="0.25">
      <c r="A150" s="5">
        <v>22131</v>
      </c>
      <c r="B150">
        <v>54.720001220703097</v>
      </c>
    </row>
    <row r="151" spans="1:2" x14ac:dyDescent="0.25">
      <c r="A151" s="5">
        <v>22132</v>
      </c>
      <c r="B151">
        <v>54.889999389648402</v>
      </c>
    </row>
    <row r="152" spans="1:2" x14ac:dyDescent="0.25">
      <c r="A152" s="5">
        <v>22133</v>
      </c>
      <c r="B152">
        <v>55.439998626708999</v>
      </c>
    </row>
    <row r="153" spans="1:2" x14ac:dyDescent="0.25">
      <c r="A153" s="5">
        <v>22136</v>
      </c>
      <c r="B153">
        <v>55.5200004577637</v>
      </c>
    </row>
    <row r="154" spans="1:2" x14ac:dyDescent="0.25">
      <c r="A154" s="5">
        <v>22137</v>
      </c>
      <c r="B154">
        <v>55.840000152587898</v>
      </c>
    </row>
    <row r="155" spans="1:2" x14ac:dyDescent="0.25">
      <c r="A155" s="5">
        <v>22138</v>
      </c>
      <c r="B155">
        <v>56.069999694824197</v>
      </c>
    </row>
    <row r="156" spans="1:2" x14ac:dyDescent="0.25">
      <c r="A156" s="5">
        <v>22139</v>
      </c>
      <c r="B156">
        <v>56.279998779296903</v>
      </c>
    </row>
    <row r="157" spans="1:2" x14ac:dyDescent="0.25">
      <c r="A157" s="5">
        <v>22140</v>
      </c>
      <c r="B157">
        <v>56.659999847412102</v>
      </c>
    </row>
    <row r="158" spans="1:2" x14ac:dyDescent="0.25">
      <c r="A158" s="5">
        <v>22143</v>
      </c>
      <c r="B158">
        <v>56.610000610351598</v>
      </c>
    </row>
    <row r="159" spans="1:2" x14ac:dyDescent="0.25">
      <c r="A159" s="5">
        <v>22144</v>
      </c>
      <c r="B159">
        <v>56.720001220703097</v>
      </c>
    </row>
    <row r="160" spans="1:2" x14ac:dyDescent="0.25">
      <c r="A160" s="5">
        <v>22145</v>
      </c>
      <c r="B160">
        <v>56.840000152587898</v>
      </c>
    </row>
    <row r="161" spans="1:2" x14ac:dyDescent="0.25">
      <c r="A161" s="5">
        <v>22146</v>
      </c>
      <c r="B161">
        <v>56.810001373291001</v>
      </c>
    </row>
    <row r="162" spans="1:2" x14ac:dyDescent="0.25">
      <c r="A162" s="5">
        <v>22147</v>
      </c>
      <c r="B162">
        <v>57.009998321533203</v>
      </c>
    </row>
    <row r="163" spans="1:2" x14ac:dyDescent="0.25">
      <c r="A163" s="5">
        <v>22150</v>
      </c>
      <c r="B163">
        <v>57.189998626708999</v>
      </c>
    </row>
    <row r="164" spans="1:2" x14ac:dyDescent="0.25">
      <c r="A164" s="5">
        <v>22151</v>
      </c>
      <c r="B164">
        <v>57.75</v>
      </c>
    </row>
    <row r="165" spans="1:2" x14ac:dyDescent="0.25">
      <c r="A165" s="5">
        <v>22152</v>
      </c>
      <c r="B165">
        <v>58.069999694824197</v>
      </c>
    </row>
    <row r="166" spans="1:2" x14ac:dyDescent="0.25">
      <c r="A166" s="5">
        <v>22153</v>
      </c>
      <c r="B166">
        <v>57.790000915527301</v>
      </c>
    </row>
    <row r="167" spans="1:2" x14ac:dyDescent="0.25">
      <c r="A167" s="5">
        <v>22154</v>
      </c>
      <c r="B167">
        <v>57.599998474121101</v>
      </c>
    </row>
    <row r="168" spans="1:2" x14ac:dyDescent="0.25">
      <c r="A168" s="5">
        <v>22157</v>
      </c>
      <c r="B168">
        <v>57.439998626708999</v>
      </c>
    </row>
    <row r="169" spans="1:2" x14ac:dyDescent="0.25">
      <c r="A169" s="5">
        <v>22158</v>
      </c>
      <c r="B169">
        <v>56.840000152587898</v>
      </c>
    </row>
    <row r="170" spans="1:2" x14ac:dyDescent="0.25">
      <c r="A170" s="5">
        <v>22159</v>
      </c>
      <c r="B170">
        <v>56.959999084472699</v>
      </c>
    </row>
    <row r="171" spans="1:2" x14ac:dyDescent="0.25">
      <c r="A171" s="5">
        <v>22160</v>
      </c>
      <c r="B171">
        <v>57.090000152587898</v>
      </c>
    </row>
    <row r="172" spans="1:2" x14ac:dyDescent="0.25">
      <c r="A172" s="5">
        <v>22161</v>
      </c>
      <c r="B172">
        <v>57</v>
      </c>
    </row>
    <row r="173" spans="1:2" x14ac:dyDescent="0.25">
      <c r="A173" s="5">
        <v>22165</v>
      </c>
      <c r="B173">
        <v>56.490001678466797</v>
      </c>
    </row>
    <row r="174" spans="1:2" x14ac:dyDescent="0.25">
      <c r="A174" s="5">
        <v>22166</v>
      </c>
      <c r="B174">
        <v>55.790000915527301</v>
      </c>
    </row>
    <row r="175" spans="1:2" x14ac:dyDescent="0.25">
      <c r="A175" s="5">
        <v>22167</v>
      </c>
      <c r="B175">
        <v>55.740001678466797</v>
      </c>
    </row>
    <row r="176" spans="1:2" x14ac:dyDescent="0.25">
      <c r="A176" s="5">
        <v>22168</v>
      </c>
      <c r="B176">
        <v>56.110000610351598</v>
      </c>
    </row>
    <row r="177" spans="1:2" x14ac:dyDescent="0.25">
      <c r="A177" s="5">
        <v>22171</v>
      </c>
      <c r="B177">
        <v>55.720001220703097</v>
      </c>
    </row>
    <row r="178" spans="1:2" x14ac:dyDescent="0.25">
      <c r="A178" s="5">
        <v>22172</v>
      </c>
      <c r="B178">
        <v>55.830001831054702</v>
      </c>
    </row>
    <row r="179" spans="1:2" x14ac:dyDescent="0.25">
      <c r="A179" s="5">
        <v>22173</v>
      </c>
      <c r="B179">
        <v>55.439998626708999</v>
      </c>
    </row>
    <row r="180" spans="1:2" x14ac:dyDescent="0.25">
      <c r="A180" s="5">
        <v>22174</v>
      </c>
      <c r="B180">
        <v>55.220001220703097</v>
      </c>
    </row>
    <row r="181" spans="1:2" x14ac:dyDescent="0.25">
      <c r="A181" s="5">
        <v>22175</v>
      </c>
      <c r="B181">
        <v>55.110000610351598</v>
      </c>
    </row>
    <row r="182" spans="1:2" x14ac:dyDescent="0.25">
      <c r="A182" s="5">
        <v>22178</v>
      </c>
      <c r="B182">
        <v>53.860000610351598</v>
      </c>
    </row>
    <row r="183" spans="1:2" x14ac:dyDescent="0.25">
      <c r="A183" s="5">
        <v>22179</v>
      </c>
      <c r="B183">
        <v>54.009998321533203</v>
      </c>
    </row>
    <row r="184" spans="1:2" x14ac:dyDescent="0.25">
      <c r="A184" s="5">
        <v>22180</v>
      </c>
      <c r="B184">
        <v>54.569999694824197</v>
      </c>
    </row>
    <row r="185" spans="1:2" x14ac:dyDescent="0.25">
      <c r="A185" s="5">
        <v>22181</v>
      </c>
      <c r="B185">
        <v>54.360000610351598</v>
      </c>
    </row>
    <row r="186" spans="1:2" x14ac:dyDescent="0.25">
      <c r="A186" s="5">
        <v>22182</v>
      </c>
      <c r="B186">
        <v>53.900001525878899</v>
      </c>
    </row>
    <row r="187" spans="1:2" x14ac:dyDescent="0.25">
      <c r="A187" s="5">
        <v>22185</v>
      </c>
      <c r="B187">
        <v>53.060001373291001</v>
      </c>
    </row>
    <row r="188" spans="1:2" x14ac:dyDescent="0.25">
      <c r="A188" s="5">
        <v>22186</v>
      </c>
      <c r="B188">
        <v>52.939998626708999</v>
      </c>
    </row>
    <row r="189" spans="1:2" x14ac:dyDescent="0.25">
      <c r="A189" s="5">
        <v>22187</v>
      </c>
      <c r="B189">
        <v>52.4799995422363</v>
      </c>
    </row>
    <row r="190" spans="1:2" x14ac:dyDescent="0.25">
      <c r="A190" s="5">
        <v>22188</v>
      </c>
      <c r="B190">
        <v>52.619998931884801</v>
      </c>
    </row>
    <row r="191" spans="1:2" x14ac:dyDescent="0.25">
      <c r="A191" s="5">
        <v>22189</v>
      </c>
      <c r="B191">
        <v>53.5200004577637</v>
      </c>
    </row>
    <row r="192" spans="1:2" x14ac:dyDescent="0.25">
      <c r="A192" s="5">
        <v>22192</v>
      </c>
      <c r="B192">
        <v>53.360000610351598</v>
      </c>
    </row>
    <row r="193" spans="1:2" x14ac:dyDescent="0.25">
      <c r="A193" s="5">
        <v>22193</v>
      </c>
      <c r="B193">
        <v>52.990001678466797</v>
      </c>
    </row>
    <row r="194" spans="1:2" x14ac:dyDescent="0.25">
      <c r="A194" s="5">
        <v>22194</v>
      </c>
      <c r="B194">
        <v>53.389999389648402</v>
      </c>
    </row>
    <row r="195" spans="1:2" x14ac:dyDescent="0.25">
      <c r="A195" s="5">
        <v>22195</v>
      </c>
      <c r="B195">
        <v>53.720001220703097</v>
      </c>
    </row>
    <row r="196" spans="1:2" x14ac:dyDescent="0.25">
      <c r="A196" s="5">
        <v>22196</v>
      </c>
      <c r="B196">
        <v>54.029998779296903</v>
      </c>
    </row>
    <row r="197" spans="1:2" x14ac:dyDescent="0.25">
      <c r="A197" s="5">
        <v>22199</v>
      </c>
      <c r="B197">
        <v>54.139999389648402</v>
      </c>
    </row>
    <row r="198" spans="1:2" x14ac:dyDescent="0.25">
      <c r="A198" s="5">
        <v>22200</v>
      </c>
      <c r="B198">
        <v>54.220001220703097</v>
      </c>
    </row>
    <row r="199" spans="1:2" x14ac:dyDescent="0.25">
      <c r="A199" s="5">
        <v>22201</v>
      </c>
      <c r="B199">
        <v>54.150001525878899</v>
      </c>
    </row>
    <row r="200" spans="1:2" x14ac:dyDescent="0.25">
      <c r="A200" s="5">
        <v>22202</v>
      </c>
      <c r="B200">
        <v>54.569999694824197</v>
      </c>
    </row>
    <row r="201" spans="1:2" x14ac:dyDescent="0.25">
      <c r="A201" s="5">
        <v>22203</v>
      </c>
      <c r="B201">
        <v>54.860000610351598</v>
      </c>
    </row>
    <row r="202" spans="1:2" x14ac:dyDescent="0.25">
      <c r="A202" s="5">
        <v>22206</v>
      </c>
      <c r="B202">
        <v>54.630001068115199</v>
      </c>
    </row>
    <row r="203" spans="1:2" x14ac:dyDescent="0.25">
      <c r="A203" s="5">
        <v>22207</v>
      </c>
      <c r="B203">
        <v>54.349998474121101</v>
      </c>
    </row>
    <row r="204" spans="1:2" x14ac:dyDescent="0.25">
      <c r="A204" s="5">
        <v>22208</v>
      </c>
      <c r="B204">
        <v>54.25</v>
      </c>
    </row>
    <row r="205" spans="1:2" x14ac:dyDescent="0.25">
      <c r="A205" s="5">
        <v>22209</v>
      </c>
      <c r="B205">
        <v>53.860000610351598</v>
      </c>
    </row>
    <row r="206" spans="1:2" x14ac:dyDescent="0.25">
      <c r="A206" s="5">
        <v>22210</v>
      </c>
      <c r="B206">
        <v>53.720001220703097</v>
      </c>
    </row>
    <row r="207" spans="1:2" x14ac:dyDescent="0.25">
      <c r="A207" s="5">
        <v>22213</v>
      </c>
      <c r="B207">
        <v>52.700000762939503</v>
      </c>
    </row>
    <row r="208" spans="1:2" x14ac:dyDescent="0.25">
      <c r="A208" s="5">
        <v>22214</v>
      </c>
      <c r="B208">
        <v>52.200000762939503</v>
      </c>
    </row>
    <row r="209" spans="1:2" x14ac:dyDescent="0.25">
      <c r="A209" s="5">
        <v>22215</v>
      </c>
      <c r="B209">
        <v>53.049999237060497</v>
      </c>
    </row>
    <row r="210" spans="1:2" x14ac:dyDescent="0.25">
      <c r="A210" s="5">
        <v>22216</v>
      </c>
      <c r="B210">
        <v>53.619998931884801</v>
      </c>
    </row>
    <row r="211" spans="1:2" x14ac:dyDescent="0.25">
      <c r="A211" s="5">
        <v>22217</v>
      </c>
      <c r="B211">
        <v>53.409999847412102</v>
      </c>
    </row>
    <row r="212" spans="1:2" x14ac:dyDescent="0.25">
      <c r="A212" s="5">
        <v>22220</v>
      </c>
      <c r="B212">
        <v>53.389999389648402</v>
      </c>
    </row>
    <row r="213" spans="1:2" x14ac:dyDescent="0.25">
      <c r="A213" s="5">
        <v>22221</v>
      </c>
      <c r="B213">
        <v>53.939998626708999</v>
      </c>
    </row>
    <row r="214" spans="1:2" x14ac:dyDescent="0.25">
      <c r="A214" s="5">
        <v>22222</v>
      </c>
      <c r="B214">
        <v>54.220001220703097</v>
      </c>
    </row>
    <row r="215" spans="1:2" x14ac:dyDescent="0.25">
      <c r="A215" s="5">
        <v>22223</v>
      </c>
      <c r="B215">
        <v>54.430000305175803</v>
      </c>
    </row>
    <row r="216" spans="1:2" x14ac:dyDescent="0.25">
      <c r="A216" s="5">
        <v>22224</v>
      </c>
      <c r="B216">
        <v>54.900001525878899</v>
      </c>
    </row>
    <row r="217" spans="1:2" x14ac:dyDescent="0.25">
      <c r="A217" s="5">
        <v>22227</v>
      </c>
      <c r="B217">
        <v>55.110000610351598</v>
      </c>
    </row>
    <row r="218" spans="1:2" x14ac:dyDescent="0.25">
      <c r="A218" s="5">
        <v>22229</v>
      </c>
      <c r="B218">
        <v>55.349998474121101</v>
      </c>
    </row>
    <row r="219" spans="1:2" x14ac:dyDescent="0.25">
      <c r="A219" s="5">
        <v>22230</v>
      </c>
      <c r="B219">
        <v>56.430000305175803</v>
      </c>
    </row>
    <row r="220" spans="1:2" x14ac:dyDescent="0.25">
      <c r="A220" s="5">
        <v>22231</v>
      </c>
      <c r="B220">
        <v>55.869998931884801</v>
      </c>
    </row>
    <row r="221" spans="1:2" x14ac:dyDescent="0.25">
      <c r="A221" s="5">
        <v>22234</v>
      </c>
      <c r="B221">
        <v>55.590000152587898</v>
      </c>
    </row>
    <row r="222" spans="1:2" x14ac:dyDescent="0.25">
      <c r="A222" s="5">
        <v>22235</v>
      </c>
      <c r="B222">
        <v>55.810001373291001</v>
      </c>
    </row>
    <row r="223" spans="1:2" x14ac:dyDescent="0.25">
      <c r="A223" s="5">
        <v>22236</v>
      </c>
      <c r="B223">
        <v>55.700000762939503</v>
      </c>
    </row>
    <row r="224" spans="1:2" x14ac:dyDescent="0.25">
      <c r="A224" s="5">
        <v>22237</v>
      </c>
      <c r="B224">
        <v>55.549999237060497</v>
      </c>
    </row>
    <row r="225" spans="1:2" x14ac:dyDescent="0.25">
      <c r="A225" s="5">
        <v>22238</v>
      </c>
      <c r="B225">
        <v>55.819999694824197</v>
      </c>
    </row>
    <row r="226" spans="1:2" x14ac:dyDescent="0.25">
      <c r="A226" s="5">
        <v>22241</v>
      </c>
      <c r="B226">
        <v>55.930000305175803</v>
      </c>
    </row>
    <row r="227" spans="1:2" x14ac:dyDescent="0.25">
      <c r="A227" s="5">
        <v>22242</v>
      </c>
      <c r="B227">
        <v>55.720001220703097</v>
      </c>
    </row>
    <row r="228" spans="1:2" x14ac:dyDescent="0.25">
      <c r="A228" s="5">
        <v>22243</v>
      </c>
      <c r="B228">
        <v>55.799999237060497</v>
      </c>
    </row>
    <row r="229" spans="1:2" x14ac:dyDescent="0.25">
      <c r="A229" s="5">
        <v>22245</v>
      </c>
      <c r="B229">
        <v>56.130001068115199</v>
      </c>
    </row>
    <row r="230" spans="1:2" x14ac:dyDescent="0.25">
      <c r="A230" s="5">
        <v>22248</v>
      </c>
      <c r="B230">
        <v>56.029998779296903</v>
      </c>
    </row>
    <row r="231" spans="1:2" x14ac:dyDescent="0.25">
      <c r="A231" s="5">
        <v>22249</v>
      </c>
      <c r="B231">
        <v>55.830001831054702</v>
      </c>
    </row>
    <row r="232" spans="1:2" x14ac:dyDescent="0.25">
      <c r="A232" s="5">
        <v>22250</v>
      </c>
      <c r="B232">
        <v>55.540000915527301</v>
      </c>
    </row>
    <row r="233" spans="1:2" x14ac:dyDescent="0.25">
      <c r="A233" s="5">
        <v>22251</v>
      </c>
      <c r="B233">
        <v>55.299999237060497</v>
      </c>
    </row>
    <row r="234" spans="1:2" x14ac:dyDescent="0.25">
      <c r="A234" s="5">
        <v>22252</v>
      </c>
      <c r="B234">
        <v>55.389999389648402</v>
      </c>
    </row>
    <row r="235" spans="1:2" x14ac:dyDescent="0.25">
      <c r="A235" s="5">
        <v>22255</v>
      </c>
      <c r="B235">
        <v>55.310001373291001</v>
      </c>
    </row>
    <row r="236" spans="1:2" x14ac:dyDescent="0.25">
      <c r="A236" s="5">
        <v>22256</v>
      </c>
      <c r="B236">
        <v>55.470001220703097</v>
      </c>
    </row>
    <row r="237" spans="1:2" x14ac:dyDescent="0.25">
      <c r="A237" s="5">
        <v>22257</v>
      </c>
      <c r="B237">
        <v>56.0200004577637</v>
      </c>
    </row>
    <row r="238" spans="1:2" x14ac:dyDescent="0.25">
      <c r="A238" s="5">
        <v>22258</v>
      </c>
      <c r="B238">
        <v>56.150001525878899</v>
      </c>
    </row>
    <row r="239" spans="1:2" x14ac:dyDescent="0.25">
      <c r="A239" s="5">
        <v>22259</v>
      </c>
      <c r="B239">
        <v>56.650001525878899</v>
      </c>
    </row>
    <row r="240" spans="1:2" x14ac:dyDescent="0.25">
      <c r="A240" s="5">
        <v>22262</v>
      </c>
      <c r="B240">
        <v>56.849998474121101</v>
      </c>
    </row>
    <row r="241" spans="1:2" x14ac:dyDescent="0.25">
      <c r="A241" s="5">
        <v>22263</v>
      </c>
      <c r="B241">
        <v>56.880001068115199</v>
      </c>
    </row>
    <row r="242" spans="1:2" x14ac:dyDescent="0.25">
      <c r="A242" s="5">
        <v>22264</v>
      </c>
      <c r="B242">
        <v>56.840000152587898</v>
      </c>
    </row>
    <row r="243" spans="1:2" x14ac:dyDescent="0.25">
      <c r="A243" s="5">
        <v>22265</v>
      </c>
      <c r="B243">
        <v>56.680000305175803</v>
      </c>
    </row>
    <row r="244" spans="1:2" x14ac:dyDescent="0.25">
      <c r="A244" s="5">
        <v>22266</v>
      </c>
      <c r="B244">
        <v>57.200000762939503</v>
      </c>
    </row>
    <row r="245" spans="1:2" x14ac:dyDescent="0.25">
      <c r="A245" s="5">
        <v>22269</v>
      </c>
      <c r="B245">
        <v>57.130001068115199</v>
      </c>
    </row>
    <row r="246" spans="1:2" x14ac:dyDescent="0.25">
      <c r="A246" s="5">
        <v>22270</v>
      </c>
      <c r="B246">
        <v>57.090000152587898</v>
      </c>
    </row>
    <row r="247" spans="1:2" x14ac:dyDescent="0.25">
      <c r="A247" s="5">
        <v>22271</v>
      </c>
      <c r="B247">
        <v>57.549999237060497</v>
      </c>
    </row>
    <row r="248" spans="1:2" x14ac:dyDescent="0.25">
      <c r="A248" s="5">
        <v>22272</v>
      </c>
      <c r="B248">
        <v>57.389999389648402</v>
      </c>
    </row>
    <row r="249" spans="1:2" x14ac:dyDescent="0.25">
      <c r="A249" s="5">
        <v>22273</v>
      </c>
      <c r="B249">
        <v>57.439998626708999</v>
      </c>
    </row>
    <row r="250" spans="1:2" x14ac:dyDescent="0.25">
      <c r="A250" s="5">
        <v>22277</v>
      </c>
      <c r="B250">
        <v>57.5200004577637</v>
      </c>
    </row>
    <row r="251" spans="1:2" x14ac:dyDescent="0.25">
      <c r="A251" s="5">
        <v>22278</v>
      </c>
      <c r="B251">
        <v>57.779998779296903</v>
      </c>
    </row>
    <row r="252" spans="1:2" x14ac:dyDescent="0.25">
      <c r="A252" s="5">
        <v>22279</v>
      </c>
      <c r="B252">
        <v>58.049999237060497</v>
      </c>
    </row>
    <row r="253" spans="1:2" x14ac:dyDescent="0.25">
      <c r="A253" s="5">
        <v>22280</v>
      </c>
      <c r="B253">
        <v>58.110000610351598</v>
      </c>
    </row>
    <row r="254" spans="1:2" x14ac:dyDescent="0.25">
      <c r="A254" s="5">
        <v>22284</v>
      </c>
      <c r="B254">
        <v>57.569999694824197</v>
      </c>
    </row>
    <row r="255" spans="1:2" x14ac:dyDescent="0.25">
      <c r="A255" s="5">
        <v>22285</v>
      </c>
      <c r="B255">
        <v>58.360000610351598</v>
      </c>
    </row>
    <row r="256" spans="1:2" x14ac:dyDescent="0.25">
      <c r="A256" s="5">
        <v>22286</v>
      </c>
      <c r="B256">
        <v>58.569999694824197</v>
      </c>
    </row>
    <row r="257" spans="1:2" x14ac:dyDescent="0.25">
      <c r="A257" s="5">
        <v>22287</v>
      </c>
      <c r="B257">
        <v>58.400001525878899</v>
      </c>
    </row>
    <row r="258" spans="1:2" x14ac:dyDescent="0.25">
      <c r="A258" s="5">
        <v>22290</v>
      </c>
      <c r="B258">
        <v>58.810001373291001</v>
      </c>
    </row>
    <row r="259" spans="1:2" x14ac:dyDescent="0.25">
      <c r="A259" s="5">
        <v>22291</v>
      </c>
      <c r="B259">
        <v>58.970001220703097</v>
      </c>
    </row>
    <row r="260" spans="1:2" x14ac:dyDescent="0.25">
      <c r="A260" s="5">
        <v>22292</v>
      </c>
      <c r="B260">
        <v>59.139999389648402</v>
      </c>
    </row>
    <row r="261" spans="1:2" x14ac:dyDescent="0.25">
      <c r="A261" s="5">
        <v>22293</v>
      </c>
      <c r="B261">
        <v>59.319999694824197</v>
      </c>
    </row>
    <row r="262" spans="1:2" x14ac:dyDescent="0.25">
      <c r="A262" s="5">
        <v>22294</v>
      </c>
      <c r="B262">
        <v>59.599998474121101</v>
      </c>
    </row>
    <row r="263" spans="1:2" x14ac:dyDescent="0.25">
      <c r="A263" s="5">
        <v>22297</v>
      </c>
      <c r="B263">
        <v>59.580001831054702</v>
      </c>
    </row>
    <row r="264" spans="1:2" x14ac:dyDescent="0.25">
      <c r="A264" s="5">
        <v>22298</v>
      </c>
      <c r="B264">
        <v>59.639999389648402</v>
      </c>
    </row>
    <row r="265" spans="1:2" x14ac:dyDescent="0.25">
      <c r="A265" s="5">
        <v>22299</v>
      </c>
      <c r="B265">
        <v>59.680000305175803</v>
      </c>
    </row>
    <row r="266" spans="1:2" x14ac:dyDescent="0.25">
      <c r="A266" s="5">
        <v>22300</v>
      </c>
      <c r="B266">
        <v>59.7700004577637</v>
      </c>
    </row>
    <row r="267" spans="1:2" x14ac:dyDescent="0.25">
      <c r="A267" s="5">
        <v>22301</v>
      </c>
      <c r="B267">
        <v>59.959999084472699</v>
      </c>
    </row>
    <row r="268" spans="1:2" x14ac:dyDescent="0.25">
      <c r="A268" s="5">
        <v>22304</v>
      </c>
      <c r="B268">
        <v>60.290000915527301</v>
      </c>
    </row>
    <row r="269" spans="1:2" x14ac:dyDescent="0.25">
      <c r="A269" s="5">
        <v>22305</v>
      </c>
      <c r="B269">
        <v>60.450000762939503</v>
      </c>
    </row>
    <row r="270" spans="1:2" x14ac:dyDescent="0.25">
      <c r="A270" s="5">
        <v>22306</v>
      </c>
      <c r="B270">
        <v>60.529998779296903</v>
      </c>
    </row>
    <row r="271" spans="1:2" x14ac:dyDescent="0.25">
      <c r="A271" s="5">
        <v>22307</v>
      </c>
      <c r="B271">
        <v>60.619998931884801</v>
      </c>
    </row>
    <row r="272" spans="1:2" x14ac:dyDescent="0.25">
      <c r="A272" s="5">
        <v>22308</v>
      </c>
      <c r="B272">
        <v>61.240001678466797</v>
      </c>
    </row>
    <row r="273" spans="1:2" x14ac:dyDescent="0.25">
      <c r="A273" s="5">
        <v>22311</v>
      </c>
      <c r="B273">
        <v>61.970001220703097</v>
      </c>
    </row>
    <row r="274" spans="1:2" x14ac:dyDescent="0.25">
      <c r="A274" s="5">
        <v>22312</v>
      </c>
      <c r="B274">
        <v>61.779998779296903</v>
      </c>
    </row>
    <row r="275" spans="1:2" x14ac:dyDescent="0.25">
      <c r="A275" s="5">
        <v>22313</v>
      </c>
      <c r="B275">
        <v>61.900001525878899</v>
      </c>
    </row>
    <row r="276" spans="1:2" x14ac:dyDescent="0.25">
      <c r="A276" s="5">
        <v>22314</v>
      </c>
      <c r="B276">
        <v>62.299999237060497</v>
      </c>
    </row>
    <row r="277" spans="1:2" x14ac:dyDescent="0.25">
      <c r="A277" s="5">
        <v>22315</v>
      </c>
      <c r="B277">
        <v>62.220001220703097</v>
      </c>
    </row>
    <row r="278" spans="1:2" x14ac:dyDescent="0.25">
      <c r="A278" s="5">
        <v>22318</v>
      </c>
      <c r="B278">
        <v>61.759998321533203</v>
      </c>
    </row>
    <row r="279" spans="1:2" x14ac:dyDescent="0.25">
      <c r="A279" s="5">
        <v>22319</v>
      </c>
      <c r="B279">
        <v>61.650001525878899</v>
      </c>
    </row>
    <row r="280" spans="1:2" x14ac:dyDescent="0.25">
      <c r="A280" s="5">
        <v>22320</v>
      </c>
      <c r="B280">
        <v>62.209999084472699</v>
      </c>
    </row>
    <row r="281" spans="1:2" x14ac:dyDescent="0.25">
      <c r="A281" s="5">
        <v>22321</v>
      </c>
      <c r="B281">
        <v>62.0200004577637</v>
      </c>
    </row>
    <row r="282" spans="1:2" x14ac:dyDescent="0.25">
      <c r="A282" s="5">
        <v>22322</v>
      </c>
      <c r="B282">
        <v>61.5</v>
      </c>
    </row>
    <row r="283" spans="1:2" x14ac:dyDescent="0.25">
      <c r="A283" s="5">
        <v>22325</v>
      </c>
      <c r="B283">
        <v>61.139999389648402</v>
      </c>
    </row>
    <row r="284" spans="1:2" x14ac:dyDescent="0.25">
      <c r="A284" s="5">
        <v>22326</v>
      </c>
      <c r="B284">
        <v>61.409999847412102</v>
      </c>
    </row>
    <row r="285" spans="1:2" x14ac:dyDescent="0.25">
      <c r="A285" s="5">
        <v>22327</v>
      </c>
      <c r="B285">
        <v>61.919998168945298</v>
      </c>
    </row>
    <row r="286" spans="1:2" x14ac:dyDescent="0.25">
      <c r="A286" s="5">
        <v>22328</v>
      </c>
      <c r="B286">
        <v>62.299999237060497</v>
      </c>
    </row>
    <row r="287" spans="1:2" x14ac:dyDescent="0.25">
      <c r="A287" s="5">
        <v>22329</v>
      </c>
      <c r="B287">
        <v>62.099998474121101</v>
      </c>
    </row>
    <row r="288" spans="1:2" x14ac:dyDescent="0.25">
      <c r="A288" s="5">
        <v>22332</v>
      </c>
      <c r="B288">
        <v>62.319999694824197</v>
      </c>
    </row>
    <row r="289" spans="1:2" x14ac:dyDescent="0.25">
      <c r="A289" s="5">
        <v>22333</v>
      </c>
      <c r="B289">
        <v>62.360000610351598</v>
      </c>
    </row>
    <row r="290" spans="1:2" x14ac:dyDescent="0.25">
      <c r="A290" s="5">
        <v>22335</v>
      </c>
      <c r="B290">
        <v>62.590000152587898</v>
      </c>
    </row>
    <row r="291" spans="1:2" x14ac:dyDescent="0.25">
      <c r="A291" s="5">
        <v>22336</v>
      </c>
      <c r="B291">
        <v>62.840000152587898</v>
      </c>
    </row>
    <row r="292" spans="1:2" x14ac:dyDescent="0.25">
      <c r="A292" s="5">
        <v>22339</v>
      </c>
      <c r="B292">
        <v>63.299999237060497</v>
      </c>
    </row>
    <row r="293" spans="1:2" x14ac:dyDescent="0.25">
      <c r="A293" s="5">
        <v>22340</v>
      </c>
      <c r="B293">
        <v>63.439998626708999</v>
      </c>
    </row>
    <row r="294" spans="1:2" x14ac:dyDescent="0.25">
      <c r="A294" s="5">
        <v>22341</v>
      </c>
      <c r="B294">
        <v>63.430000305175803</v>
      </c>
    </row>
    <row r="295" spans="1:2" x14ac:dyDescent="0.25">
      <c r="A295" s="5">
        <v>22342</v>
      </c>
      <c r="B295">
        <v>63.849998474121101</v>
      </c>
    </row>
    <row r="296" spans="1:2" x14ac:dyDescent="0.25">
      <c r="A296" s="5">
        <v>22343</v>
      </c>
      <c r="B296">
        <v>63.950000762939503</v>
      </c>
    </row>
    <row r="297" spans="1:2" x14ac:dyDescent="0.25">
      <c r="A297" s="5">
        <v>22346</v>
      </c>
      <c r="B297">
        <v>64.050003051757798</v>
      </c>
    </row>
    <row r="298" spans="1:2" x14ac:dyDescent="0.25">
      <c r="A298" s="5">
        <v>22347</v>
      </c>
      <c r="B298">
        <v>63.470001220703097</v>
      </c>
    </row>
    <row r="299" spans="1:2" x14ac:dyDescent="0.25">
      <c r="A299" s="5">
        <v>22348</v>
      </c>
      <c r="B299">
        <v>63.439998626708999</v>
      </c>
    </row>
    <row r="300" spans="1:2" x14ac:dyDescent="0.25">
      <c r="A300" s="5">
        <v>22349</v>
      </c>
      <c r="B300">
        <v>63.5</v>
      </c>
    </row>
    <row r="301" spans="1:2" x14ac:dyDescent="0.25">
      <c r="A301" s="5">
        <v>22350</v>
      </c>
      <c r="B301">
        <v>63.4799995422363</v>
      </c>
    </row>
    <row r="302" spans="1:2" x14ac:dyDescent="0.25">
      <c r="A302" s="5">
        <v>22353</v>
      </c>
      <c r="B302">
        <v>63.659999847412102</v>
      </c>
    </row>
    <row r="303" spans="1:2" x14ac:dyDescent="0.25">
      <c r="A303" s="5">
        <v>22354</v>
      </c>
      <c r="B303">
        <v>63.380001068115199</v>
      </c>
    </row>
    <row r="304" spans="1:2" x14ac:dyDescent="0.25">
      <c r="A304" s="5">
        <v>22355</v>
      </c>
      <c r="B304">
        <v>63.569999694824197</v>
      </c>
    </row>
    <row r="305" spans="1:2" x14ac:dyDescent="0.25">
      <c r="A305" s="5">
        <v>22356</v>
      </c>
      <c r="B305">
        <v>64.209999084472699</v>
      </c>
    </row>
    <row r="306" spans="1:2" x14ac:dyDescent="0.25">
      <c r="A306" s="5">
        <v>22357</v>
      </c>
      <c r="B306">
        <v>64</v>
      </c>
    </row>
    <row r="307" spans="1:2" x14ac:dyDescent="0.25">
      <c r="A307" s="5">
        <v>22360</v>
      </c>
      <c r="B307">
        <v>64.860000610351605</v>
      </c>
    </row>
    <row r="308" spans="1:2" x14ac:dyDescent="0.25">
      <c r="A308" s="5">
        <v>22361</v>
      </c>
      <c r="B308">
        <v>64.739997863769503</v>
      </c>
    </row>
    <row r="309" spans="1:2" x14ac:dyDescent="0.25">
      <c r="A309" s="5">
        <v>22362</v>
      </c>
      <c r="B309">
        <v>64.699996948242202</v>
      </c>
    </row>
    <row r="310" spans="1:2" x14ac:dyDescent="0.25">
      <c r="A310" s="5">
        <v>22363</v>
      </c>
      <c r="B310">
        <v>64.529998779296903</v>
      </c>
    </row>
    <row r="311" spans="1:2" x14ac:dyDescent="0.25">
      <c r="A311" s="5">
        <v>22364</v>
      </c>
      <c r="B311">
        <v>64.419998168945298</v>
      </c>
    </row>
    <row r="312" spans="1:2" x14ac:dyDescent="0.25">
      <c r="A312" s="5">
        <v>22367</v>
      </c>
      <c r="B312">
        <v>64.349998474121094</v>
      </c>
    </row>
    <row r="313" spans="1:2" x14ac:dyDescent="0.25">
      <c r="A313" s="5">
        <v>22368</v>
      </c>
      <c r="B313">
        <v>64.379997253417997</v>
      </c>
    </row>
    <row r="314" spans="1:2" x14ac:dyDescent="0.25">
      <c r="A314" s="5">
        <v>22369</v>
      </c>
      <c r="B314">
        <v>64.930000305175795</v>
      </c>
    </row>
    <row r="315" spans="1:2" x14ac:dyDescent="0.25">
      <c r="A315" s="5">
        <v>22370</v>
      </c>
      <c r="B315">
        <v>65.059997558593807</v>
      </c>
    </row>
    <row r="316" spans="1:2" x14ac:dyDescent="0.25">
      <c r="A316" s="5">
        <v>22374</v>
      </c>
      <c r="B316">
        <v>65.599998474121094</v>
      </c>
    </row>
    <row r="317" spans="1:2" x14ac:dyDescent="0.25">
      <c r="A317" s="5">
        <v>22375</v>
      </c>
      <c r="B317">
        <v>65.660003662109403</v>
      </c>
    </row>
    <row r="318" spans="1:2" x14ac:dyDescent="0.25">
      <c r="A318" s="5">
        <v>22376</v>
      </c>
      <c r="B318">
        <v>65.459999084472699</v>
      </c>
    </row>
    <row r="319" spans="1:2" x14ac:dyDescent="0.25">
      <c r="A319" s="5">
        <v>22377</v>
      </c>
      <c r="B319">
        <v>65.610000610351605</v>
      </c>
    </row>
    <row r="320" spans="1:2" x14ac:dyDescent="0.25">
      <c r="A320" s="5">
        <v>22378</v>
      </c>
      <c r="B320">
        <v>65.959999084472699</v>
      </c>
    </row>
    <row r="321" spans="1:2" x14ac:dyDescent="0.25">
      <c r="A321" s="5">
        <v>22381</v>
      </c>
      <c r="B321">
        <v>66.529998779296903</v>
      </c>
    </row>
    <row r="322" spans="1:2" x14ac:dyDescent="0.25">
      <c r="A322" s="5">
        <v>22382</v>
      </c>
      <c r="B322">
        <v>66.620002746582003</v>
      </c>
    </row>
    <row r="323" spans="1:2" x14ac:dyDescent="0.25">
      <c r="A323" s="5">
        <v>22383</v>
      </c>
      <c r="B323">
        <v>66.309997558593807</v>
      </c>
    </row>
    <row r="324" spans="1:2" x14ac:dyDescent="0.25">
      <c r="A324" s="5">
        <v>22384</v>
      </c>
      <c r="B324">
        <v>66.260002136230497</v>
      </c>
    </row>
    <row r="325" spans="1:2" x14ac:dyDescent="0.25">
      <c r="A325" s="5">
        <v>22385</v>
      </c>
      <c r="B325">
        <v>66.370002746582003</v>
      </c>
    </row>
    <row r="326" spans="1:2" x14ac:dyDescent="0.25">
      <c r="A326" s="5">
        <v>22388</v>
      </c>
      <c r="B326">
        <v>68.680000305175795</v>
      </c>
    </row>
    <row r="327" spans="1:2" x14ac:dyDescent="0.25">
      <c r="A327" s="5">
        <v>22389</v>
      </c>
      <c r="B327">
        <v>66.199996948242202</v>
      </c>
    </row>
    <row r="328" spans="1:2" x14ac:dyDescent="0.25">
      <c r="A328" s="5">
        <v>22390</v>
      </c>
      <c r="B328">
        <v>65.809997558593807</v>
      </c>
    </row>
    <row r="329" spans="1:2" x14ac:dyDescent="0.25">
      <c r="A329" s="5">
        <v>22391</v>
      </c>
      <c r="B329">
        <v>65.819999694824205</v>
      </c>
    </row>
    <row r="330" spans="1:2" x14ac:dyDescent="0.25">
      <c r="A330" s="5">
        <v>22392</v>
      </c>
      <c r="B330">
        <v>65.769996643066406</v>
      </c>
    </row>
    <row r="331" spans="1:2" x14ac:dyDescent="0.25">
      <c r="A331" s="5">
        <v>22395</v>
      </c>
      <c r="B331">
        <v>64.400001525878906</v>
      </c>
    </row>
    <row r="332" spans="1:2" x14ac:dyDescent="0.25">
      <c r="A332" s="5">
        <v>22396</v>
      </c>
      <c r="B332">
        <v>65.300003051757798</v>
      </c>
    </row>
    <row r="333" spans="1:2" x14ac:dyDescent="0.25">
      <c r="A333" s="5">
        <v>22397</v>
      </c>
      <c r="B333">
        <v>65.550003051757798</v>
      </c>
    </row>
    <row r="334" spans="1:2" x14ac:dyDescent="0.25">
      <c r="A334" s="5">
        <v>22398</v>
      </c>
      <c r="B334">
        <v>65.459999084472699</v>
      </c>
    </row>
    <row r="335" spans="1:2" x14ac:dyDescent="0.25">
      <c r="A335" s="5">
        <v>22399</v>
      </c>
      <c r="B335">
        <v>65.309997558593807</v>
      </c>
    </row>
    <row r="336" spans="1:2" x14ac:dyDescent="0.25">
      <c r="A336" s="5">
        <v>22402</v>
      </c>
      <c r="B336">
        <v>65.169998168945298</v>
      </c>
    </row>
    <row r="337" spans="1:2" x14ac:dyDescent="0.25">
      <c r="A337" s="5">
        <v>22403</v>
      </c>
      <c r="B337">
        <v>65.639999389648395</v>
      </c>
    </row>
    <row r="338" spans="1:2" x14ac:dyDescent="0.25">
      <c r="A338" s="5">
        <v>22404</v>
      </c>
      <c r="B338">
        <v>66.180000305175795</v>
      </c>
    </row>
    <row r="339" spans="1:2" x14ac:dyDescent="0.25">
      <c r="A339" s="5">
        <v>22405</v>
      </c>
      <c r="B339">
        <v>66.440002441406193</v>
      </c>
    </row>
    <row r="340" spans="1:2" x14ac:dyDescent="0.25">
      <c r="A340" s="5">
        <v>22406</v>
      </c>
      <c r="B340">
        <v>66.519996643066406</v>
      </c>
    </row>
    <row r="341" spans="1:2" x14ac:dyDescent="0.25">
      <c r="A341" s="5">
        <v>22409</v>
      </c>
      <c r="B341">
        <v>66.410003662109403</v>
      </c>
    </row>
    <row r="342" spans="1:2" x14ac:dyDescent="0.25">
      <c r="A342" s="5">
        <v>22410</v>
      </c>
      <c r="B342">
        <v>66.470001220703097</v>
      </c>
    </row>
    <row r="343" spans="1:2" x14ac:dyDescent="0.25">
      <c r="A343" s="5">
        <v>22411</v>
      </c>
      <c r="B343">
        <v>66.410003662109403</v>
      </c>
    </row>
    <row r="344" spans="1:2" x14ac:dyDescent="0.25">
      <c r="A344" s="5">
        <v>22412</v>
      </c>
      <c r="B344">
        <v>66.389999389648395</v>
      </c>
    </row>
    <row r="345" spans="1:2" x14ac:dyDescent="0.25">
      <c r="A345" s="5">
        <v>22413</v>
      </c>
      <c r="B345">
        <v>66.5</v>
      </c>
    </row>
    <row r="346" spans="1:2" x14ac:dyDescent="0.25">
      <c r="A346" s="5">
        <v>22416</v>
      </c>
      <c r="B346">
        <v>66.830001831054702</v>
      </c>
    </row>
    <row r="347" spans="1:2" x14ac:dyDescent="0.25">
      <c r="A347" s="5">
        <v>22417</v>
      </c>
      <c r="B347">
        <v>67.080001831054702</v>
      </c>
    </row>
    <row r="348" spans="1:2" x14ac:dyDescent="0.25">
      <c r="A348" s="5">
        <v>22418</v>
      </c>
      <c r="B348">
        <v>67.389999389648395</v>
      </c>
    </row>
    <row r="349" spans="1:2" x14ac:dyDescent="0.25">
      <c r="A349" s="5">
        <v>22419</v>
      </c>
      <c r="B349">
        <v>66.989997863769503</v>
      </c>
    </row>
    <row r="350" spans="1:2" x14ac:dyDescent="0.25">
      <c r="A350" s="5">
        <v>22420</v>
      </c>
      <c r="B350">
        <v>67.269996643066406</v>
      </c>
    </row>
    <row r="351" spans="1:2" x14ac:dyDescent="0.25">
      <c r="A351" s="5">
        <v>22423</v>
      </c>
      <c r="B351">
        <v>66.849998474121094</v>
      </c>
    </row>
    <row r="352" spans="1:2" x14ac:dyDescent="0.25">
      <c r="A352" s="5">
        <v>22424</v>
      </c>
      <c r="B352">
        <v>66.680000305175795</v>
      </c>
    </row>
    <row r="353" spans="1:2" x14ac:dyDescent="0.25">
      <c r="A353" s="5">
        <v>22425</v>
      </c>
      <c r="B353">
        <v>66.260002136230497</v>
      </c>
    </row>
    <row r="354" spans="1:2" x14ac:dyDescent="0.25">
      <c r="A354" s="5">
        <v>22426</v>
      </c>
      <c r="B354">
        <v>66.010002136230497</v>
      </c>
    </row>
    <row r="355" spans="1:2" x14ac:dyDescent="0.25">
      <c r="A355" s="5">
        <v>22427</v>
      </c>
      <c r="B355">
        <v>66.430000305175795</v>
      </c>
    </row>
    <row r="356" spans="1:2" x14ac:dyDescent="0.25">
      <c r="A356" s="5">
        <v>22432</v>
      </c>
      <c r="B356">
        <v>66.559997558593807</v>
      </c>
    </row>
    <row r="357" spans="1:2" x14ac:dyDescent="0.25">
      <c r="A357" s="5">
        <v>22433</v>
      </c>
      <c r="B357">
        <v>66.559997558593807</v>
      </c>
    </row>
    <row r="358" spans="1:2" x14ac:dyDescent="0.25">
      <c r="A358" s="5">
        <v>22434</v>
      </c>
      <c r="B358">
        <v>66.730003356933594</v>
      </c>
    </row>
    <row r="359" spans="1:2" x14ac:dyDescent="0.25">
      <c r="A359" s="5">
        <v>22437</v>
      </c>
      <c r="B359">
        <v>67.080001831054702</v>
      </c>
    </row>
    <row r="360" spans="1:2" x14ac:dyDescent="0.25">
      <c r="A360" s="5">
        <v>22438</v>
      </c>
      <c r="B360">
        <v>66.889999389648395</v>
      </c>
    </row>
    <row r="361" spans="1:2" x14ac:dyDescent="0.25">
      <c r="A361" s="5">
        <v>22439</v>
      </c>
      <c r="B361">
        <v>65.639999389648395</v>
      </c>
    </row>
    <row r="362" spans="1:2" x14ac:dyDescent="0.25">
      <c r="A362" s="5">
        <v>22440</v>
      </c>
      <c r="B362">
        <v>66.669998168945298</v>
      </c>
    </row>
    <row r="363" spans="1:2" x14ac:dyDescent="0.25">
      <c r="A363" s="5">
        <v>22441</v>
      </c>
      <c r="B363">
        <v>66.660003662109403</v>
      </c>
    </row>
    <row r="364" spans="1:2" x14ac:dyDescent="0.25">
      <c r="A364" s="5">
        <v>22444</v>
      </c>
      <c r="B364">
        <v>66.150001525878906</v>
      </c>
    </row>
    <row r="365" spans="1:2" x14ac:dyDescent="0.25">
      <c r="A365" s="5">
        <v>22445</v>
      </c>
      <c r="B365">
        <v>65.800003051757798</v>
      </c>
    </row>
    <row r="366" spans="1:2" x14ac:dyDescent="0.25">
      <c r="A366" s="5">
        <v>22446</v>
      </c>
      <c r="B366">
        <v>65.980003356933594</v>
      </c>
    </row>
    <row r="367" spans="1:2" x14ac:dyDescent="0.25">
      <c r="A367" s="5">
        <v>22447</v>
      </c>
      <c r="B367">
        <v>65.690002441406193</v>
      </c>
    </row>
    <row r="368" spans="1:2" x14ac:dyDescent="0.25">
      <c r="A368" s="5">
        <v>22448</v>
      </c>
      <c r="B368">
        <v>65.180000305175795</v>
      </c>
    </row>
    <row r="369" spans="1:2" x14ac:dyDescent="0.25">
      <c r="A369" s="5">
        <v>22451</v>
      </c>
      <c r="B369">
        <v>64.580001831054702</v>
      </c>
    </row>
    <row r="370" spans="1:2" x14ac:dyDescent="0.25">
      <c r="A370" s="5">
        <v>22452</v>
      </c>
      <c r="B370">
        <v>65.150001525878906</v>
      </c>
    </row>
    <row r="371" spans="1:2" x14ac:dyDescent="0.25">
      <c r="A371" s="5">
        <v>22453</v>
      </c>
      <c r="B371">
        <v>65.139999389648395</v>
      </c>
    </row>
    <row r="372" spans="1:2" x14ac:dyDescent="0.25">
      <c r="A372" s="5">
        <v>22454</v>
      </c>
      <c r="B372">
        <v>64.900001525878906</v>
      </c>
    </row>
    <row r="373" spans="1:2" x14ac:dyDescent="0.25">
      <c r="A373" s="5">
        <v>22455</v>
      </c>
      <c r="B373">
        <v>65.160003662109403</v>
      </c>
    </row>
    <row r="374" spans="1:2" x14ac:dyDescent="0.25">
      <c r="A374" s="5">
        <v>22458</v>
      </c>
      <c r="B374">
        <v>64.470001220703097</v>
      </c>
    </row>
    <row r="375" spans="1:2" x14ac:dyDescent="0.25">
      <c r="A375" s="5">
        <v>22459</v>
      </c>
      <c r="B375">
        <v>64.470001220703097</v>
      </c>
    </row>
    <row r="376" spans="1:2" x14ac:dyDescent="0.25">
      <c r="A376" s="5">
        <v>22460</v>
      </c>
      <c r="B376">
        <v>64.589996337890597</v>
      </c>
    </row>
    <row r="377" spans="1:2" x14ac:dyDescent="0.25">
      <c r="A377" s="5">
        <v>22461</v>
      </c>
      <c r="B377">
        <v>64.519996643066406</v>
      </c>
    </row>
    <row r="378" spans="1:2" x14ac:dyDescent="0.25">
      <c r="A378" s="5">
        <v>22462</v>
      </c>
      <c r="B378">
        <v>64.639999389648395</v>
      </c>
    </row>
    <row r="379" spans="1:2" x14ac:dyDescent="0.25">
      <c r="A379" s="5">
        <v>22465</v>
      </c>
      <c r="B379">
        <v>65.209999084472699</v>
      </c>
    </row>
    <row r="380" spans="1:2" x14ac:dyDescent="0.25">
      <c r="A380" s="5">
        <v>22467</v>
      </c>
      <c r="B380">
        <v>65.629997253417997</v>
      </c>
    </row>
    <row r="381" spans="1:2" x14ac:dyDescent="0.25">
      <c r="A381" s="5">
        <v>22468</v>
      </c>
      <c r="B381">
        <v>65.809997558593807</v>
      </c>
    </row>
    <row r="382" spans="1:2" x14ac:dyDescent="0.25">
      <c r="A382" s="5">
        <v>22469</v>
      </c>
      <c r="B382">
        <v>65.769996643066406</v>
      </c>
    </row>
    <row r="383" spans="1:2" x14ac:dyDescent="0.25">
      <c r="A383" s="5">
        <v>22472</v>
      </c>
      <c r="B383">
        <v>65.709999084472699</v>
      </c>
    </row>
    <row r="384" spans="1:2" x14ac:dyDescent="0.25">
      <c r="A384" s="5">
        <v>22473</v>
      </c>
      <c r="B384">
        <v>65.690002441406193</v>
      </c>
    </row>
    <row r="385" spans="1:2" x14ac:dyDescent="0.25">
      <c r="A385" s="5">
        <v>22474</v>
      </c>
      <c r="B385">
        <v>65.319999694824205</v>
      </c>
    </row>
    <row r="386" spans="1:2" x14ac:dyDescent="0.25">
      <c r="A386" s="5">
        <v>22475</v>
      </c>
      <c r="B386">
        <v>64.860000610351605</v>
      </c>
    </row>
    <row r="387" spans="1:2" x14ac:dyDescent="0.25">
      <c r="A387" s="5">
        <v>22476</v>
      </c>
      <c r="B387">
        <v>65.279998779296903</v>
      </c>
    </row>
    <row r="388" spans="1:2" x14ac:dyDescent="0.25">
      <c r="A388" s="5">
        <v>22479</v>
      </c>
      <c r="B388">
        <v>64.790000915527301</v>
      </c>
    </row>
    <row r="389" spans="1:2" x14ac:dyDescent="0.25">
      <c r="A389" s="5">
        <v>22480</v>
      </c>
      <c r="B389">
        <v>64.410003662109403</v>
      </c>
    </row>
    <row r="390" spans="1:2" x14ac:dyDescent="0.25">
      <c r="A390" s="5">
        <v>22481</v>
      </c>
      <c r="B390">
        <v>64.699996948242202</v>
      </c>
    </row>
    <row r="391" spans="1:2" x14ac:dyDescent="0.25">
      <c r="A391" s="5">
        <v>22482</v>
      </c>
      <c r="B391">
        <v>64.709999084472699</v>
      </c>
    </row>
    <row r="392" spans="1:2" x14ac:dyDescent="0.25">
      <c r="A392" s="5">
        <v>22483</v>
      </c>
      <c r="B392">
        <v>64.860000610351605</v>
      </c>
    </row>
    <row r="393" spans="1:2" x14ac:dyDescent="0.25">
      <c r="A393" s="5">
        <v>22486</v>
      </c>
      <c r="B393">
        <v>64.870002746582003</v>
      </c>
    </row>
    <row r="394" spans="1:2" x14ac:dyDescent="0.25">
      <c r="A394" s="5">
        <v>22487</v>
      </c>
      <c r="B394">
        <v>65.230003356933594</v>
      </c>
    </row>
    <row r="395" spans="1:2" x14ac:dyDescent="0.25">
      <c r="A395" s="5">
        <v>22488</v>
      </c>
      <c r="B395">
        <v>65.839996337890597</v>
      </c>
    </row>
    <row r="396" spans="1:2" x14ac:dyDescent="0.25">
      <c r="A396" s="5">
        <v>22489</v>
      </c>
      <c r="B396">
        <v>66.610000610351605</v>
      </c>
    </row>
    <row r="397" spans="1:2" x14ac:dyDescent="0.25">
      <c r="A397" s="5">
        <v>22490</v>
      </c>
      <c r="B397">
        <v>66.709999084472699</v>
      </c>
    </row>
    <row r="398" spans="1:2" x14ac:dyDescent="0.25">
      <c r="A398" s="5">
        <v>22493</v>
      </c>
      <c r="B398">
        <v>66.760002136230497</v>
      </c>
    </row>
    <row r="399" spans="1:2" x14ac:dyDescent="0.25">
      <c r="A399" s="5">
        <v>22494</v>
      </c>
      <c r="B399">
        <v>67.370002746582003</v>
      </c>
    </row>
    <row r="400" spans="1:2" x14ac:dyDescent="0.25">
      <c r="A400" s="5">
        <v>22495</v>
      </c>
      <c r="B400">
        <v>66.940002441406193</v>
      </c>
    </row>
    <row r="401" spans="1:2" x14ac:dyDescent="0.25">
      <c r="A401" s="5">
        <v>22496</v>
      </c>
      <c r="B401">
        <v>67.290000915527301</v>
      </c>
    </row>
    <row r="402" spans="1:2" x14ac:dyDescent="0.25">
      <c r="A402" s="5">
        <v>22497</v>
      </c>
      <c r="B402">
        <v>67.680000305175795</v>
      </c>
    </row>
    <row r="403" spans="1:2" x14ac:dyDescent="0.25">
      <c r="A403" s="5">
        <v>22500</v>
      </c>
      <c r="B403">
        <v>67.669998168945298</v>
      </c>
    </row>
    <row r="404" spans="1:2" x14ac:dyDescent="0.25">
      <c r="A404" s="5">
        <v>22501</v>
      </c>
      <c r="B404">
        <v>67.819999694824205</v>
      </c>
    </row>
    <row r="405" spans="1:2" x14ac:dyDescent="0.25">
      <c r="A405" s="5">
        <v>22502</v>
      </c>
      <c r="B405">
        <v>67.739997863769503</v>
      </c>
    </row>
    <row r="406" spans="1:2" x14ac:dyDescent="0.25">
      <c r="A406" s="5">
        <v>22503</v>
      </c>
      <c r="B406">
        <v>67.949996948242202</v>
      </c>
    </row>
    <row r="407" spans="1:2" x14ac:dyDescent="0.25">
      <c r="A407" s="5">
        <v>22504</v>
      </c>
      <c r="B407">
        <v>68.059997558593807</v>
      </c>
    </row>
    <row r="408" spans="1:2" x14ac:dyDescent="0.25">
      <c r="A408" s="5">
        <v>22507</v>
      </c>
      <c r="B408">
        <v>67.720001220703097</v>
      </c>
    </row>
    <row r="409" spans="1:2" x14ac:dyDescent="0.25">
      <c r="A409" s="5">
        <v>22508</v>
      </c>
      <c r="B409">
        <v>67.550003051757798</v>
      </c>
    </row>
    <row r="410" spans="1:2" x14ac:dyDescent="0.25">
      <c r="A410" s="5">
        <v>22509</v>
      </c>
      <c r="B410">
        <v>67.730003356933594</v>
      </c>
    </row>
    <row r="411" spans="1:2" x14ac:dyDescent="0.25">
      <c r="A411" s="5">
        <v>22510</v>
      </c>
      <c r="B411">
        <v>68.110000610351605</v>
      </c>
    </row>
    <row r="412" spans="1:2" x14ac:dyDescent="0.25">
      <c r="A412" s="5">
        <v>22511</v>
      </c>
      <c r="B412">
        <v>68.290000915527301</v>
      </c>
    </row>
    <row r="413" spans="1:2" x14ac:dyDescent="0.25">
      <c r="A413" s="5">
        <v>22514</v>
      </c>
      <c r="B413">
        <v>68.430000305175795</v>
      </c>
    </row>
    <row r="414" spans="1:2" x14ac:dyDescent="0.25">
      <c r="A414" s="5">
        <v>22515</v>
      </c>
      <c r="B414">
        <v>68.440002441406193</v>
      </c>
    </row>
    <row r="415" spans="1:2" x14ac:dyDescent="0.25">
      <c r="A415" s="5">
        <v>22516</v>
      </c>
      <c r="B415">
        <v>67.980003356933594</v>
      </c>
    </row>
    <row r="416" spans="1:2" x14ac:dyDescent="0.25">
      <c r="A416" s="5">
        <v>22517</v>
      </c>
      <c r="B416">
        <v>67.589996337890597</v>
      </c>
    </row>
    <row r="417" spans="1:2" x14ac:dyDescent="0.25">
      <c r="A417" s="5">
        <v>22518</v>
      </c>
      <c r="B417">
        <v>67.669998168945298</v>
      </c>
    </row>
    <row r="418" spans="1:2" x14ac:dyDescent="0.25">
      <c r="A418" s="5">
        <v>22521</v>
      </c>
      <c r="B418">
        <v>67.699996948242202</v>
      </c>
    </row>
    <row r="419" spans="1:2" x14ac:dyDescent="0.25">
      <c r="A419" s="5">
        <v>22522</v>
      </c>
      <c r="B419">
        <v>67.550003051757798</v>
      </c>
    </row>
    <row r="420" spans="1:2" x14ac:dyDescent="0.25">
      <c r="A420" s="5">
        <v>22523</v>
      </c>
      <c r="B420">
        <v>67.809997558593807</v>
      </c>
    </row>
    <row r="421" spans="1:2" x14ac:dyDescent="0.25">
      <c r="A421" s="5">
        <v>22524</v>
      </c>
      <c r="B421">
        <v>68.069999694824205</v>
      </c>
    </row>
    <row r="422" spans="1:2" x14ac:dyDescent="0.25">
      <c r="A422" s="5">
        <v>22525</v>
      </c>
      <c r="B422">
        <v>68.190002441406193</v>
      </c>
    </row>
    <row r="423" spans="1:2" x14ac:dyDescent="0.25">
      <c r="A423" s="5">
        <v>22529</v>
      </c>
      <c r="B423">
        <v>67.959999084472699</v>
      </c>
    </row>
    <row r="424" spans="1:2" x14ac:dyDescent="0.25">
      <c r="A424" s="5">
        <v>22530</v>
      </c>
      <c r="B424">
        <v>68.459999084472699</v>
      </c>
    </row>
    <row r="425" spans="1:2" x14ac:dyDescent="0.25">
      <c r="A425" s="5">
        <v>22531</v>
      </c>
      <c r="B425">
        <v>68.349998474121094</v>
      </c>
    </row>
    <row r="426" spans="1:2" x14ac:dyDescent="0.25">
      <c r="A426" s="5">
        <v>22532</v>
      </c>
      <c r="B426">
        <v>67.879997253417997</v>
      </c>
    </row>
    <row r="427" spans="1:2" x14ac:dyDescent="0.25">
      <c r="A427" s="5">
        <v>22535</v>
      </c>
      <c r="B427">
        <v>67.279998779296903</v>
      </c>
    </row>
    <row r="428" spans="1:2" x14ac:dyDescent="0.25">
      <c r="A428" s="5">
        <v>22536</v>
      </c>
      <c r="B428">
        <v>67.959999084472699</v>
      </c>
    </row>
    <row r="429" spans="1:2" x14ac:dyDescent="0.25">
      <c r="A429" s="5">
        <v>22537</v>
      </c>
      <c r="B429">
        <v>68.010002136230497</v>
      </c>
    </row>
    <row r="430" spans="1:2" x14ac:dyDescent="0.25">
      <c r="A430" s="5">
        <v>22538</v>
      </c>
      <c r="B430">
        <v>67.529998779296903</v>
      </c>
    </row>
    <row r="431" spans="1:2" x14ac:dyDescent="0.25">
      <c r="A431" s="5">
        <v>22539</v>
      </c>
      <c r="B431">
        <v>67.650001525878906</v>
      </c>
    </row>
    <row r="432" spans="1:2" x14ac:dyDescent="0.25">
      <c r="A432" s="5">
        <v>22542</v>
      </c>
      <c r="B432">
        <v>67.209999084472699</v>
      </c>
    </row>
    <row r="433" spans="1:2" x14ac:dyDescent="0.25">
      <c r="A433" s="5">
        <v>22543</v>
      </c>
      <c r="B433">
        <v>66.080001831054702</v>
      </c>
    </row>
    <row r="434" spans="1:2" x14ac:dyDescent="0.25">
      <c r="A434" s="5">
        <v>22544</v>
      </c>
      <c r="B434">
        <v>66.959999084472699</v>
      </c>
    </row>
    <row r="435" spans="1:2" x14ac:dyDescent="0.25">
      <c r="A435" s="5">
        <v>22545</v>
      </c>
      <c r="B435">
        <v>66.989997863769503</v>
      </c>
    </row>
    <row r="436" spans="1:2" x14ac:dyDescent="0.25">
      <c r="A436" s="5">
        <v>22546</v>
      </c>
      <c r="B436">
        <v>66.720001220703097</v>
      </c>
    </row>
    <row r="437" spans="1:2" x14ac:dyDescent="0.25">
      <c r="A437" s="5">
        <v>22549</v>
      </c>
      <c r="B437">
        <v>65.769996643066406</v>
      </c>
    </row>
    <row r="438" spans="1:2" x14ac:dyDescent="0.25">
      <c r="A438" s="5">
        <v>22550</v>
      </c>
      <c r="B438">
        <v>65.779998779296903</v>
      </c>
    </row>
    <row r="439" spans="1:2" x14ac:dyDescent="0.25">
      <c r="A439" s="5">
        <v>22551</v>
      </c>
      <c r="B439">
        <v>66.470001220703097</v>
      </c>
    </row>
    <row r="440" spans="1:2" x14ac:dyDescent="0.25">
      <c r="A440" s="5">
        <v>22552</v>
      </c>
      <c r="B440">
        <v>66.580001831054702</v>
      </c>
    </row>
    <row r="441" spans="1:2" x14ac:dyDescent="0.25">
      <c r="A441" s="5">
        <v>22553</v>
      </c>
      <c r="B441">
        <v>66.730003356933594</v>
      </c>
    </row>
    <row r="442" spans="1:2" x14ac:dyDescent="0.25">
      <c r="A442" s="5">
        <v>22556</v>
      </c>
      <c r="B442">
        <v>66.769996643066406</v>
      </c>
    </row>
    <row r="443" spans="1:2" x14ac:dyDescent="0.25">
      <c r="A443" s="5">
        <v>22557</v>
      </c>
      <c r="B443">
        <v>66.730003356933594</v>
      </c>
    </row>
    <row r="444" spans="1:2" x14ac:dyDescent="0.25">
      <c r="A444" s="5">
        <v>22558</v>
      </c>
      <c r="B444">
        <v>67.180000305175795</v>
      </c>
    </row>
    <row r="445" spans="1:2" x14ac:dyDescent="0.25">
      <c r="A445" s="5">
        <v>22559</v>
      </c>
      <c r="B445">
        <v>67.769996643066406</v>
      </c>
    </row>
    <row r="446" spans="1:2" x14ac:dyDescent="0.25">
      <c r="A446" s="5">
        <v>22560</v>
      </c>
      <c r="B446">
        <v>66.970001220703097</v>
      </c>
    </row>
    <row r="447" spans="1:2" x14ac:dyDescent="0.25">
      <c r="A447" s="5">
        <v>22563</v>
      </c>
      <c r="B447">
        <v>67.940002441406193</v>
      </c>
    </row>
    <row r="448" spans="1:2" x14ac:dyDescent="0.25">
      <c r="A448" s="5">
        <v>22564</v>
      </c>
      <c r="B448">
        <v>68.110000610351605</v>
      </c>
    </row>
    <row r="449" spans="1:2" x14ac:dyDescent="0.25">
      <c r="A449" s="5">
        <v>22565</v>
      </c>
      <c r="B449">
        <v>68.169998168945298</v>
      </c>
    </row>
    <row r="450" spans="1:2" x14ac:dyDescent="0.25">
      <c r="A450" s="5">
        <v>22566</v>
      </c>
      <c r="B450">
        <v>68.160003662109403</v>
      </c>
    </row>
    <row r="451" spans="1:2" x14ac:dyDescent="0.25">
      <c r="A451" s="5">
        <v>22567</v>
      </c>
      <c r="B451">
        <v>68.040000915527301</v>
      </c>
    </row>
    <row r="452" spans="1:2" x14ac:dyDescent="0.25">
      <c r="A452" s="5">
        <v>22570</v>
      </c>
      <c r="B452">
        <v>67.849998474121094</v>
      </c>
    </row>
    <row r="453" spans="1:2" x14ac:dyDescent="0.25">
      <c r="A453" s="5">
        <v>22571</v>
      </c>
      <c r="B453">
        <v>67.870002746582003</v>
      </c>
    </row>
    <row r="454" spans="1:2" x14ac:dyDescent="0.25">
      <c r="A454" s="5">
        <v>22572</v>
      </c>
      <c r="B454">
        <v>68.209999084472699</v>
      </c>
    </row>
    <row r="455" spans="1:2" x14ac:dyDescent="0.25">
      <c r="A455" s="5">
        <v>22573</v>
      </c>
      <c r="B455">
        <v>68.449996948242202</v>
      </c>
    </row>
    <row r="456" spans="1:2" x14ac:dyDescent="0.25">
      <c r="A456" s="5">
        <v>22574</v>
      </c>
      <c r="B456">
        <v>68</v>
      </c>
    </row>
    <row r="457" spans="1:2" x14ac:dyDescent="0.25">
      <c r="A457" s="5">
        <v>22577</v>
      </c>
      <c r="B457">
        <v>68.059997558593807</v>
      </c>
    </row>
    <row r="458" spans="1:2" x14ac:dyDescent="0.25">
      <c r="A458" s="5">
        <v>22578</v>
      </c>
      <c r="B458">
        <v>67.980003356933594</v>
      </c>
    </row>
    <row r="459" spans="1:2" x14ac:dyDescent="0.25">
      <c r="A459" s="5">
        <v>22579</v>
      </c>
      <c r="B459">
        <v>68.339996337890597</v>
      </c>
    </row>
    <row r="460" spans="1:2" x14ac:dyDescent="0.25">
      <c r="A460" s="5">
        <v>22580</v>
      </c>
      <c r="B460">
        <v>68.459999084472699</v>
      </c>
    </row>
    <row r="461" spans="1:2" x14ac:dyDescent="0.25">
      <c r="A461" s="5">
        <v>22581</v>
      </c>
      <c r="B461">
        <v>68.339996337890597</v>
      </c>
    </row>
    <row r="462" spans="1:2" x14ac:dyDescent="0.25">
      <c r="A462" s="5">
        <v>22584</v>
      </c>
      <c r="B462">
        <v>68.419998168945298</v>
      </c>
    </row>
    <row r="463" spans="1:2" x14ac:dyDescent="0.25">
      <c r="A463" s="5">
        <v>22585</v>
      </c>
      <c r="B463">
        <v>68.620002746582003</v>
      </c>
    </row>
    <row r="464" spans="1:2" x14ac:dyDescent="0.25">
      <c r="A464" s="5">
        <v>22586</v>
      </c>
      <c r="B464">
        <v>68.730003356933594</v>
      </c>
    </row>
    <row r="465" spans="1:2" x14ac:dyDescent="0.25">
      <c r="A465" s="5">
        <v>22587</v>
      </c>
      <c r="B465">
        <v>69.110000610351605</v>
      </c>
    </row>
    <row r="466" spans="1:2" x14ac:dyDescent="0.25">
      <c r="A466" s="5">
        <v>22588</v>
      </c>
      <c r="B466">
        <v>69.470001220703097</v>
      </c>
    </row>
    <row r="467" spans="1:2" x14ac:dyDescent="0.25">
      <c r="A467" s="5">
        <v>22591</v>
      </c>
      <c r="B467">
        <v>70.010002136230497</v>
      </c>
    </row>
    <row r="468" spans="1:2" x14ac:dyDescent="0.25">
      <c r="A468" s="5">
        <v>22593</v>
      </c>
      <c r="B468">
        <v>70.870002746582003</v>
      </c>
    </row>
    <row r="469" spans="1:2" x14ac:dyDescent="0.25">
      <c r="A469" s="5">
        <v>22594</v>
      </c>
      <c r="B469">
        <v>70.769996643066406</v>
      </c>
    </row>
    <row r="470" spans="1:2" x14ac:dyDescent="0.25">
      <c r="A470" s="5">
        <v>22595</v>
      </c>
      <c r="B470">
        <v>71.069999694824205</v>
      </c>
    </row>
    <row r="471" spans="1:2" x14ac:dyDescent="0.25">
      <c r="A471" s="5">
        <v>22598</v>
      </c>
      <c r="B471">
        <v>71.269996643066406</v>
      </c>
    </row>
    <row r="472" spans="1:2" x14ac:dyDescent="0.25">
      <c r="A472" s="5">
        <v>22599</v>
      </c>
      <c r="B472">
        <v>71.660003662109403</v>
      </c>
    </row>
    <row r="473" spans="1:2" x14ac:dyDescent="0.25">
      <c r="A473" s="5">
        <v>22600</v>
      </c>
      <c r="B473">
        <v>71.669998168945298</v>
      </c>
    </row>
    <row r="474" spans="1:2" x14ac:dyDescent="0.25">
      <c r="A474" s="5">
        <v>22601</v>
      </c>
      <c r="B474">
        <v>71.620002746582003</v>
      </c>
    </row>
    <row r="475" spans="1:2" x14ac:dyDescent="0.25">
      <c r="A475" s="5">
        <v>22602</v>
      </c>
      <c r="B475">
        <v>71.620002746582003</v>
      </c>
    </row>
    <row r="476" spans="1:2" x14ac:dyDescent="0.25">
      <c r="A476" s="5">
        <v>22605</v>
      </c>
      <c r="B476">
        <v>71.720001220703097</v>
      </c>
    </row>
    <row r="477" spans="1:2" x14ac:dyDescent="0.25">
      <c r="A477" s="5">
        <v>22606</v>
      </c>
      <c r="B477">
        <v>71.779998779296903</v>
      </c>
    </row>
    <row r="478" spans="1:2" x14ac:dyDescent="0.25">
      <c r="A478" s="5">
        <v>22607</v>
      </c>
      <c r="B478">
        <v>71.699996948242202</v>
      </c>
    </row>
    <row r="479" spans="1:2" x14ac:dyDescent="0.25">
      <c r="A479" s="5">
        <v>22609</v>
      </c>
      <c r="B479">
        <v>71.839996337890597</v>
      </c>
    </row>
    <row r="480" spans="1:2" x14ac:dyDescent="0.25">
      <c r="A480" s="5">
        <v>22612</v>
      </c>
      <c r="B480">
        <v>71.849998474121094</v>
      </c>
    </row>
    <row r="481" spans="1:2" x14ac:dyDescent="0.25">
      <c r="A481" s="5">
        <v>22613</v>
      </c>
      <c r="B481">
        <v>71.75</v>
      </c>
    </row>
    <row r="482" spans="1:2" x14ac:dyDescent="0.25">
      <c r="A482" s="5">
        <v>22614</v>
      </c>
      <c r="B482">
        <v>71.699996948242202</v>
      </c>
    </row>
    <row r="483" spans="1:2" x14ac:dyDescent="0.25">
      <c r="A483" s="5">
        <v>22615</v>
      </c>
      <c r="B483">
        <v>71.319999694824205</v>
      </c>
    </row>
    <row r="484" spans="1:2" x14ac:dyDescent="0.25">
      <c r="A484" s="5">
        <v>22616</v>
      </c>
      <c r="B484">
        <v>71.779998779296903</v>
      </c>
    </row>
    <row r="485" spans="1:2" x14ac:dyDescent="0.25">
      <c r="A485" s="5">
        <v>22619</v>
      </c>
      <c r="B485">
        <v>72.010002136230497</v>
      </c>
    </row>
    <row r="486" spans="1:2" x14ac:dyDescent="0.25">
      <c r="A486" s="5">
        <v>22620</v>
      </c>
      <c r="B486">
        <v>71.930000305175795</v>
      </c>
    </row>
    <row r="487" spans="1:2" x14ac:dyDescent="0.25">
      <c r="A487" s="5">
        <v>22621</v>
      </c>
      <c r="B487">
        <v>71.989997863769503</v>
      </c>
    </row>
    <row r="488" spans="1:2" x14ac:dyDescent="0.25">
      <c r="A488" s="5">
        <v>22622</v>
      </c>
      <c r="B488">
        <v>71.699996948242202</v>
      </c>
    </row>
    <row r="489" spans="1:2" x14ac:dyDescent="0.25">
      <c r="A489" s="5">
        <v>22623</v>
      </c>
      <c r="B489">
        <v>72.040000915527301</v>
      </c>
    </row>
    <row r="490" spans="1:2" x14ac:dyDescent="0.25">
      <c r="A490" s="5">
        <v>22626</v>
      </c>
      <c r="B490">
        <v>72.389999389648395</v>
      </c>
    </row>
    <row r="491" spans="1:2" x14ac:dyDescent="0.25">
      <c r="A491" s="5">
        <v>22627</v>
      </c>
      <c r="B491">
        <v>72.639999389648395</v>
      </c>
    </row>
    <row r="492" spans="1:2" x14ac:dyDescent="0.25">
      <c r="A492" s="5">
        <v>22628</v>
      </c>
      <c r="B492">
        <v>72.529998779296903</v>
      </c>
    </row>
    <row r="493" spans="1:2" x14ac:dyDescent="0.25">
      <c r="A493" s="5">
        <v>22629</v>
      </c>
      <c r="B493">
        <v>71.980003356933594</v>
      </c>
    </row>
    <row r="494" spans="1:2" x14ac:dyDescent="0.25">
      <c r="A494" s="5">
        <v>22630</v>
      </c>
      <c r="B494">
        <v>72.010002136230497</v>
      </c>
    </row>
    <row r="495" spans="1:2" x14ac:dyDescent="0.25">
      <c r="A495" s="5">
        <v>22633</v>
      </c>
      <c r="B495">
        <v>71.760002136230497</v>
      </c>
    </row>
    <row r="496" spans="1:2" x14ac:dyDescent="0.25">
      <c r="A496" s="5">
        <v>22634</v>
      </c>
      <c r="B496">
        <v>71.260002136230497</v>
      </c>
    </row>
    <row r="497" spans="1:2" x14ac:dyDescent="0.25">
      <c r="A497" s="5">
        <v>22635</v>
      </c>
      <c r="B497">
        <v>71.120002746582003</v>
      </c>
    </row>
    <row r="498" spans="1:2" x14ac:dyDescent="0.25">
      <c r="A498" s="5">
        <v>22636</v>
      </c>
      <c r="B498">
        <v>70.860000610351605</v>
      </c>
    </row>
    <row r="499" spans="1:2" x14ac:dyDescent="0.25">
      <c r="A499" s="5">
        <v>22637</v>
      </c>
      <c r="B499">
        <v>70.910003662109403</v>
      </c>
    </row>
    <row r="500" spans="1:2" x14ac:dyDescent="0.25">
      <c r="A500" s="5">
        <v>22641</v>
      </c>
      <c r="B500">
        <v>71.019996643066406</v>
      </c>
    </row>
    <row r="501" spans="1:2" x14ac:dyDescent="0.25">
      <c r="A501" s="5">
        <v>22642</v>
      </c>
      <c r="B501">
        <v>71.650001525878906</v>
      </c>
    </row>
    <row r="502" spans="1:2" x14ac:dyDescent="0.25">
      <c r="A502" s="5">
        <v>22643</v>
      </c>
      <c r="B502">
        <v>71.690002441406193</v>
      </c>
    </row>
    <row r="503" spans="1:2" x14ac:dyDescent="0.25">
      <c r="A503" s="5">
        <v>22644</v>
      </c>
      <c r="B503">
        <v>71.550003051757798</v>
      </c>
    </row>
    <row r="504" spans="1:2" x14ac:dyDescent="0.25">
      <c r="A504" s="5">
        <v>22648</v>
      </c>
      <c r="B504">
        <v>70.959999084472699</v>
      </c>
    </row>
    <row r="505" spans="1:2" x14ac:dyDescent="0.25">
      <c r="A505" s="5">
        <v>22649</v>
      </c>
      <c r="B505">
        <v>71.129997253417997</v>
      </c>
    </row>
    <row r="506" spans="1:2" x14ac:dyDescent="0.25">
      <c r="A506" s="5">
        <v>22650</v>
      </c>
      <c r="B506">
        <v>70.639999389648395</v>
      </c>
    </row>
    <row r="507" spans="1:2" x14ac:dyDescent="0.25">
      <c r="A507" s="5">
        <v>22651</v>
      </c>
      <c r="B507">
        <v>69.660003662109403</v>
      </c>
    </row>
    <row r="508" spans="1:2" x14ac:dyDescent="0.25">
      <c r="A508" s="5">
        <v>22654</v>
      </c>
      <c r="B508">
        <v>69.120002746582003</v>
      </c>
    </row>
    <row r="509" spans="1:2" x14ac:dyDescent="0.25">
      <c r="A509" s="5">
        <v>22655</v>
      </c>
      <c r="B509">
        <v>69.150001525878906</v>
      </c>
    </row>
    <row r="510" spans="1:2" x14ac:dyDescent="0.25">
      <c r="A510" s="5">
        <v>22656</v>
      </c>
      <c r="B510">
        <v>68.959999084472699</v>
      </c>
    </row>
    <row r="511" spans="1:2" x14ac:dyDescent="0.25">
      <c r="A511" s="5">
        <v>22657</v>
      </c>
      <c r="B511">
        <v>69.370002746582003</v>
      </c>
    </row>
    <row r="512" spans="1:2" x14ac:dyDescent="0.25">
      <c r="A512" s="5">
        <v>22658</v>
      </c>
      <c r="B512">
        <v>69.610000610351605</v>
      </c>
    </row>
    <row r="513" spans="1:2" x14ac:dyDescent="0.25">
      <c r="A513" s="5">
        <v>22661</v>
      </c>
      <c r="B513">
        <v>69.470001220703097</v>
      </c>
    </row>
    <row r="514" spans="1:2" x14ac:dyDescent="0.25">
      <c r="A514" s="5">
        <v>22662</v>
      </c>
      <c r="B514">
        <v>69.069999694824205</v>
      </c>
    </row>
    <row r="515" spans="1:2" x14ac:dyDescent="0.25">
      <c r="A515" s="5">
        <v>22663</v>
      </c>
      <c r="B515">
        <v>68.319999694824205</v>
      </c>
    </row>
    <row r="516" spans="1:2" x14ac:dyDescent="0.25">
      <c r="A516" s="5">
        <v>22664</v>
      </c>
      <c r="B516">
        <v>68.389999389648395</v>
      </c>
    </row>
    <row r="517" spans="1:2" x14ac:dyDescent="0.25">
      <c r="A517" s="5">
        <v>22665</v>
      </c>
      <c r="B517">
        <v>68.75</v>
      </c>
    </row>
    <row r="518" spans="1:2" x14ac:dyDescent="0.25">
      <c r="A518" s="5">
        <v>22668</v>
      </c>
      <c r="B518">
        <v>68.809997558593807</v>
      </c>
    </row>
    <row r="519" spans="1:2" x14ac:dyDescent="0.25">
      <c r="A519" s="5">
        <v>22669</v>
      </c>
      <c r="B519">
        <v>68.290000915527301</v>
      </c>
    </row>
    <row r="520" spans="1:2" x14ac:dyDescent="0.25">
      <c r="A520" s="5">
        <v>22670</v>
      </c>
      <c r="B520">
        <v>68.400001525878906</v>
      </c>
    </row>
    <row r="521" spans="1:2" x14ac:dyDescent="0.25">
      <c r="A521" s="5">
        <v>22671</v>
      </c>
      <c r="B521">
        <v>68.349998474121094</v>
      </c>
    </row>
    <row r="522" spans="1:2" x14ac:dyDescent="0.25">
      <c r="A522" s="5">
        <v>22672</v>
      </c>
      <c r="B522">
        <v>68.129997253417997</v>
      </c>
    </row>
    <row r="523" spans="1:2" x14ac:dyDescent="0.25">
      <c r="A523" s="5">
        <v>22675</v>
      </c>
      <c r="B523">
        <v>67.900001525878906</v>
      </c>
    </row>
    <row r="524" spans="1:2" x14ac:dyDescent="0.25">
      <c r="A524" s="5">
        <v>22676</v>
      </c>
      <c r="B524">
        <v>68.169998168945298</v>
      </c>
    </row>
    <row r="525" spans="1:2" x14ac:dyDescent="0.25">
      <c r="A525" s="5">
        <v>22677</v>
      </c>
      <c r="B525">
        <v>68.839996337890597</v>
      </c>
    </row>
    <row r="526" spans="1:2" x14ac:dyDescent="0.25">
      <c r="A526" s="5">
        <v>22678</v>
      </c>
      <c r="B526">
        <v>69.260002136230497</v>
      </c>
    </row>
    <row r="527" spans="1:2" x14ac:dyDescent="0.25">
      <c r="A527" s="5">
        <v>22679</v>
      </c>
      <c r="B527">
        <v>69.809997558593807</v>
      </c>
    </row>
    <row r="528" spans="1:2" x14ac:dyDescent="0.25">
      <c r="A528" s="5">
        <v>22682</v>
      </c>
      <c r="B528">
        <v>69.879997253417997</v>
      </c>
    </row>
    <row r="529" spans="1:2" x14ac:dyDescent="0.25">
      <c r="A529" s="5">
        <v>22683</v>
      </c>
      <c r="B529">
        <v>69.959999084472699</v>
      </c>
    </row>
    <row r="530" spans="1:2" x14ac:dyDescent="0.25">
      <c r="A530" s="5">
        <v>22684</v>
      </c>
      <c r="B530">
        <v>70.419998168945298</v>
      </c>
    </row>
    <row r="531" spans="1:2" x14ac:dyDescent="0.25">
      <c r="A531" s="5">
        <v>22685</v>
      </c>
      <c r="B531">
        <v>70.580001831054702</v>
      </c>
    </row>
    <row r="532" spans="1:2" x14ac:dyDescent="0.25">
      <c r="A532" s="5">
        <v>22686</v>
      </c>
      <c r="B532">
        <v>70.480003356933594</v>
      </c>
    </row>
    <row r="533" spans="1:2" x14ac:dyDescent="0.25">
      <c r="A533" s="5">
        <v>22689</v>
      </c>
      <c r="B533">
        <v>70.459999084472699</v>
      </c>
    </row>
    <row r="534" spans="1:2" x14ac:dyDescent="0.25">
      <c r="A534" s="5">
        <v>22690</v>
      </c>
      <c r="B534">
        <v>70.449996948242202</v>
      </c>
    </row>
    <row r="535" spans="1:2" x14ac:dyDescent="0.25">
      <c r="A535" s="5">
        <v>22691</v>
      </c>
      <c r="B535">
        <v>70.419998168945298</v>
      </c>
    </row>
    <row r="536" spans="1:2" x14ac:dyDescent="0.25">
      <c r="A536" s="5">
        <v>22692</v>
      </c>
      <c r="B536">
        <v>70.739997863769503</v>
      </c>
    </row>
    <row r="537" spans="1:2" x14ac:dyDescent="0.25">
      <c r="A537" s="5">
        <v>22693</v>
      </c>
      <c r="B537">
        <v>70.589996337890597</v>
      </c>
    </row>
    <row r="538" spans="1:2" x14ac:dyDescent="0.25">
      <c r="A538" s="5">
        <v>22696</v>
      </c>
      <c r="B538">
        <v>70.410003662109403</v>
      </c>
    </row>
    <row r="539" spans="1:2" x14ac:dyDescent="0.25">
      <c r="A539" s="5">
        <v>22697</v>
      </c>
      <c r="B539">
        <v>70.660003662109403</v>
      </c>
    </row>
    <row r="540" spans="1:2" x14ac:dyDescent="0.25">
      <c r="A540" s="5">
        <v>22698</v>
      </c>
      <c r="B540">
        <v>70.319999694824205</v>
      </c>
    </row>
    <row r="541" spans="1:2" x14ac:dyDescent="0.25">
      <c r="A541" s="5">
        <v>22700</v>
      </c>
      <c r="B541">
        <v>70.160003662109403</v>
      </c>
    </row>
    <row r="542" spans="1:2" x14ac:dyDescent="0.25">
      <c r="A542" s="5">
        <v>22703</v>
      </c>
      <c r="B542">
        <v>69.760002136230497</v>
      </c>
    </row>
    <row r="543" spans="1:2" x14ac:dyDescent="0.25">
      <c r="A543" s="5">
        <v>22704</v>
      </c>
      <c r="B543">
        <v>69.889999389648395</v>
      </c>
    </row>
    <row r="544" spans="1:2" x14ac:dyDescent="0.25">
      <c r="A544" s="5">
        <v>22705</v>
      </c>
      <c r="B544">
        <v>69.959999084472699</v>
      </c>
    </row>
    <row r="545" spans="1:2" x14ac:dyDescent="0.25">
      <c r="A545" s="5">
        <v>22706</v>
      </c>
      <c r="B545">
        <v>70.199996948242202</v>
      </c>
    </row>
    <row r="546" spans="1:2" x14ac:dyDescent="0.25">
      <c r="A546" s="5">
        <v>22707</v>
      </c>
      <c r="B546">
        <v>70.160003662109403</v>
      </c>
    </row>
    <row r="547" spans="1:2" x14ac:dyDescent="0.25">
      <c r="A547" s="5">
        <v>22710</v>
      </c>
      <c r="B547">
        <v>70.010002136230497</v>
      </c>
    </row>
    <row r="548" spans="1:2" x14ac:dyDescent="0.25">
      <c r="A548" s="5">
        <v>22711</v>
      </c>
      <c r="B548">
        <v>69.779998779296903</v>
      </c>
    </row>
    <row r="549" spans="1:2" x14ac:dyDescent="0.25">
      <c r="A549" s="5">
        <v>22712</v>
      </c>
      <c r="B549">
        <v>69.690002441406193</v>
      </c>
    </row>
    <row r="550" spans="1:2" x14ac:dyDescent="0.25">
      <c r="A550" s="5">
        <v>22713</v>
      </c>
      <c r="B550">
        <v>70.190002441406193</v>
      </c>
    </row>
    <row r="551" spans="1:2" x14ac:dyDescent="0.25">
      <c r="A551" s="5">
        <v>22714</v>
      </c>
      <c r="B551">
        <v>70.419998168945298</v>
      </c>
    </row>
    <row r="552" spans="1:2" x14ac:dyDescent="0.25">
      <c r="A552" s="5">
        <v>22717</v>
      </c>
      <c r="B552">
        <v>70.400001525878906</v>
      </c>
    </row>
    <row r="553" spans="1:2" x14ac:dyDescent="0.25">
      <c r="A553" s="5">
        <v>22718</v>
      </c>
      <c r="B553">
        <v>70.599998474121094</v>
      </c>
    </row>
    <row r="554" spans="1:2" x14ac:dyDescent="0.25">
      <c r="A554" s="5">
        <v>22719</v>
      </c>
      <c r="B554">
        <v>70.910003662109403</v>
      </c>
    </row>
    <row r="555" spans="1:2" x14ac:dyDescent="0.25">
      <c r="A555" s="5">
        <v>22720</v>
      </c>
      <c r="B555">
        <v>71.059997558593807</v>
      </c>
    </row>
    <row r="556" spans="1:2" x14ac:dyDescent="0.25">
      <c r="A556" s="5">
        <v>22721</v>
      </c>
      <c r="B556">
        <v>70.940002441406193</v>
      </c>
    </row>
    <row r="557" spans="1:2" x14ac:dyDescent="0.25">
      <c r="A557" s="5">
        <v>22724</v>
      </c>
      <c r="B557">
        <v>70.849998474121094</v>
      </c>
    </row>
    <row r="558" spans="1:2" x14ac:dyDescent="0.25">
      <c r="A558" s="5">
        <v>22725</v>
      </c>
      <c r="B558">
        <v>70.660003662109403</v>
      </c>
    </row>
    <row r="559" spans="1:2" x14ac:dyDescent="0.25">
      <c r="A559" s="5">
        <v>22726</v>
      </c>
      <c r="B559">
        <v>70.510002136230497</v>
      </c>
    </row>
    <row r="560" spans="1:2" x14ac:dyDescent="0.25">
      <c r="A560" s="5">
        <v>22727</v>
      </c>
      <c r="B560">
        <v>70.400001525878906</v>
      </c>
    </row>
    <row r="561" spans="1:2" x14ac:dyDescent="0.25">
      <c r="A561" s="5">
        <v>22728</v>
      </c>
      <c r="B561">
        <v>70.449996948242202</v>
      </c>
    </row>
    <row r="562" spans="1:2" x14ac:dyDescent="0.25">
      <c r="A562" s="5">
        <v>22731</v>
      </c>
      <c r="B562">
        <v>69.889999389648395</v>
      </c>
    </row>
    <row r="563" spans="1:2" x14ac:dyDescent="0.25">
      <c r="A563" s="5">
        <v>22732</v>
      </c>
      <c r="B563">
        <v>69.699996948242202</v>
      </c>
    </row>
    <row r="564" spans="1:2" x14ac:dyDescent="0.25">
      <c r="A564" s="5">
        <v>22733</v>
      </c>
      <c r="B564">
        <v>70.040000915527301</v>
      </c>
    </row>
    <row r="565" spans="1:2" x14ac:dyDescent="0.25">
      <c r="A565" s="5">
        <v>22734</v>
      </c>
      <c r="B565">
        <v>70.010002136230497</v>
      </c>
    </row>
    <row r="566" spans="1:2" x14ac:dyDescent="0.25">
      <c r="A566" s="5">
        <v>22735</v>
      </c>
      <c r="B566">
        <v>69.550003051757798</v>
      </c>
    </row>
    <row r="567" spans="1:2" x14ac:dyDescent="0.25">
      <c r="A567" s="5">
        <v>22738</v>
      </c>
      <c r="B567">
        <v>69.370002746582003</v>
      </c>
    </row>
    <row r="568" spans="1:2" x14ac:dyDescent="0.25">
      <c r="A568" s="5">
        <v>22739</v>
      </c>
      <c r="B568">
        <v>68.809997558593807</v>
      </c>
    </row>
    <row r="569" spans="1:2" x14ac:dyDescent="0.25">
      <c r="A569" s="5">
        <v>22740</v>
      </c>
      <c r="B569">
        <v>68.489997863769503</v>
      </c>
    </row>
    <row r="570" spans="1:2" x14ac:dyDescent="0.25">
      <c r="A570" s="5">
        <v>22741</v>
      </c>
      <c r="B570">
        <v>68.910003662109403</v>
      </c>
    </row>
    <row r="571" spans="1:2" x14ac:dyDescent="0.25">
      <c r="A571" s="5">
        <v>22742</v>
      </c>
      <c r="B571">
        <v>68.839996337890597</v>
      </c>
    </row>
    <row r="572" spans="1:2" x14ac:dyDescent="0.25">
      <c r="A572" s="5">
        <v>22745</v>
      </c>
      <c r="B572">
        <v>68.309997558593807</v>
      </c>
    </row>
    <row r="573" spans="1:2" x14ac:dyDescent="0.25">
      <c r="A573" s="5">
        <v>22746</v>
      </c>
      <c r="B573">
        <v>68.559997558593807</v>
      </c>
    </row>
    <row r="574" spans="1:2" x14ac:dyDescent="0.25">
      <c r="A574" s="5">
        <v>22747</v>
      </c>
      <c r="B574">
        <v>68.410003662109403</v>
      </c>
    </row>
    <row r="575" spans="1:2" x14ac:dyDescent="0.25">
      <c r="A575" s="5">
        <v>22748</v>
      </c>
      <c r="B575">
        <v>67.900001525878906</v>
      </c>
    </row>
    <row r="576" spans="1:2" x14ac:dyDescent="0.25">
      <c r="A576" s="5">
        <v>22749</v>
      </c>
      <c r="B576">
        <v>67.900001525878906</v>
      </c>
    </row>
    <row r="577" spans="1:2" x14ac:dyDescent="0.25">
      <c r="A577" s="5">
        <v>22752</v>
      </c>
      <c r="B577">
        <v>67.599998474121094</v>
      </c>
    </row>
    <row r="578" spans="1:2" x14ac:dyDescent="0.25">
      <c r="A578" s="5">
        <v>22753</v>
      </c>
      <c r="B578">
        <v>67.900001525878906</v>
      </c>
    </row>
    <row r="579" spans="1:2" x14ac:dyDescent="0.25">
      <c r="A579" s="5">
        <v>22754</v>
      </c>
      <c r="B579">
        <v>68.269996643066406</v>
      </c>
    </row>
    <row r="580" spans="1:2" x14ac:dyDescent="0.25">
      <c r="A580" s="5">
        <v>22755</v>
      </c>
      <c r="B580">
        <v>68.589996337890597</v>
      </c>
    </row>
    <row r="581" spans="1:2" x14ac:dyDescent="0.25">
      <c r="A581" s="5">
        <v>22759</v>
      </c>
      <c r="B581">
        <v>68.529998779296903</v>
      </c>
    </row>
    <row r="582" spans="1:2" x14ac:dyDescent="0.25">
      <c r="A582" s="5">
        <v>22760</v>
      </c>
      <c r="B582">
        <v>68.459999084472699</v>
      </c>
    </row>
    <row r="583" spans="1:2" x14ac:dyDescent="0.25">
      <c r="A583" s="5">
        <v>22761</v>
      </c>
      <c r="B583">
        <v>67.709999084472699</v>
      </c>
    </row>
    <row r="584" spans="1:2" x14ac:dyDescent="0.25">
      <c r="A584" s="5">
        <v>22762</v>
      </c>
      <c r="B584">
        <v>67.050003051757798</v>
      </c>
    </row>
    <row r="585" spans="1:2" x14ac:dyDescent="0.25">
      <c r="A585" s="5">
        <v>22763</v>
      </c>
      <c r="B585">
        <v>66.300003051757798</v>
      </c>
    </row>
    <row r="586" spans="1:2" x14ac:dyDescent="0.25">
      <c r="A586" s="5">
        <v>22766</v>
      </c>
      <c r="B586">
        <v>65.239997863769503</v>
      </c>
    </row>
    <row r="587" spans="1:2" x14ac:dyDescent="0.25">
      <c r="A587" s="5">
        <v>22767</v>
      </c>
      <c r="B587">
        <v>65.699996948242202</v>
      </c>
    </row>
    <row r="588" spans="1:2" x14ac:dyDescent="0.25">
      <c r="A588" s="5">
        <v>22768</v>
      </c>
      <c r="B588">
        <v>65.989997863769503</v>
      </c>
    </row>
    <row r="589" spans="1:2" x14ac:dyDescent="0.25">
      <c r="A589" s="5">
        <v>22769</v>
      </c>
      <c r="B589">
        <v>66.529998779296903</v>
      </c>
    </row>
    <row r="590" spans="1:2" x14ac:dyDescent="0.25">
      <c r="A590" s="5">
        <v>22770</v>
      </c>
      <c r="B590">
        <v>66.239997863769503</v>
      </c>
    </row>
    <row r="591" spans="1:2" x14ac:dyDescent="0.25">
      <c r="A591" s="5">
        <v>22773</v>
      </c>
      <c r="B591">
        <v>66.019996643066406</v>
      </c>
    </row>
    <row r="592" spans="1:2" x14ac:dyDescent="0.25">
      <c r="A592" s="5">
        <v>22774</v>
      </c>
      <c r="B592">
        <v>65.169998168945298</v>
      </c>
    </row>
    <row r="593" spans="1:2" x14ac:dyDescent="0.25">
      <c r="A593" s="5">
        <v>22775</v>
      </c>
      <c r="B593">
        <v>64.260002136230497</v>
      </c>
    </row>
    <row r="594" spans="1:2" x14ac:dyDescent="0.25">
      <c r="A594" s="5">
        <v>22776</v>
      </c>
      <c r="B594">
        <v>63.569999694824197</v>
      </c>
    </row>
    <row r="595" spans="1:2" x14ac:dyDescent="0.25">
      <c r="A595" s="5">
        <v>22777</v>
      </c>
      <c r="B595">
        <v>62.650001525878899</v>
      </c>
    </row>
    <row r="596" spans="1:2" x14ac:dyDescent="0.25">
      <c r="A596" s="5">
        <v>22780</v>
      </c>
      <c r="B596">
        <v>63.099998474121101</v>
      </c>
    </row>
    <row r="597" spans="1:2" x14ac:dyDescent="0.25">
      <c r="A597" s="5">
        <v>22781</v>
      </c>
      <c r="B597">
        <v>64.290000915527301</v>
      </c>
    </row>
    <row r="598" spans="1:2" x14ac:dyDescent="0.25">
      <c r="A598" s="5">
        <v>22782</v>
      </c>
      <c r="B598">
        <v>64.269996643066406</v>
      </c>
    </row>
    <row r="599" spans="1:2" x14ac:dyDescent="0.25">
      <c r="A599" s="5">
        <v>22783</v>
      </c>
      <c r="B599">
        <v>63.930000305175803</v>
      </c>
    </row>
    <row r="600" spans="1:2" x14ac:dyDescent="0.25">
      <c r="A600" s="5">
        <v>22784</v>
      </c>
      <c r="B600">
        <v>63.819999694824197</v>
      </c>
    </row>
    <row r="601" spans="1:2" x14ac:dyDescent="0.25">
      <c r="A601" s="5">
        <v>22787</v>
      </c>
      <c r="B601">
        <v>63.590000152587898</v>
      </c>
    </row>
    <row r="602" spans="1:2" x14ac:dyDescent="0.25">
      <c r="A602" s="5">
        <v>22788</v>
      </c>
      <c r="B602">
        <v>62.340000152587898</v>
      </c>
    </row>
    <row r="603" spans="1:2" x14ac:dyDescent="0.25">
      <c r="A603" s="5">
        <v>22789</v>
      </c>
      <c r="B603">
        <v>61.110000610351598</v>
      </c>
    </row>
    <row r="604" spans="1:2" x14ac:dyDescent="0.25">
      <c r="A604" s="5">
        <v>22790</v>
      </c>
      <c r="B604">
        <v>60.619998931884801</v>
      </c>
    </row>
    <row r="605" spans="1:2" x14ac:dyDescent="0.25">
      <c r="A605" s="5">
        <v>22791</v>
      </c>
      <c r="B605">
        <v>59.470001220703097</v>
      </c>
    </row>
    <row r="606" spans="1:2" x14ac:dyDescent="0.25">
      <c r="A606" s="5">
        <v>22794</v>
      </c>
      <c r="B606">
        <v>55.5</v>
      </c>
    </row>
    <row r="607" spans="1:2" x14ac:dyDescent="0.25">
      <c r="A607" s="5">
        <v>22795</v>
      </c>
      <c r="B607">
        <v>58.080001831054702</v>
      </c>
    </row>
    <row r="608" spans="1:2" x14ac:dyDescent="0.25">
      <c r="A608" s="5">
        <v>22797</v>
      </c>
      <c r="B608">
        <v>59.630001068115199</v>
      </c>
    </row>
    <row r="609" spans="1:2" x14ac:dyDescent="0.25">
      <c r="A609" s="5">
        <v>22798</v>
      </c>
      <c r="B609">
        <v>59.380001068115199</v>
      </c>
    </row>
    <row r="610" spans="1:2" x14ac:dyDescent="0.25">
      <c r="A610" s="5">
        <v>22801</v>
      </c>
      <c r="B610">
        <v>57.2700004577637</v>
      </c>
    </row>
    <row r="611" spans="1:2" x14ac:dyDescent="0.25">
      <c r="A611" s="5">
        <v>22802</v>
      </c>
      <c r="B611">
        <v>57.569999694824197</v>
      </c>
    </row>
    <row r="612" spans="1:2" x14ac:dyDescent="0.25">
      <c r="A612" s="5">
        <v>22803</v>
      </c>
      <c r="B612">
        <v>58.389999389648402</v>
      </c>
    </row>
    <row r="613" spans="1:2" x14ac:dyDescent="0.25">
      <c r="A613" s="5">
        <v>22804</v>
      </c>
      <c r="B613">
        <v>58.400001525878899</v>
      </c>
    </row>
    <row r="614" spans="1:2" x14ac:dyDescent="0.25">
      <c r="A614" s="5">
        <v>22805</v>
      </c>
      <c r="B614">
        <v>58.450000762939503</v>
      </c>
    </row>
    <row r="615" spans="1:2" x14ac:dyDescent="0.25">
      <c r="A615" s="5">
        <v>22808</v>
      </c>
      <c r="B615">
        <v>57.819999694824197</v>
      </c>
    </row>
    <row r="616" spans="1:2" x14ac:dyDescent="0.25">
      <c r="A616" s="5">
        <v>22809</v>
      </c>
      <c r="B616">
        <v>56.340000152587898</v>
      </c>
    </row>
    <row r="617" spans="1:2" x14ac:dyDescent="0.25">
      <c r="A617" s="5">
        <v>22810</v>
      </c>
      <c r="B617">
        <v>55.5</v>
      </c>
    </row>
    <row r="618" spans="1:2" x14ac:dyDescent="0.25">
      <c r="A618" s="5">
        <v>22811</v>
      </c>
      <c r="B618">
        <v>54.330001831054702</v>
      </c>
    </row>
    <row r="619" spans="1:2" x14ac:dyDescent="0.25">
      <c r="A619" s="5">
        <v>22812</v>
      </c>
      <c r="B619">
        <v>55.889999389648402</v>
      </c>
    </row>
    <row r="620" spans="1:2" x14ac:dyDescent="0.25">
      <c r="A620" s="5">
        <v>22815</v>
      </c>
      <c r="B620">
        <v>55.740001678466797</v>
      </c>
    </row>
    <row r="621" spans="1:2" x14ac:dyDescent="0.25">
      <c r="A621" s="5">
        <v>22816</v>
      </c>
      <c r="B621">
        <v>55.540000915527301</v>
      </c>
    </row>
    <row r="622" spans="1:2" x14ac:dyDescent="0.25">
      <c r="A622" s="5">
        <v>22817</v>
      </c>
      <c r="B622">
        <v>54.779998779296903</v>
      </c>
    </row>
    <row r="623" spans="1:2" x14ac:dyDescent="0.25">
      <c r="A623" s="5">
        <v>22818</v>
      </c>
      <c r="B623">
        <v>53.590000152587898</v>
      </c>
    </row>
    <row r="624" spans="1:2" x14ac:dyDescent="0.25">
      <c r="A624" s="5">
        <v>22819</v>
      </c>
      <c r="B624">
        <v>52.680000305175803</v>
      </c>
    </row>
    <row r="625" spans="1:2" x14ac:dyDescent="0.25">
      <c r="A625" s="5">
        <v>22822</v>
      </c>
      <c r="B625">
        <v>52.450000762939503</v>
      </c>
    </row>
    <row r="626" spans="1:2" x14ac:dyDescent="0.25">
      <c r="A626" s="5">
        <v>22823</v>
      </c>
      <c r="B626">
        <v>52.319999694824197</v>
      </c>
    </row>
    <row r="627" spans="1:2" x14ac:dyDescent="0.25">
      <c r="A627" s="5">
        <v>22824</v>
      </c>
      <c r="B627">
        <v>52.599998474121101</v>
      </c>
    </row>
    <row r="628" spans="1:2" x14ac:dyDescent="0.25">
      <c r="A628" s="5">
        <v>22825</v>
      </c>
      <c r="B628">
        <v>54.409999847412102</v>
      </c>
    </row>
    <row r="629" spans="1:2" x14ac:dyDescent="0.25">
      <c r="A629" s="5">
        <v>22826</v>
      </c>
      <c r="B629">
        <v>54.75</v>
      </c>
    </row>
    <row r="630" spans="1:2" x14ac:dyDescent="0.25">
      <c r="A630" s="5">
        <v>22829</v>
      </c>
      <c r="B630">
        <v>55.860000610351598</v>
      </c>
    </row>
    <row r="631" spans="1:2" x14ac:dyDescent="0.25">
      <c r="A631" s="5">
        <v>22830</v>
      </c>
      <c r="B631">
        <v>56.490001678466797</v>
      </c>
    </row>
    <row r="632" spans="1:2" x14ac:dyDescent="0.25">
      <c r="A632" s="5">
        <v>22832</v>
      </c>
      <c r="B632">
        <v>56.810001373291001</v>
      </c>
    </row>
    <row r="633" spans="1:2" x14ac:dyDescent="0.25">
      <c r="A633" s="5">
        <v>22833</v>
      </c>
      <c r="B633">
        <v>56.169998168945298</v>
      </c>
    </row>
    <row r="634" spans="1:2" x14ac:dyDescent="0.25">
      <c r="A634" s="5">
        <v>22836</v>
      </c>
      <c r="B634">
        <v>56.549999237060497</v>
      </c>
    </row>
    <row r="635" spans="1:2" x14ac:dyDescent="0.25">
      <c r="A635" s="5">
        <v>22837</v>
      </c>
      <c r="B635">
        <v>57.200000762939503</v>
      </c>
    </row>
    <row r="636" spans="1:2" x14ac:dyDescent="0.25">
      <c r="A636" s="5">
        <v>22838</v>
      </c>
      <c r="B636">
        <v>57.7299995422363</v>
      </c>
    </row>
    <row r="637" spans="1:2" x14ac:dyDescent="0.25">
      <c r="A637" s="5">
        <v>22839</v>
      </c>
      <c r="B637">
        <v>58.029998779296903</v>
      </c>
    </row>
    <row r="638" spans="1:2" x14ac:dyDescent="0.25">
      <c r="A638" s="5">
        <v>22840</v>
      </c>
      <c r="B638">
        <v>57.830001831054702</v>
      </c>
    </row>
    <row r="639" spans="1:2" x14ac:dyDescent="0.25">
      <c r="A639" s="5">
        <v>22843</v>
      </c>
      <c r="B639">
        <v>57.830001831054702</v>
      </c>
    </row>
    <row r="640" spans="1:2" x14ac:dyDescent="0.25">
      <c r="A640" s="5">
        <v>22844</v>
      </c>
      <c r="B640">
        <v>56.779998779296903</v>
      </c>
    </row>
    <row r="641" spans="1:2" x14ac:dyDescent="0.25">
      <c r="A641" s="5">
        <v>22845</v>
      </c>
      <c r="B641">
        <v>56.200000762939503</v>
      </c>
    </row>
    <row r="642" spans="1:2" x14ac:dyDescent="0.25">
      <c r="A642" s="5">
        <v>22846</v>
      </c>
      <c r="B642">
        <v>56.419998168945298</v>
      </c>
    </row>
    <row r="643" spans="1:2" x14ac:dyDescent="0.25">
      <c r="A643" s="5">
        <v>22847</v>
      </c>
      <c r="B643">
        <v>56.810001373291001</v>
      </c>
    </row>
    <row r="644" spans="1:2" x14ac:dyDescent="0.25">
      <c r="A644" s="5">
        <v>22850</v>
      </c>
      <c r="B644">
        <v>56.799999237060497</v>
      </c>
    </row>
    <row r="645" spans="1:2" x14ac:dyDescent="0.25">
      <c r="A645" s="5">
        <v>22851</v>
      </c>
      <c r="B645">
        <v>56.360000610351598</v>
      </c>
    </row>
    <row r="646" spans="1:2" x14ac:dyDescent="0.25">
      <c r="A646" s="5">
        <v>22852</v>
      </c>
      <c r="B646">
        <v>56.459999084472699</v>
      </c>
    </row>
    <row r="647" spans="1:2" x14ac:dyDescent="0.25">
      <c r="A647" s="5">
        <v>22853</v>
      </c>
      <c r="B647">
        <v>56.7700004577637</v>
      </c>
    </row>
    <row r="648" spans="1:2" x14ac:dyDescent="0.25">
      <c r="A648" s="5">
        <v>22854</v>
      </c>
      <c r="B648">
        <v>57.200000762939503</v>
      </c>
    </row>
    <row r="649" spans="1:2" x14ac:dyDescent="0.25">
      <c r="A649" s="5">
        <v>22857</v>
      </c>
      <c r="B649">
        <v>57.830001831054702</v>
      </c>
    </row>
    <row r="650" spans="1:2" x14ac:dyDescent="0.25">
      <c r="A650" s="5">
        <v>22858</v>
      </c>
      <c r="B650">
        <v>58.2299995422363</v>
      </c>
    </row>
    <row r="651" spans="1:2" x14ac:dyDescent="0.25">
      <c r="A651" s="5">
        <v>22859</v>
      </c>
      <c r="B651">
        <v>57.75</v>
      </c>
    </row>
    <row r="652" spans="1:2" x14ac:dyDescent="0.25">
      <c r="A652" s="5">
        <v>22860</v>
      </c>
      <c r="B652">
        <v>57.9799995422363</v>
      </c>
    </row>
    <row r="653" spans="1:2" x14ac:dyDescent="0.25">
      <c r="A653" s="5">
        <v>22861</v>
      </c>
      <c r="B653">
        <v>58.119998931884801</v>
      </c>
    </row>
    <row r="654" spans="1:2" x14ac:dyDescent="0.25">
      <c r="A654" s="5">
        <v>22864</v>
      </c>
      <c r="B654">
        <v>57.75</v>
      </c>
    </row>
    <row r="655" spans="1:2" x14ac:dyDescent="0.25">
      <c r="A655" s="5">
        <v>22865</v>
      </c>
      <c r="B655">
        <v>57.360000610351598</v>
      </c>
    </row>
    <row r="656" spans="1:2" x14ac:dyDescent="0.25">
      <c r="A656" s="5">
        <v>22866</v>
      </c>
      <c r="B656">
        <v>57.509998321533203</v>
      </c>
    </row>
    <row r="657" spans="1:2" x14ac:dyDescent="0.25">
      <c r="A657" s="5">
        <v>22867</v>
      </c>
      <c r="B657">
        <v>57.569999694824197</v>
      </c>
    </row>
    <row r="658" spans="1:2" x14ac:dyDescent="0.25">
      <c r="A658" s="5">
        <v>22868</v>
      </c>
      <c r="B658">
        <v>57.549999237060497</v>
      </c>
    </row>
    <row r="659" spans="1:2" x14ac:dyDescent="0.25">
      <c r="A659" s="5">
        <v>22871</v>
      </c>
      <c r="B659">
        <v>57.630001068115199</v>
      </c>
    </row>
    <row r="660" spans="1:2" x14ac:dyDescent="0.25">
      <c r="A660" s="5">
        <v>22872</v>
      </c>
      <c r="B660">
        <v>58.25</v>
      </c>
    </row>
    <row r="661" spans="1:2" x14ac:dyDescent="0.25">
      <c r="A661" s="5">
        <v>22873</v>
      </c>
      <c r="B661">
        <v>58.659999847412102</v>
      </c>
    </row>
    <row r="662" spans="1:2" x14ac:dyDescent="0.25">
      <c r="A662" s="5">
        <v>22874</v>
      </c>
      <c r="B662">
        <v>58.639999389648402</v>
      </c>
    </row>
    <row r="663" spans="1:2" x14ac:dyDescent="0.25">
      <c r="A663" s="5">
        <v>22875</v>
      </c>
      <c r="B663">
        <v>59.009998321533203</v>
      </c>
    </row>
    <row r="664" spans="1:2" x14ac:dyDescent="0.25">
      <c r="A664" s="5">
        <v>22878</v>
      </c>
      <c r="B664">
        <v>59.369998931884801</v>
      </c>
    </row>
    <row r="665" spans="1:2" x14ac:dyDescent="0.25">
      <c r="A665" s="5">
        <v>22879</v>
      </c>
      <c r="B665">
        <v>59.119998931884801</v>
      </c>
    </row>
    <row r="666" spans="1:2" x14ac:dyDescent="0.25">
      <c r="A666" s="5">
        <v>22880</v>
      </c>
      <c r="B666">
        <v>59.779998779296903</v>
      </c>
    </row>
    <row r="667" spans="1:2" x14ac:dyDescent="0.25">
      <c r="A667" s="5">
        <v>22881</v>
      </c>
      <c r="B667">
        <v>59.700000762939503</v>
      </c>
    </row>
    <row r="668" spans="1:2" x14ac:dyDescent="0.25">
      <c r="A668" s="5">
        <v>22882</v>
      </c>
      <c r="B668">
        <v>59.580001831054702</v>
      </c>
    </row>
    <row r="669" spans="1:2" x14ac:dyDescent="0.25">
      <c r="A669" s="5">
        <v>22885</v>
      </c>
      <c r="B669">
        <v>59.549999237060497</v>
      </c>
    </row>
    <row r="670" spans="1:2" x14ac:dyDescent="0.25">
      <c r="A670" s="5">
        <v>22886</v>
      </c>
      <c r="B670">
        <v>58.790000915527301</v>
      </c>
    </row>
    <row r="671" spans="1:2" x14ac:dyDescent="0.25">
      <c r="A671" s="5">
        <v>22887</v>
      </c>
      <c r="B671">
        <v>58.659999847412102</v>
      </c>
    </row>
    <row r="672" spans="1:2" x14ac:dyDescent="0.25">
      <c r="A672" s="5">
        <v>22888</v>
      </c>
      <c r="B672">
        <v>58.680000305175803</v>
      </c>
    </row>
    <row r="673" spans="1:2" x14ac:dyDescent="0.25">
      <c r="A673" s="5">
        <v>22889</v>
      </c>
      <c r="B673">
        <v>59.119998931884801</v>
      </c>
    </row>
    <row r="674" spans="1:2" x14ac:dyDescent="0.25">
      <c r="A674" s="5">
        <v>22893</v>
      </c>
      <c r="B674">
        <v>58.560001373291001</v>
      </c>
    </row>
    <row r="675" spans="1:2" x14ac:dyDescent="0.25">
      <c r="A675" s="5">
        <v>22894</v>
      </c>
      <c r="B675">
        <v>58.119998931884801</v>
      </c>
    </row>
    <row r="676" spans="1:2" x14ac:dyDescent="0.25">
      <c r="A676" s="5">
        <v>22895</v>
      </c>
      <c r="B676">
        <v>58.360000610351598</v>
      </c>
    </row>
    <row r="677" spans="1:2" x14ac:dyDescent="0.25">
      <c r="A677" s="5">
        <v>22896</v>
      </c>
      <c r="B677">
        <v>58.380001068115199</v>
      </c>
    </row>
    <row r="678" spans="1:2" x14ac:dyDescent="0.25">
      <c r="A678" s="5">
        <v>22899</v>
      </c>
      <c r="B678">
        <v>58.450000762939503</v>
      </c>
    </row>
    <row r="679" spans="1:2" x14ac:dyDescent="0.25">
      <c r="A679" s="5">
        <v>22900</v>
      </c>
      <c r="B679">
        <v>58.590000152587898</v>
      </c>
    </row>
    <row r="680" spans="1:2" x14ac:dyDescent="0.25">
      <c r="A680" s="5">
        <v>22901</v>
      </c>
      <c r="B680">
        <v>58.840000152587898</v>
      </c>
    </row>
    <row r="681" spans="1:2" x14ac:dyDescent="0.25">
      <c r="A681" s="5">
        <v>22902</v>
      </c>
      <c r="B681">
        <v>58.700000762939503</v>
      </c>
    </row>
    <row r="682" spans="1:2" x14ac:dyDescent="0.25">
      <c r="A682" s="5">
        <v>22903</v>
      </c>
      <c r="B682">
        <v>58.889999389648402</v>
      </c>
    </row>
    <row r="683" spans="1:2" x14ac:dyDescent="0.25">
      <c r="A683" s="5">
        <v>22906</v>
      </c>
      <c r="B683">
        <v>59.080001831054702</v>
      </c>
    </row>
    <row r="684" spans="1:2" x14ac:dyDescent="0.25">
      <c r="A684" s="5">
        <v>22907</v>
      </c>
      <c r="B684">
        <v>59.029998779296903</v>
      </c>
    </row>
    <row r="685" spans="1:2" x14ac:dyDescent="0.25">
      <c r="A685" s="5">
        <v>22908</v>
      </c>
      <c r="B685">
        <v>58.950000762939503</v>
      </c>
    </row>
    <row r="686" spans="1:2" x14ac:dyDescent="0.25">
      <c r="A686" s="5">
        <v>22909</v>
      </c>
      <c r="B686">
        <v>58.540000915527301</v>
      </c>
    </row>
    <row r="687" spans="1:2" x14ac:dyDescent="0.25">
      <c r="A687" s="5">
        <v>22910</v>
      </c>
      <c r="B687">
        <v>57.689998626708999</v>
      </c>
    </row>
    <row r="688" spans="1:2" x14ac:dyDescent="0.25">
      <c r="A688" s="5">
        <v>22913</v>
      </c>
      <c r="B688">
        <v>56.630001068115199</v>
      </c>
    </row>
    <row r="689" spans="1:2" x14ac:dyDescent="0.25">
      <c r="A689" s="5">
        <v>22914</v>
      </c>
      <c r="B689">
        <v>56.959999084472699</v>
      </c>
    </row>
    <row r="690" spans="1:2" x14ac:dyDescent="0.25">
      <c r="A690" s="5">
        <v>22915</v>
      </c>
      <c r="B690">
        <v>56.150001525878899</v>
      </c>
    </row>
    <row r="691" spans="1:2" x14ac:dyDescent="0.25">
      <c r="A691" s="5">
        <v>22916</v>
      </c>
      <c r="B691">
        <v>55.7700004577637</v>
      </c>
    </row>
    <row r="692" spans="1:2" x14ac:dyDescent="0.25">
      <c r="A692" s="5">
        <v>22917</v>
      </c>
      <c r="B692">
        <v>56.2700004577637</v>
      </c>
    </row>
    <row r="693" spans="1:2" x14ac:dyDescent="0.25">
      <c r="A693" s="5">
        <v>22920</v>
      </c>
      <c r="B693">
        <v>55.490001678466797</v>
      </c>
    </row>
    <row r="694" spans="1:2" x14ac:dyDescent="0.25">
      <c r="A694" s="5">
        <v>22921</v>
      </c>
      <c r="B694">
        <v>56.099998474121101</v>
      </c>
    </row>
    <row r="695" spans="1:2" x14ac:dyDescent="0.25">
      <c r="A695" s="5">
        <v>22922</v>
      </c>
      <c r="B695">
        <v>56.159999847412102</v>
      </c>
    </row>
    <row r="696" spans="1:2" x14ac:dyDescent="0.25">
      <c r="A696" s="5">
        <v>22923</v>
      </c>
      <c r="B696">
        <v>56.700000762939503</v>
      </c>
    </row>
    <row r="697" spans="1:2" x14ac:dyDescent="0.25">
      <c r="A697" s="5">
        <v>22924</v>
      </c>
      <c r="B697">
        <v>57.069999694824197</v>
      </c>
    </row>
    <row r="698" spans="1:2" x14ac:dyDescent="0.25">
      <c r="A698" s="5">
        <v>22927</v>
      </c>
      <c r="B698">
        <v>57.069999694824197</v>
      </c>
    </row>
    <row r="699" spans="1:2" x14ac:dyDescent="0.25">
      <c r="A699" s="5">
        <v>22928</v>
      </c>
      <c r="B699">
        <v>57.200000762939503</v>
      </c>
    </row>
    <row r="700" spans="1:2" x14ac:dyDescent="0.25">
      <c r="A700" s="5">
        <v>22929</v>
      </c>
      <c r="B700">
        <v>57.240001678466797</v>
      </c>
    </row>
    <row r="701" spans="1:2" x14ac:dyDescent="0.25">
      <c r="A701" s="5">
        <v>22930</v>
      </c>
      <c r="B701">
        <v>57.049999237060497</v>
      </c>
    </row>
    <row r="702" spans="1:2" x14ac:dyDescent="0.25">
      <c r="A702" s="5">
        <v>22931</v>
      </c>
      <c r="B702">
        <v>56.950000762939503</v>
      </c>
    </row>
    <row r="703" spans="1:2" x14ac:dyDescent="0.25">
      <c r="A703" s="5">
        <v>22934</v>
      </c>
      <c r="B703">
        <v>57.2700004577637</v>
      </c>
    </row>
    <row r="704" spans="1:2" x14ac:dyDescent="0.25">
      <c r="A704" s="5">
        <v>22935</v>
      </c>
      <c r="B704">
        <v>57.080001831054702</v>
      </c>
    </row>
    <row r="705" spans="1:2" x14ac:dyDescent="0.25">
      <c r="A705" s="5">
        <v>22936</v>
      </c>
      <c r="B705">
        <v>56.889999389648402</v>
      </c>
    </row>
    <row r="706" spans="1:2" x14ac:dyDescent="0.25">
      <c r="A706" s="5">
        <v>22937</v>
      </c>
      <c r="B706">
        <v>56.340000152587898</v>
      </c>
    </row>
    <row r="707" spans="1:2" x14ac:dyDescent="0.25">
      <c r="A707" s="5">
        <v>22938</v>
      </c>
      <c r="B707">
        <v>55.590000152587898</v>
      </c>
    </row>
    <row r="708" spans="1:2" x14ac:dyDescent="0.25">
      <c r="A708" s="5">
        <v>22941</v>
      </c>
      <c r="B708">
        <v>54.959999084472699</v>
      </c>
    </row>
    <row r="709" spans="1:2" x14ac:dyDescent="0.25">
      <c r="A709" s="5">
        <v>22942</v>
      </c>
      <c r="B709">
        <v>53.490001678466797</v>
      </c>
    </row>
    <row r="710" spans="1:2" x14ac:dyDescent="0.25">
      <c r="A710" s="5">
        <v>22943</v>
      </c>
      <c r="B710">
        <v>55.209999084472699</v>
      </c>
    </row>
    <row r="711" spans="1:2" x14ac:dyDescent="0.25">
      <c r="A711" s="5">
        <v>22944</v>
      </c>
      <c r="B711">
        <v>54.689998626708999</v>
      </c>
    </row>
    <row r="712" spans="1:2" x14ac:dyDescent="0.25">
      <c r="A712" s="5">
        <v>22945</v>
      </c>
      <c r="B712">
        <v>54.540000915527301</v>
      </c>
    </row>
    <row r="713" spans="1:2" x14ac:dyDescent="0.25">
      <c r="A713" s="5">
        <v>22948</v>
      </c>
      <c r="B713">
        <v>55.720001220703097</v>
      </c>
    </row>
    <row r="714" spans="1:2" x14ac:dyDescent="0.25">
      <c r="A714" s="5">
        <v>22949</v>
      </c>
      <c r="B714">
        <v>56.540000915527301</v>
      </c>
    </row>
    <row r="715" spans="1:2" x14ac:dyDescent="0.25">
      <c r="A715" s="5">
        <v>22950</v>
      </c>
      <c r="B715">
        <v>56.5200004577637</v>
      </c>
    </row>
    <row r="716" spans="1:2" x14ac:dyDescent="0.25">
      <c r="A716" s="5">
        <v>22951</v>
      </c>
      <c r="B716">
        <v>57.119998931884801</v>
      </c>
    </row>
    <row r="717" spans="1:2" x14ac:dyDescent="0.25">
      <c r="A717" s="5">
        <v>22952</v>
      </c>
      <c r="B717">
        <v>57.75</v>
      </c>
    </row>
    <row r="718" spans="1:2" x14ac:dyDescent="0.25">
      <c r="A718" s="5">
        <v>22955</v>
      </c>
      <c r="B718">
        <v>58.349998474121101</v>
      </c>
    </row>
    <row r="719" spans="1:2" x14ac:dyDescent="0.25">
      <c r="A719" s="5">
        <v>22957</v>
      </c>
      <c r="B719">
        <v>58.709999084472699</v>
      </c>
    </row>
    <row r="720" spans="1:2" x14ac:dyDescent="0.25">
      <c r="A720" s="5">
        <v>22958</v>
      </c>
      <c r="B720">
        <v>58.319999694824197</v>
      </c>
    </row>
    <row r="721" spans="1:2" x14ac:dyDescent="0.25">
      <c r="A721" s="5">
        <v>22959</v>
      </c>
      <c r="B721">
        <v>58.779998779296903</v>
      </c>
    </row>
    <row r="722" spans="1:2" x14ac:dyDescent="0.25">
      <c r="A722" s="5">
        <v>22962</v>
      </c>
      <c r="B722">
        <v>59.590000152587898</v>
      </c>
    </row>
    <row r="723" spans="1:2" x14ac:dyDescent="0.25">
      <c r="A723" s="5">
        <v>22963</v>
      </c>
      <c r="B723">
        <v>59.459999084472699</v>
      </c>
    </row>
    <row r="724" spans="1:2" x14ac:dyDescent="0.25">
      <c r="A724" s="5">
        <v>22964</v>
      </c>
      <c r="B724">
        <v>60.159999847412102</v>
      </c>
    </row>
    <row r="725" spans="1:2" x14ac:dyDescent="0.25">
      <c r="A725" s="5">
        <v>22965</v>
      </c>
      <c r="B725">
        <v>59.970001220703097</v>
      </c>
    </row>
    <row r="726" spans="1:2" x14ac:dyDescent="0.25">
      <c r="A726" s="5">
        <v>22966</v>
      </c>
      <c r="B726">
        <v>60.159999847412102</v>
      </c>
    </row>
    <row r="727" spans="1:2" x14ac:dyDescent="0.25">
      <c r="A727" s="5">
        <v>22969</v>
      </c>
      <c r="B727">
        <v>59.819999694824197</v>
      </c>
    </row>
    <row r="728" spans="1:2" x14ac:dyDescent="0.25">
      <c r="A728" s="5">
        <v>22970</v>
      </c>
      <c r="B728">
        <v>60.450000762939503</v>
      </c>
    </row>
    <row r="729" spans="1:2" x14ac:dyDescent="0.25">
      <c r="A729" s="5">
        <v>22971</v>
      </c>
      <c r="B729">
        <v>60.810001373291001</v>
      </c>
    </row>
    <row r="730" spans="1:2" x14ac:dyDescent="0.25">
      <c r="A730" s="5">
        <v>22973</v>
      </c>
      <c r="B730">
        <v>61.540000915527301</v>
      </c>
    </row>
    <row r="731" spans="1:2" x14ac:dyDescent="0.25">
      <c r="A731" s="5">
        <v>22976</v>
      </c>
      <c r="B731">
        <v>61.360000610351598</v>
      </c>
    </row>
    <row r="732" spans="1:2" x14ac:dyDescent="0.25">
      <c r="A732" s="5">
        <v>22977</v>
      </c>
      <c r="B732">
        <v>61.7299995422363</v>
      </c>
    </row>
    <row r="733" spans="1:2" x14ac:dyDescent="0.25">
      <c r="A733" s="5">
        <v>22978</v>
      </c>
      <c r="B733">
        <v>62.119998931884801</v>
      </c>
    </row>
    <row r="734" spans="1:2" x14ac:dyDescent="0.25">
      <c r="A734" s="5">
        <v>22979</v>
      </c>
      <c r="B734">
        <v>62.409999847412102</v>
      </c>
    </row>
    <row r="735" spans="1:2" x14ac:dyDescent="0.25">
      <c r="A735" s="5">
        <v>22980</v>
      </c>
      <c r="B735">
        <v>62.259998321533203</v>
      </c>
    </row>
    <row r="736" spans="1:2" x14ac:dyDescent="0.25">
      <c r="A736" s="5">
        <v>22983</v>
      </c>
      <c r="B736">
        <v>61.939998626708999</v>
      </c>
    </row>
    <row r="737" spans="1:2" x14ac:dyDescent="0.25">
      <c r="A737" s="5">
        <v>22984</v>
      </c>
      <c r="B737">
        <v>62.639999389648402</v>
      </c>
    </row>
    <row r="738" spans="1:2" x14ac:dyDescent="0.25">
      <c r="A738" s="5">
        <v>22985</v>
      </c>
      <c r="B738">
        <v>62.389999389648402</v>
      </c>
    </row>
    <row r="739" spans="1:2" x14ac:dyDescent="0.25">
      <c r="A739" s="5">
        <v>22986</v>
      </c>
      <c r="B739">
        <v>62.930000305175803</v>
      </c>
    </row>
    <row r="740" spans="1:2" x14ac:dyDescent="0.25">
      <c r="A740" s="5">
        <v>22987</v>
      </c>
      <c r="B740">
        <v>63.060001373291001</v>
      </c>
    </row>
    <row r="741" spans="1:2" x14ac:dyDescent="0.25">
      <c r="A741" s="5">
        <v>22990</v>
      </c>
      <c r="B741">
        <v>62.2700004577637</v>
      </c>
    </row>
    <row r="742" spans="1:2" x14ac:dyDescent="0.25">
      <c r="A742" s="5">
        <v>22991</v>
      </c>
      <c r="B742">
        <v>62.319999694824197</v>
      </c>
    </row>
    <row r="743" spans="1:2" x14ac:dyDescent="0.25">
      <c r="A743" s="5">
        <v>22992</v>
      </c>
      <c r="B743">
        <v>62.630001068115199</v>
      </c>
    </row>
    <row r="744" spans="1:2" x14ac:dyDescent="0.25">
      <c r="A744" s="5">
        <v>22993</v>
      </c>
      <c r="B744">
        <v>62.419998168945298</v>
      </c>
    </row>
    <row r="745" spans="1:2" x14ac:dyDescent="0.25">
      <c r="A745" s="5">
        <v>22994</v>
      </c>
      <c r="B745">
        <v>62.569999694824197</v>
      </c>
    </row>
    <row r="746" spans="1:2" x14ac:dyDescent="0.25">
      <c r="A746" s="5">
        <v>22997</v>
      </c>
      <c r="B746">
        <v>62.369998931884801</v>
      </c>
    </row>
    <row r="747" spans="1:2" x14ac:dyDescent="0.25">
      <c r="A747" s="5">
        <v>22998</v>
      </c>
      <c r="B747">
        <v>62.069999694824197</v>
      </c>
    </row>
    <row r="748" spans="1:2" x14ac:dyDescent="0.25">
      <c r="A748" s="5">
        <v>22999</v>
      </c>
      <c r="B748">
        <v>62.580001831054702</v>
      </c>
    </row>
    <row r="749" spans="1:2" x14ac:dyDescent="0.25">
      <c r="A749" s="5">
        <v>23000</v>
      </c>
      <c r="B749">
        <v>62.819999694824197</v>
      </c>
    </row>
    <row r="750" spans="1:2" x14ac:dyDescent="0.25">
      <c r="A750" s="5">
        <v>23001</v>
      </c>
      <c r="B750">
        <v>62.639999389648402</v>
      </c>
    </row>
    <row r="751" spans="1:2" x14ac:dyDescent="0.25">
      <c r="A751" s="5">
        <v>23004</v>
      </c>
      <c r="B751">
        <v>62.630001068115199</v>
      </c>
    </row>
    <row r="752" spans="1:2" x14ac:dyDescent="0.25">
      <c r="A752" s="5">
        <v>23006</v>
      </c>
      <c r="B752">
        <v>63.0200004577637</v>
      </c>
    </row>
    <row r="753" spans="1:2" x14ac:dyDescent="0.25">
      <c r="A753" s="5">
        <v>23007</v>
      </c>
      <c r="B753">
        <v>62.930000305175803</v>
      </c>
    </row>
    <row r="754" spans="1:2" x14ac:dyDescent="0.25">
      <c r="A754" s="5">
        <v>23008</v>
      </c>
      <c r="B754">
        <v>62.959999084472699</v>
      </c>
    </row>
    <row r="755" spans="1:2" x14ac:dyDescent="0.25">
      <c r="A755" s="5">
        <v>23011</v>
      </c>
      <c r="B755">
        <v>63.099998474121101</v>
      </c>
    </row>
    <row r="756" spans="1:2" x14ac:dyDescent="0.25">
      <c r="A756" s="5">
        <v>23013</v>
      </c>
      <c r="B756">
        <v>62.689998626708999</v>
      </c>
    </row>
    <row r="757" spans="1:2" x14ac:dyDescent="0.25">
      <c r="A757" s="5">
        <v>23014</v>
      </c>
      <c r="B757">
        <v>63.720001220703097</v>
      </c>
    </row>
    <row r="758" spans="1:2" x14ac:dyDescent="0.25">
      <c r="A758" s="5">
        <v>23015</v>
      </c>
      <c r="B758">
        <v>64.129997253417997</v>
      </c>
    </row>
    <row r="759" spans="1:2" x14ac:dyDescent="0.25">
      <c r="A759" s="5">
        <v>23018</v>
      </c>
      <c r="B759">
        <v>64.120002746582003</v>
      </c>
    </row>
    <row r="760" spans="1:2" x14ac:dyDescent="0.25">
      <c r="A760" s="5">
        <v>23019</v>
      </c>
      <c r="B760">
        <v>64.739997863769503</v>
      </c>
    </row>
    <row r="761" spans="1:2" x14ac:dyDescent="0.25">
      <c r="A761" s="5">
        <v>23020</v>
      </c>
      <c r="B761">
        <v>64.589996337890597</v>
      </c>
    </row>
    <row r="762" spans="1:2" x14ac:dyDescent="0.25">
      <c r="A762" s="5">
        <v>23021</v>
      </c>
      <c r="B762">
        <v>64.709999084472699</v>
      </c>
    </row>
    <row r="763" spans="1:2" x14ac:dyDescent="0.25">
      <c r="A763" s="5">
        <v>23022</v>
      </c>
      <c r="B763">
        <v>64.849998474121094</v>
      </c>
    </row>
    <row r="764" spans="1:2" x14ac:dyDescent="0.25">
      <c r="A764" s="5">
        <v>23025</v>
      </c>
      <c r="B764">
        <v>65.199996948242202</v>
      </c>
    </row>
    <row r="765" spans="1:2" x14ac:dyDescent="0.25">
      <c r="A765" s="5">
        <v>23026</v>
      </c>
      <c r="B765">
        <v>65.110000610351605</v>
      </c>
    </row>
    <row r="766" spans="1:2" x14ac:dyDescent="0.25">
      <c r="A766" s="5">
        <v>23027</v>
      </c>
      <c r="B766">
        <v>64.669998168945298</v>
      </c>
    </row>
    <row r="767" spans="1:2" x14ac:dyDescent="0.25">
      <c r="A767" s="5">
        <v>23028</v>
      </c>
      <c r="B767">
        <v>65.129997253417997</v>
      </c>
    </row>
    <row r="768" spans="1:2" x14ac:dyDescent="0.25">
      <c r="A768" s="5">
        <v>23029</v>
      </c>
      <c r="B768">
        <v>65.180000305175795</v>
      </c>
    </row>
    <row r="769" spans="1:2" x14ac:dyDescent="0.25">
      <c r="A769" s="5">
        <v>23032</v>
      </c>
      <c r="B769">
        <v>65.279998779296903</v>
      </c>
    </row>
    <row r="770" spans="1:2" x14ac:dyDescent="0.25">
      <c r="A770" s="5">
        <v>23033</v>
      </c>
      <c r="B770">
        <v>65.440002441406193</v>
      </c>
    </row>
    <row r="771" spans="1:2" x14ac:dyDescent="0.25">
      <c r="A771" s="5">
        <v>23034</v>
      </c>
      <c r="B771">
        <v>65.620002746582003</v>
      </c>
    </row>
    <row r="772" spans="1:2" x14ac:dyDescent="0.25">
      <c r="A772" s="5">
        <v>23035</v>
      </c>
      <c r="B772">
        <v>65.75</v>
      </c>
    </row>
    <row r="773" spans="1:2" x14ac:dyDescent="0.25">
      <c r="A773" s="5">
        <v>23036</v>
      </c>
      <c r="B773">
        <v>65.919998168945298</v>
      </c>
    </row>
    <row r="774" spans="1:2" x14ac:dyDescent="0.25">
      <c r="A774" s="5">
        <v>23039</v>
      </c>
      <c r="B774">
        <v>66.239997863769503</v>
      </c>
    </row>
    <row r="775" spans="1:2" x14ac:dyDescent="0.25">
      <c r="A775" s="5">
        <v>23040</v>
      </c>
      <c r="B775">
        <v>66.230003356933594</v>
      </c>
    </row>
    <row r="776" spans="1:2" x14ac:dyDescent="0.25">
      <c r="A776" s="5">
        <v>23041</v>
      </c>
      <c r="B776">
        <v>65.849998474121094</v>
      </c>
    </row>
    <row r="777" spans="1:2" x14ac:dyDescent="0.25">
      <c r="A777" s="5">
        <v>23042</v>
      </c>
      <c r="B777">
        <v>66.199996948242202</v>
      </c>
    </row>
    <row r="778" spans="1:2" x14ac:dyDescent="0.25">
      <c r="A778" s="5">
        <v>23043</v>
      </c>
      <c r="B778">
        <v>66.309997558593807</v>
      </c>
    </row>
    <row r="779" spans="1:2" x14ac:dyDescent="0.25">
      <c r="A779" s="5">
        <v>23046</v>
      </c>
      <c r="B779">
        <v>66.169998168945298</v>
      </c>
    </row>
    <row r="780" spans="1:2" x14ac:dyDescent="0.25">
      <c r="A780" s="5">
        <v>23047</v>
      </c>
      <c r="B780">
        <v>66.110000610351605</v>
      </c>
    </row>
    <row r="781" spans="1:2" x14ac:dyDescent="0.25">
      <c r="A781" s="5">
        <v>23048</v>
      </c>
      <c r="B781">
        <v>66.400001525878906</v>
      </c>
    </row>
    <row r="782" spans="1:2" x14ac:dyDescent="0.25">
      <c r="A782" s="5">
        <v>23049</v>
      </c>
      <c r="B782">
        <v>66.169998168945298</v>
      </c>
    </row>
    <row r="783" spans="1:2" x14ac:dyDescent="0.25">
      <c r="A783" s="5">
        <v>23050</v>
      </c>
      <c r="B783">
        <v>66.169998168945298</v>
      </c>
    </row>
    <row r="784" spans="1:2" x14ac:dyDescent="0.25">
      <c r="A784" s="5">
        <v>23053</v>
      </c>
      <c r="B784">
        <v>65.760002136230497</v>
      </c>
    </row>
    <row r="785" spans="1:2" x14ac:dyDescent="0.25">
      <c r="A785" s="5">
        <v>23054</v>
      </c>
      <c r="B785">
        <v>65.830001831054702</v>
      </c>
    </row>
    <row r="786" spans="1:2" x14ac:dyDescent="0.25">
      <c r="A786" s="5">
        <v>23055</v>
      </c>
      <c r="B786">
        <v>66.150001525878906</v>
      </c>
    </row>
    <row r="787" spans="1:2" x14ac:dyDescent="0.25">
      <c r="A787" s="5">
        <v>23056</v>
      </c>
      <c r="B787">
        <v>66.349998474121094</v>
      </c>
    </row>
    <row r="788" spans="1:2" x14ac:dyDescent="0.25">
      <c r="A788" s="5">
        <v>23057</v>
      </c>
      <c r="B788">
        <v>66.410003662109403</v>
      </c>
    </row>
    <row r="789" spans="1:2" x14ac:dyDescent="0.25">
      <c r="A789" s="5">
        <v>23060</v>
      </c>
      <c r="B789">
        <v>66.519996643066406</v>
      </c>
    </row>
    <row r="790" spans="1:2" x14ac:dyDescent="0.25">
      <c r="A790" s="5">
        <v>23061</v>
      </c>
      <c r="B790">
        <v>66.199996948242202</v>
      </c>
    </row>
    <row r="791" spans="1:2" x14ac:dyDescent="0.25">
      <c r="A791" s="5">
        <v>23062</v>
      </c>
      <c r="B791">
        <v>65.830001831054702</v>
      </c>
    </row>
    <row r="792" spans="1:2" x14ac:dyDescent="0.25">
      <c r="A792" s="5">
        <v>23063</v>
      </c>
      <c r="B792">
        <v>65.919998168945298</v>
      </c>
    </row>
    <row r="793" spans="1:2" x14ac:dyDescent="0.25">
      <c r="A793" s="5">
        <v>23067</v>
      </c>
      <c r="B793">
        <v>65.459999084472699</v>
      </c>
    </row>
    <row r="794" spans="1:2" x14ac:dyDescent="0.25">
      <c r="A794" s="5">
        <v>23068</v>
      </c>
      <c r="B794">
        <v>65.470001220703097</v>
      </c>
    </row>
    <row r="795" spans="1:2" x14ac:dyDescent="0.25">
      <c r="A795" s="5">
        <v>23069</v>
      </c>
      <c r="B795">
        <v>65.010002136230497</v>
      </c>
    </row>
    <row r="796" spans="1:2" x14ac:dyDescent="0.25">
      <c r="A796" s="5">
        <v>23070</v>
      </c>
      <c r="B796">
        <v>64.290000915527301</v>
      </c>
    </row>
    <row r="797" spans="1:2" x14ac:dyDescent="0.25">
      <c r="A797" s="5">
        <v>23071</v>
      </c>
      <c r="B797">
        <v>64.099998474121094</v>
      </c>
    </row>
    <row r="798" spans="1:2" x14ac:dyDescent="0.25">
      <c r="A798" s="5">
        <v>23074</v>
      </c>
      <c r="B798">
        <v>64.720001220703097</v>
      </c>
    </row>
    <row r="799" spans="1:2" x14ac:dyDescent="0.25">
      <c r="A799" s="5">
        <v>23075</v>
      </c>
      <c r="B799">
        <v>64.739997863769503</v>
      </c>
    </row>
    <row r="800" spans="1:2" x14ac:dyDescent="0.25">
      <c r="A800" s="5">
        <v>23076</v>
      </c>
      <c r="B800">
        <v>64.849998474121094</v>
      </c>
    </row>
    <row r="801" spans="1:2" x14ac:dyDescent="0.25">
      <c r="A801" s="5">
        <v>23077</v>
      </c>
      <c r="B801">
        <v>65.260002136230497</v>
      </c>
    </row>
    <row r="802" spans="1:2" x14ac:dyDescent="0.25">
      <c r="A802" s="5">
        <v>23078</v>
      </c>
      <c r="B802">
        <v>65.330001831054702</v>
      </c>
    </row>
    <row r="803" spans="1:2" x14ac:dyDescent="0.25">
      <c r="A803" s="5">
        <v>23081</v>
      </c>
      <c r="B803">
        <v>65.510002136230497</v>
      </c>
    </row>
    <row r="804" spans="1:2" x14ac:dyDescent="0.25">
      <c r="A804" s="5">
        <v>23082</v>
      </c>
      <c r="B804">
        <v>65.669998168945298</v>
      </c>
    </row>
    <row r="805" spans="1:2" x14ac:dyDescent="0.25">
      <c r="A805" s="5">
        <v>23083</v>
      </c>
      <c r="B805">
        <v>65.910003662109403</v>
      </c>
    </row>
    <row r="806" spans="1:2" x14ac:dyDescent="0.25">
      <c r="A806" s="5">
        <v>23084</v>
      </c>
      <c r="B806">
        <v>65.599998474121094</v>
      </c>
    </row>
    <row r="807" spans="1:2" x14ac:dyDescent="0.25">
      <c r="A807" s="5">
        <v>23085</v>
      </c>
      <c r="B807">
        <v>65.930000305175795</v>
      </c>
    </row>
    <row r="808" spans="1:2" x14ac:dyDescent="0.25">
      <c r="A808" s="5">
        <v>23088</v>
      </c>
      <c r="B808">
        <v>65.610000610351605</v>
      </c>
    </row>
    <row r="809" spans="1:2" x14ac:dyDescent="0.25">
      <c r="A809" s="5">
        <v>23089</v>
      </c>
      <c r="B809">
        <v>65.470001220703097</v>
      </c>
    </row>
    <row r="810" spans="1:2" x14ac:dyDescent="0.25">
      <c r="A810" s="5">
        <v>23090</v>
      </c>
      <c r="B810">
        <v>65.949996948242202</v>
      </c>
    </row>
    <row r="811" spans="1:2" x14ac:dyDescent="0.25">
      <c r="A811" s="5">
        <v>23091</v>
      </c>
      <c r="B811">
        <v>65.849998474121094</v>
      </c>
    </row>
    <row r="812" spans="1:2" x14ac:dyDescent="0.25">
      <c r="A812" s="5">
        <v>23092</v>
      </c>
      <c r="B812">
        <v>66.190002441406193</v>
      </c>
    </row>
    <row r="813" spans="1:2" x14ac:dyDescent="0.25">
      <c r="A813" s="5">
        <v>23095</v>
      </c>
      <c r="B813">
        <v>66.209999084472699</v>
      </c>
    </row>
    <row r="814" spans="1:2" x14ac:dyDescent="0.25">
      <c r="A814" s="5">
        <v>23096</v>
      </c>
      <c r="B814">
        <v>66.400001525878906</v>
      </c>
    </row>
    <row r="815" spans="1:2" x14ac:dyDescent="0.25">
      <c r="A815" s="5">
        <v>23097</v>
      </c>
      <c r="B815">
        <v>66.680000305175795</v>
      </c>
    </row>
    <row r="816" spans="1:2" x14ac:dyDescent="0.25">
      <c r="A816" s="5">
        <v>23098</v>
      </c>
      <c r="B816">
        <v>66.580001831054702</v>
      </c>
    </row>
    <row r="817" spans="1:2" x14ac:dyDescent="0.25">
      <c r="A817" s="5">
        <v>23099</v>
      </c>
      <c r="B817">
        <v>66.569999694824205</v>
      </c>
    </row>
    <row r="818" spans="1:2" x14ac:dyDescent="0.25">
      <c r="A818" s="5">
        <v>23102</v>
      </c>
      <c r="B818">
        <v>66.849998474121094</v>
      </c>
    </row>
    <row r="819" spans="1:2" x14ac:dyDescent="0.25">
      <c r="A819" s="5">
        <v>23103</v>
      </c>
      <c r="B819">
        <v>66.839996337890597</v>
      </c>
    </row>
    <row r="820" spans="1:2" x14ac:dyDescent="0.25">
      <c r="A820" s="5">
        <v>23104</v>
      </c>
      <c r="B820">
        <v>67.360000610351605</v>
      </c>
    </row>
    <row r="821" spans="1:2" x14ac:dyDescent="0.25">
      <c r="A821" s="5">
        <v>23105</v>
      </c>
      <c r="B821">
        <v>67.849998474121094</v>
      </c>
    </row>
    <row r="822" spans="1:2" x14ac:dyDescent="0.25">
      <c r="A822" s="5">
        <v>23106</v>
      </c>
      <c r="B822">
        <v>68.279998779296903</v>
      </c>
    </row>
    <row r="823" spans="1:2" x14ac:dyDescent="0.25">
      <c r="A823" s="5">
        <v>23109</v>
      </c>
      <c r="B823">
        <v>68.519996643066406</v>
      </c>
    </row>
    <row r="824" spans="1:2" x14ac:dyDescent="0.25">
      <c r="A824" s="5">
        <v>23110</v>
      </c>
      <c r="B824">
        <v>68.449996948242202</v>
      </c>
    </row>
    <row r="825" spans="1:2" x14ac:dyDescent="0.25">
      <c r="A825" s="5">
        <v>23111</v>
      </c>
      <c r="B825">
        <v>68.290000915527301</v>
      </c>
    </row>
    <row r="826" spans="1:2" x14ac:dyDescent="0.25">
      <c r="A826" s="5">
        <v>23112</v>
      </c>
      <c r="B826">
        <v>68.769996643066406</v>
      </c>
    </row>
    <row r="827" spans="1:2" x14ac:dyDescent="0.25">
      <c r="A827" s="5">
        <v>23116</v>
      </c>
      <c r="B827">
        <v>69.089996337890597</v>
      </c>
    </row>
    <row r="828" spans="1:2" x14ac:dyDescent="0.25">
      <c r="A828" s="5">
        <v>23117</v>
      </c>
      <c r="B828">
        <v>69.139999389648395</v>
      </c>
    </row>
    <row r="829" spans="1:2" x14ac:dyDescent="0.25">
      <c r="A829" s="5">
        <v>23118</v>
      </c>
      <c r="B829">
        <v>68.919998168945298</v>
      </c>
    </row>
    <row r="830" spans="1:2" x14ac:dyDescent="0.25">
      <c r="A830" s="5">
        <v>23119</v>
      </c>
      <c r="B830">
        <v>68.889999389648395</v>
      </c>
    </row>
    <row r="831" spans="1:2" x14ac:dyDescent="0.25">
      <c r="A831" s="5">
        <v>23120</v>
      </c>
      <c r="B831">
        <v>69.230003356933594</v>
      </c>
    </row>
    <row r="832" spans="1:2" x14ac:dyDescent="0.25">
      <c r="A832" s="5">
        <v>23123</v>
      </c>
      <c r="B832">
        <v>69.300003051757798</v>
      </c>
    </row>
    <row r="833" spans="1:2" x14ac:dyDescent="0.25">
      <c r="A833" s="5">
        <v>23124</v>
      </c>
      <c r="B833">
        <v>69.529998779296903</v>
      </c>
    </row>
    <row r="834" spans="1:2" x14ac:dyDescent="0.25">
      <c r="A834" s="5">
        <v>23125</v>
      </c>
      <c r="B834">
        <v>69.720001220703097</v>
      </c>
    </row>
    <row r="835" spans="1:2" x14ac:dyDescent="0.25">
      <c r="A835" s="5">
        <v>23126</v>
      </c>
      <c r="B835">
        <v>69.760002136230497</v>
      </c>
    </row>
    <row r="836" spans="1:2" x14ac:dyDescent="0.25">
      <c r="A836" s="5">
        <v>23127</v>
      </c>
      <c r="B836">
        <v>69.699996948242202</v>
      </c>
    </row>
    <row r="837" spans="1:2" x14ac:dyDescent="0.25">
      <c r="A837" s="5">
        <v>23130</v>
      </c>
      <c r="B837">
        <v>69.650001525878906</v>
      </c>
    </row>
    <row r="838" spans="1:2" x14ac:dyDescent="0.25">
      <c r="A838" s="5">
        <v>23131</v>
      </c>
      <c r="B838">
        <v>69.800003051757798</v>
      </c>
    </row>
    <row r="839" spans="1:2" x14ac:dyDescent="0.25">
      <c r="A839" s="5">
        <v>23132</v>
      </c>
      <c r="B839">
        <v>69.970001220703097</v>
      </c>
    </row>
    <row r="840" spans="1:2" x14ac:dyDescent="0.25">
      <c r="A840" s="5">
        <v>23133</v>
      </c>
      <c r="B840">
        <v>70.169998168945298</v>
      </c>
    </row>
    <row r="841" spans="1:2" x14ac:dyDescent="0.25">
      <c r="A841" s="5">
        <v>23134</v>
      </c>
      <c r="B841">
        <v>70.029998779296903</v>
      </c>
    </row>
    <row r="842" spans="1:2" x14ac:dyDescent="0.25">
      <c r="A842" s="5">
        <v>23137</v>
      </c>
      <c r="B842">
        <v>69.529998779296903</v>
      </c>
    </row>
    <row r="843" spans="1:2" x14ac:dyDescent="0.25">
      <c r="A843" s="5">
        <v>23138</v>
      </c>
      <c r="B843">
        <v>69.440002441406193</v>
      </c>
    </row>
    <row r="844" spans="1:2" x14ac:dyDescent="0.25">
      <c r="A844" s="5">
        <v>23139</v>
      </c>
      <c r="B844">
        <v>70.010002136230497</v>
      </c>
    </row>
    <row r="845" spans="1:2" x14ac:dyDescent="0.25">
      <c r="A845" s="5">
        <v>23140</v>
      </c>
      <c r="B845">
        <v>70.349998474121094</v>
      </c>
    </row>
    <row r="846" spans="1:2" x14ac:dyDescent="0.25">
      <c r="A846" s="5">
        <v>23141</v>
      </c>
      <c r="B846">
        <v>70.519996643066406</v>
      </c>
    </row>
    <row r="847" spans="1:2" x14ac:dyDescent="0.25">
      <c r="A847" s="5">
        <v>23144</v>
      </c>
      <c r="B847">
        <v>70.480003356933594</v>
      </c>
    </row>
    <row r="848" spans="1:2" x14ac:dyDescent="0.25">
      <c r="A848" s="5">
        <v>23145</v>
      </c>
      <c r="B848">
        <v>70.209999084472699</v>
      </c>
    </row>
    <row r="849" spans="1:2" x14ac:dyDescent="0.25">
      <c r="A849" s="5">
        <v>23146</v>
      </c>
      <c r="B849">
        <v>70.430000305175795</v>
      </c>
    </row>
    <row r="850" spans="1:2" x14ac:dyDescent="0.25">
      <c r="A850" s="5">
        <v>23147</v>
      </c>
      <c r="B850">
        <v>70.25</v>
      </c>
    </row>
    <row r="851" spans="1:2" x14ac:dyDescent="0.25">
      <c r="A851" s="5">
        <v>23148</v>
      </c>
      <c r="B851">
        <v>70.290000915527301</v>
      </c>
    </row>
    <row r="852" spans="1:2" x14ac:dyDescent="0.25">
      <c r="A852" s="5">
        <v>23151</v>
      </c>
      <c r="B852">
        <v>69.959999084472699</v>
      </c>
    </row>
    <row r="853" spans="1:2" x14ac:dyDescent="0.25">
      <c r="A853" s="5">
        <v>23152</v>
      </c>
      <c r="B853">
        <v>70.139999389648395</v>
      </c>
    </row>
    <row r="854" spans="1:2" x14ac:dyDescent="0.25">
      <c r="A854" s="5">
        <v>23153</v>
      </c>
      <c r="B854">
        <v>70.139999389648395</v>
      </c>
    </row>
    <row r="855" spans="1:2" x14ac:dyDescent="0.25">
      <c r="A855" s="5">
        <v>23154</v>
      </c>
      <c r="B855">
        <v>70.099998474121094</v>
      </c>
    </row>
    <row r="856" spans="1:2" x14ac:dyDescent="0.25">
      <c r="A856" s="5">
        <v>23155</v>
      </c>
      <c r="B856">
        <v>70.019996643066406</v>
      </c>
    </row>
    <row r="857" spans="1:2" x14ac:dyDescent="0.25">
      <c r="A857" s="5">
        <v>23158</v>
      </c>
      <c r="B857">
        <v>69.870002746582003</v>
      </c>
    </row>
    <row r="858" spans="1:2" x14ac:dyDescent="0.25">
      <c r="A858" s="5">
        <v>23159</v>
      </c>
      <c r="B858">
        <v>70.010002136230497</v>
      </c>
    </row>
    <row r="859" spans="1:2" x14ac:dyDescent="0.25">
      <c r="A859" s="5">
        <v>23160</v>
      </c>
      <c r="B859">
        <v>70.330001831054702</v>
      </c>
    </row>
    <row r="860" spans="1:2" x14ac:dyDescent="0.25">
      <c r="A860" s="5">
        <v>23162</v>
      </c>
      <c r="B860">
        <v>70.800003051757798</v>
      </c>
    </row>
    <row r="861" spans="1:2" x14ac:dyDescent="0.25">
      <c r="A861" s="5">
        <v>23165</v>
      </c>
      <c r="B861">
        <v>70.690002441406193</v>
      </c>
    </row>
    <row r="862" spans="1:2" x14ac:dyDescent="0.25">
      <c r="A862" s="5">
        <v>23166</v>
      </c>
      <c r="B862">
        <v>70.699996948242202</v>
      </c>
    </row>
    <row r="863" spans="1:2" x14ac:dyDescent="0.25">
      <c r="A863" s="5">
        <v>23167</v>
      </c>
      <c r="B863">
        <v>70.529998779296903</v>
      </c>
    </row>
    <row r="864" spans="1:2" x14ac:dyDescent="0.25">
      <c r="A864" s="5">
        <v>23168</v>
      </c>
      <c r="B864">
        <v>70.580001831054702</v>
      </c>
    </row>
    <row r="865" spans="1:2" x14ac:dyDescent="0.25">
      <c r="A865" s="5">
        <v>23169</v>
      </c>
      <c r="B865">
        <v>70.410003662109403</v>
      </c>
    </row>
    <row r="866" spans="1:2" x14ac:dyDescent="0.25">
      <c r="A866" s="5">
        <v>23172</v>
      </c>
      <c r="B866">
        <v>69.940002441406193</v>
      </c>
    </row>
    <row r="867" spans="1:2" x14ac:dyDescent="0.25">
      <c r="A867" s="5">
        <v>23173</v>
      </c>
      <c r="B867">
        <v>70.029998779296903</v>
      </c>
    </row>
    <row r="868" spans="1:2" x14ac:dyDescent="0.25">
      <c r="A868" s="5">
        <v>23174</v>
      </c>
      <c r="B868">
        <v>70.410003662109403</v>
      </c>
    </row>
    <row r="869" spans="1:2" x14ac:dyDescent="0.25">
      <c r="A869" s="5">
        <v>23175</v>
      </c>
      <c r="B869">
        <v>70.230003356933594</v>
      </c>
    </row>
    <row r="870" spans="1:2" x14ac:dyDescent="0.25">
      <c r="A870" s="5">
        <v>23176</v>
      </c>
      <c r="B870">
        <v>70.25</v>
      </c>
    </row>
    <row r="871" spans="1:2" x14ac:dyDescent="0.25">
      <c r="A871" s="5">
        <v>23179</v>
      </c>
      <c r="B871">
        <v>69.949996948242202</v>
      </c>
    </row>
    <row r="872" spans="1:2" x14ac:dyDescent="0.25">
      <c r="A872" s="5">
        <v>23180</v>
      </c>
      <c r="B872">
        <v>70.019996643066406</v>
      </c>
    </row>
    <row r="873" spans="1:2" x14ac:dyDescent="0.25">
      <c r="A873" s="5">
        <v>23181</v>
      </c>
      <c r="B873">
        <v>70.089996337890597</v>
      </c>
    </row>
    <row r="874" spans="1:2" x14ac:dyDescent="0.25">
      <c r="A874" s="5">
        <v>23182</v>
      </c>
      <c r="B874">
        <v>70.010002136230497</v>
      </c>
    </row>
    <row r="875" spans="1:2" x14ac:dyDescent="0.25">
      <c r="A875" s="5">
        <v>23183</v>
      </c>
      <c r="B875">
        <v>70.25</v>
      </c>
    </row>
    <row r="876" spans="1:2" x14ac:dyDescent="0.25">
      <c r="A876" s="5">
        <v>23186</v>
      </c>
      <c r="B876">
        <v>70.199996948242202</v>
      </c>
    </row>
    <row r="877" spans="1:2" x14ac:dyDescent="0.25">
      <c r="A877" s="5">
        <v>23187</v>
      </c>
      <c r="B877">
        <v>70.040000915527301</v>
      </c>
    </row>
    <row r="878" spans="1:2" x14ac:dyDescent="0.25">
      <c r="A878" s="5">
        <v>23188</v>
      </c>
      <c r="B878">
        <v>69.410003662109403</v>
      </c>
    </row>
    <row r="879" spans="1:2" x14ac:dyDescent="0.25">
      <c r="A879" s="5">
        <v>23189</v>
      </c>
      <c r="B879">
        <v>69.069999694824205</v>
      </c>
    </row>
    <row r="880" spans="1:2" x14ac:dyDescent="0.25">
      <c r="A880" s="5">
        <v>23190</v>
      </c>
      <c r="B880">
        <v>69.370002746582003</v>
      </c>
    </row>
    <row r="881" spans="1:2" x14ac:dyDescent="0.25">
      <c r="A881" s="5">
        <v>23193</v>
      </c>
      <c r="B881">
        <v>68.860000610351605</v>
      </c>
    </row>
    <row r="882" spans="1:2" x14ac:dyDescent="0.25">
      <c r="A882" s="5">
        <v>23194</v>
      </c>
      <c r="B882">
        <v>69.459999084472699</v>
      </c>
    </row>
    <row r="883" spans="1:2" x14ac:dyDescent="0.25">
      <c r="A883" s="5">
        <v>23195</v>
      </c>
      <c r="B883">
        <v>69.940002441406193</v>
      </c>
    </row>
    <row r="884" spans="1:2" x14ac:dyDescent="0.25">
      <c r="A884" s="5">
        <v>23197</v>
      </c>
      <c r="B884">
        <v>70.220001220703097</v>
      </c>
    </row>
    <row r="885" spans="1:2" x14ac:dyDescent="0.25">
      <c r="A885" s="5">
        <v>23200</v>
      </c>
      <c r="B885">
        <v>69.739997863769503</v>
      </c>
    </row>
    <row r="886" spans="1:2" x14ac:dyDescent="0.25">
      <c r="A886" s="5">
        <v>23201</v>
      </c>
      <c r="B886">
        <v>70.040000915527301</v>
      </c>
    </row>
    <row r="887" spans="1:2" x14ac:dyDescent="0.25">
      <c r="A887" s="5">
        <v>23202</v>
      </c>
      <c r="B887">
        <v>69.889999389648395</v>
      </c>
    </row>
    <row r="888" spans="1:2" x14ac:dyDescent="0.25">
      <c r="A888" s="5">
        <v>23203</v>
      </c>
      <c r="B888">
        <v>69.760002136230497</v>
      </c>
    </row>
    <row r="889" spans="1:2" x14ac:dyDescent="0.25">
      <c r="A889" s="5">
        <v>23204</v>
      </c>
      <c r="B889">
        <v>69.639999389648395</v>
      </c>
    </row>
    <row r="890" spans="1:2" x14ac:dyDescent="0.25">
      <c r="A890" s="5">
        <v>23207</v>
      </c>
      <c r="B890">
        <v>69.199996948242202</v>
      </c>
    </row>
    <row r="891" spans="1:2" x14ac:dyDescent="0.25">
      <c r="A891" s="5">
        <v>23208</v>
      </c>
      <c r="B891">
        <v>69.139999389648395</v>
      </c>
    </row>
    <row r="892" spans="1:2" x14ac:dyDescent="0.25">
      <c r="A892" s="5">
        <v>23209</v>
      </c>
      <c r="B892">
        <v>68.930000305175795</v>
      </c>
    </row>
    <row r="893" spans="1:2" x14ac:dyDescent="0.25">
      <c r="A893" s="5">
        <v>23210</v>
      </c>
      <c r="B893">
        <v>68.489997863769503</v>
      </c>
    </row>
    <row r="894" spans="1:2" x14ac:dyDescent="0.25">
      <c r="A894" s="5">
        <v>23211</v>
      </c>
      <c r="B894">
        <v>68.349998474121094</v>
      </c>
    </row>
    <row r="895" spans="1:2" x14ac:dyDescent="0.25">
      <c r="A895" s="5">
        <v>23214</v>
      </c>
      <c r="B895">
        <v>67.900001525878906</v>
      </c>
    </row>
    <row r="896" spans="1:2" x14ac:dyDescent="0.25">
      <c r="A896" s="5">
        <v>23215</v>
      </c>
      <c r="B896">
        <v>67.910003662109403</v>
      </c>
    </row>
    <row r="897" spans="1:2" x14ac:dyDescent="0.25">
      <c r="A897" s="5">
        <v>23216</v>
      </c>
      <c r="B897">
        <v>68.279998779296903</v>
      </c>
    </row>
    <row r="898" spans="1:2" x14ac:dyDescent="0.25">
      <c r="A898" s="5">
        <v>23217</v>
      </c>
      <c r="B898">
        <v>68.260002136230497</v>
      </c>
    </row>
    <row r="899" spans="1:2" x14ac:dyDescent="0.25">
      <c r="A899" s="5">
        <v>23218</v>
      </c>
      <c r="B899">
        <v>68.540000915527301</v>
      </c>
    </row>
    <row r="900" spans="1:2" x14ac:dyDescent="0.25">
      <c r="A900" s="5">
        <v>23221</v>
      </c>
      <c r="B900">
        <v>68.669998168945298</v>
      </c>
    </row>
    <row r="901" spans="1:2" x14ac:dyDescent="0.25">
      <c r="A901" s="5">
        <v>23222</v>
      </c>
      <c r="B901">
        <v>69.239997863769503</v>
      </c>
    </row>
    <row r="902" spans="1:2" x14ac:dyDescent="0.25">
      <c r="A902" s="5">
        <v>23223</v>
      </c>
      <c r="B902">
        <v>69.129997253417997</v>
      </c>
    </row>
    <row r="903" spans="1:2" x14ac:dyDescent="0.25">
      <c r="A903" s="5">
        <v>23224</v>
      </c>
      <c r="B903">
        <v>69.069999694824205</v>
      </c>
    </row>
    <row r="904" spans="1:2" x14ac:dyDescent="0.25">
      <c r="A904" s="5">
        <v>23225</v>
      </c>
      <c r="B904">
        <v>69.300003051757798</v>
      </c>
    </row>
    <row r="905" spans="1:2" x14ac:dyDescent="0.25">
      <c r="A905" s="5">
        <v>23228</v>
      </c>
      <c r="B905">
        <v>69.709999084472699</v>
      </c>
    </row>
    <row r="906" spans="1:2" x14ac:dyDescent="0.25">
      <c r="A906" s="5">
        <v>23229</v>
      </c>
      <c r="B906">
        <v>70.169998168945298</v>
      </c>
    </row>
    <row r="907" spans="1:2" x14ac:dyDescent="0.25">
      <c r="A907" s="5">
        <v>23230</v>
      </c>
      <c r="B907">
        <v>69.959999084472699</v>
      </c>
    </row>
    <row r="908" spans="1:2" x14ac:dyDescent="0.25">
      <c r="A908" s="5">
        <v>23231</v>
      </c>
      <c r="B908">
        <v>70.019996643066406</v>
      </c>
    </row>
    <row r="909" spans="1:2" x14ac:dyDescent="0.25">
      <c r="A909" s="5">
        <v>23232</v>
      </c>
      <c r="B909">
        <v>70.480003356933594</v>
      </c>
    </row>
    <row r="910" spans="1:2" x14ac:dyDescent="0.25">
      <c r="A910" s="5">
        <v>23235</v>
      </c>
      <c r="B910">
        <v>70.589996337890597</v>
      </c>
    </row>
    <row r="911" spans="1:2" x14ac:dyDescent="0.25">
      <c r="A911" s="5">
        <v>23236</v>
      </c>
      <c r="B911">
        <v>70.790000915527301</v>
      </c>
    </row>
    <row r="912" spans="1:2" x14ac:dyDescent="0.25">
      <c r="A912" s="5">
        <v>23237</v>
      </c>
      <c r="B912">
        <v>71.069999694824205</v>
      </c>
    </row>
    <row r="913" spans="1:2" x14ac:dyDescent="0.25">
      <c r="A913" s="5">
        <v>23238</v>
      </c>
      <c r="B913">
        <v>71.379997253417997</v>
      </c>
    </row>
    <row r="914" spans="1:2" x14ac:dyDescent="0.25">
      <c r="A914" s="5">
        <v>23239</v>
      </c>
      <c r="B914">
        <v>71.489997863769503</v>
      </c>
    </row>
    <row r="915" spans="1:2" x14ac:dyDescent="0.25">
      <c r="A915" s="5">
        <v>23242</v>
      </c>
      <c r="B915">
        <v>71.440002441406193</v>
      </c>
    </row>
    <row r="916" spans="1:2" x14ac:dyDescent="0.25">
      <c r="A916" s="5">
        <v>23243</v>
      </c>
      <c r="B916">
        <v>71.379997253417997</v>
      </c>
    </row>
    <row r="917" spans="1:2" x14ac:dyDescent="0.25">
      <c r="A917" s="5">
        <v>23244</v>
      </c>
      <c r="B917">
        <v>71.290000915527301</v>
      </c>
    </row>
    <row r="918" spans="1:2" x14ac:dyDescent="0.25">
      <c r="A918" s="5">
        <v>23245</v>
      </c>
      <c r="B918">
        <v>71.540000915527301</v>
      </c>
    </row>
    <row r="919" spans="1:2" x14ac:dyDescent="0.25">
      <c r="A919" s="5">
        <v>23246</v>
      </c>
      <c r="B919">
        <v>71.760002136230497</v>
      </c>
    </row>
    <row r="920" spans="1:2" x14ac:dyDescent="0.25">
      <c r="A920" s="5">
        <v>23249</v>
      </c>
      <c r="B920">
        <v>71.910003662109403</v>
      </c>
    </row>
    <row r="921" spans="1:2" x14ac:dyDescent="0.25">
      <c r="A921" s="5">
        <v>23250</v>
      </c>
      <c r="B921">
        <v>71.519996643066406</v>
      </c>
    </row>
    <row r="922" spans="1:2" x14ac:dyDescent="0.25">
      <c r="A922" s="5">
        <v>23251</v>
      </c>
      <c r="B922">
        <v>72.040000915527301</v>
      </c>
    </row>
    <row r="923" spans="1:2" x14ac:dyDescent="0.25">
      <c r="A923" s="5">
        <v>23252</v>
      </c>
      <c r="B923">
        <v>72.160003662109403</v>
      </c>
    </row>
    <row r="924" spans="1:2" x14ac:dyDescent="0.25">
      <c r="A924" s="5">
        <v>23253</v>
      </c>
      <c r="B924">
        <v>72.5</v>
      </c>
    </row>
    <row r="925" spans="1:2" x14ac:dyDescent="0.25">
      <c r="A925" s="5">
        <v>23257</v>
      </c>
      <c r="B925">
        <v>72.660003662109403</v>
      </c>
    </row>
    <row r="926" spans="1:2" x14ac:dyDescent="0.25">
      <c r="A926" s="5">
        <v>23258</v>
      </c>
      <c r="B926">
        <v>72.639999389648395</v>
      </c>
    </row>
    <row r="927" spans="1:2" x14ac:dyDescent="0.25">
      <c r="A927" s="5">
        <v>23259</v>
      </c>
      <c r="B927">
        <v>73</v>
      </c>
    </row>
    <row r="928" spans="1:2" x14ac:dyDescent="0.25">
      <c r="A928" s="5">
        <v>23260</v>
      </c>
      <c r="B928">
        <v>72.839996337890597</v>
      </c>
    </row>
    <row r="929" spans="1:2" x14ac:dyDescent="0.25">
      <c r="A929" s="5">
        <v>23263</v>
      </c>
      <c r="B929">
        <v>72.580001831054702</v>
      </c>
    </row>
    <row r="930" spans="1:2" x14ac:dyDescent="0.25">
      <c r="A930" s="5">
        <v>23264</v>
      </c>
      <c r="B930">
        <v>72.989997863769503</v>
      </c>
    </row>
    <row r="931" spans="1:2" x14ac:dyDescent="0.25">
      <c r="A931" s="5">
        <v>23265</v>
      </c>
      <c r="B931">
        <v>73.199996948242202</v>
      </c>
    </row>
    <row r="932" spans="1:2" x14ac:dyDescent="0.25">
      <c r="A932" s="5">
        <v>23266</v>
      </c>
      <c r="B932">
        <v>73.150001525878906</v>
      </c>
    </row>
    <row r="933" spans="1:2" x14ac:dyDescent="0.25">
      <c r="A933" s="5">
        <v>23267</v>
      </c>
      <c r="B933">
        <v>73.169998168945298</v>
      </c>
    </row>
    <row r="934" spans="1:2" x14ac:dyDescent="0.25">
      <c r="A934" s="5">
        <v>23270</v>
      </c>
      <c r="B934">
        <v>73.069999694824205</v>
      </c>
    </row>
    <row r="935" spans="1:2" x14ac:dyDescent="0.25">
      <c r="A935" s="5">
        <v>23271</v>
      </c>
      <c r="B935">
        <v>73.120002746582003</v>
      </c>
    </row>
    <row r="936" spans="1:2" x14ac:dyDescent="0.25">
      <c r="A936" s="5">
        <v>23272</v>
      </c>
      <c r="B936">
        <v>72.800003051757798</v>
      </c>
    </row>
    <row r="937" spans="1:2" x14ac:dyDescent="0.25">
      <c r="A937" s="5">
        <v>23273</v>
      </c>
      <c r="B937">
        <v>73.220001220703097</v>
      </c>
    </row>
    <row r="938" spans="1:2" x14ac:dyDescent="0.25">
      <c r="A938" s="5">
        <v>23274</v>
      </c>
      <c r="B938">
        <v>73.300003051757798</v>
      </c>
    </row>
    <row r="939" spans="1:2" x14ac:dyDescent="0.25">
      <c r="A939" s="5">
        <v>23277</v>
      </c>
      <c r="B939">
        <v>72.959999084472699</v>
      </c>
    </row>
    <row r="940" spans="1:2" x14ac:dyDescent="0.25">
      <c r="A940" s="5">
        <v>23278</v>
      </c>
      <c r="B940">
        <v>73.300003051757798</v>
      </c>
    </row>
    <row r="941" spans="1:2" x14ac:dyDescent="0.25">
      <c r="A941" s="5">
        <v>23279</v>
      </c>
      <c r="B941">
        <v>72.889999389648395</v>
      </c>
    </row>
    <row r="942" spans="1:2" x14ac:dyDescent="0.25">
      <c r="A942" s="5">
        <v>23280</v>
      </c>
      <c r="B942">
        <v>72.269996643066406</v>
      </c>
    </row>
    <row r="943" spans="1:2" x14ac:dyDescent="0.25">
      <c r="A943" s="5">
        <v>23281</v>
      </c>
      <c r="B943">
        <v>72.129997253417997</v>
      </c>
    </row>
    <row r="944" spans="1:2" x14ac:dyDescent="0.25">
      <c r="A944" s="5">
        <v>23284</v>
      </c>
      <c r="B944">
        <v>71.699996948242202</v>
      </c>
    </row>
    <row r="945" spans="1:2" x14ac:dyDescent="0.25">
      <c r="A945" s="5">
        <v>23285</v>
      </c>
      <c r="B945">
        <v>72.220001220703097</v>
      </c>
    </row>
    <row r="946" spans="1:2" x14ac:dyDescent="0.25">
      <c r="A946" s="5">
        <v>23286</v>
      </c>
      <c r="B946">
        <v>72.300003051757798</v>
      </c>
    </row>
    <row r="947" spans="1:2" x14ac:dyDescent="0.25">
      <c r="A947" s="5">
        <v>23287</v>
      </c>
      <c r="B947">
        <v>72.830001831054702</v>
      </c>
    </row>
    <row r="948" spans="1:2" x14ac:dyDescent="0.25">
      <c r="A948" s="5">
        <v>23288</v>
      </c>
      <c r="B948">
        <v>72.849998474121094</v>
      </c>
    </row>
    <row r="949" spans="1:2" x14ac:dyDescent="0.25">
      <c r="A949" s="5">
        <v>23291</v>
      </c>
      <c r="B949">
        <v>72.699996948242202</v>
      </c>
    </row>
    <row r="950" spans="1:2" x14ac:dyDescent="0.25">
      <c r="A950" s="5">
        <v>23292</v>
      </c>
      <c r="B950">
        <v>72.599998474121094</v>
      </c>
    </row>
    <row r="951" spans="1:2" x14ac:dyDescent="0.25">
      <c r="A951" s="5">
        <v>23293</v>
      </c>
      <c r="B951">
        <v>71.870002746582003</v>
      </c>
    </row>
    <row r="952" spans="1:2" x14ac:dyDescent="0.25">
      <c r="A952" s="5">
        <v>23294</v>
      </c>
      <c r="B952">
        <v>72.199996948242202</v>
      </c>
    </row>
    <row r="953" spans="1:2" x14ac:dyDescent="0.25">
      <c r="A953" s="5">
        <v>23295</v>
      </c>
      <c r="B953">
        <v>72.269996643066406</v>
      </c>
    </row>
    <row r="954" spans="1:2" x14ac:dyDescent="0.25">
      <c r="A954" s="5">
        <v>23298</v>
      </c>
      <c r="B954">
        <v>72.300003051757798</v>
      </c>
    </row>
    <row r="955" spans="1:2" x14ac:dyDescent="0.25">
      <c r="A955" s="5">
        <v>23299</v>
      </c>
      <c r="B955">
        <v>72.400001525878906</v>
      </c>
    </row>
    <row r="956" spans="1:2" x14ac:dyDescent="0.25">
      <c r="A956" s="5">
        <v>23300</v>
      </c>
      <c r="B956">
        <v>72.970001220703097</v>
      </c>
    </row>
    <row r="957" spans="1:2" x14ac:dyDescent="0.25">
      <c r="A957" s="5">
        <v>23301</v>
      </c>
      <c r="B957">
        <v>73.260002136230497</v>
      </c>
    </row>
    <row r="958" spans="1:2" x14ac:dyDescent="0.25">
      <c r="A958" s="5">
        <v>23302</v>
      </c>
      <c r="B958">
        <v>73.319999694824205</v>
      </c>
    </row>
    <row r="959" spans="1:2" x14ac:dyDescent="0.25">
      <c r="A959" s="5">
        <v>23305</v>
      </c>
      <c r="B959">
        <v>73.379997253417997</v>
      </c>
    </row>
    <row r="960" spans="1:2" x14ac:dyDescent="0.25">
      <c r="A960" s="5">
        <v>23306</v>
      </c>
      <c r="B960">
        <v>72.959999084472699</v>
      </c>
    </row>
    <row r="961" spans="1:2" x14ac:dyDescent="0.25">
      <c r="A961" s="5">
        <v>23307</v>
      </c>
      <c r="B961">
        <v>73</v>
      </c>
    </row>
    <row r="962" spans="1:2" x14ac:dyDescent="0.25">
      <c r="A962" s="5">
        <v>23308</v>
      </c>
      <c r="B962">
        <v>73.279998779296903</v>
      </c>
    </row>
    <row r="963" spans="1:2" x14ac:dyDescent="0.25">
      <c r="A963" s="5">
        <v>23309</v>
      </c>
      <c r="B963">
        <v>74.010002136230497</v>
      </c>
    </row>
    <row r="964" spans="1:2" x14ac:dyDescent="0.25">
      <c r="A964" s="5">
        <v>23312</v>
      </c>
      <c r="B964">
        <v>74.480003356933594</v>
      </c>
    </row>
    <row r="965" spans="1:2" x14ac:dyDescent="0.25">
      <c r="A965" s="5">
        <v>23313</v>
      </c>
      <c r="B965">
        <v>74.459999084472699</v>
      </c>
    </row>
    <row r="966" spans="1:2" x14ac:dyDescent="0.25">
      <c r="A966" s="5">
        <v>23314</v>
      </c>
      <c r="B966">
        <v>73.800003051757798</v>
      </c>
    </row>
    <row r="967" spans="1:2" x14ac:dyDescent="0.25">
      <c r="A967" s="5">
        <v>23315</v>
      </c>
      <c r="B967">
        <v>74.010002136230497</v>
      </c>
    </row>
    <row r="968" spans="1:2" x14ac:dyDescent="0.25">
      <c r="A968" s="5">
        <v>23316</v>
      </c>
      <c r="B968">
        <v>73.830001831054702</v>
      </c>
    </row>
    <row r="969" spans="1:2" x14ac:dyDescent="0.25">
      <c r="A969" s="5">
        <v>23319</v>
      </c>
      <c r="B969">
        <v>73.449996948242202</v>
      </c>
    </row>
    <row r="970" spans="1:2" x14ac:dyDescent="0.25">
      <c r="A970" s="5">
        <v>23321</v>
      </c>
      <c r="B970">
        <v>72.809997558593807</v>
      </c>
    </row>
    <row r="971" spans="1:2" x14ac:dyDescent="0.25">
      <c r="A971" s="5">
        <v>23322</v>
      </c>
      <c r="B971">
        <v>73.059997558593807</v>
      </c>
    </row>
    <row r="972" spans="1:2" x14ac:dyDescent="0.25">
      <c r="A972" s="5">
        <v>23323</v>
      </c>
      <c r="B972">
        <v>73.360000610351605</v>
      </c>
    </row>
    <row r="973" spans="1:2" x14ac:dyDescent="0.25">
      <c r="A973" s="5">
        <v>23326</v>
      </c>
      <c r="B973">
        <v>73.519996643066406</v>
      </c>
    </row>
    <row r="974" spans="1:2" x14ac:dyDescent="0.25">
      <c r="A974" s="5">
        <v>23327</v>
      </c>
      <c r="B974">
        <v>73.230003356933594</v>
      </c>
    </row>
    <row r="975" spans="1:2" x14ac:dyDescent="0.25">
      <c r="A975" s="5">
        <v>23328</v>
      </c>
      <c r="B975">
        <v>73.290000915527301</v>
      </c>
    </row>
    <row r="976" spans="1:2" x14ac:dyDescent="0.25">
      <c r="A976" s="5">
        <v>23329</v>
      </c>
      <c r="B976">
        <v>72.949996948242202</v>
      </c>
    </row>
    <row r="977" spans="1:2" x14ac:dyDescent="0.25">
      <c r="A977" s="5">
        <v>23330</v>
      </c>
      <c r="B977">
        <v>72.349998474121094</v>
      </c>
    </row>
    <row r="978" spans="1:2" x14ac:dyDescent="0.25">
      <c r="A978" s="5">
        <v>23333</v>
      </c>
      <c r="B978">
        <v>71.830001831054702</v>
      </c>
    </row>
    <row r="979" spans="1:2" x14ac:dyDescent="0.25">
      <c r="A979" s="5">
        <v>23334</v>
      </c>
      <c r="B979">
        <v>71.900001525878906</v>
      </c>
    </row>
    <row r="980" spans="1:2" x14ac:dyDescent="0.25">
      <c r="A980" s="5">
        <v>23335</v>
      </c>
      <c r="B980">
        <v>72.559997558593807</v>
      </c>
    </row>
    <row r="981" spans="1:2" x14ac:dyDescent="0.25">
      <c r="A981" s="5">
        <v>23336</v>
      </c>
      <c r="B981">
        <v>71.620002746582003</v>
      </c>
    </row>
    <row r="982" spans="1:2" x14ac:dyDescent="0.25">
      <c r="A982" s="5">
        <v>23337</v>
      </c>
      <c r="B982">
        <v>69.610000610351605</v>
      </c>
    </row>
    <row r="983" spans="1:2" x14ac:dyDescent="0.25">
      <c r="A983" s="5">
        <v>23341</v>
      </c>
      <c r="B983">
        <v>72.379997253417997</v>
      </c>
    </row>
    <row r="984" spans="1:2" x14ac:dyDescent="0.25">
      <c r="A984" s="5">
        <v>23342</v>
      </c>
      <c r="B984">
        <v>72.25</v>
      </c>
    </row>
    <row r="985" spans="1:2" x14ac:dyDescent="0.25">
      <c r="A985" s="5">
        <v>23344</v>
      </c>
      <c r="B985">
        <v>73.230003356933594</v>
      </c>
    </row>
    <row r="986" spans="1:2" x14ac:dyDescent="0.25">
      <c r="A986" s="5">
        <v>23347</v>
      </c>
      <c r="B986">
        <v>73.660003662109403</v>
      </c>
    </row>
    <row r="987" spans="1:2" x14ac:dyDescent="0.25">
      <c r="A987" s="5">
        <v>23348</v>
      </c>
      <c r="B987">
        <v>73.620002746582003</v>
      </c>
    </row>
    <row r="988" spans="1:2" x14ac:dyDescent="0.25">
      <c r="A988" s="5">
        <v>23349</v>
      </c>
      <c r="B988">
        <v>73.800003051757798</v>
      </c>
    </row>
    <row r="989" spans="1:2" x14ac:dyDescent="0.25">
      <c r="A989" s="5">
        <v>23350</v>
      </c>
      <c r="B989">
        <v>74.279998779296903</v>
      </c>
    </row>
    <row r="990" spans="1:2" x14ac:dyDescent="0.25">
      <c r="A990" s="5">
        <v>23351</v>
      </c>
      <c r="B990">
        <v>74</v>
      </c>
    </row>
    <row r="991" spans="1:2" x14ac:dyDescent="0.25">
      <c r="A991" s="5">
        <v>23354</v>
      </c>
      <c r="B991">
        <v>73.959999084472699</v>
      </c>
    </row>
    <row r="992" spans="1:2" x14ac:dyDescent="0.25">
      <c r="A992" s="5">
        <v>23355</v>
      </c>
      <c r="B992">
        <v>73.989997863769503</v>
      </c>
    </row>
    <row r="993" spans="1:2" x14ac:dyDescent="0.25">
      <c r="A993" s="5">
        <v>23356</v>
      </c>
      <c r="B993">
        <v>73.900001525878906</v>
      </c>
    </row>
    <row r="994" spans="1:2" x14ac:dyDescent="0.25">
      <c r="A994" s="5">
        <v>23357</v>
      </c>
      <c r="B994">
        <v>73.910003662109403</v>
      </c>
    </row>
    <row r="995" spans="1:2" x14ac:dyDescent="0.25">
      <c r="A995" s="5">
        <v>23358</v>
      </c>
      <c r="B995">
        <v>74.059997558593807</v>
      </c>
    </row>
    <row r="996" spans="1:2" x14ac:dyDescent="0.25">
      <c r="A996" s="5">
        <v>23361</v>
      </c>
      <c r="B996">
        <v>74.300003051757798</v>
      </c>
    </row>
    <row r="997" spans="1:2" x14ac:dyDescent="0.25">
      <c r="A997" s="5">
        <v>23362</v>
      </c>
      <c r="B997">
        <v>74.739997863769503</v>
      </c>
    </row>
    <row r="998" spans="1:2" x14ac:dyDescent="0.25">
      <c r="A998" s="5">
        <v>23363</v>
      </c>
      <c r="B998">
        <v>74.629997253417997</v>
      </c>
    </row>
    <row r="999" spans="1:2" x14ac:dyDescent="0.25">
      <c r="A999" s="5">
        <v>23364</v>
      </c>
      <c r="B999">
        <v>74.400001525878906</v>
      </c>
    </row>
    <row r="1000" spans="1:2" x14ac:dyDescent="0.25">
      <c r="A1000" s="5">
        <v>23365</v>
      </c>
      <c r="B1000">
        <v>74.279998779296903</v>
      </c>
    </row>
    <row r="1001" spans="1:2" x14ac:dyDescent="0.25">
      <c r="A1001" s="5">
        <v>23368</v>
      </c>
      <c r="B1001">
        <v>73.809997558593807</v>
      </c>
    </row>
    <row r="1002" spans="1:2" x14ac:dyDescent="0.25">
      <c r="A1002" s="5">
        <v>23369</v>
      </c>
      <c r="B1002">
        <v>73.970001220703097</v>
      </c>
    </row>
    <row r="1003" spans="1:2" x14ac:dyDescent="0.25">
      <c r="A1003" s="5">
        <v>23371</v>
      </c>
      <c r="B1003">
        <v>74.319999694824205</v>
      </c>
    </row>
    <row r="1004" spans="1:2" x14ac:dyDescent="0.25">
      <c r="A1004" s="5">
        <v>23372</v>
      </c>
      <c r="B1004">
        <v>74.440002441406193</v>
      </c>
    </row>
    <row r="1005" spans="1:2" x14ac:dyDescent="0.25">
      <c r="A1005" s="5">
        <v>23375</v>
      </c>
      <c r="B1005">
        <v>74.559997558593807</v>
      </c>
    </row>
    <row r="1006" spans="1:2" x14ac:dyDescent="0.25">
      <c r="A1006" s="5">
        <v>23376</v>
      </c>
      <c r="B1006">
        <v>75.019996643066406</v>
      </c>
    </row>
    <row r="1007" spans="1:2" x14ac:dyDescent="0.25">
      <c r="A1007" s="5">
        <v>23378</v>
      </c>
      <c r="B1007">
        <v>75.430000305175795</v>
      </c>
    </row>
    <row r="1008" spans="1:2" x14ac:dyDescent="0.25">
      <c r="A1008" s="5">
        <v>23379</v>
      </c>
      <c r="B1008">
        <v>75.5</v>
      </c>
    </row>
    <row r="1009" spans="1:2" x14ac:dyDescent="0.25">
      <c r="A1009" s="5">
        <v>23382</v>
      </c>
      <c r="B1009">
        <v>75.669998168945298</v>
      </c>
    </row>
    <row r="1010" spans="1:2" x14ac:dyDescent="0.25">
      <c r="A1010" s="5">
        <v>23383</v>
      </c>
      <c r="B1010">
        <v>75.690002441406193</v>
      </c>
    </row>
    <row r="1011" spans="1:2" x14ac:dyDescent="0.25">
      <c r="A1011" s="5">
        <v>23384</v>
      </c>
      <c r="B1011">
        <v>76</v>
      </c>
    </row>
    <row r="1012" spans="1:2" x14ac:dyDescent="0.25">
      <c r="A1012" s="5">
        <v>23385</v>
      </c>
      <c r="B1012">
        <v>76.279998779296903</v>
      </c>
    </row>
    <row r="1013" spans="1:2" x14ac:dyDescent="0.25">
      <c r="A1013" s="5">
        <v>23386</v>
      </c>
      <c r="B1013">
        <v>76.239997863769503</v>
      </c>
    </row>
    <row r="1014" spans="1:2" x14ac:dyDescent="0.25">
      <c r="A1014" s="5">
        <v>23389</v>
      </c>
      <c r="B1014">
        <v>76.220001220703097</v>
      </c>
    </row>
    <row r="1015" spans="1:2" x14ac:dyDescent="0.25">
      <c r="A1015" s="5">
        <v>23390</v>
      </c>
      <c r="B1015">
        <v>76.360000610351605</v>
      </c>
    </row>
    <row r="1016" spans="1:2" x14ac:dyDescent="0.25">
      <c r="A1016" s="5">
        <v>23391</v>
      </c>
      <c r="B1016">
        <v>76.639999389648395</v>
      </c>
    </row>
    <row r="1017" spans="1:2" x14ac:dyDescent="0.25">
      <c r="A1017" s="5">
        <v>23392</v>
      </c>
      <c r="B1017">
        <v>76.550003051757798</v>
      </c>
    </row>
    <row r="1018" spans="1:2" x14ac:dyDescent="0.25">
      <c r="A1018" s="5">
        <v>23393</v>
      </c>
      <c r="B1018">
        <v>76.559997558593807</v>
      </c>
    </row>
    <row r="1019" spans="1:2" x14ac:dyDescent="0.25">
      <c r="A1019" s="5">
        <v>23396</v>
      </c>
      <c r="B1019">
        <v>76.410003662109403</v>
      </c>
    </row>
    <row r="1020" spans="1:2" x14ac:dyDescent="0.25">
      <c r="A1020" s="5">
        <v>23397</v>
      </c>
      <c r="B1020">
        <v>76.620002746582003</v>
      </c>
    </row>
    <row r="1021" spans="1:2" x14ac:dyDescent="0.25">
      <c r="A1021" s="5">
        <v>23398</v>
      </c>
      <c r="B1021">
        <v>77.029998779296903</v>
      </c>
    </row>
    <row r="1022" spans="1:2" x14ac:dyDescent="0.25">
      <c r="A1022" s="5">
        <v>23399</v>
      </c>
      <c r="B1022">
        <v>77.089996337890597</v>
      </c>
    </row>
    <row r="1023" spans="1:2" x14ac:dyDescent="0.25">
      <c r="A1023" s="5">
        <v>23400</v>
      </c>
      <c r="B1023">
        <v>77.110000610351605</v>
      </c>
    </row>
    <row r="1024" spans="1:2" x14ac:dyDescent="0.25">
      <c r="A1024" s="5">
        <v>23403</v>
      </c>
      <c r="B1024">
        <v>77.080001831054702</v>
      </c>
    </row>
    <row r="1025" spans="1:2" x14ac:dyDescent="0.25">
      <c r="A1025" s="5">
        <v>23404</v>
      </c>
      <c r="B1025">
        <v>77.099998474121094</v>
      </c>
    </row>
    <row r="1026" spans="1:2" x14ac:dyDescent="0.25">
      <c r="A1026" s="5">
        <v>23405</v>
      </c>
      <c r="B1026">
        <v>76.629997253417997</v>
      </c>
    </row>
    <row r="1027" spans="1:2" x14ac:dyDescent="0.25">
      <c r="A1027" s="5">
        <v>23406</v>
      </c>
      <c r="B1027">
        <v>76.699996948242202</v>
      </c>
    </row>
    <row r="1028" spans="1:2" x14ac:dyDescent="0.25">
      <c r="A1028" s="5">
        <v>23407</v>
      </c>
      <c r="B1028">
        <v>77.040000915527301</v>
      </c>
    </row>
    <row r="1029" spans="1:2" x14ac:dyDescent="0.25">
      <c r="A1029" s="5">
        <v>23410</v>
      </c>
      <c r="B1029">
        <v>76.970001220703097</v>
      </c>
    </row>
    <row r="1030" spans="1:2" x14ac:dyDescent="0.25">
      <c r="A1030" s="5">
        <v>23411</v>
      </c>
      <c r="B1030">
        <v>76.879997253417997</v>
      </c>
    </row>
    <row r="1031" spans="1:2" x14ac:dyDescent="0.25">
      <c r="A1031" s="5">
        <v>23412</v>
      </c>
      <c r="B1031">
        <v>76.75</v>
      </c>
    </row>
    <row r="1032" spans="1:2" x14ac:dyDescent="0.25">
      <c r="A1032" s="5">
        <v>23413</v>
      </c>
      <c r="B1032">
        <v>76.930000305175795</v>
      </c>
    </row>
    <row r="1033" spans="1:2" x14ac:dyDescent="0.25">
      <c r="A1033" s="5">
        <v>23414</v>
      </c>
      <c r="B1033">
        <v>77.180000305175795</v>
      </c>
    </row>
    <row r="1034" spans="1:2" x14ac:dyDescent="0.25">
      <c r="A1034" s="5">
        <v>23417</v>
      </c>
      <c r="B1034">
        <v>77.050003051757798</v>
      </c>
    </row>
    <row r="1035" spans="1:2" x14ac:dyDescent="0.25">
      <c r="A1035" s="5">
        <v>23418</v>
      </c>
      <c r="B1035">
        <v>77.330001831054702</v>
      </c>
    </row>
    <row r="1036" spans="1:2" x14ac:dyDescent="0.25">
      <c r="A1036" s="5">
        <v>23419</v>
      </c>
      <c r="B1036">
        <v>77.569999694824205</v>
      </c>
    </row>
    <row r="1037" spans="1:2" x14ac:dyDescent="0.25">
      <c r="A1037" s="5">
        <v>23420</v>
      </c>
      <c r="B1037">
        <v>77.519996643066406</v>
      </c>
    </row>
    <row r="1038" spans="1:2" x14ac:dyDescent="0.25">
      <c r="A1038" s="5">
        <v>23421</v>
      </c>
      <c r="B1038">
        <v>77.480003356933594</v>
      </c>
    </row>
    <row r="1039" spans="1:2" x14ac:dyDescent="0.25">
      <c r="A1039" s="5">
        <v>23424</v>
      </c>
      <c r="B1039">
        <v>77.459999084472699</v>
      </c>
    </row>
    <row r="1040" spans="1:2" x14ac:dyDescent="0.25">
      <c r="A1040" s="5">
        <v>23425</v>
      </c>
      <c r="B1040">
        <v>77.470001220703097</v>
      </c>
    </row>
    <row r="1041" spans="1:2" x14ac:dyDescent="0.25">
      <c r="A1041" s="5">
        <v>23426</v>
      </c>
      <c r="B1041">
        <v>77.550003051757798</v>
      </c>
    </row>
    <row r="1042" spans="1:2" x14ac:dyDescent="0.25">
      <c r="A1042" s="5">
        <v>23427</v>
      </c>
      <c r="B1042">
        <v>77.620002746582003</v>
      </c>
    </row>
    <row r="1043" spans="1:2" x14ac:dyDescent="0.25">
      <c r="A1043" s="5">
        <v>23431</v>
      </c>
      <c r="B1043">
        <v>77.680000305175795</v>
      </c>
    </row>
    <row r="1044" spans="1:2" x14ac:dyDescent="0.25">
      <c r="A1044" s="5">
        <v>23432</v>
      </c>
      <c r="B1044">
        <v>77.680000305175795</v>
      </c>
    </row>
    <row r="1045" spans="1:2" x14ac:dyDescent="0.25">
      <c r="A1045" s="5">
        <v>23433</v>
      </c>
      <c r="B1045">
        <v>77.870002746582003</v>
      </c>
    </row>
    <row r="1046" spans="1:2" x14ac:dyDescent="0.25">
      <c r="A1046" s="5">
        <v>23434</v>
      </c>
      <c r="B1046">
        <v>77.620002746582003</v>
      </c>
    </row>
    <row r="1047" spans="1:2" x14ac:dyDescent="0.25">
      <c r="A1047" s="5">
        <v>23435</v>
      </c>
      <c r="B1047">
        <v>77.800003051757798</v>
      </c>
    </row>
    <row r="1048" spans="1:2" x14ac:dyDescent="0.25">
      <c r="A1048" s="5">
        <v>23438</v>
      </c>
      <c r="B1048">
        <v>77.970001220703097</v>
      </c>
    </row>
    <row r="1049" spans="1:2" x14ac:dyDescent="0.25">
      <c r="A1049" s="5">
        <v>23439</v>
      </c>
      <c r="B1049">
        <v>78.220001220703097</v>
      </c>
    </row>
    <row r="1050" spans="1:2" x14ac:dyDescent="0.25">
      <c r="A1050" s="5">
        <v>23440</v>
      </c>
      <c r="B1050">
        <v>78.069999694824205</v>
      </c>
    </row>
    <row r="1051" spans="1:2" x14ac:dyDescent="0.25">
      <c r="A1051" s="5">
        <v>23441</v>
      </c>
      <c r="B1051">
        <v>78.059997558593807</v>
      </c>
    </row>
    <row r="1052" spans="1:2" x14ac:dyDescent="0.25">
      <c r="A1052" s="5">
        <v>23442</v>
      </c>
      <c r="B1052">
        <v>78.309997558593807</v>
      </c>
    </row>
    <row r="1053" spans="1:2" x14ac:dyDescent="0.25">
      <c r="A1053" s="5">
        <v>23445</v>
      </c>
      <c r="B1053">
        <v>78.330001831054702</v>
      </c>
    </row>
    <row r="1054" spans="1:2" x14ac:dyDescent="0.25">
      <c r="A1054" s="5">
        <v>23446</v>
      </c>
      <c r="B1054">
        <v>78.589996337890597</v>
      </c>
    </row>
    <row r="1055" spans="1:2" x14ac:dyDescent="0.25">
      <c r="A1055" s="5">
        <v>23447</v>
      </c>
      <c r="B1055">
        <v>78.949996948242202</v>
      </c>
    </row>
    <row r="1056" spans="1:2" x14ac:dyDescent="0.25">
      <c r="A1056" s="5">
        <v>23448</v>
      </c>
      <c r="B1056">
        <v>79.080001831054702</v>
      </c>
    </row>
    <row r="1057" spans="1:2" x14ac:dyDescent="0.25">
      <c r="A1057" s="5">
        <v>23449</v>
      </c>
      <c r="B1057">
        <v>79.139999389648395</v>
      </c>
    </row>
    <row r="1058" spans="1:2" x14ac:dyDescent="0.25">
      <c r="A1058" s="5">
        <v>23452</v>
      </c>
      <c r="B1058">
        <v>79.139999389648395</v>
      </c>
    </row>
    <row r="1059" spans="1:2" x14ac:dyDescent="0.25">
      <c r="A1059" s="5">
        <v>23453</v>
      </c>
      <c r="B1059">
        <v>79.319999694824205</v>
      </c>
    </row>
    <row r="1060" spans="1:2" x14ac:dyDescent="0.25">
      <c r="A1060" s="5">
        <v>23454</v>
      </c>
      <c r="B1060">
        <v>79.379997253417997</v>
      </c>
    </row>
    <row r="1061" spans="1:2" x14ac:dyDescent="0.25">
      <c r="A1061" s="5">
        <v>23455</v>
      </c>
      <c r="B1061">
        <v>79.300003051757798</v>
      </c>
    </row>
    <row r="1062" spans="1:2" x14ac:dyDescent="0.25">
      <c r="A1062" s="5">
        <v>23456</v>
      </c>
      <c r="B1062">
        <v>78.919998168945298</v>
      </c>
    </row>
    <row r="1063" spans="1:2" x14ac:dyDescent="0.25">
      <c r="A1063" s="5">
        <v>23459</v>
      </c>
      <c r="B1063">
        <v>78.930000305175795</v>
      </c>
    </row>
    <row r="1064" spans="1:2" x14ac:dyDescent="0.25">
      <c r="A1064" s="5">
        <v>23460</v>
      </c>
      <c r="B1064">
        <v>78.790000915527301</v>
      </c>
    </row>
    <row r="1065" spans="1:2" x14ac:dyDescent="0.25">
      <c r="A1065" s="5">
        <v>23461</v>
      </c>
      <c r="B1065">
        <v>78.980003356933594</v>
      </c>
    </row>
    <row r="1066" spans="1:2" x14ac:dyDescent="0.25">
      <c r="A1066" s="5">
        <v>23462</v>
      </c>
      <c r="B1066">
        <v>79.190002441406193</v>
      </c>
    </row>
    <row r="1067" spans="1:2" x14ac:dyDescent="0.25">
      <c r="A1067" s="5">
        <v>23466</v>
      </c>
      <c r="B1067">
        <v>79.139999389648395</v>
      </c>
    </row>
    <row r="1068" spans="1:2" x14ac:dyDescent="0.25">
      <c r="A1068" s="5">
        <v>23467</v>
      </c>
      <c r="B1068">
        <v>78.980003356933594</v>
      </c>
    </row>
    <row r="1069" spans="1:2" x14ac:dyDescent="0.25">
      <c r="A1069" s="5">
        <v>23468</v>
      </c>
      <c r="B1069">
        <v>79.239997863769503</v>
      </c>
    </row>
    <row r="1070" spans="1:2" x14ac:dyDescent="0.25">
      <c r="A1070" s="5">
        <v>23469</v>
      </c>
      <c r="B1070">
        <v>79.699996948242202</v>
      </c>
    </row>
    <row r="1071" spans="1:2" x14ac:dyDescent="0.25">
      <c r="A1071" s="5">
        <v>23470</v>
      </c>
      <c r="B1071">
        <v>79.940002441406193</v>
      </c>
    </row>
    <row r="1072" spans="1:2" x14ac:dyDescent="0.25">
      <c r="A1072" s="5">
        <v>23473</v>
      </c>
      <c r="B1072">
        <v>80.019996643066406</v>
      </c>
    </row>
    <row r="1073" spans="1:2" x14ac:dyDescent="0.25">
      <c r="A1073" s="5">
        <v>23474</v>
      </c>
      <c r="B1073">
        <v>79.739997863769503</v>
      </c>
    </row>
    <row r="1074" spans="1:2" x14ac:dyDescent="0.25">
      <c r="A1074" s="5">
        <v>23475</v>
      </c>
      <c r="B1074">
        <v>79.75</v>
      </c>
    </row>
    <row r="1075" spans="1:2" x14ac:dyDescent="0.25">
      <c r="A1075" s="5">
        <v>23476</v>
      </c>
      <c r="B1075">
        <v>79.699996948242202</v>
      </c>
    </row>
    <row r="1076" spans="1:2" x14ac:dyDescent="0.25">
      <c r="A1076" s="5">
        <v>23477</v>
      </c>
      <c r="B1076">
        <v>79.849998474121094</v>
      </c>
    </row>
    <row r="1077" spans="1:2" x14ac:dyDescent="0.25">
      <c r="A1077" s="5">
        <v>23480</v>
      </c>
      <c r="B1077">
        <v>79.769996643066406</v>
      </c>
    </row>
    <row r="1078" spans="1:2" x14ac:dyDescent="0.25">
      <c r="A1078" s="5">
        <v>23481</v>
      </c>
      <c r="B1078">
        <v>79.989997863769503</v>
      </c>
    </row>
    <row r="1079" spans="1:2" x14ac:dyDescent="0.25">
      <c r="A1079" s="5">
        <v>23482</v>
      </c>
      <c r="B1079">
        <v>80.089996337890597</v>
      </c>
    </row>
    <row r="1080" spans="1:2" x14ac:dyDescent="0.25">
      <c r="A1080" s="5">
        <v>23483</v>
      </c>
      <c r="B1080">
        <v>80.199996948242202</v>
      </c>
    </row>
    <row r="1081" spans="1:2" x14ac:dyDescent="0.25">
      <c r="A1081" s="5">
        <v>23484</v>
      </c>
      <c r="B1081">
        <v>80.550003051757798</v>
      </c>
    </row>
    <row r="1082" spans="1:2" x14ac:dyDescent="0.25">
      <c r="A1082" s="5">
        <v>23487</v>
      </c>
      <c r="B1082">
        <v>80.5</v>
      </c>
    </row>
    <row r="1083" spans="1:2" x14ac:dyDescent="0.25">
      <c r="A1083" s="5">
        <v>23488</v>
      </c>
      <c r="B1083">
        <v>80.540000915527301</v>
      </c>
    </row>
    <row r="1084" spans="1:2" x14ac:dyDescent="0.25">
      <c r="A1084" s="5">
        <v>23489</v>
      </c>
      <c r="B1084">
        <v>80.489997863769503</v>
      </c>
    </row>
    <row r="1085" spans="1:2" x14ac:dyDescent="0.25">
      <c r="A1085" s="5">
        <v>23490</v>
      </c>
      <c r="B1085">
        <v>80.379997253417997</v>
      </c>
    </row>
    <row r="1086" spans="1:2" x14ac:dyDescent="0.25">
      <c r="A1086" s="5">
        <v>23491</v>
      </c>
      <c r="B1086">
        <v>79.75</v>
      </c>
    </row>
    <row r="1087" spans="1:2" x14ac:dyDescent="0.25">
      <c r="A1087" s="5">
        <v>23494</v>
      </c>
      <c r="B1087">
        <v>79.349998474121094</v>
      </c>
    </row>
    <row r="1088" spans="1:2" x14ac:dyDescent="0.25">
      <c r="A1088" s="5">
        <v>23495</v>
      </c>
      <c r="B1088">
        <v>79.900001525878906</v>
      </c>
    </row>
    <row r="1089" spans="1:2" x14ac:dyDescent="0.25">
      <c r="A1089" s="5">
        <v>23496</v>
      </c>
      <c r="B1089">
        <v>79.699996948242202</v>
      </c>
    </row>
    <row r="1090" spans="1:2" x14ac:dyDescent="0.25">
      <c r="A1090" s="5">
        <v>23497</v>
      </c>
      <c r="B1090">
        <v>79.459999084472699</v>
      </c>
    </row>
    <row r="1091" spans="1:2" x14ac:dyDescent="0.25">
      <c r="A1091" s="5">
        <v>23498</v>
      </c>
      <c r="B1091">
        <v>80.169998168945298</v>
      </c>
    </row>
    <row r="1092" spans="1:2" x14ac:dyDescent="0.25">
      <c r="A1092" s="5">
        <v>23501</v>
      </c>
      <c r="B1092">
        <v>80.470001220703097</v>
      </c>
    </row>
    <row r="1093" spans="1:2" x14ac:dyDescent="0.25">
      <c r="A1093" s="5">
        <v>23502</v>
      </c>
      <c r="B1093">
        <v>80.879997253417997</v>
      </c>
    </row>
    <row r="1094" spans="1:2" x14ac:dyDescent="0.25">
      <c r="A1094" s="5">
        <v>23503</v>
      </c>
      <c r="B1094">
        <v>81.059997558593807</v>
      </c>
    </row>
    <row r="1095" spans="1:2" x14ac:dyDescent="0.25">
      <c r="A1095" s="5">
        <v>23504</v>
      </c>
      <c r="B1095">
        <v>81.150001525878906</v>
      </c>
    </row>
    <row r="1096" spans="1:2" x14ac:dyDescent="0.25">
      <c r="A1096" s="5">
        <v>23505</v>
      </c>
      <c r="B1096">
        <v>81</v>
      </c>
    </row>
    <row r="1097" spans="1:2" x14ac:dyDescent="0.25">
      <c r="A1097" s="5">
        <v>23508</v>
      </c>
      <c r="B1097">
        <v>80.900001525878906</v>
      </c>
    </row>
    <row r="1098" spans="1:2" x14ac:dyDescent="0.25">
      <c r="A1098" s="5">
        <v>23509</v>
      </c>
      <c r="B1098">
        <v>81.160003662109403</v>
      </c>
    </row>
    <row r="1099" spans="1:2" x14ac:dyDescent="0.25">
      <c r="A1099" s="5">
        <v>23510</v>
      </c>
      <c r="B1099">
        <v>80.970001220703097</v>
      </c>
    </row>
    <row r="1100" spans="1:2" x14ac:dyDescent="0.25">
      <c r="A1100" s="5">
        <v>23511</v>
      </c>
      <c r="B1100">
        <v>80.860000610351605</v>
      </c>
    </row>
    <row r="1101" spans="1:2" x14ac:dyDescent="0.25">
      <c r="A1101" s="5">
        <v>23512</v>
      </c>
      <c r="B1101">
        <v>81.099998474121094</v>
      </c>
    </row>
    <row r="1102" spans="1:2" x14ac:dyDescent="0.25">
      <c r="A1102" s="5">
        <v>23515</v>
      </c>
      <c r="B1102">
        <v>80.720001220703097</v>
      </c>
    </row>
    <row r="1103" spans="1:2" x14ac:dyDescent="0.25">
      <c r="A1103" s="5">
        <v>23516</v>
      </c>
      <c r="B1103">
        <v>80.300003051757798</v>
      </c>
    </row>
    <row r="1104" spans="1:2" x14ac:dyDescent="0.25">
      <c r="A1104" s="5">
        <v>23517</v>
      </c>
      <c r="B1104">
        <v>80.660003662109403</v>
      </c>
    </row>
    <row r="1105" spans="1:2" x14ac:dyDescent="0.25">
      <c r="A1105" s="5">
        <v>23518</v>
      </c>
      <c r="B1105">
        <v>80.940002441406193</v>
      </c>
    </row>
    <row r="1106" spans="1:2" x14ac:dyDescent="0.25">
      <c r="A1106" s="5">
        <v>23519</v>
      </c>
      <c r="B1106">
        <v>80.730003356933594</v>
      </c>
    </row>
    <row r="1107" spans="1:2" x14ac:dyDescent="0.25">
      <c r="A1107" s="5">
        <v>23522</v>
      </c>
      <c r="B1107">
        <v>80.559997558593807</v>
      </c>
    </row>
    <row r="1108" spans="1:2" x14ac:dyDescent="0.25">
      <c r="A1108" s="5">
        <v>23523</v>
      </c>
      <c r="B1108">
        <v>80.389999389648395</v>
      </c>
    </row>
    <row r="1109" spans="1:2" x14ac:dyDescent="0.25">
      <c r="A1109" s="5">
        <v>23524</v>
      </c>
      <c r="B1109">
        <v>80.260002136230497</v>
      </c>
    </row>
    <row r="1110" spans="1:2" x14ac:dyDescent="0.25">
      <c r="A1110" s="5">
        <v>23525</v>
      </c>
      <c r="B1110">
        <v>80.370002746582003</v>
      </c>
    </row>
    <row r="1111" spans="1:2" x14ac:dyDescent="0.25">
      <c r="A1111" s="5">
        <v>23529</v>
      </c>
      <c r="B1111">
        <v>80.110000610351605</v>
      </c>
    </row>
    <row r="1112" spans="1:2" x14ac:dyDescent="0.25">
      <c r="A1112" s="5">
        <v>23530</v>
      </c>
      <c r="B1112">
        <v>79.699996948242202</v>
      </c>
    </row>
    <row r="1113" spans="1:2" x14ac:dyDescent="0.25">
      <c r="A1113" s="5">
        <v>23531</v>
      </c>
      <c r="B1113">
        <v>79.489997863769503</v>
      </c>
    </row>
    <row r="1114" spans="1:2" x14ac:dyDescent="0.25">
      <c r="A1114" s="5">
        <v>23532</v>
      </c>
      <c r="B1114">
        <v>78.669998168945298</v>
      </c>
    </row>
    <row r="1115" spans="1:2" x14ac:dyDescent="0.25">
      <c r="A1115" s="5">
        <v>23533</v>
      </c>
      <c r="B1115">
        <v>79.019996643066406</v>
      </c>
    </row>
    <row r="1116" spans="1:2" x14ac:dyDescent="0.25">
      <c r="A1116" s="5">
        <v>23536</v>
      </c>
      <c r="B1116">
        <v>78.639999389648395</v>
      </c>
    </row>
    <row r="1117" spans="1:2" x14ac:dyDescent="0.25">
      <c r="A1117" s="5">
        <v>23537</v>
      </c>
      <c r="B1117">
        <v>79.139999389648395</v>
      </c>
    </row>
    <row r="1118" spans="1:2" x14ac:dyDescent="0.25">
      <c r="A1118" s="5">
        <v>23538</v>
      </c>
      <c r="B1118">
        <v>79.440002441406193</v>
      </c>
    </row>
    <row r="1119" spans="1:2" x14ac:dyDescent="0.25">
      <c r="A1119" s="5">
        <v>23539</v>
      </c>
      <c r="B1119">
        <v>79.730003356933594</v>
      </c>
    </row>
    <row r="1120" spans="1:2" x14ac:dyDescent="0.25">
      <c r="A1120" s="5">
        <v>23540</v>
      </c>
      <c r="B1120">
        <v>79.599998474121094</v>
      </c>
    </row>
    <row r="1121" spans="1:2" x14ac:dyDescent="0.25">
      <c r="A1121" s="5">
        <v>23543</v>
      </c>
      <c r="B1121">
        <v>79.970001220703097</v>
      </c>
    </row>
    <row r="1122" spans="1:2" x14ac:dyDescent="0.25">
      <c r="A1122" s="5">
        <v>23544</v>
      </c>
      <c r="B1122">
        <v>80.400001525878906</v>
      </c>
    </row>
    <row r="1123" spans="1:2" x14ac:dyDescent="0.25">
      <c r="A1123" s="5">
        <v>23545</v>
      </c>
      <c r="B1123">
        <v>80.809997558593807</v>
      </c>
    </row>
    <row r="1124" spans="1:2" x14ac:dyDescent="0.25">
      <c r="A1124" s="5">
        <v>23546</v>
      </c>
      <c r="B1124">
        <v>80.790000915527301</v>
      </c>
    </row>
    <row r="1125" spans="1:2" x14ac:dyDescent="0.25">
      <c r="A1125" s="5">
        <v>23547</v>
      </c>
      <c r="B1125">
        <v>80.889999389648395</v>
      </c>
    </row>
    <row r="1126" spans="1:2" x14ac:dyDescent="0.25">
      <c r="A1126" s="5">
        <v>23550</v>
      </c>
      <c r="B1126">
        <v>81.110000610351605</v>
      </c>
    </row>
    <row r="1127" spans="1:2" x14ac:dyDescent="0.25">
      <c r="A1127" s="5">
        <v>23551</v>
      </c>
      <c r="B1127">
        <v>80.769996643066406</v>
      </c>
    </row>
    <row r="1128" spans="1:2" x14ac:dyDescent="0.25">
      <c r="A1128" s="5">
        <v>23552</v>
      </c>
      <c r="B1128">
        <v>81.059997558593807</v>
      </c>
    </row>
    <row r="1129" spans="1:2" x14ac:dyDescent="0.25">
      <c r="A1129" s="5">
        <v>23553</v>
      </c>
      <c r="B1129">
        <v>81.209999084472699</v>
      </c>
    </row>
    <row r="1130" spans="1:2" x14ac:dyDescent="0.25">
      <c r="A1130" s="5">
        <v>23554</v>
      </c>
      <c r="B1130">
        <v>81.459999084472699</v>
      </c>
    </row>
    <row r="1131" spans="1:2" x14ac:dyDescent="0.25">
      <c r="A1131" s="5">
        <v>23557</v>
      </c>
      <c r="B1131">
        <v>81.639999389648395</v>
      </c>
    </row>
    <row r="1132" spans="1:2" x14ac:dyDescent="0.25">
      <c r="A1132" s="5">
        <v>23558</v>
      </c>
      <c r="B1132">
        <v>81.690002441406193</v>
      </c>
    </row>
    <row r="1133" spans="1:2" x14ac:dyDescent="0.25">
      <c r="A1133" s="5">
        <v>23559</v>
      </c>
      <c r="B1133">
        <v>82.269996643066406</v>
      </c>
    </row>
    <row r="1134" spans="1:2" x14ac:dyDescent="0.25">
      <c r="A1134" s="5">
        <v>23560</v>
      </c>
      <c r="B1134">
        <v>82.599998474121094</v>
      </c>
    </row>
    <row r="1135" spans="1:2" x14ac:dyDescent="0.25">
      <c r="A1135" s="5">
        <v>23564</v>
      </c>
      <c r="B1135">
        <v>82.980003356933594</v>
      </c>
    </row>
    <row r="1136" spans="1:2" x14ac:dyDescent="0.25">
      <c r="A1136" s="5">
        <v>23565</v>
      </c>
      <c r="B1136">
        <v>83.120002746582003</v>
      </c>
    </row>
    <row r="1137" spans="1:2" x14ac:dyDescent="0.25">
      <c r="A1137" s="5">
        <v>23566</v>
      </c>
      <c r="B1137">
        <v>83.120002746582003</v>
      </c>
    </row>
    <row r="1138" spans="1:2" x14ac:dyDescent="0.25">
      <c r="A1138" s="5">
        <v>23567</v>
      </c>
      <c r="B1138">
        <v>83.220001220703097</v>
      </c>
    </row>
    <row r="1139" spans="1:2" x14ac:dyDescent="0.25">
      <c r="A1139" s="5">
        <v>23568</v>
      </c>
      <c r="B1139">
        <v>83.360000610351605</v>
      </c>
    </row>
    <row r="1140" spans="1:2" x14ac:dyDescent="0.25">
      <c r="A1140" s="5">
        <v>23571</v>
      </c>
      <c r="B1140">
        <v>83.309997558593807</v>
      </c>
    </row>
    <row r="1141" spans="1:2" x14ac:dyDescent="0.25">
      <c r="A1141" s="5">
        <v>23572</v>
      </c>
      <c r="B1141">
        <v>83.059997558593807</v>
      </c>
    </row>
    <row r="1142" spans="1:2" x14ac:dyDescent="0.25">
      <c r="A1142" s="5">
        <v>23573</v>
      </c>
      <c r="B1142">
        <v>83.339996337890597</v>
      </c>
    </row>
    <row r="1143" spans="1:2" x14ac:dyDescent="0.25">
      <c r="A1143" s="5">
        <v>23574</v>
      </c>
      <c r="B1143">
        <v>83.639999389648395</v>
      </c>
    </row>
    <row r="1144" spans="1:2" x14ac:dyDescent="0.25">
      <c r="A1144" s="5">
        <v>23575</v>
      </c>
      <c r="B1144">
        <v>84.010002136230497</v>
      </c>
    </row>
    <row r="1145" spans="1:2" x14ac:dyDescent="0.25">
      <c r="A1145" s="5">
        <v>23578</v>
      </c>
      <c r="B1145">
        <v>83.739997863769503</v>
      </c>
    </row>
    <row r="1146" spans="1:2" x14ac:dyDescent="0.25">
      <c r="A1146" s="5">
        <v>23579</v>
      </c>
      <c r="B1146">
        <v>83.540000915527301</v>
      </c>
    </row>
    <row r="1147" spans="1:2" x14ac:dyDescent="0.25">
      <c r="A1147" s="5">
        <v>23580</v>
      </c>
      <c r="B1147">
        <v>83.519996643066406</v>
      </c>
    </row>
    <row r="1148" spans="1:2" x14ac:dyDescent="0.25">
      <c r="A1148" s="5">
        <v>23581</v>
      </c>
      <c r="B1148">
        <v>83.480003356933594</v>
      </c>
    </row>
    <row r="1149" spans="1:2" x14ac:dyDescent="0.25">
      <c r="A1149" s="5">
        <v>23582</v>
      </c>
      <c r="B1149">
        <v>83.459999084472699</v>
      </c>
    </row>
    <row r="1150" spans="1:2" x14ac:dyDescent="0.25">
      <c r="A1150" s="5">
        <v>23585</v>
      </c>
      <c r="B1150">
        <v>83.080001831054702</v>
      </c>
    </row>
    <row r="1151" spans="1:2" x14ac:dyDescent="0.25">
      <c r="A1151" s="5">
        <v>23586</v>
      </c>
      <c r="B1151">
        <v>82.849998474121094</v>
      </c>
    </row>
    <row r="1152" spans="1:2" x14ac:dyDescent="0.25">
      <c r="A1152" s="5">
        <v>23587</v>
      </c>
      <c r="B1152">
        <v>82.919998168945298</v>
      </c>
    </row>
    <row r="1153" spans="1:2" x14ac:dyDescent="0.25">
      <c r="A1153" s="5">
        <v>23588</v>
      </c>
      <c r="B1153">
        <v>83.089996337890597</v>
      </c>
    </row>
    <row r="1154" spans="1:2" x14ac:dyDescent="0.25">
      <c r="A1154" s="5">
        <v>23589</v>
      </c>
      <c r="B1154">
        <v>83.180000305175795</v>
      </c>
    </row>
    <row r="1155" spans="1:2" x14ac:dyDescent="0.25">
      <c r="A1155" s="5">
        <v>23592</v>
      </c>
      <c r="B1155">
        <v>83</v>
      </c>
    </row>
    <row r="1156" spans="1:2" x14ac:dyDescent="0.25">
      <c r="A1156" s="5">
        <v>23593</v>
      </c>
      <c r="B1156">
        <v>81.959999084472699</v>
      </c>
    </row>
    <row r="1157" spans="1:2" x14ac:dyDescent="0.25">
      <c r="A1157" s="5">
        <v>23594</v>
      </c>
      <c r="B1157">
        <v>82.089996337890597</v>
      </c>
    </row>
    <row r="1158" spans="1:2" x14ac:dyDescent="0.25">
      <c r="A1158" s="5">
        <v>23595</v>
      </c>
      <c r="B1158">
        <v>81.339996337890597</v>
      </c>
    </row>
    <row r="1159" spans="1:2" x14ac:dyDescent="0.25">
      <c r="A1159" s="5">
        <v>23596</v>
      </c>
      <c r="B1159">
        <v>81.860000610351605</v>
      </c>
    </row>
    <row r="1160" spans="1:2" x14ac:dyDescent="0.25">
      <c r="A1160" s="5">
        <v>23599</v>
      </c>
      <c r="B1160">
        <v>81.779998779296903</v>
      </c>
    </row>
    <row r="1161" spans="1:2" x14ac:dyDescent="0.25">
      <c r="A1161" s="5">
        <v>23600</v>
      </c>
      <c r="B1161">
        <v>81.760002136230497</v>
      </c>
    </row>
    <row r="1162" spans="1:2" x14ac:dyDescent="0.25">
      <c r="A1162" s="5">
        <v>23601</v>
      </c>
      <c r="B1162">
        <v>82.169998168945298</v>
      </c>
    </row>
    <row r="1163" spans="1:2" x14ac:dyDescent="0.25">
      <c r="A1163" s="5">
        <v>23602</v>
      </c>
      <c r="B1163">
        <v>82.410003662109403</v>
      </c>
    </row>
    <row r="1164" spans="1:2" x14ac:dyDescent="0.25">
      <c r="A1164" s="5">
        <v>23603</v>
      </c>
      <c r="B1164">
        <v>82.349998474121094</v>
      </c>
    </row>
    <row r="1165" spans="1:2" x14ac:dyDescent="0.25">
      <c r="A1165" s="5">
        <v>23606</v>
      </c>
      <c r="B1165">
        <v>82.360000610351605</v>
      </c>
    </row>
    <row r="1166" spans="1:2" x14ac:dyDescent="0.25">
      <c r="A1166" s="5">
        <v>23607</v>
      </c>
      <c r="B1166">
        <v>82.400001525878906</v>
      </c>
    </row>
    <row r="1167" spans="1:2" x14ac:dyDescent="0.25">
      <c r="A1167" s="5">
        <v>23608</v>
      </c>
      <c r="B1167">
        <v>82.319999694824205</v>
      </c>
    </row>
    <row r="1168" spans="1:2" x14ac:dyDescent="0.25">
      <c r="A1168" s="5">
        <v>23609</v>
      </c>
      <c r="B1168">
        <v>81.940002441406193</v>
      </c>
    </row>
    <row r="1169" spans="1:2" x14ac:dyDescent="0.25">
      <c r="A1169" s="5">
        <v>23610</v>
      </c>
      <c r="B1169">
        <v>82.069999694824205</v>
      </c>
    </row>
    <row r="1170" spans="1:2" x14ac:dyDescent="0.25">
      <c r="A1170" s="5">
        <v>23613</v>
      </c>
      <c r="B1170">
        <v>81.910003662109403</v>
      </c>
    </row>
    <row r="1171" spans="1:2" x14ac:dyDescent="0.25">
      <c r="A1171" s="5">
        <v>23614</v>
      </c>
      <c r="B1171">
        <v>81.440002441406193</v>
      </c>
    </row>
    <row r="1172" spans="1:2" x14ac:dyDescent="0.25">
      <c r="A1172" s="5">
        <v>23615</v>
      </c>
      <c r="B1172">
        <v>81.319999694824205</v>
      </c>
    </row>
    <row r="1173" spans="1:2" x14ac:dyDescent="0.25">
      <c r="A1173" s="5">
        <v>23616</v>
      </c>
      <c r="B1173">
        <v>81.699996948242202</v>
      </c>
    </row>
    <row r="1174" spans="1:2" x14ac:dyDescent="0.25">
      <c r="A1174" s="5">
        <v>23617</v>
      </c>
      <c r="B1174">
        <v>81.989997863769503</v>
      </c>
    </row>
    <row r="1175" spans="1:2" x14ac:dyDescent="0.25">
      <c r="A1175" s="5">
        <v>23620</v>
      </c>
      <c r="B1175">
        <v>81.830001831054702</v>
      </c>
    </row>
    <row r="1176" spans="1:2" x14ac:dyDescent="0.25">
      <c r="A1176" s="5">
        <v>23621</v>
      </c>
      <c r="B1176">
        <v>82.180000305175795</v>
      </c>
    </row>
    <row r="1177" spans="1:2" x14ac:dyDescent="0.25">
      <c r="A1177" s="5">
        <v>23622</v>
      </c>
      <c r="B1177">
        <v>82.309997558593807</v>
      </c>
    </row>
    <row r="1178" spans="1:2" x14ac:dyDescent="0.25">
      <c r="A1178" s="5">
        <v>23623</v>
      </c>
      <c r="B1178">
        <v>82.559997558593807</v>
      </c>
    </row>
    <row r="1179" spans="1:2" x14ac:dyDescent="0.25">
      <c r="A1179" s="5">
        <v>23624</v>
      </c>
      <c r="B1179">
        <v>82.760002136230497</v>
      </c>
    </row>
    <row r="1180" spans="1:2" x14ac:dyDescent="0.25">
      <c r="A1180" s="5">
        <v>23628</v>
      </c>
      <c r="B1180">
        <v>82.870002746582003</v>
      </c>
    </row>
    <row r="1181" spans="1:2" x14ac:dyDescent="0.25">
      <c r="A1181" s="5">
        <v>23629</v>
      </c>
      <c r="B1181">
        <v>83.050003051757798</v>
      </c>
    </row>
    <row r="1182" spans="1:2" x14ac:dyDescent="0.25">
      <c r="A1182" s="5">
        <v>23630</v>
      </c>
      <c r="B1182">
        <v>83.099998474121094</v>
      </c>
    </row>
    <row r="1183" spans="1:2" x14ac:dyDescent="0.25">
      <c r="A1183" s="5">
        <v>23631</v>
      </c>
      <c r="B1183">
        <v>83.449996948242202</v>
      </c>
    </row>
    <row r="1184" spans="1:2" x14ac:dyDescent="0.25">
      <c r="A1184" s="5">
        <v>23634</v>
      </c>
      <c r="B1184">
        <v>83.220001220703097</v>
      </c>
    </row>
    <row r="1185" spans="1:2" x14ac:dyDescent="0.25">
      <c r="A1185" s="5">
        <v>23635</v>
      </c>
      <c r="B1185">
        <v>83</v>
      </c>
    </row>
    <row r="1186" spans="1:2" x14ac:dyDescent="0.25">
      <c r="A1186" s="5">
        <v>23636</v>
      </c>
      <c r="B1186">
        <v>83.239997863769503</v>
      </c>
    </row>
    <row r="1187" spans="1:2" x14ac:dyDescent="0.25">
      <c r="A1187" s="5">
        <v>23637</v>
      </c>
      <c r="B1187">
        <v>83.790000915527301</v>
      </c>
    </row>
    <row r="1188" spans="1:2" x14ac:dyDescent="0.25">
      <c r="A1188" s="5">
        <v>23638</v>
      </c>
      <c r="B1188">
        <v>83.480003356933594</v>
      </c>
    </row>
    <row r="1189" spans="1:2" x14ac:dyDescent="0.25">
      <c r="A1189" s="5">
        <v>23641</v>
      </c>
      <c r="B1189">
        <v>83.860000610351605</v>
      </c>
    </row>
    <row r="1190" spans="1:2" x14ac:dyDescent="0.25">
      <c r="A1190" s="5">
        <v>23642</v>
      </c>
      <c r="B1190">
        <v>83.889999389648395</v>
      </c>
    </row>
    <row r="1191" spans="1:2" x14ac:dyDescent="0.25">
      <c r="A1191" s="5">
        <v>23643</v>
      </c>
      <c r="B1191">
        <v>83.910003662109403</v>
      </c>
    </row>
    <row r="1192" spans="1:2" x14ac:dyDescent="0.25">
      <c r="A1192" s="5">
        <v>23644</v>
      </c>
      <c r="B1192">
        <v>84</v>
      </c>
    </row>
    <row r="1193" spans="1:2" x14ac:dyDescent="0.25">
      <c r="A1193" s="5">
        <v>23645</v>
      </c>
      <c r="B1193">
        <v>84.209999084472699</v>
      </c>
    </row>
    <row r="1194" spans="1:2" x14ac:dyDescent="0.25">
      <c r="A1194" s="5">
        <v>23648</v>
      </c>
      <c r="B1194">
        <v>84.279998779296903</v>
      </c>
    </row>
    <row r="1195" spans="1:2" x14ac:dyDescent="0.25">
      <c r="A1195" s="5">
        <v>23649</v>
      </c>
      <c r="B1195">
        <v>84.239997863769503</v>
      </c>
    </row>
    <row r="1196" spans="1:2" x14ac:dyDescent="0.25">
      <c r="A1196" s="5">
        <v>23650</v>
      </c>
      <c r="B1196">
        <v>84.180000305175795</v>
      </c>
    </row>
    <row r="1197" spans="1:2" x14ac:dyDescent="0.25">
      <c r="A1197" s="5">
        <v>23651</v>
      </c>
      <c r="B1197">
        <v>84.080001831054702</v>
      </c>
    </row>
    <row r="1198" spans="1:2" x14ac:dyDescent="0.25">
      <c r="A1198" s="5">
        <v>23652</v>
      </c>
      <c r="B1198">
        <v>84.360000610351605</v>
      </c>
    </row>
    <row r="1199" spans="1:2" x14ac:dyDescent="0.25">
      <c r="A1199" s="5">
        <v>23655</v>
      </c>
      <c r="B1199">
        <v>84.739997863769503</v>
      </c>
    </row>
    <row r="1200" spans="1:2" x14ac:dyDescent="0.25">
      <c r="A1200" s="5">
        <v>23656</v>
      </c>
      <c r="B1200">
        <v>84.790000915527301</v>
      </c>
    </row>
    <row r="1201" spans="1:2" x14ac:dyDescent="0.25">
      <c r="A1201" s="5">
        <v>23657</v>
      </c>
      <c r="B1201">
        <v>84.800003051757798</v>
      </c>
    </row>
    <row r="1202" spans="1:2" x14ac:dyDescent="0.25">
      <c r="A1202" s="5">
        <v>23658</v>
      </c>
      <c r="B1202">
        <v>85.040000915527301</v>
      </c>
    </row>
    <row r="1203" spans="1:2" x14ac:dyDescent="0.25">
      <c r="A1203" s="5">
        <v>23659</v>
      </c>
      <c r="B1203">
        <v>85.220001220703097</v>
      </c>
    </row>
    <row r="1204" spans="1:2" x14ac:dyDescent="0.25">
      <c r="A1204" s="5">
        <v>23662</v>
      </c>
      <c r="B1204">
        <v>85.239997863769503</v>
      </c>
    </row>
    <row r="1205" spans="1:2" x14ac:dyDescent="0.25">
      <c r="A1205" s="5">
        <v>23663</v>
      </c>
      <c r="B1205">
        <v>84.959999084472699</v>
      </c>
    </row>
    <row r="1206" spans="1:2" x14ac:dyDescent="0.25">
      <c r="A1206" s="5">
        <v>23664</v>
      </c>
      <c r="B1206">
        <v>84.790000915527301</v>
      </c>
    </row>
    <row r="1207" spans="1:2" x14ac:dyDescent="0.25">
      <c r="A1207" s="5">
        <v>23665</v>
      </c>
      <c r="B1207">
        <v>84.25</v>
      </c>
    </row>
    <row r="1208" spans="1:2" x14ac:dyDescent="0.25">
      <c r="A1208" s="5">
        <v>23666</v>
      </c>
      <c r="B1208">
        <v>84.830001831054702</v>
      </c>
    </row>
    <row r="1209" spans="1:2" x14ac:dyDescent="0.25">
      <c r="A1209" s="5">
        <v>23669</v>
      </c>
      <c r="B1209">
        <v>84.930000305175795</v>
      </c>
    </row>
    <row r="1210" spans="1:2" x14ac:dyDescent="0.25">
      <c r="A1210" s="5">
        <v>23670</v>
      </c>
      <c r="B1210">
        <v>85.180000305175795</v>
      </c>
    </row>
    <row r="1211" spans="1:2" x14ac:dyDescent="0.25">
      <c r="A1211" s="5">
        <v>23671</v>
      </c>
      <c r="B1211">
        <v>85.099998474121094</v>
      </c>
    </row>
    <row r="1212" spans="1:2" x14ac:dyDescent="0.25">
      <c r="A1212" s="5">
        <v>23672</v>
      </c>
      <c r="B1212">
        <v>84.940002441406193</v>
      </c>
    </row>
    <row r="1213" spans="1:2" x14ac:dyDescent="0.25">
      <c r="A1213" s="5">
        <v>23673</v>
      </c>
      <c r="B1213">
        <v>85.139999389648395</v>
      </c>
    </row>
    <row r="1214" spans="1:2" x14ac:dyDescent="0.25">
      <c r="A1214" s="5">
        <v>23676</v>
      </c>
      <c r="B1214">
        <v>85</v>
      </c>
    </row>
    <row r="1215" spans="1:2" x14ac:dyDescent="0.25">
      <c r="A1215" s="5">
        <v>23677</v>
      </c>
      <c r="B1215">
        <v>85</v>
      </c>
    </row>
    <row r="1216" spans="1:2" x14ac:dyDescent="0.25">
      <c r="A1216" s="5">
        <v>23678</v>
      </c>
      <c r="B1216">
        <v>84.690002441406193</v>
      </c>
    </row>
    <row r="1217" spans="1:2" x14ac:dyDescent="0.25">
      <c r="A1217" s="5">
        <v>23679</v>
      </c>
      <c r="B1217">
        <v>84.730003356933594</v>
      </c>
    </row>
    <row r="1218" spans="1:2" x14ac:dyDescent="0.25">
      <c r="A1218" s="5">
        <v>23680</v>
      </c>
      <c r="B1218">
        <v>84.860000610351605</v>
      </c>
    </row>
    <row r="1219" spans="1:2" x14ac:dyDescent="0.25">
      <c r="A1219" s="5">
        <v>23683</v>
      </c>
      <c r="B1219">
        <v>85.180000305175795</v>
      </c>
    </row>
    <row r="1220" spans="1:2" x14ac:dyDescent="0.25">
      <c r="A1220" s="5">
        <v>23685</v>
      </c>
      <c r="B1220">
        <v>85.139999389648395</v>
      </c>
    </row>
    <row r="1221" spans="1:2" x14ac:dyDescent="0.25">
      <c r="A1221" s="5">
        <v>23686</v>
      </c>
      <c r="B1221">
        <v>85.160003662109403</v>
      </c>
    </row>
    <row r="1222" spans="1:2" x14ac:dyDescent="0.25">
      <c r="A1222" s="5">
        <v>23687</v>
      </c>
      <c r="B1222">
        <v>85.230003356933594</v>
      </c>
    </row>
    <row r="1223" spans="1:2" x14ac:dyDescent="0.25">
      <c r="A1223" s="5">
        <v>23690</v>
      </c>
      <c r="B1223">
        <v>85.190002441406193</v>
      </c>
    </row>
    <row r="1224" spans="1:2" x14ac:dyDescent="0.25">
      <c r="A1224" s="5">
        <v>23691</v>
      </c>
      <c r="B1224">
        <v>84.839996337890597</v>
      </c>
    </row>
    <row r="1225" spans="1:2" x14ac:dyDescent="0.25">
      <c r="A1225" s="5">
        <v>23692</v>
      </c>
      <c r="B1225">
        <v>85.080001831054702</v>
      </c>
    </row>
    <row r="1226" spans="1:2" x14ac:dyDescent="0.25">
      <c r="A1226" s="5">
        <v>23693</v>
      </c>
      <c r="B1226">
        <v>85.190002441406193</v>
      </c>
    </row>
    <row r="1227" spans="1:2" x14ac:dyDescent="0.25">
      <c r="A1227" s="5">
        <v>23694</v>
      </c>
      <c r="B1227">
        <v>85.209999084472699</v>
      </c>
    </row>
    <row r="1228" spans="1:2" x14ac:dyDescent="0.25">
      <c r="A1228" s="5">
        <v>23697</v>
      </c>
      <c r="B1228">
        <v>85.650001525878906</v>
      </c>
    </row>
    <row r="1229" spans="1:2" x14ac:dyDescent="0.25">
      <c r="A1229" s="5">
        <v>23698</v>
      </c>
      <c r="B1229">
        <v>86.029998779296903</v>
      </c>
    </row>
    <row r="1230" spans="1:2" x14ac:dyDescent="0.25">
      <c r="A1230" s="5">
        <v>23699</v>
      </c>
      <c r="B1230">
        <v>86.220001220703097</v>
      </c>
    </row>
    <row r="1231" spans="1:2" x14ac:dyDescent="0.25">
      <c r="A1231" s="5">
        <v>23700</v>
      </c>
      <c r="B1231">
        <v>86.180000305175795</v>
      </c>
    </row>
    <row r="1232" spans="1:2" x14ac:dyDescent="0.25">
      <c r="A1232" s="5">
        <v>23701</v>
      </c>
      <c r="B1232">
        <v>86.279998779296903</v>
      </c>
    </row>
    <row r="1233" spans="1:2" x14ac:dyDescent="0.25">
      <c r="A1233" s="5">
        <v>23704</v>
      </c>
      <c r="B1233">
        <v>86</v>
      </c>
    </row>
    <row r="1234" spans="1:2" x14ac:dyDescent="0.25">
      <c r="A1234" s="5">
        <v>23705</v>
      </c>
      <c r="B1234">
        <v>85.730003356933594</v>
      </c>
    </row>
    <row r="1235" spans="1:2" x14ac:dyDescent="0.25">
      <c r="A1235" s="5">
        <v>23706</v>
      </c>
      <c r="B1235">
        <v>85.440002441406193</v>
      </c>
    </row>
    <row r="1236" spans="1:2" x14ac:dyDescent="0.25">
      <c r="A1236" s="5">
        <v>23708</v>
      </c>
      <c r="B1236">
        <v>85.160003662109403</v>
      </c>
    </row>
    <row r="1237" spans="1:2" x14ac:dyDescent="0.25">
      <c r="A1237" s="5">
        <v>23711</v>
      </c>
      <c r="B1237">
        <v>84.419998168945298</v>
      </c>
    </row>
    <row r="1238" spans="1:2" x14ac:dyDescent="0.25">
      <c r="A1238" s="5">
        <v>23712</v>
      </c>
      <c r="B1238">
        <v>83.550003051757798</v>
      </c>
    </row>
    <row r="1239" spans="1:2" x14ac:dyDescent="0.25">
      <c r="A1239" s="5">
        <v>23713</v>
      </c>
      <c r="B1239">
        <v>83.790000915527301</v>
      </c>
    </row>
    <row r="1240" spans="1:2" x14ac:dyDescent="0.25">
      <c r="A1240" s="5">
        <v>23714</v>
      </c>
      <c r="B1240">
        <v>84.180000305175795</v>
      </c>
    </row>
    <row r="1241" spans="1:2" x14ac:dyDescent="0.25">
      <c r="A1241" s="5">
        <v>23715</v>
      </c>
      <c r="B1241">
        <v>84.349998474121094</v>
      </c>
    </row>
    <row r="1242" spans="1:2" x14ac:dyDescent="0.25">
      <c r="A1242" s="5">
        <v>23718</v>
      </c>
      <c r="B1242">
        <v>84.330001831054702</v>
      </c>
    </row>
    <row r="1243" spans="1:2" x14ac:dyDescent="0.25">
      <c r="A1243" s="5">
        <v>23719</v>
      </c>
      <c r="B1243">
        <v>84</v>
      </c>
    </row>
    <row r="1244" spans="1:2" x14ac:dyDescent="0.25">
      <c r="A1244" s="5">
        <v>23720</v>
      </c>
      <c r="B1244">
        <v>83.459999084472699</v>
      </c>
    </row>
    <row r="1245" spans="1:2" x14ac:dyDescent="0.25">
      <c r="A1245" s="5">
        <v>23721</v>
      </c>
      <c r="B1245">
        <v>83.449996948242202</v>
      </c>
    </row>
    <row r="1246" spans="1:2" x14ac:dyDescent="0.25">
      <c r="A1246" s="5">
        <v>23722</v>
      </c>
      <c r="B1246">
        <v>83.660003662109403</v>
      </c>
    </row>
    <row r="1247" spans="1:2" x14ac:dyDescent="0.25">
      <c r="A1247" s="5">
        <v>23725</v>
      </c>
      <c r="B1247">
        <v>83.449996948242202</v>
      </c>
    </row>
    <row r="1248" spans="1:2" x14ac:dyDescent="0.25">
      <c r="A1248" s="5">
        <v>23726</v>
      </c>
      <c r="B1248">
        <v>83.220001220703097</v>
      </c>
    </row>
    <row r="1249" spans="1:2" x14ac:dyDescent="0.25">
      <c r="A1249" s="5">
        <v>23727</v>
      </c>
      <c r="B1249">
        <v>83.550003051757798</v>
      </c>
    </row>
    <row r="1250" spans="1:2" x14ac:dyDescent="0.25">
      <c r="A1250" s="5">
        <v>23728</v>
      </c>
      <c r="B1250">
        <v>83.900001525878906</v>
      </c>
    </row>
    <row r="1251" spans="1:2" x14ac:dyDescent="0.25">
      <c r="A1251" s="5">
        <v>23729</v>
      </c>
      <c r="B1251">
        <v>84.290000915527301</v>
      </c>
    </row>
    <row r="1252" spans="1:2" x14ac:dyDescent="0.25">
      <c r="A1252" s="5">
        <v>23732</v>
      </c>
      <c r="B1252">
        <v>84.379997253417997</v>
      </c>
    </row>
    <row r="1253" spans="1:2" x14ac:dyDescent="0.25">
      <c r="A1253" s="5">
        <v>23733</v>
      </c>
      <c r="B1253">
        <v>84.330001831054702</v>
      </c>
    </row>
    <row r="1254" spans="1:2" x14ac:dyDescent="0.25">
      <c r="A1254" s="5">
        <v>23734</v>
      </c>
      <c r="B1254">
        <v>84.150001525878906</v>
      </c>
    </row>
    <row r="1255" spans="1:2" x14ac:dyDescent="0.25">
      <c r="A1255" s="5">
        <v>23735</v>
      </c>
      <c r="B1255">
        <v>84.150001525878906</v>
      </c>
    </row>
    <row r="1256" spans="1:2" x14ac:dyDescent="0.25">
      <c r="A1256" s="5">
        <v>23739</v>
      </c>
      <c r="B1256">
        <v>84.069999694824205</v>
      </c>
    </row>
    <row r="1257" spans="1:2" x14ac:dyDescent="0.25">
      <c r="A1257" s="5">
        <v>23740</v>
      </c>
      <c r="B1257">
        <v>83.809997558593807</v>
      </c>
    </row>
    <row r="1258" spans="1:2" x14ac:dyDescent="0.25">
      <c r="A1258" s="5">
        <v>23741</v>
      </c>
      <c r="B1258">
        <v>84.300003051757798</v>
      </c>
    </row>
    <row r="1259" spans="1:2" x14ac:dyDescent="0.25">
      <c r="A1259" s="5">
        <v>23742</v>
      </c>
      <c r="B1259">
        <v>84.75</v>
      </c>
    </row>
    <row r="1260" spans="1:2" x14ac:dyDescent="0.25">
      <c r="A1260" s="5">
        <v>23746</v>
      </c>
      <c r="B1260">
        <v>84.230003356933594</v>
      </c>
    </row>
    <row r="1261" spans="1:2" x14ac:dyDescent="0.25">
      <c r="A1261" s="5">
        <v>23747</v>
      </c>
      <c r="B1261">
        <v>84.629997253417997</v>
      </c>
    </row>
    <row r="1262" spans="1:2" x14ac:dyDescent="0.25">
      <c r="A1262" s="5">
        <v>23748</v>
      </c>
      <c r="B1262">
        <v>84.889999389648395</v>
      </c>
    </row>
    <row r="1263" spans="1:2" x14ac:dyDescent="0.25">
      <c r="A1263" s="5">
        <v>23749</v>
      </c>
      <c r="B1263">
        <v>85.260002136230497</v>
      </c>
    </row>
    <row r="1264" spans="1:2" x14ac:dyDescent="0.25">
      <c r="A1264" s="5">
        <v>23750</v>
      </c>
      <c r="B1264">
        <v>85.370002746582003</v>
      </c>
    </row>
    <row r="1265" spans="1:2" x14ac:dyDescent="0.25">
      <c r="A1265" s="5">
        <v>23753</v>
      </c>
      <c r="B1265">
        <v>85.400001525878906</v>
      </c>
    </row>
    <row r="1266" spans="1:2" x14ac:dyDescent="0.25">
      <c r="A1266" s="5">
        <v>23754</v>
      </c>
      <c r="B1266">
        <v>85.610000610351605</v>
      </c>
    </row>
    <row r="1267" spans="1:2" x14ac:dyDescent="0.25">
      <c r="A1267" s="5">
        <v>23755</v>
      </c>
      <c r="B1267">
        <v>85.839996337890597</v>
      </c>
    </row>
    <row r="1268" spans="1:2" x14ac:dyDescent="0.25">
      <c r="A1268" s="5">
        <v>23756</v>
      </c>
      <c r="B1268">
        <v>85.839996337890597</v>
      </c>
    </row>
    <row r="1269" spans="1:2" x14ac:dyDescent="0.25">
      <c r="A1269" s="5">
        <v>23757</v>
      </c>
      <c r="B1269">
        <v>86.209999084472699</v>
      </c>
    </row>
    <row r="1270" spans="1:2" x14ac:dyDescent="0.25">
      <c r="A1270" s="5">
        <v>23760</v>
      </c>
      <c r="B1270">
        <v>86.489997863769503</v>
      </c>
    </row>
    <row r="1271" spans="1:2" x14ac:dyDescent="0.25">
      <c r="A1271" s="5">
        <v>23761</v>
      </c>
      <c r="B1271">
        <v>86.629997253417997</v>
      </c>
    </row>
    <row r="1272" spans="1:2" x14ac:dyDescent="0.25">
      <c r="A1272" s="5">
        <v>23762</v>
      </c>
      <c r="B1272">
        <v>86.599998474121094</v>
      </c>
    </row>
    <row r="1273" spans="1:2" x14ac:dyDescent="0.25">
      <c r="A1273" s="5">
        <v>23763</v>
      </c>
      <c r="B1273">
        <v>86.519996643066406</v>
      </c>
    </row>
    <row r="1274" spans="1:2" x14ac:dyDescent="0.25">
      <c r="A1274" s="5">
        <v>23764</v>
      </c>
      <c r="B1274">
        <v>86.739997863769503</v>
      </c>
    </row>
    <row r="1275" spans="1:2" x14ac:dyDescent="0.25">
      <c r="A1275" s="5">
        <v>23767</v>
      </c>
      <c r="B1275">
        <v>86.860000610351605</v>
      </c>
    </row>
    <row r="1276" spans="1:2" x14ac:dyDescent="0.25">
      <c r="A1276" s="5">
        <v>23768</v>
      </c>
      <c r="B1276">
        <v>86.940002441406193</v>
      </c>
    </row>
    <row r="1277" spans="1:2" x14ac:dyDescent="0.25">
      <c r="A1277" s="5">
        <v>23769</v>
      </c>
      <c r="B1277">
        <v>87.230003356933594</v>
      </c>
    </row>
    <row r="1278" spans="1:2" x14ac:dyDescent="0.25">
      <c r="A1278" s="5">
        <v>23770</v>
      </c>
      <c r="B1278">
        <v>87.480003356933594</v>
      </c>
    </row>
    <row r="1279" spans="1:2" x14ac:dyDescent="0.25">
      <c r="A1279" s="5">
        <v>23771</v>
      </c>
      <c r="B1279">
        <v>87.559997558593807</v>
      </c>
    </row>
    <row r="1280" spans="1:2" x14ac:dyDescent="0.25">
      <c r="A1280" s="5">
        <v>23774</v>
      </c>
      <c r="B1280">
        <v>87.580001831054702</v>
      </c>
    </row>
    <row r="1281" spans="1:2" x14ac:dyDescent="0.25">
      <c r="A1281" s="5">
        <v>23775</v>
      </c>
      <c r="B1281">
        <v>87.550003051757798</v>
      </c>
    </row>
    <row r="1282" spans="1:2" x14ac:dyDescent="0.25">
      <c r="A1282" s="5">
        <v>23776</v>
      </c>
      <c r="B1282">
        <v>87.629997253417997</v>
      </c>
    </row>
    <row r="1283" spans="1:2" x14ac:dyDescent="0.25">
      <c r="A1283" s="5">
        <v>23777</v>
      </c>
      <c r="B1283">
        <v>87.569999694824205</v>
      </c>
    </row>
    <row r="1284" spans="1:2" x14ac:dyDescent="0.25">
      <c r="A1284" s="5">
        <v>23778</v>
      </c>
      <c r="B1284">
        <v>87.290000915527301</v>
      </c>
    </row>
    <row r="1285" spans="1:2" x14ac:dyDescent="0.25">
      <c r="A1285" s="5">
        <v>23781</v>
      </c>
      <c r="B1285">
        <v>86.949996948242202</v>
      </c>
    </row>
    <row r="1286" spans="1:2" x14ac:dyDescent="0.25">
      <c r="A1286" s="5">
        <v>23782</v>
      </c>
      <c r="B1286">
        <v>87.239997863769503</v>
      </c>
    </row>
    <row r="1287" spans="1:2" x14ac:dyDescent="0.25">
      <c r="A1287" s="5">
        <v>23783</v>
      </c>
      <c r="B1287">
        <v>86.459999084472699</v>
      </c>
    </row>
    <row r="1288" spans="1:2" x14ac:dyDescent="0.25">
      <c r="A1288" s="5">
        <v>23784</v>
      </c>
      <c r="B1288">
        <v>85.540000915527301</v>
      </c>
    </row>
    <row r="1289" spans="1:2" x14ac:dyDescent="0.25">
      <c r="A1289" s="5">
        <v>23785</v>
      </c>
      <c r="B1289">
        <v>86.169998168945298</v>
      </c>
    </row>
    <row r="1290" spans="1:2" x14ac:dyDescent="0.25">
      <c r="A1290" s="5">
        <v>23788</v>
      </c>
      <c r="B1290">
        <v>86.069999694824205</v>
      </c>
    </row>
    <row r="1291" spans="1:2" x14ac:dyDescent="0.25">
      <c r="A1291" s="5">
        <v>23789</v>
      </c>
      <c r="B1291">
        <v>85.669998168945298</v>
      </c>
    </row>
    <row r="1292" spans="1:2" x14ac:dyDescent="0.25">
      <c r="A1292" s="5">
        <v>23790</v>
      </c>
      <c r="B1292">
        <v>85.769996643066406</v>
      </c>
    </row>
    <row r="1293" spans="1:2" x14ac:dyDescent="0.25">
      <c r="A1293" s="5">
        <v>23791</v>
      </c>
      <c r="B1293">
        <v>86.050003051757798</v>
      </c>
    </row>
    <row r="1294" spans="1:2" x14ac:dyDescent="0.25">
      <c r="A1294" s="5">
        <v>23792</v>
      </c>
      <c r="B1294">
        <v>86.209999084472699</v>
      </c>
    </row>
    <row r="1295" spans="1:2" x14ac:dyDescent="0.25">
      <c r="A1295" s="5">
        <v>23796</v>
      </c>
      <c r="B1295">
        <v>86.639999389648395</v>
      </c>
    </row>
    <row r="1296" spans="1:2" x14ac:dyDescent="0.25">
      <c r="A1296" s="5">
        <v>23797</v>
      </c>
      <c r="B1296">
        <v>87.169998168945298</v>
      </c>
    </row>
    <row r="1297" spans="1:2" x14ac:dyDescent="0.25">
      <c r="A1297" s="5">
        <v>23798</v>
      </c>
      <c r="B1297">
        <v>87.199996948242202</v>
      </c>
    </row>
    <row r="1298" spans="1:2" x14ac:dyDescent="0.25">
      <c r="A1298" s="5">
        <v>23799</v>
      </c>
      <c r="B1298">
        <v>87.430000305175795</v>
      </c>
    </row>
    <row r="1299" spans="1:2" x14ac:dyDescent="0.25">
      <c r="A1299" s="5">
        <v>23802</v>
      </c>
      <c r="B1299">
        <v>87.25</v>
      </c>
    </row>
    <row r="1300" spans="1:2" x14ac:dyDescent="0.25">
      <c r="A1300" s="5">
        <v>23803</v>
      </c>
      <c r="B1300">
        <v>87.400001525878906</v>
      </c>
    </row>
    <row r="1301" spans="1:2" x14ac:dyDescent="0.25">
      <c r="A1301" s="5">
        <v>23804</v>
      </c>
      <c r="B1301">
        <v>87.260002136230497</v>
      </c>
    </row>
    <row r="1302" spans="1:2" x14ac:dyDescent="0.25">
      <c r="A1302" s="5">
        <v>23805</v>
      </c>
      <c r="B1302">
        <v>86.980003356933594</v>
      </c>
    </row>
    <row r="1303" spans="1:2" x14ac:dyDescent="0.25">
      <c r="A1303" s="5">
        <v>23806</v>
      </c>
      <c r="B1303">
        <v>86.800003051757798</v>
      </c>
    </row>
    <row r="1304" spans="1:2" x14ac:dyDescent="0.25">
      <c r="A1304" s="5">
        <v>23809</v>
      </c>
      <c r="B1304">
        <v>86.830001831054702</v>
      </c>
    </row>
    <row r="1305" spans="1:2" x14ac:dyDescent="0.25">
      <c r="A1305" s="5">
        <v>23810</v>
      </c>
      <c r="B1305">
        <v>86.690002441406193</v>
      </c>
    </row>
    <row r="1306" spans="1:2" x14ac:dyDescent="0.25">
      <c r="A1306" s="5">
        <v>23811</v>
      </c>
      <c r="B1306">
        <v>86.540000915527301</v>
      </c>
    </row>
    <row r="1307" spans="1:2" x14ac:dyDescent="0.25">
      <c r="A1307" s="5">
        <v>23812</v>
      </c>
      <c r="B1307">
        <v>86.900001525878906</v>
      </c>
    </row>
    <row r="1308" spans="1:2" x14ac:dyDescent="0.25">
      <c r="A1308" s="5">
        <v>23813</v>
      </c>
      <c r="B1308">
        <v>87.209999084472699</v>
      </c>
    </row>
    <row r="1309" spans="1:2" x14ac:dyDescent="0.25">
      <c r="A1309" s="5">
        <v>23816</v>
      </c>
      <c r="B1309">
        <v>87.239997863769503</v>
      </c>
    </row>
    <row r="1310" spans="1:2" x14ac:dyDescent="0.25">
      <c r="A1310" s="5">
        <v>23817</v>
      </c>
      <c r="B1310">
        <v>87.129997253417997</v>
      </c>
    </row>
    <row r="1311" spans="1:2" x14ac:dyDescent="0.25">
      <c r="A1311" s="5">
        <v>23818</v>
      </c>
      <c r="B1311">
        <v>87.019996643066406</v>
      </c>
    </row>
    <row r="1312" spans="1:2" x14ac:dyDescent="0.25">
      <c r="A1312" s="5">
        <v>23819</v>
      </c>
      <c r="B1312">
        <v>86.809997558593807</v>
      </c>
    </row>
    <row r="1313" spans="1:2" x14ac:dyDescent="0.25">
      <c r="A1313" s="5">
        <v>23820</v>
      </c>
      <c r="B1313">
        <v>86.839996337890597</v>
      </c>
    </row>
    <row r="1314" spans="1:2" x14ac:dyDescent="0.25">
      <c r="A1314" s="5">
        <v>23823</v>
      </c>
      <c r="B1314">
        <v>86.830001831054702</v>
      </c>
    </row>
    <row r="1315" spans="1:2" x14ac:dyDescent="0.25">
      <c r="A1315" s="5">
        <v>23824</v>
      </c>
      <c r="B1315">
        <v>86.930000305175795</v>
      </c>
    </row>
    <row r="1316" spans="1:2" x14ac:dyDescent="0.25">
      <c r="A1316" s="5">
        <v>23825</v>
      </c>
      <c r="B1316">
        <v>87.089996337890597</v>
      </c>
    </row>
    <row r="1317" spans="1:2" x14ac:dyDescent="0.25">
      <c r="A1317" s="5">
        <v>23826</v>
      </c>
      <c r="B1317">
        <v>86.839996337890597</v>
      </c>
    </row>
    <row r="1318" spans="1:2" x14ac:dyDescent="0.25">
      <c r="A1318" s="5">
        <v>23827</v>
      </c>
      <c r="B1318">
        <v>86.199996948242202</v>
      </c>
    </row>
    <row r="1319" spans="1:2" x14ac:dyDescent="0.25">
      <c r="A1319" s="5">
        <v>23830</v>
      </c>
      <c r="B1319">
        <v>86.029998779296903</v>
      </c>
    </row>
    <row r="1320" spans="1:2" x14ac:dyDescent="0.25">
      <c r="A1320" s="5">
        <v>23831</v>
      </c>
      <c r="B1320">
        <v>86.199996948242202</v>
      </c>
    </row>
    <row r="1321" spans="1:2" x14ac:dyDescent="0.25">
      <c r="A1321" s="5">
        <v>23832</v>
      </c>
      <c r="B1321">
        <v>86.160003662109403</v>
      </c>
    </row>
    <row r="1322" spans="1:2" x14ac:dyDescent="0.25">
      <c r="A1322" s="5">
        <v>23833</v>
      </c>
      <c r="B1322">
        <v>86.319999694824205</v>
      </c>
    </row>
    <row r="1323" spans="1:2" x14ac:dyDescent="0.25">
      <c r="A1323" s="5">
        <v>23834</v>
      </c>
      <c r="B1323">
        <v>86.529998779296903</v>
      </c>
    </row>
    <row r="1324" spans="1:2" x14ac:dyDescent="0.25">
      <c r="A1324" s="5">
        <v>23837</v>
      </c>
      <c r="B1324">
        <v>86.529998779296903</v>
      </c>
    </row>
    <row r="1325" spans="1:2" x14ac:dyDescent="0.25">
      <c r="A1325" s="5">
        <v>23838</v>
      </c>
      <c r="B1325">
        <v>86.5</v>
      </c>
    </row>
    <row r="1326" spans="1:2" x14ac:dyDescent="0.25">
      <c r="A1326" s="5">
        <v>23839</v>
      </c>
      <c r="B1326">
        <v>86.550003051757798</v>
      </c>
    </row>
    <row r="1327" spans="1:2" x14ac:dyDescent="0.25">
      <c r="A1327" s="5">
        <v>23840</v>
      </c>
      <c r="B1327">
        <v>87.040000915527301</v>
      </c>
    </row>
    <row r="1328" spans="1:2" x14ac:dyDescent="0.25">
      <c r="A1328" s="5">
        <v>23841</v>
      </c>
      <c r="B1328">
        <v>87.559997558593807</v>
      </c>
    </row>
    <row r="1329" spans="1:2" x14ac:dyDescent="0.25">
      <c r="A1329" s="5">
        <v>23844</v>
      </c>
      <c r="B1329">
        <v>87.940002441406193</v>
      </c>
    </row>
    <row r="1330" spans="1:2" x14ac:dyDescent="0.25">
      <c r="A1330" s="5">
        <v>23845</v>
      </c>
      <c r="B1330">
        <v>88.040000915527301</v>
      </c>
    </row>
    <row r="1331" spans="1:2" x14ac:dyDescent="0.25">
      <c r="A1331" s="5">
        <v>23846</v>
      </c>
      <c r="B1331">
        <v>88.239997863769503</v>
      </c>
    </row>
    <row r="1332" spans="1:2" x14ac:dyDescent="0.25">
      <c r="A1332" s="5">
        <v>23847</v>
      </c>
      <c r="B1332">
        <v>88.150001525878906</v>
      </c>
    </row>
    <row r="1333" spans="1:2" x14ac:dyDescent="0.25">
      <c r="A1333" s="5">
        <v>23851</v>
      </c>
      <c r="B1333">
        <v>88.510002136230497</v>
      </c>
    </row>
    <row r="1334" spans="1:2" x14ac:dyDescent="0.25">
      <c r="A1334" s="5">
        <v>23852</v>
      </c>
      <c r="B1334">
        <v>88.459999084472699</v>
      </c>
    </row>
    <row r="1335" spans="1:2" x14ac:dyDescent="0.25">
      <c r="A1335" s="5">
        <v>23853</v>
      </c>
      <c r="B1335">
        <v>88.300003051757798</v>
      </c>
    </row>
    <row r="1336" spans="1:2" x14ac:dyDescent="0.25">
      <c r="A1336" s="5">
        <v>23854</v>
      </c>
      <c r="B1336">
        <v>88.779998779296903</v>
      </c>
    </row>
    <row r="1337" spans="1:2" x14ac:dyDescent="0.25">
      <c r="A1337" s="5">
        <v>23855</v>
      </c>
      <c r="B1337">
        <v>88.879997253417997</v>
      </c>
    </row>
    <row r="1338" spans="1:2" x14ac:dyDescent="0.25">
      <c r="A1338" s="5">
        <v>23858</v>
      </c>
      <c r="B1338">
        <v>88.889999389648395</v>
      </c>
    </row>
    <row r="1339" spans="1:2" x14ac:dyDescent="0.25">
      <c r="A1339" s="5">
        <v>23859</v>
      </c>
      <c r="B1339">
        <v>89.040000915527301</v>
      </c>
    </row>
    <row r="1340" spans="1:2" x14ac:dyDescent="0.25">
      <c r="A1340" s="5">
        <v>23860</v>
      </c>
      <c r="B1340">
        <v>89</v>
      </c>
    </row>
    <row r="1341" spans="1:2" x14ac:dyDescent="0.25">
      <c r="A1341" s="5">
        <v>23861</v>
      </c>
      <c r="B1341">
        <v>88.930000305175795</v>
      </c>
    </row>
    <row r="1342" spans="1:2" x14ac:dyDescent="0.25">
      <c r="A1342" s="5">
        <v>23862</v>
      </c>
      <c r="B1342">
        <v>89.110000610351605</v>
      </c>
    </row>
    <row r="1343" spans="1:2" x14ac:dyDescent="0.25">
      <c r="A1343" s="5">
        <v>23865</v>
      </c>
      <c r="B1343">
        <v>89.230003356933594</v>
      </c>
    </row>
    <row r="1344" spans="1:2" x14ac:dyDescent="0.25">
      <c r="A1344" s="5">
        <v>23866</v>
      </c>
      <c r="B1344">
        <v>89.510002136230497</v>
      </c>
    </row>
    <row r="1345" spans="1:2" x14ac:dyDescent="0.25">
      <c r="A1345" s="5">
        <v>23867</v>
      </c>
      <c r="B1345">
        <v>89.709999084472699</v>
      </c>
    </row>
    <row r="1346" spans="1:2" x14ac:dyDescent="0.25">
      <c r="A1346" s="5">
        <v>23868</v>
      </c>
      <c r="B1346">
        <v>89.919998168945298</v>
      </c>
    </row>
    <row r="1347" spans="1:2" x14ac:dyDescent="0.25">
      <c r="A1347" s="5">
        <v>23869</v>
      </c>
      <c r="B1347">
        <v>89.849998474121094</v>
      </c>
    </row>
    <row r="1348" spans="1:2" x14ac:dyDescent="0.25">
      <c r="A1348" s="5">
        <v>23872</v>
      </c>
      <c r="B1348">
        <v>89.660003662109403</v>
      </c>
    </row>
    <row r="1349" spans="1:2" x14ac:dyDescent="0.25">
      <c r="A1349" s="5">
        <v>23873</v>
      </c>
      <c r="B1349">
        <v>89.550003051757798</v>
      </c>
    </row>
    <row r="1350" spans="1:2" x14ac:dyDescent="0.25">
      <c r="A1350" s="5">
        <v>23874</v>
      </c>
      <c r="B1350">
        <v>89.940002441406193</v>
      </c>
    </row>
    <row r="1351" spans="1:2" x14ac:dyDescent="0.25">
      <c r="A1351" s="5">
        <v>23875</v>
      </c>
      <c r="B1351">
        <v>90.269996643066406</v>
      </c>
    </row>
    <row r="1352" spans="1:2" x14ac:dyDescent="0.25">
      <c r="A1352" s="5">
        <v>23876</v>
      </c>
      <c r="B1352">
        <v>90.099998474121094</v>
      </c>
    </row>
    <row r="1353" spans="1:2" x14ac:dyDescent="0.25">
      <c r="A1353" s="5">
        <v>23879</v>
      </c>
      <c r="B1353">
        <v>89.540000915527301</v>
      </c>
    </row>
    <row r="1354" spans="1:2" x14ac:dyDescent="0.25">
      <c r="A1354" s="5">
        <v>23880</v>
      </c>
      <c r="B1354">
        <v>89.459999084472699</v>
      </c>
    </row>
    <row r="1355" spans="1:2" x14ac:dyDescent="0.25">
      <c r="A1355" s="5">
        <v>23881</v>
      </c>
      <c r="B1355">
        <v>89.669998168945298</v>
      </c>
    </row>
    <row r="1356" spans="1:2" x14ac:dyDescent="0.25">
      <c r="A1356" s="5">
        <v>23882</v>
      </c>
      <c r="B1356">
        <v>89.180000305175795</v>
      </c>
    </row>
    <row r="1357" spans="1:2" x14ac:dyDescent="0.25">
      <c r="A1357" s="5">
        <v>23883</v>
      </c>
      <c r="B1357">
        <v>88.75</v>
      </c>
    </row>
    <row r="1358" spans="1:2" x14ac:dyDescent="0.25">
      <c r="A1358" s="5">
        <v>23886</v>
      </c>
      <c r="B1358">
        <v>88.089996337890597</v>
      </c>
    </row>
    <row r="1359" spans="1:2" x14ac:dyDescent="0.25">
      <c r="A1359" s="5">
        <v>23887</v>
      </c>
      <c r="B1359">
        <v>88.599998474121094</v>
      </c>
    </row>
    <row r="1360" spans="1:2" x14ac:dyDescent="0.25">
      <c r="A1360" s="5">
        <v>23888</v>
      </c>
      <c r="B1360">
        <v>88.300003051757798</v>
      </c>
    </row>
    <row r="1361" spans="1:2" x14ac:dyDescent="0.25">
      <c r="A1361" s="5">
        <v>23889</v>
      </c>
      <c r="B1361">
        <v>87.839996337890597</v>
      </c>
    </row>
    <row r="1362" spans="1:2" x14ac:dyDescent="0.25">
      <c r="A1362" s="5">
        <v>23890</v>
      </c>
      <c r="B1362">
        <v>88.419998168945298</v>
      </c>
    </row>
    <row r="1363" spans="1:2" x14ac:dyDescent="0.25">
      <c r="A1363" s="5">
        <v>23894</v>
      </c>
      <c r="B1363">
        <v>88.720001220703097</v>
      </c>
    </row>
    <row r="1364" spans="1:2" x14ac:dyDescent="0.25">
      <c r="A1364" s="5">
        <v>23895</v>
      </c>
      <c r="B1364">
        <v>87.089996337890597</v>
      </c>
    </row>
    <row r="1365" spans="1:2" x14ac:dyDescent="0.25">
      <c r="A1365" s="5">
        <v>23896</v>
      </c>
      <c r="B1365">
        <v>86.900001525878906</v>
      </c>
    </row>
    <row r="1366" spans="1:2" x14ac:dyDescent="0.25">
      <c r="A1366" s="5">
        <v>23897</v>
      </c>
      <c r="B1366">
        <v>87.110000610351605</v>
      </c>
    </row>
    <row r="1367" spans="1:2" x14ac:dyDescent="0.25">
      <c r="A1367" s="5">
        <v>23900</v>
      </c>
      <c r="B1367">
        <v>86.879997253417997</v>
      </c>
    </row>
    <row r="1368" spans="1:2" x14ac:dyDescent="0.25">
      <c r="A1368" s="5">
        <v>23901</v>
      </c>
      <c r="B1368">
        <v>85.930000305175795</v>
      </c>
    </row>
    <row r="1369" spans="1:2" x14ac:dyDescent="0.25">
      <c r="A1369" s="5">
        <v>23902</v>
      </c>
      <c r="B1369">
        <v>85.040000915527301</v>
      </c>
    </row>
    <row r="1370" spans="1:2" x14ac:dyDescent="0.25">
      <c r="A1370" s="5">
        <v>23903</v>
      </c>
      <c r="B1370">
        <v>84.730003356933594</v>
      </c>
    </row>
    <row r="1371" spans="1:2" x14ac:dyDescent="0.25">
      <c r="A1371" s="5">
        <v>23904</v>
      </c>
      <c r="B1371">
        <v>85.120002746582003</v>
      </c>
    </row>
    <row r="1372" spans="1:2" x14ac:dyDescent="0.25">
      <c r="A1372" s="5">
        <v>23907</v>
      </c>
      <c r="B1372">
        <v>84.010002136230497</v>
      </c>
    </row>
    <row r="1373" spans="1:2" x14ac:dyDescent="0.25">
      <c r="A1373" s="5">
        <v>23908</v>
      </c>
      <c r="B1373">
        <v>84.489997863769503</v>
      </c>
    </row>
    <row r="1374" spans="1:2" x14ac:dyDescent="0.25">
      <c r="A1374" s="5">
        <v>23909</v>
      </c>
      <c r="B1374">
        <v>85.199996948242202</v>
      </c>
    </row>
    <row r="1375" spans="1:2" x14ac:dyDescent="0.25">
      <c r="A1375" s="5">
        <v>23910</v>
      </c>
      <c r="B1375">
        <v>85.739997863769503</v>
      </c>
    </row>
    <row r="1376" spans="1:2" x14ac:dyDescent="0.25">
      <c r="A1376" s="5">
        <v>23911</v>
      </c>
      <c r="B1376">
        <v>85.339996337890597</v>
      </c>
    </row>
    <row r="1377" spans="1:2" x14ac:dyDescent="0.25">
      <c r="A1377" s="5">
        <v>23914</v>
      </c>
      <c r="B1377">
        <v>85.050003051757798</v>
      </c>
    </row>
    <row r="1378" spans="1:2" x14ac:dyDescent="0.25">
      <c r="A1378" s="5">
        <v>23915</v>
      </c>
      <c r="B1378">
        <v>85.209999084472699</v>
      </c>
    </row>
    <row r="1379" spans="1:2" x14ac:dyDescent="0.25">
      <c r="A1379" s="5">
        <v>23916</v>
      </c>
      <c r="B1379">
        <v>84.669998168945298</v>
      </c>
    </row>
    <row r="1380" spans="1:2" x14ac:dyDescent="0.25">
      <c r="A1380" s="5">
        <v>23917</v>
      </c>
      <c r="B1380">
        <v>83.559997558593807</v>
      </c>
    </row>
    <row r="1381" spans="1:2" x14ac:dyDescent="0.25">
      <c r="A1381" s="5">
        <v>23918</v>
      </c>
      <c r="B1381">
        <v>83.059997558593807</v>
      </c>
    </row>
    <row r="1382" spans="1:2" x14ac:dyDescent="0.25">
      <c r="A1382" s="5">
        <v>23921</v>
      </c>
      <c r="B1382">
        <v>81.599998474121094</v>
      </c>
    </row>
    <row r="1383" spans="1:2" x14ac:dyDescent="0.25">
      <c r="A1383" s="5">
        <v>23922</v>
      </c>
      <c r="B1383">
        <v>82.410003662109403</v>
      </c>
    </row>
    <row r="1384" spans="1:2" x14ac:dyDescent="0.25">
      <c r="A1384" s="5">
        <v>23923</v>
      </c>
      <c r="B1384">
        <v>84.120002746582003</v>
      </c>
    </row>
    <row r="1385" spans="1:2" x14ac:dyDescent="0.25">
      <c r="A1385" s="5">
        <v>23924</v>
      </c>
      <c r="B1385">
        <v>84.480003356933594</v>
      </c>
    </row>
    <row r="1386" spans="1:2" x14ac:dyDescent="0.25">
      <c r="A1386" s="5">
        <v>23925</v>
      </c>
      <c r="B1386">
        <v>85.160003662109403</v>
      </c>
    </row>
    <row r="1387" spans="1:2" x14ac:dyDescent="0.25">
      <c r="A1387" s="5">
        <v>23929</v>
      </c>
      <c r="B1387">
        <v>84.989997863769503</v>
      </c>
    </row>
    <row r="1388" spans="1:2" x14ac:dyDescent="0.25">
      <c r="A1388" s="5">
        <v>23930</v>
      </c>
      <c r="B1388">
        <v>84.669998168945298</v>
      </c>
    </row>
    <row r="1389" spans="1:2" x14ac:dyDescent="0.25">
      <c r="A1389" s="5">
        <v>23931</v>
      </c>
      <c r="B1389">
        <v>85.389999389648395</v>
      </c>
    </row>
    <row r="1390" spans="1:2" x14ac:dyDescent="0.25">
      <c r="A1390" s="5">
        <v>23932</v>
      </c>
      <c r="B1390">
        <v>85.709999084472699</v>
      </c>
    </row>
    <row r="1391" spans="1:2" x14ac:dyDescent="0.25">
      <c r="A1391" s="5">
        <v>23935</v>
      </c>
      <c r="B1391">
        <v>85.690002441406193</v>
      </c>
    </row>
    <row r="1392" spans="1:2" x14ac:dyDescent="0.25">
      <c r="A1392" s="5">
        <v>23936</v>
      </c>
      <c r="B1392">
        <v>85.589996337890597</v>
      </c>
    </row>
    <row r="1393" spans="1:2" x14ac:dyDescent="0.25">
      <c r="A1393" s="5">
        <v>23937</v>
      </c>
      <c r="B1393">
        <v>85.870002746582003</v>
      </c>
    </row>
    <row r="1394" spans="1:2" x14ac:dyDescent="0.25">
      <c r="A1394" s="5">
        <v>23938</v>
      </c>
      <c r="B1394">
        <v>85.720001220703097</v>
      </c>
    </row>
    <row r="1395" spans="1:2" x14ac:dyDescent="0.25">
      <c r="A1395" s="5">
        <v>23939</v>
      </c>
      <c r="B1395">
        <v>85.690002441406193</v>
      </c>
    </row>
    <row r="1396" spans="1:2" x14ac:dyDescent="0.25">
      <c r="A1396" s="5">
        <v>23942</v>
      </c>
      <c r="B1396">
        <v>85.629997253417997</v>
      </c>
    </row>
    <row r="1397" spans="1:2" x14ac:dyDescent="0.25">
      <c r="A1397" s="5">
        <v>23943</v>
      </c>
      <c r="B1397">
        <v>84.550003051757798</v>
      </c>
    </row>
    <row r="1398" spans="1:2" x14ac:dyDescent="0.25">
      <c r="A1398" s="5">
        <v>23944</v>
      </c>
      <c r="B1398">
        <v>84.069999694824205</v>
      </c>
    </row>
    <row r="1399" spans="1:2" x14ac:dyDescent="0.25">
      <c r="A1399" s="5">
        <v>23945</v>
      </c>
      <c r="B1399">
        <v>83.849998474121094</v>
      </c>
    </row>
    <row r="1400" spans="1:2" x14ac:dyDescent="0.25">
      <c r="A1400" s="5">
        <v>23946</v>
      </c>
      <c r="B1400">
        <v>84.069999694824205</v>
      </c>
    </row>
    <row r="1401" spans="1:2" x14ac:dyDescent="0.25">
      <c r="A1401" s="5">
        <v>23949</v>
      </c>
      <c r="B1401">
        <v>84.050003051757798</v>
      </c>
    </row>
    <row r="1402" spans="1:2" x14ac:dyDescent="0.25">
      <c r="A1402" s="5">
        <v>23950</v>
      </c>
      <c r="B1402">
        <v>83.870002746582003</v>
      </c>
    </row>
    <row r="1403" spans="1:2" x14ac:dyDescent="0.25">
      <c r="A1403" s="5">
        <v>23951</v>
      </c>
      <c r="B1403">
        <v>84.029998779296903</v>
      </c>
    </row>
    <row r="1404" spans="1:2" x14ac:dyDescent="0.25">
      <c r="A1404" s="5">
        <v>23952</v>
      </c>
      <c r="B1404">
        <v>84.680000305175795</v>
      </c>
    </row>
    <row r="1405" spans="1:2" x14ac:dyDescent="0.25">
      <c r="A1405" s="5">
        <v>23953</v>
      </c>
      <c r="B1405">
        <v>85.25</v>
      </c>
    </row>
    <row r="1406" spans="1:2" x14ac:dyDescent="0.25">
      <c r="A1406" s="5">
        <v>23956</v>
      </c>
      <c r="B1406">
        <v>85.419998168945298</v>
      </c>
    </row>
    <row r="1407" spans="1:2" x14ac:dyDescent="0.25">
      <c r="A1407" s="5">
        <v>23957</v>
      </c>
      <c r="B1407">
        <v>85.459999084472699</v>
      </c>
    </row>
    <row r="1408" spans="1:2" x14ac:dyDescent="0.25">
      <c r="A1408" s="5">
        <v>23958</v>
      </c>
      <c r="B1408">
        <v>85.790000915527301</v>
      </c>
    </row>
    <row r="1409" spans="1:2" x14ac:dyDescent="0.25">
      <c r="A1409" s="5">
        <v>23959</v>
      </c>
      <c r="B1409">
        <v>85.790000915527301</v>
      </c>
    </row>
    <row r="1410" spans="1:2" x14ac:dyDescent="0.25">
      <c r="A1410" s="5">
        <v>23960</v>
      </c>
      <c r="B1410">
        <v>86.069999694824205</v>
      </c>
    </row>
    <row r="1411" spans="1:2" x14ac:dyDescent="0.25">
      <c r="A1411" s="5">
        <v>23963</v>
      </c>
      <c r="B1411">
        <v>85.860000610351605</v>
      </c>
    </row>
    <row r="1412" spans="1:2" x14ac:dyDescent="0.25">
      <c r="A1412" s="5">
        <v>23964</v>
      </c>
      <c r="B1412">
        <v>85.870002746582003</v>
      </c>
    </row>
    <row r="1413" spans="1:2" x14ac:dyDescent="0.25">
      <c r="A1413" s="5">
        <v>23965</v>
      </c>
      <c r="B1413">
        <v>86.129997253417997</v>
      </c>
    </row>
    <row r="1414" spans="1:2" x14ac:dyDescent="0.25">
      <c r="A1414" s="5">
        <v>23966</v>
      </c>
      <c r="B1414">
        <v>86.379997253417997</v>
      </c>
    </row>
    <row r="1415" spans="1:2" x14ac:dyDescent="0.25">
      <c r="A1415" s="5">
        <v>23967</v>
      </c>
      <c r="B1415">
        <v>86.769996643066406</v>
      </c>
    </row>
    <row r="1416" spans="1:2" x14ac:dyDescent="0.25">
      <c r="A1416" s="5">
        <v>23970</v>
      </c>
      <c r="B1416">
        <v>86.870002746582003</v>
      </c>
    </row>
    <row r="1417" spans="1:2" x14ac:dyDescent="0.25">
      <c r="A1417" s="5">
        <v>23971</v>
      </c>
      <c r="B1417">
        <v>87.040000915527301</v>
      </c>
    </row>
    <row r="1418" spans="1:2" x14ac:dyDescent="0.25">
      <c r="A1418" s="5">
        <v>23972</v>
      </c>
      <c r="B1418">
        <v>86.989997863769503</v>
      </c>
    </row>
    <row r="1419" spans="1:2" x14ac:dyDescent="0.25">
      <c r="A1419" s="5">
        <v>23973</v>
      </c>
      <c r="B1419">
        <v>86.790000915527301</v>
      </c>
    </row>
    <row r="1420" spans="1:2" x14ac:dyDescent="0.25">
      <c r="A1420" s="5">
        <v>23974</v>
      </c>
      <c r="B1420">
        <v>86.690002441406193</v>
      </c>
    </row>
    <row r="1421" spans="1:2" x14ac:dyDescent="0.25">
      <c r="A1421" s="5">
        <v>23977</v>
      </c>
      <c r="B1421">
        <v>86.559997558593807</v>
      </c>
    </row>
    <row r="1422" spans="1:2" x14ac:dyDescent="0.25">
      <c r="A1422" s="5">
        <v>23978</v>
      </c>
      <c r="B1422">
        <v>86.709999084472699</v>
      </c>
    </row>
    <row r="1423" spans="1:2" x14ac:dyDescent="0.25">
      <c r="A1423" s="5">
        <v>23979</v>
      </c>
      <c r="B1423">
        <v>86.809997558593807</v>
      </c>
    </row>
    <row r="1424" spans="1:2" x14ac:dyDescent="0.25">
      <c r="A1424" s="5">
        <v>23980</v>
      </c>
      <c r="B1424">
        <v>87.139999389648395</v>
      </c>
    </row>
    <row r="1425" spans="1:2" x14ac:dyDescent="0.25">
      <c r="A1425" s="5">
        <v>23981</v>
      </c>
      <c r="B1425">
        <v>87.199996948242202</v>
      </c>
    </row>
    <row r="1426" spans="1:2" x14ac:dyDescent="0.25">
      <c r="A1426" s="5">
        <v>23984</v>
      </c>
      <c r="B1426">
        <v>87.209999084472699</v>
      </c>
    </row>
    <row r="1427" spans="1:2" x14ac:dyDescent="0.25">
      <c r="A1427" s="5">
        <v>23985</v>
      </c>
      <c r="B1427">
        <v>87.169998168945298</v>
      </c>
    </row>
    <row r="1428" spans="1:2" x14ac:dyDescent="0.25">
      <c r="A1428" s="5">
        <v>23986</v>
      </c>
      <c r="B1428">
        <v>87.169998168945298</v>
      </c>
    </row>
    <row r="1429" spans="1:2" x14ac:dyDescent="0.25">
      <c r="A1429" s="5">
        <v>23987</v>
      </c>
      <c r="B1429">
        <v>87.650001525878906</v>
      </c>
    </row>
    <row r="1430" spans="1:2" x14ac:dyDescent="0.25">
      <c r="A1430" s="5">
        <v>23988</v>
      </c>
      <c r="B1430">
        <v>88.059997558593807</v>
      </c>
    </row>
    <row r="1431" spans="1:2" x14ac:dyDescent="0.25">
      <c r="A1431" s="5">
        <v>23992</v>
      </c>
      <c r="B1431">
        <v>88.360000610351605</v>
      </c>
    </row>
    <row r="1432" spans="1:2" x14ac:dyDescent="0.25">
      <c r="A1432" s="5">
        <v>23993</v>
      </c>
      <c r="B1432">
        <v>88.660003662109403</v>
      </c>
    </row>
    <row r="1433" spans="1:2" x14ac:dyDescent="0.25">
      <c r="A1433" s="5">
        <v>23994</v>
      </c>
      <c r="B1433">
        <v>88.889999389648395</v>
      </c>
    </row>
    <row r="1434" spans="1:2" x14ac:dyDescent="0.25">
      <c r="A1434" s="5">
        <v>23995</v>
      </c>
      <c r="B1434">
        <v>89.120002746582003</v>
      </c>
    </row>
    <row r="1435" spans="1:2" x14ac:dyDescent="0.25">
      <c r="A1435" s="5">
        <v>23998</v>
      </c>
      <c r="B1435">
        <v>89.379997253417997</v>
      </c>
    </row>
    <row r="1436" spans="1:2" x14ac:dyDescent="0.25">
      <c r="A1436" s="5">
        <v>23999</v>
      </c>
      <c r="B1436">
        <v>89.029998779296903</v>
      </c>
    </row>
    <row r="1437" spans="1:2" x14ac:dyDescent="0.25">
      <c r="A1437" s="5">
        <v>24000</v>
      </c>
      <c r="B1437">
        <v>89.519996643066406</v>
      </c>
    </row>
    <row r="1438" spans="1:2" x14ac:dyDescent="0.25">
      <c r="A1438" s="5">
        <v>24001</v>
      </c>
      <c r="B1438">
        <v>90.019996643066406</v>
      </c>
    </row>
    <row r="1439" spans="1:2" x14ac:dyDescent="0.25">
      <c r="A1439" s="5">
        <v>24002</v>
      </c>
      <c r="B1439">
        <v>90.050003051757798</v>
      </c>
    </row>
    <row r="1440" spans="1:2" x14ac:dyDescent="0.25">
      <c r="A1440" s="5">
        <v>24005</v>
      </c>
      <c r="B1440">
        <v>90.080001831054702</v>
      </c>
    </row>
    <row r="1441" spans="1:2" x14ac:dyDescent="0.25">
      <c r="A1441" s="5">
        <v>24006</v>
      </c>
      <c r="B1441">
        <v>89.809997558593807</v>
      </c>
    </row>
    <row r="1442" spans="1:2" x14ac:dyDescent="0.25">
      <c r="A1442" s="5">
        <v>24007</v>
      </c>
      <c r="B1442">
        <v>90.220001220703097</v>
      </c>
    </row>
    <row r="1443" spans="1:2" x14ac:dyDescent="0.25">
      <c r="A1443" s="5">
        <v>24008</v>
      </c>
      <c r="B1443">
        <v>89.860000610351605</v>
      </c>
    </row>
    <row r="1444" spans="1:2" x14ac:dyDescent="0.25">
      <c r="A1444" s="5">
        <v>24009</v>
      </c>
      <c r="B1444">
        <v>90.019996643066406</v>
      </c>
    </row>
    <row r="1445" spans="1:2" x14ac:dyDescent="0.25">
      <c r="A1445" s="5">
        <v>24012</v>
      </c>
      <c r="B1445">
        <v>90.650001525878906</v>
      </c>
    </row>
    <row r="1446" spans="1:2" x14ac:dyDescent="0.25">
      <c r="A1446" s="5">
        <v>24013</v>
      </c>
      <c r="B1446">
        <v>90.430000305175795</v>
      </c>
    </row>
    <row r="1447" spans="1:2" x14ac:dyDescent="0.25">
      <c r="A1447" s="5">
        <v>24014</v>
      </c>
      <c r="B1447">
        <v>90.019996643066406</v>
      </c>
    </row>
    <row r="1448" spans="1:2" x14ac:dyDescent="0.25">
      <c r="A1448" s="5">
        <v>24015</v>
      </c>
      <c r="B1448">
        <v>89.959999084472699</v>
      </c>
    </row>
    <row r="1449" spans="1:2" x14ac:dyDescent="0.25">
      <c r="A1449" s="5">
        <v>24016</v>
      </c>
      <c r="B1449">
        <v>89.900001525878906</v>
      </c>
    </row>
    <row r="1450" spans="1:2" x14ac:dyDescent="0.25">
      <c r="A1450" s="5">
        <v>24019</v>
      </c>
      <c r="B1450">
        <v>90.080001831054702</v>
      </c>
    </row>
    <row r="1451" spans="1:2" x14ac:dyDescent="0.25">
      <c r="A1451" s="5">
        <v>24020</v>
      </c>
      <c r="B1451">
        <v>90.629997253417997</v>
      </c>
    </row>
    <row r="1452" spans="1:2" x14ac:dyDescent="0.25">
      <c r="A1452" s="5">
        <v>24021</v>
      </c>
      <c r="B1452">
        <v>90.540000915527301</v>
      </c>
    </row>
    <row r="1453" spans="1:2" x14ac:dyDescent="0.25">
      <c r="A1453" s="5">
        <v>24022</v>
      </c>
      <c r="B1453">
        <v>90.470001220703097</v>
      </c>
    </row>
    <row r="1454" spans="1:2" x14ac:dyDescent="0.25">
      <c r="A1454" s="5">
        <v>24023</v>
      </c>
      <c r="B1454">
        <v>90.849998474121094</v>
      </c>
    </row>
    <row r="1455" spans="1:2" x14ac:dyDescent="0.25">
      <c r="A1455" s="5">
        <v>24026</v>
      </c>
      <c r="B1455">
        <v>91.370002746582003</v>
      </c>
    </row>
    <row r="1456" spans="1:2" x14ac:dyDescent="0.25">
      <c r="A1456" s="5">
        <v>24027</v>
      </c>
      <c r="B1456">
        <v>91.349998474121094</v>
      </c>
    </row>
    <row r="1457" spans="1:2" x14ac:dyDescent="0.25">
      <c r="A1457" s="5">
        <v>24028</v>
      </c>
      <c r="B1457">
        <v>91.339996337890597</v>
      </c>
    </row>
    <row r="1458" spans="1:2" x14ac:dyDescent="0.25">
      <c r="A1458" s="5">
        <v>24029</v>
      </c>
      <c r="B1458">
        <v>91.190002441406193</v>
      </c>
    </row>
    <row r="1459" spans="1:2" x14ac:dyDescent="0.25">
      <c r="A1459" s="5">
        <v>24030</v>
      </c>
      <c r="B1459">
        <v>91.379997253417997</v>
      </c>
    </row>
    <row r="1460" spans="1:2" x14ac:dyDescent="0.25">
      <c r="A1460" s="5">
        <v>24033</v>
      </c>
      <c r="B1460">
        <v>91.680000305175795</v>
      </c>
    </row>
    <row r="1461" spans="1:2" x14ac:dyDescent="0.25">
      <c r="A1461" s="5">
        <v>24034</v>
      </c>
      <c r="B1461">
        <v>91.800003051757798</v>
      </c>
    </row>
    <row r="1462" spans="1:2" x14ac:dyDescent="0.25">
      <c r="A1462" s="5">
        <v>24035</v>
      </c>
      <c r="B1462">
        <v>91.779998779296903</v>
      </c>
    </row>
    <row r="1463" spans="1:2" x14ac:dyDescent="0.25">
      <c r="A1463" s="5">
        <v>24036</v>
      </c>
      <c r="B1463">
        <v>91.940002441406193</v>
      </c>
    </row>
    <row r="1464" spans="1:2" x14ac:dyDescent="0.25">
      <c r="A1464" s="5">
        <v>24037</v>
      </c>
      <c r="B1464">
        <v>91.980003356933594</v>
      </c>
    </row>
    <row r="1465" spans="1:2" x14ac:dyDescent="0.25">
      <c r="A1465" s="5">
        <v>24040</v>
      </c>
      <c r="B1465">
        <v>91.669998168945298</v>
      </c>
    </row>
    <row r="1466" spans="1:2" x14ac:dyDescent="0.25">
      <c r="A1466" s="5">
        <v>24041</v>
      </c>
      <c r="B1466">
        <v>92.199996948242202</v>
      </c>
    </row>
    <row r="1467" spans="1:2" x14ac:dyDescent="0.25">
      <c r="A1467" s="5">
        <v>24042</v>
      </c>
      <c r="B1467">
        <v>92.510002136230497</v>
      </c>
    </row>
    <row r="1468" spans="1:2" x14ac:dyDescent="0.25">
      <c r="A1468" s="5">
        <v>24043</v>
      </c>
      <c r="B1468">
        <v>92.209999084472699</v>
      </c>
    </row>
    <row r="1469" spans="1:2" x14ac:dyDescent="0.25">
      <c r="A1469" s="5">
        <v>24044</v>
      </c>
      <c r="B1469">
        <v>92.419998168945298</v>
      </c>
    </row>
    <row r="1470" spans="1:2" x14ac:dyDescent="0.25">
      <c r="A1470" s="5">
        <v>24047</v>
      </c>
      <c r="B1470">
        <v>92.230003356933594</v>
      </c>
    </row>
    <row r="1471" spans="1:2" x14ac:dyDescent="0.25">
      <c r="A1471" s="5">
        <v>24049</v>
      </c>
      <c r="B1471">
        <v>92.309997558593807</v>
      </c>
    </row>
    <row r="1472" spans="1:2" x14ac:dyDescent="0.25">
      <c r="A1472" s="5">
        <v>24050</v>
      </c>
      <c r="B1472">
        <v>92.459999084472699</v>
      </c>
    </row>
    <row r="1473" spans="1:2" x14ac:dyDescent="0.25">
      <c r="A1473" s="5">
        <v>24051</v>
      </c>
      <c r="B1473">
        <v>92.370002746582003</v>
      </c>
    </row>
    <row r="1474" spans="1:2" x14ac:dyDescent="0.25">
      <c r="A1474" s="5">
        <v>24054</v>
      </c>
      <c r="B1474">
        <v>92.230003356933594</v>
      </c>
    </row>
    <row r="1475" spans="1:2" x14ac:dyDescent="0.25">
      <c r="A1475" s="5">
        <v>24055</v>
      </c>
      <c r="B1475">
        <v>91.930000305175795</v>
      </c>
    </row>
    <row r="1476" spans="1:2" x14ac:dyDescent="0.25">
      <c r="A1476" s="5">
        <v>24056</v>
      </c>
      <c r="B1476">
        <v>91.830001831054702</v>
      </c>
    </row>
    <row r="1477" spans="1:2" x14ac:dyDescent="0.25">
      <c r="A1477" s="5">
        <v>24057</v>
      </c>
      <c r="B1477">
        <v>92.110000610351605</v>
      </c>
    </row>
    <row r="1478" spans="1:2" x14ac:dyDescent="0.25">
      <c r="A1478" s="5">
        <v>24058</v>
      </c>
      <c r="B1478">
        <v>92.550003051757798</v>
      </c>
    </row>
    <row r="1479" spans="1:2" x14ac:dyDescent="0.25">
      <c r="A1479" s="5">
        <v>24061</v>
      </c>
      <c r="B1479">
        <v>92.629997253417997</v>
      </c>
    </row>
    <row r="1480" spans="1:2" x14ac:dyDescent="0.25">
      <c r="A1480" s="5">
        <v>24062</v>
      </c>
      <c r="B1480">
        <v>92.410003662109403</v>
      </c>
    </row>
    <row r="1481" spans="1:2" x14ac:dyDescent="0.25">
      <c r="A1481" s="5">
        <v>24063</v>
      </c>
      <c r="B1481">
        <v>92.599998474121094</v>
      </c>
    </row>
    <row r="1482" spans="1:2" x14ac:dyDescent="0.25">
      <c r="A1482" s="5">
        <v>24064</v>
      </c>
      <c r="B1482">
        <v>92.220001220703097</v>
      </c>
    </row>
    <row r="1483" spans="1:2" x14ac:dyDescent="0.25">
      <c r="A1483" s="5">
        <v>24065</v>
      </c>
      <c r="B1483">
        <v>92.239997863769503</v>
      </c>
    </row>
    <row r="1484" spans="1:2" x14ac:dyDescent="0.25">
      <c r="A1484" s="5">
        <v>24068</v>
      </c>
      <c r="B1484">
        <v>91.639999389648395</v>
      </c>
    </row>
    <row r="1485" spans="1:2" x14ac:dyDescent="0.25">
      <c r="A1485" s="5">
        <v>24069</v>
      </c>
      <c r="B1485">
        <v>91.779998779296903</v>
      </c>
    </row>
    <row r="1486" spans="1:2" x14ac:dyDescent="0.25">
      <c r="A1486" s="5">
        <v>24070</v>
      </c>
      <c r="B1486">
        <v>91.940002441406193</v>
      </c>
    </row>
    <row r="1487" spans="1:2" x14ac:dyDescent="0.25">
      <c r="A1487" s="5">
        <v>24072</v>
      </c>
      <c r="B1487">
        <v>92.029998779296903</v>
      </c>
    </row>
    <row r="1488" spans="1:2" x14ac:dyDescent="0.25">
      <c r="A1488" s="5">
        <v>24075</v>
      </c>
      <c r="B1488">
        <v>91.800003051757798</v>
      </c>
    </row>
    <row r="1489" spans="1:2" x14ac:dyDescent="0.25">
      <c r="A1489" s="5">
        <v>24076</v>
      </c>
      <c r="B1489">
        <v>91.610000610351605</v>
      </c>
    </row>
    <row r="1490" spans="1:2" x14ac:dyDescent="0.25">
      <c r="A1490" s="5">
        <v>24077</v>
      </c>
      <c r="B1490">
        <v>91.5</v>
      </c>
    </row>
    <row r="1491" spans="1:2" x14ac:dyDescent="0.25">
      <c r="A1491" s="5">
        <v>24078</v>
      </c>
      <c r="B1491">
        <v>91.209999084472699</v>
      </c>
    </row>
    <row r="1492" spans="1:2" x14ac:dyDescent="0.25">
      <c r="A1492" s="5">
        <v>24079</v>
      </c>
      <c r="B1492">
        <v>91.269996643066406</v>
      </c>
    </row>
    <row r="1493" spans="1:2" x14ac:dyDescent="0.25">
      <c r="A1493" s="5">
        <v>24082</v>
      </c>
      <c r="B1493">
        <v>90.589996337890597</v>
      </c>
    </row>
    <row r="1494" spans="1:2" x14ac:dyDescent="0.25">
      <c r="A1494" s="5">
        <v>24083</v>
      </c>
      <c r="B1494">
        <v>91.389999389648395</v>
      </c>
    </row>
    <row r="1495" spans="1:2" x14ac:dyDescent="0.25">
      <c r="A1495" s="5">
        <v>24084</v>
      </c>
      <c r="B1495">
        <v>91.279998779296903</v>
      </c>
    </row>
    <row r="1496" spans="1:2" x14ac:dyDescent="0.25">
      <c r="A1496" s="5">
        <v>24085</v>
      </c>
      <c r="B1496">
        <v>91.559997558593807</v>
      </c>
    </row>
    <row r="1497" spans="1:2" x14ac:dyDescent="0.25">
      <c r="A1497" s="5">
        <v>24086</v>
      </c>
      <c r="B1497">
        <v>91.800003051757798</v>
      </c>
    </row>
    <row r="1498" spans="1:2" x14ac:dyDescent="0.25">
      <c r="A1498" s="5">
        <v>24089</v>
      </c>
      <c r="B1498">
        <v>91.830001831054702</v>
      </c>
    </row>
    <row r="1499" spans="1:2" x14ac:dyDescent="0.25">
      <c r="A1499" s="5">
        <v>24090</v>
      </c>
      <c r="B1499">
        <v>91.879997253417997</v>
      </c>
    </row>
    <row r="1500" spans="1:2" x14ac:dyDescent="0.25">
      <c r="A1500" s="5">
        <v>24091</v>
      </c>
      <c r="B1500">
        <v>92.019996643066406</v>
      </c>
    </row>
    <row r="1501" spans="1:2" x14ac:dyDescent="0.25">
      <c r="A1501" s="5">
        <v>24092</v>
      </c>
      <c r="B1501">
        <v>92.120002746582003</v>
      </c>
    </row>
    <row r="1502" spans="1:2" x14ac:dyDescent="0.25">
      <c r="A1502" s="5">
        <v>24093</v>
      </c>
      <c r="B1502">
        <v>92.080001831054702</v>
      </c>
    </row>
    <row r="1503" spans="1:2" x14ac:dyDescent="0.25">
      <c r="A1503" s="5">
        <v>24096</v>
      </c>
      <c r="B1503">
        <v>91.650001525878906</v>
      </c>
    </row>
    <row r="1504" spans="1:2" x14ac:dyDescent="0.25">
      <c r="A1504" s="5">
        <v>24097</v>
      </c>
      <c r="B1504">
        <v>92.010002136230497</v>
      </c>
    </row>
    <row r="1505" spans="1:2" x14ac:dyDescent="0.25">
      <c r="A1505" s="5">
        <v>24098</v>
      </c>
      <c r="B1505">
        <v>92.290000915527301</v>
      </c>
    </row>
    <row r="1506" spans="1:2" x14ac:dyDescent="0.25">
      <c r="A1506" s="5">
        <v>24099</v>
      </c>
      <c r="B1506">
        <v>92.190002441406193</v>
      </c>
    </row>
    <row r="1507" spans="1:2" x14ac:dyDescent="0.25">
      <c r="A1507" s="5">
        <v>24103</v>
      </c>
      <c r="B1507">
        <v>91.519996643066406</v>
      </c>
    </row>
    <row r="1508" spans="1:2" x14ac:dyDescent="0.25">
      <c r="A1508" s="5">
        <v>24104</v>
      </c>
      <c r="B1508">
        <v>91.529998779296903</v>
      </c>
    </row>
    <row r="1509" spans="1:2" x14ac:dyDescent="0.25">
      <c r="A1509" s="5">
        <v>24105</v>
      </c>
      <c r="B1509">
        <v>91.809997558593807</v>
      </c>
    </row>
    <row r="1510" spans="1:2" x14ac:dyDescent="0.25">
      <c r="A1510" s="5">
        <v>24106</v>
      </c>
      <c r="B1510">
        <v>92.199996948242202</v>
      </c>
    </row>
    <row r="1511" spans="1:2" x14ac:dyDescent="0.25">
      <c r="A1511" s="5">
        <v>24107</v>
      </c>
      <c r="B1511">
        <v>92.430000305175795</v>
      </c>
    </row>
    <row r="1512" spans="1:2" x14ac:dyDescent="0.25">
      <c r="A1512" s="5">
        <v>24110</v>
      </c>
      <c r="B1512">
        <v>92.180000305175795</v>
      </c>
    </row>
    <row r="1513" spans="1:2" x14ac:dyDescent="0.25">
      <c r="A1513" s="5">
        <v>24111</v>
      </c>
      <c r="B1513">
        <v>92.260002136230497</v>
      </c>
    </row>
    <row r="1514" spans="1:2" x14ac:dyDescent="0.25">
      <c r="A1514" s="5">
        <v>24112</v>
      </c>
      <c r="B1514">
        <v>92.849998474121094</v>
      </c>
    </row>
    <row r="1515" spans="1:2" x14ac:dyDescent="0.25">
      <c r="A1515" s="5">
        <v>24113</v>
      </c>
      <c r="B1515">
        <v>93.059997558593807</v>
      </c>
    </row>
    <row r="1516" spans="1:2" x14ac:dyDescent="0.25">
      <c r="A1516" s="5">
        <v>24114</v>
      </c>
      <c r="B1516">
        <v>93.139999389648395</v>
      </c>
    </row>
    <row r="1517" spans="1:2" x14ac:dyDescent="0.25">
      <c r="A1517" s="5">
        <v>24117</v>
      </c>
      <c r="B1517">
        <v>93.330001831054702</v>
      </c>
    </row>
    <row r="1518" spans="1:2" x14ac:dyDescent="0.25">
      <c r="A1518" s="5">
        <v>24118</v>
      </c>
      <c r="B1518">
        <v>93.410003662109403</v>
      </c>
    </row>
    <row r="1519" spans="1:2" x14ac:dyDescent="0.25">
      <c r="A1519" s="5">
        <v>24119</v>
      </c>
      <c r="B1519">
        <v>93.190002441406193</v>
      </c>
    </row>
    <row r="1520" spans="1:2" x14ac:dyDescent="0.25">
      <c r="A1520" s="5">
        <v>24120</v>
      </c>
      <c r="B1520">
        <v>93.360000610351605</v>
      </c>
    </row>
    <row r="1521" spans="1:2" x14ac:dyDescent="0.25">
      <c r="A1521" s="5">
        <v>24121</v>
      </c>
      <c r="B1521">
        <v>93.5</v>
      </c>
    </row>
    <row r="1522" spans="1:2" x14ac:dyDescent="0.25">
      <c r="A1522" s="5">
        <v>24124</v>
      </c>
      <c r="B1522">
        <v>93.769996643066406</v>
      </c>
    </row>
    <row r="1523" spans="1:2" x14ac:dyDescent="0.25">
      <c r="A1523" s="5">
        <v>24125</v>
      </c>
      <c r="B1523">
        <v>93.949996948242202</v>
      </c>
    </row>
    <row r="1524" spans="1:2" x14ac:dyDescent="0.25">
      <c r="A1524" s="5">
        <v>24126</v>
      </c>
      <c r="B1524">
        <v>93.690002441406193</v>
      </c>
    </row>
    <row r="1525" spans="1:2" x14ac:dyDescent="0.25">
      <c r="A1525" s="5">
        <v>24127</v>
      </c>
      <c r="B1525">
        <v>93.360000610351605</v>
      </c>
    </row>
    <row r="1526" spans="1:2" x14ac:dyDescent="0.25">
      <c r="A1526" s="5">
        <v>24128</v>
      </c>
      <c r="B1526">
        <v>93.470001220703097</v>
      </c>
    </row>
    <row r="1527" spans="1:2" x14ac:dyDescent="0.25">
      <c r="A1527" s="5">
        <v>24131</v>
      </c>
      <c r="B1527">
        <v>93.709999084472699</v>
      </c>
    </row>
    <row r="1528" spans="1:2" x14ac:dyDescent="0.25">
      <c r="A1528" s="5">
        <v>24132</v>
      </c>
      <c r="B1528">
        <v>93.849998474121094</v>
      </c>
    </row>
    <row r="1529" spans="1:2" x14ac:dyDescent="0.25">
      <c r="A1529" s="5">
        <v>24133</v>
      </c>
      <c r="B1529">
        <v>93.699996948242202</v>
      </c>
    </row>
    <row r="1530" spans="1:2" x14ac:dyDescent="0.25">
      <c r="A1530" s="5">
        <v>24134</v>
      </c>
      <c r="B1530">
        <v>93.669998168945298</v>
      </c>
    </row>
    <row r="1531" spans="1:2" x14ac:dyDescent="0.25">
      <c r="A1531" s="5">
        <v>24135</v>
      </c>
      <c r="B1531">
        <v>93.309997558593807</v>
      </c>
    </row>
    <row r="1532" spans="1:2" x14ac:dyDescent="0.25">
      <c r="A1532" s="5">
        <v>24138</v>
      </c>
      <c r="B1532">
        <v>92.879997253417997</v>
      </c>
    </row>
    <row r="1533" spans="1:2" x14ac:dyDescent="0.25">
      <c r="A1533" s="5">
        <v>24139</v>
      </c>
      <c r="B1533">
        <v>92.160003662109403</v>
      </c>
    </row>
    <row r="1534" spans="1:2" x14ac:dyDescent="0.25">
      <c r="A1534" s="5">
        <v>24140</v>
      </c>
      <c r="B1534">
        <v>92.529998779296903</v>
      </c>
    </row>
    <row r="1535" spans="1:2" x14ac:dyDescent="0.25">
      <c r="A1535" s="5">
        <v>24141</v>
      </c>
      <c r="B1535">
        <v>92.650001525878906</v>
      </c>
    </row>
    <row r="1536" spans="1:2" x14ac:dyDescent="0.25">
      <c r="A1536" s="5">
        <v>24142</v>
      </c>
      <c r="B1536">
        <v>93.260002136230497</v>
      </c>
    </row>
    <row r="1537" spans="1:2" x14ac:dyDescent="0.25">
      <c r="A1537" s="5">
        <v>24145</v>
      </c>
      <c r="B1537">
        <v>93.589996337890597</v>
      </c>
    </row>
    <row r="1538" spans="1:2" x14ac:dyDescent="0.25">
      <c r="A1538" s="5">
        <v>24146</v>
      </c>
      <c r="B1538">
        <v>93.550003051757798</v>
      </c>
    </row>
    <row r="1539" spans="1:2" x14ac:dyDescent="0.25">
      <c r="A1539" s="5">
        <v>24147</v>
      </c>
      <c r="B1539">
        <v>94.059997558593807</v>
      </c>
    </row>
    <row r="1540" spans="1:2" x14ac:dyDescent="0.25">
      <c r="A1540" s="5">
        <v>24148</v>
      </c>
      <c r="B1540">
        <v>93.830001831054702</v>
      </c>
    </row>
    <row r="1541" spans="1:2" x14ac:dyDescent="0.25">
      <c r="A1541" s="5">
        <v>24149</v>
      </c>
      <c r="B1541">
        <v>93.809997558593807</v>
      </c>
    </row>
    <row r="1542" spans="1:2" x14ac:dyDescent="0.25">
      <c r="A1542" s="5">
        <v>24152</v>
      </c>
      <c r="B1542">
        <v>93.529998779296903</v>
      </c>
    </row>
    <row r="1543" spans="1:2" x14ac:dyDescent="0.25">
      <c r="A1543" s="5">
        <v>24153</v>
      </c>
      <c r="B1543">
        <v>93.169998168945298</v>
      </c>
    </row>
    <row r="1544" spans="1:2" x14ac:dyDescent="0.25">
      <c r="A1544" s="5">
        <v>24154</v>
      </c>
      <c r="B1544">
        <v>93.160003662109403</v>
      </c>
    </row>
    <row r="1545" spans="1:2" x14ac:dyDescent="0.25">
      <c r="A1545" s="5">
        <v>24155</v>
      </c>
      <c r="B1545">
        <v>92.660003662109403</v>
      </c>
    </row>
    <row r="1546" spans="1:2" x14ac:dyDescent="0.25">
      <c r="A1546" s="5">
        <v>24156</v>
      </c>
      <c r="B1546">
        <v>92.410003662109403</v>
      </c>
    </row>
    <row r="1547" spans="1:2" x14ac:dyDescent="0.25">
      <c r="A1547" s="5">
        <v>24159</v>
      </c>
      <c r="B1547">
        <v>91.870002746582003</v>
      </c>
    </row>
    <row r="1548" spans="1:2" x14ac:dyDescent="0.25">
      <c r="A1548" s="5">
        <v>24161</v>
      </c>
      <c r="B1548">
        <v>91.480003356933594</v>
      </c>
    </row>
    <row r="1549" spans="1:2" x14ac:dyDescent="0.25">
      <c r="A1549" s="5">
        <v>24162</v>
      </c>
      <c r="B1549">
        <v>90.889999389648395</v>
      </c>
    </row>
    <row r="1550" spans="1:2" x14ac:dyDescent="0.25">
      <c r="A1550" s="5">
        <v>24163</v>
      </c>
      <c r="B1550">
        <v>91.139999389648395</v>
      </c>
    </row>
    <row r="1551" spans="1:2" x14ac:dyDescent="0.25">
      <c r="A1551" s="5">
        <v>24166</v>
      </c>
      <c r="B1551">
        <v>91.220001220703097</v>
      </c>
    </row>
    <row r="1552" spans="1:2" x14ac:dyDescent="0.25">
      <c r="A1552" s="5">
        <v>24167</v>
      </c>
      <c r="B1552">
        <v>90.059997558593807</v>
      </c>
    </row>
    <row r="1553" spans="1:2" x14ac:dyDescent="0.25">
      <c r="A1553" s="5">
        <v>24168</v>
      </c>
      <c r="B1553">
        <v>89.150001525878906</v>
      </c>
    </row>
    <row r="1554" spans="1:2" x14ac:dyDescent="0.25">
      <c r="A1554" s="5">
        <v>24169</v>
      </c>
      <c r="B1554">
        <v>89.470001220703097</v>
      </c>
    </row>
    <row r="1555" spans="1:2" x14ac:dyDescent="0.25">
      <c r="A1555" s="5">
        <v>24170</v>
      </c>
      <c r="B1555">
        <v>89.239997863769503</v>
      </c>
    </row>
    <row r="1556" spans="1:2" x14ac:dyDescent="0.25">
      <c r="A1556" s="5">
        <v>24173</v>
      </c>
      <c r="B1556">
        <v>88.040000915527301</v>
      </c>
    </row>
    <row r="1557" spans="1:2" x14ac:dyDescent="0.25">
      <c r="A1557" s="5">
        <v>24174</v>
      </c>
      <c r="B1557">
        <v>88.180000305175795</v>
      </c>
    </row>
    <row r="1558" spans="1:2" x14ac:dyDescent="0.25">
      <c r="A1558" s="5">
        <v>24175</v>
      </c>
      <c r="B1558">
        <v>88.959999084472699</v>
      </c>
    </row>
    <row r="1559" spans="1:2" x14ac:dyDescent="0.25">
      <c r="A1559" s="5">
        <v>24176</v>
      </c>
      <c r="B1559">
        <v>88.959999084472699</v>
      </c>
    </row>
    <row r="1560" spans="1:2" x14ac:dyDescent="0.25">
      <c r="A1560" s="5">
        <v>24177</v>
      </c>
      <c r="B1560">
        <v>88.849998474121094</v>
      </c>
    </row>
    <row r="1561" spans="1:2" x14ac:dyDescent="0.25">
      <c r="A1561" s="5">
        <v>24180</v>
      </c>
      <c r="B1561">
        <v>87.849998474121094</v>
      </c>
    </row>
    <row r="1562" spans="1:2" x14ac:dyDescent="0.25">
      <c r="A1562" s="5">
        <v>24181</v>
      </c>
      <c r="B1562">
        <v>87.349998474121094</v>
      </c>
    </row>
    <row r="1563" spans="1:2" x14ac:dyDescent="0.25">
      <c r="A1563" s="5">
        <v>24182</v>
      </c>
      <c r="B1563">
        <v>87.860000610351605</v>
      </c>
    </row>
    <row r="1564" spans="1:2" x14ac:dyDescent="0.25">
      <c r="A1564" s="5">
        <v>24183</v>
      </c>
      <c r="B1564">
        <v>88.169998168945298</v>
      </c>
    </row>
    <row r="1565" spans="1:2" x14ac:dyDescent="0.25">
      <c r="A1565" s="5">
        <v>24184</v>
      </c>
      <c r="B1565">
        <v>88.529998779296903</v>
      </c>
    </row>
    <row r="1566" spans="1:2" x14ac:dyDescent="0.25">
      <c r="A1566" s="5">
        <v>24187</v>
      </c>
      <c r="B1566">
        <v>89.199996948242202</v>
      </c>
    </row>
    <row r="1567" spans="1:2" x14ac:dyDescent="0.25">
      <c r="A1567" s="5">
        <v>24188</v>
      </c>
      <c r="B1567">
        <v>89.459999084472699</v>
      </c>
    </row>
    <row r="1568" spans="1:2" x14ac:dyDescent="0.25">
      <c r="A1568" s="5">
        <v>24189</v>
      </c>
      <c r="B1568">
        <v>89.129997253417997</v>
      </c>
    </row>
    <row r="1569" spans="1:2" x14ac:dyDescent="0.25">
      <c r="A1569" s="5">
        <v>24190</v>
      </c>
      <c r="B1569">
        <v>89.290000915527301</v>
      </c>
    </row>
    <row r="1570" spans="1:2" x14ac:dyDescent="0.25">
      <c r="A1570" s="5">
        <v>24191</v>
      </c>
      <c r="B1570">
        <v>89.540000915527301</v>
      </c>
    </row>
    <row r="1571" spans="1:2" x14ac:dyDescent="0.25">
      <c r="A1571" s="5">
        <v>24194</v>
      </c>
      <c r="B1571">
        <v>89.620002746582003</v>
      </c>
    </row>
    <row r="1572" spans="1:2" x14ac:dyDescent="0.25">
      <c r="A1572" s="5">
        <v>24195</v>
      </c>
      <c r="B1572">
        <v>89.269996643066406</v>
      </c>
    </row>
    <row r="1573" spans="1:2" x14ac:dyDescent="0.25">
      <c r="A1573" s="5">
        <v>24196</v>
      </c>
      <c r="B1573">
        <v>88.779998779296903</v>
      </c>
    </row>
    <row r="1574" spans="1:2" x14ac:dyDescent="0.25">
      <c r="A1574" s="5">
        <v>24197</v>
      </c>
      <c r="B1574">
        <v>89.230003356933594</v>
      </c>
    </row>
    <row r="1575" spans="1:2" x14ac:dyDescent="0.25">
      <c r="A1575" s="5">
        <v>24198</v>
      </c>
      <c r="B1575">
        <v>89.940002441406193</v>
      </c>
    </row>
    <row r="1576" spans="1:2" x14ac:dyDescent="0.25">
      <c r="A1576" s="5">
        <v>24201</v>
      </c>
      <c r="B1576">
        <v>90.760002136230497</v>
      </c>
    </row>
    <row r="1577" spans="1:2" x14ac:dyDescent="0.25">
      <c r="A1577" s="5">
        <v>24202</v>
      </c>
      <c r="B1577">
        <v>91.309997558593807</v>
      </c>
    </row>
    <row r="1578" spans="1:2" x14ac:dyDescent="0.25">
      <c r="A1578" s="5">
        <v>24203</v>
      </c>
      <c r="B1578">
        <v>91.559997558593807</v>
      </c>
    </row>
    <row r="1579" spans="1:2" x14ac:dyDescent="0.25">
      <c r="A1579" s="5">
        <v>24204</v>
      </c>
      <c r="B1579">
        <v>91.760002136230497</v>
      </c>
    </row>
    <row r="1580" spans="1:2" x14ac:dyDescent="0.25">
      <c r="A1580" s="5">
        <v>24208</v>
      </c>
      <c r="B1580">
        <v>91.790000915527301</v>
      </c>
    </row>
    <row r="1581" spans="1:2" x14ac:dyDescent="0.25">
      <c r="A1581" s="5">
        <v>24209</v>
      </c>
      <c r="B1581">
        <v>91.449996948242202</v>
      </c>
    </row>
    <row r="1582" spans="1:2" x14ac:dyDescent="0.25">
      <c r="A1582" s="5">
        <v>24210</v>
      </c>
      <c r="B1582">
        <v>91.540000915527301</v>
      </c>
    </row>
    <row r="1583" spans="1:2" x14ac:dyDescent="0.25">
      <c r="A1583" s="5">
        <v>24211</v>
      </c>
      <c r="B1583">
        <v>91.870002746582003</v>
      </c>
    </row>
    <row r="1584" spans="1:2" x14ac:dyDescent="0.25">
      <c r="A1584" s="5">
        <v>24212</v>
      </c>
      <c r="B1584">
        <v>91.989997863769503</v>
      </c>
    </row>
    <row r="1585" spans="1:2" x14ac:dyDescent="0.25">
      <c r="A1585" s="5">
        <v>24215</v>
      </c>
      <c r="B1585">
        <v>91.580001831054702</v>
      </c>
    </row>
    <row r="1586" spans="1:2" x14ac:dyDescent="0.25">
      <c r="A1586" s="5">
        <v>24216</v>
      </c>
      <c r="B1586">
        <v>91.569999694824205</v>
      </c>
    </row>
    <row r="1587" spans="1:2" x14ac:dyDescent="0.25">
      <c r="A1587" s="5">
        <v>24217</v>
      </c>
      <c r="B1587">
        <v>92.080001831054702</v>
      </c>
    </row>
    <row r="1588" spans="1:2" x14ac:dyDescent="0.25">
      <c r="A1588" s="5">
        <v>24218</v>
      </c>
      <c r="B1588">
        <v>92.419998168945298</v>
      </c>
    </row>
    <row r="1589" spans="1:2" x14ac:dyDescent="0.25">
      <c r="A1589" s="5">
        <v>24219</v>
      </c>
      <c r="B1589">
        <v>92.269996643066406</v>
      </c>
    </row>
    <row r="1590" spans="1:2" x14ac:dyDescent="0.25">
      <c r="A1590" s="5">
        <v>24222</v>
      </c>
      <c r="B1590">
        <v>92.080001831054702</v>
      </c>
    </row>
    <row r="1591" spans="1:2" x14ac:dyDescent="0.25">
      <c r="A1591" s="5">
        <v>24223</v>
      </c>
      <c r="B1591">
        <v>91.989997863769503</v>
      </c>
    </row>
    <row r="1592" spans="1:2" x14ac:dyDescent="0.25">
      <c r="A1592" s="5">
        <v>24224</v>
      </c>
      <c r="B1592">
        <v>91.760002136230497</v>
      </c>
    </row>
    <row r="1593" spans="1:2" x14ac:dyDescent="0.25">
      <c r="A1593" s="5">
        <v>24225</v>
      </c>
      <c r="B1593">
        <v>91.129997253417997</v>
      </c>
    </row>
    <row r="1594" spans="1:2" x14ac:dyDescent="0.25">
      <c r="A1594" s="5">
        <v>24226</v>
      </c>
      <c r="B1594">
        <v>91.059997558593807</v>
      </c>
    </row>
    <row r="1595" spans="1:2" x14ac:dyDescent="0.25">
      <c r="A1595" s="5">
        <v>24229</v>
      </c>
      <c r="B1595">
        <v>90.900001525878906</v>
      </c>
    </row>
    <row r="1596" spans="1:2" x14ac:dyDescent="0.25">
      <c r="A1596" s="5">
        <v>24230</v>
      </c>
      <c r="B1596">
        <v>89.849998474121094</v>
      </c>
    </row>
    <row r="1597" spans="1:2" x14ac:dyDescent="0.25">
      <c r="A1597" s="5">
        <v>24231</v>
      </c>
      <c r="B1597">
        <v>89.389999389648395</v>
      </c>
    </row>
    <row r="1598" spans="1:2" x14ac:dyDescent="0.25">
      <c r="A1598" s="5">
        <v>24232</v>
      </c>
      <c r="B1598">
        <v>87.930000305175795</v>
      </c>
    </row>
    <row r="1599" spans="1:2" x14ac:dyDescent="0.25">
      <c r="A1599" s="5">
        <v>24233</v>
      </c>
      <c r="B1599">
        <v>87.839996337890597</v>
      </c>
    </row>
    <row r="1600" spans="1:2" x14ac:dyDescent="0.25">
      <c r="A1600" s="5">
        <v>24236</v>
      </c>
      <c r="B1600">
        <v>86.319999694824205</v>
      </c>
    </row>
    <row r="1601" spans="1:2" x14ac:dyDescent="0.25">
      <c r="A1601" s="5">
        <v>24237</v>
      </c>
      <c r="B1601">
        <v>87.080001831054702</v>
      </c>
    </row>
    <row r="1602" spans="1:2" x14ac:dyDescent="0.25">
      <c r="A1602" s="5">
        <v>24238</v>
      </c>
      <c r="B1602">
        <v>87.230003356933594</v>
      </c>
    </row>
    <row r="1603" spans="1:2" x14ac:dyDescent="0.25">
      <c r="A1603" s="5">
        <v>24239</v>
      </c>
      <c r="B1603">
        <v>86.230003356933594</v>
      </c>
    </row>
    <row r="1604" spans="1:2" x14ac:dyDescent="0.25">
      <c r="A1604" s="5">
        <v>24240</v>
      </c>
      <c r="B1604">
        <v>85.470001220703097</v>
      </c>
    </row>
    <row r="1605" spans="1:2" x14ac:dyDescent="0.25">
      <c r="A1605" s="5">
        <v>24243</v>
      </c>
      <c r="B1605">
        <v>84.410003662109403</v>
      </c>
    </row>
    <row r="1606" spans="1:2" x14ac:dyDescent="0.25">
      <c r="A1606" s="5">
        <v>24244</v>
      </c>
      <c r="B1606">
        <v>83.629997253417997</v>
      </c>
    </row>
    <row r="1607" spans="1:2" x14ac:dyDescent="0.25">
      <c r="A1607" s="5">
        <v>24245</v>
      </c>
      <c r="B1607">
        <v>85.120002746582003</v>
      </c>
    </row>
    <row r="1608" spans="1:2" x14ac:dyDescent="0.25">
      <c r="A1608" s="5">
        <v>24246</v>
      </c>
      <c r="B1608">
        <v>85.019996643066406</v>
      </c>
    </row>
    <row r="1609" spans="1:2" x14ac:dyDescent="0.25">
      <c r="A1609" s="5">
        <v>24247</v>
      </c>
      <c r="B1609">
        <v>85.430000305175795</v>
      </c>
    </row>
    <row r="1610" spans="1:2" x14ac:dyDescent="0.25">
      <c r="A1610" s="5">
        <v>24250</v>
      </c>
      <c r="B1610">
        <v>86.199996948242202</v>
      </c>
    </row>
    <row r="1611" spans="1:2" x14ac:dyDescent="0.25">
      <c r="A1611" s="5">
        <v>24251</v>
      </c>
      <c r="B1611">
        <v>86.769996643066406</v>
      </c>
    </row>
    <row r="1612" spans="1:2" x14ac:dyDescent="0.25">
      <c r="A1612" s="5">
        <v>24252</v>
      </c>
      <c r="B1612">
        <v>87.069999694824205</v>
      </c>
    </row>
    <row r="1613" spans="1:2" x14ac:dyDescent="0.25">
      <c r="A1613" s="5">
        <v>24253</v>
      </c>
      <c r="B1613">
        <v>87.069999694824205</v>
      </c>
    </row>
    <row r="1614" spans="1:2" x14ac:dyDescent="0.25">
      <c r="A1614" s="5">
        <v>24254</v>
      </c>
      <c r="B1614">
        <v>87.330001831054702</v>
      </c>
    </row>
    <row r="1615" spans="1:2" x14ac:dyDescent="0.25">
      <c r="A1615" s="5">
        <v>24258</v>
      </c>
      <c r="B1615">
        <v>86.129997253417997</v>
      </c>
    </row>
    <row r="1616" spans="1:2" x14ac:dyDescent="0.25">
      <c r="A1616" s="5">
        <v>24259</v>
      </c>
      <c r="B1616">
        <v>86.099998474121094</v>
      </c>
    </row>
    <row r="1617" spans="1:2" x14ac:dyDescent="0.25">
      <c r="A1617" s="5">
        <v>24260</v>
      </c>
      <c r="B1617">
        <v>85.959999084472699</v>
      </c>
    </row>
    <row r="1618" spans="1:2" x14ac:dyDescent="0.25">
      <c r="A1618" s="5">
        <v>24261</v>
      </c>
      <c r="B1618">
        <v>86.059997558593807</v>
      </c>
    </row>
    <row r="1619" spans="1:2" x14ac:dyDescent="0.25">
      <c r="A1619" s="5">
        <v>24264</v>
      </c>
      <c r="B1619">
        <v>85.419998168945298</v>
      </c>
    </row>
    <row r="1620" spans="1:2" x14ac:dyDescent="0.25">
      <c r="A1620" s="5">
        <v>24265</v>
      </c>
      <c r="B1620">
        <v>84.830001831054702</v>
      </c>
    </row>
    <row r="1621" spans="1:2" x14ac:dyDescent="0.25">
      <c r="A1621" s="5">
        <v>24266</v>
      </c>
      <c r="B1621">
        <v>84.930000305175795</v>
      </c>
    </row>
    <row r="1622" spans="1:2" x14ac:dyDescent="0.25">
      <c r="A1622" s="5">
        <v>24267</v>
      </c>
      <c r="B1622">
        <v>85.5</v>
      </c>
    </row>
    <row r="1623" spans="1:2" x14ac:dyDescent="0.25">
      <c r="A1623" s="5">
        <v>24268</v>
      </c>
      <c r="B1623">
        <v>86.440002441406193</v>
      </c>
    </row>
    <row r="1624" spans="1:2" x14ac:dyDescent="0.25">
      <c r="A1624" s="5">
        <v>24271</v>
      </c>
      <c r="B1624">
        <v>86.830001831054702</v>
      </c>
    </row>
    <row r="1625" spans="1:2" x14ac:dyDescent="0.25">
      <c r="A1625" s="5">
        <v>24272</v>
      </c>
      <c r="B1625">
        <v>87.069999694824205</v>
      </c>
    </row>
    <row r="1626" spans="1:2" x14ac:dyDescent="0.25">
      <c r="A1626" s="5">
        <v>24273</v>
      </c>
      <c r="B1626">
        <v>86.730003356933594</v>
      </c>
    </row>
    <row r="1627" spans="1:2" x14ac:dyDescent="0.25">
      <c r="A1627" s="5">
        <v>24274</v>
      </c>
      <c r="B1627">
        <v>86.470001220703097</v>
      </c>
    </row>
    <row r="1628" spans="1:2" x14ac:dyDescent="0.25">
      <c r="A1628" s="5">
        <v>24275</v>
      </c>
      <c r="B1628">
        <v>86.510002136230497</v>
      </c>
    </row>
    <row r="1629" spans="1:2" x14ac:dyDescent="0.25">
      <c r="A1629" s="5">
        <v>24278</v>
      </c>
      <c r="B1629">
        <v>86.480003356933594</v>
      </c>
    </row>
    <row r="1630" spans="1:2" x14ac:dyDescent="0.25">
      <c r="A1630" s="5">
        <v>24279</v>
      </c>
      <c r="B1630">
        <v>86.709999084472699</v>
      </c>
    </row>
    <row r="1631" spans="1:2" x14ac:dyDescent="0.25">
      <c r="A1631" s="5">
        <v>24280</v>
      </c>
      <c r="B1631">
        <v>86.849998474121094</v>
      </c>
    </row>
    <row r="1632" spans="1:2" x14ac:dyDescent="0.25">
      <c r="A1632" s="5">
        <v>24281</v>
      </c>
      <c r="B1632">
        <v>86.5</v>
      </c>
    </row>
    <row r="1633" spans="1:2" x14ac:dyDescent="0.25">
      <c r="A1633" s="5">
        <v>24282</v>
      </c>
      <c r="B1633">
        <v>86.580001831054702</v>
      </c>
    </row>
    <row r="1634" spans="1:2" x14ac:dyDescent="0.25">
      <c r="A1634" s="5">
        <v>24285</v>
      </c>
      <c r="B1634">
        <v>86.080001831054702</v>
      </c>
    </row>
    <row r="1635" spans="1:2" x14ac:dyDescent="0.25">
      <c r="A1635" s="5">
        <v>24286</v>
      </c>
      <c r="B1635">
        <v>85.669998168945298</v>
      </c>
    </row>
    <row r="1636" spans="1:2" x14ac:dyDescent="0.25">
      <c r="A1636" s="5">
        <v>24287</v>
      </c>
      <c r="B1636">
        <v>84.860000610351605</v>
      </c>
    </row>
    <row r="1637" spans="1:2" x14ac:dyDescent="0.25">
      <c r="A1637" s="5">
        <v>24288</v>
      </c>
      <c r="B1637">
        <v>84.739997863769503</v>
      </c>
    </row>
    <row r="1638" spans="1:2" x14ac:dyDescent="0.25">
      <c r="A1638" s="5">
        <v>24289</v>
      </c>
      <c r="B1638">
        <v>85.610000610351605</v>
      </c>
    </row>
    <row r="1639" spans="1:2" x14ac:dyDescent="0.25">
      <c r="A1639" s="5">
        <v>24293</v>
      </c>
      <c r="B1639">
        <v>85.819999694824205</v>
      </c>
    </row>
    <row r="1640" spans="1:2" x14ac:dyDescent="0.25">
      <c r="A1640" s="5">
        <v>24294</v>
      </c>
      <c r="B1640">
        <v>87.059997558593807</v>
      </c>
    </row>
    <row r="1641" spans="1:2" x14ac:dyDescent="0.25">
      <c r="A1641" s="5">
        <v>24295</v>
      </c>
      <c r="B1641">
        <v>87.379997253417997</v>
      </c>
    </row>
    <row r="1642" spans="1:2" x14ac:dyDescent="0.25">
      <c r="A1642" s="5">
        <v>24296</v>
      </c>
      <c r="B1642">
        <v>87.610000610351605</v>
      </c>
    </row>
    <row r="1643" spans="1:2" x14ac:dyDescent="0.25">
      <c r="A1643" s="5">
        <v>24299</v>
      </c>
      <c r="B1643">
        <v>87.449996948242202</v>
      </c>
    </row>
    <row r="1644" spans="1:2" x14ac:dyDescent="0.25">
      <c r="A1644" s="5">
        <v>24300</v>
      </c>
      <c r="B1644">
        <v>86.879997253417997</v>
      </c>
    </row>
    <row r="1645" spans="1:2" x14ac:dyDescent="0.25">
      <c r="A1645" s="5">
        <v>24301</v>
      </c>
      <c r="B1645">
        <v>86.300003051757798</v>
      </c>
    </row>
    <row r="1646" spans="1:2" x14ac:dyDescent="0.25">
      <c r="A1646" s="5">
        <v>24302</v>
      </c>
      <c r="B1646">
        <v>86.819999694824205</v>
      </c>
    </row>
    <row r="1647" spans="1:2" x14ac:dyDescent="0.25">
      <c r="A1647" s="5">
        <v>24303</v>
      </c>
      <c r="B1647">
        <v>87.080001831054702</v>
      </c>
    </row>
    <row r="1648" spans="1:2" x14ac:dyDescent="0.25">
      <c r="A1648" s="5">
        <v>24306</v>
      </c>
      <c r="B1648">
        <v>86.989997863769503</v>
      </c>
    </row>
    <row r="1649" spans="1:2" x14ac:dyDescent="0.25">
      <c r="A1649" s="5">
        <v>24307</v>
      </c>
      <c r="B1649">
        <v>86.330001831054702</v>
      </c>
    </row>
    <row r="1650" spans="1:2" x14ac:dyDescent="0.25">
      <c r="A1650" s="5">
        <v>24308</v>
      </c>
      <c r="B1650">
        <v>85.510002136230497</v>
      </c>
    </row>
    <row r="1651" spans="1:2" x14ac:dyDescent="0.25">
      <c r="A1651" s="5">
        <v>24309</v>
      </c>
      <c r="B1651">
        <v>85.519996643066406</v>
      </c>
    </row>
    <row r="1652" spans="1:2" x14ac:dyDescent="0.25">
      <c r="A1652" s="5">
        <v>24310</v>
      </c>
      <c r="B1652">
        <v>85.410003662109403</v>
      </c>
    </row>
    <row r="1653" spans="1:2" x14ac:dyDescent="0.25">
      <c r="A1653" s="5">
        <v>24313</v>
      </c>
      <c r="B1653">
        <v>83.830001831054702</v>
      </c>
    </row>
    <row r="1654" spans="1:2" x14ac:dyDescent="0.25">
      <c r="A1654" s="5">
        <v>24314</v>
      </c>
      <c r="B1654">
        <v>83.699996948242202</v>
      </c>
    </row>
    <row r="1655" spans="1:2" x14ac:dyDescent="0.25">
      <c r="A1655" s="5">
        <v>24315</v>
      </c>
      <c r="B1655">
        <v>84.099998474121094</v>
      </c>
    </row>
    <row r="1656" spans="1:2" x14ac:dyDescent="0.25">
      <c r="A1656" s="5">
        <v>24316</v>
      </c>
      <c r="B1656">
        <v>83.769996643066406</v>
      </c>
    </row>
    <row r="1657" spans="1:2" x14ac:dyDescent="0.25">
      <c r="A1657" s="5">
        <v>24317</v>
      </c>
      <c r="B1657">
        <v>83.599998474121094</v>
      </c>
    </row>
    <row r="1658" spans="1:2" x14ac:dyDescent="0.25">
      <c r="A1658" s="5">
        <v>24320</v>
      </c>
      <c r="B1658">
        <v>82.309997558593807</v>
      </c>
    </row>
    <row r="1659" spans="1:2" x14ac:dyDescent="0.25">
      <c r="A1659" s="5">
        <v>24321</v>
      </c>
      <c r="B1659">
        <v>82.330001831054702</v>
      </c>
    </row>
    <row r="1660" spans="1:2" x14ac:dyDescent="0.25">
      <c r="A1660" s="5">
        <v>24322</v>
      </c>
      <c r="B1660">
        <v>83.150001525878906</v>
      </c>
    </row>
    <row r="1661" spans="1:2" x14ac:dyDescent="0.25">
      <c r="A1661" s="5">
        <v>24323</v>
      </c>
      <c r="B1661">
        <v>83.930000305175795</v>
      </c>
    </row>
    <row r="1662" spans="1:2" x14ac:dyDescent="0.25">
      <c r="A1662" s="5">
        <v>24324</v>
      </c>
      <c r="B1662">
        <v>84</v>
      </c>
    </row>
    <row r="1663" spans="1:2" x14ac:dyDescent="0.25">
      <c r="A1663" s="5">
        <v>24327</v>
      </c>
      <c r="B1663">
        <v>83.75</v>
      </c>
    </row>
    <row r="1664" spans="1:2" x14ac:dyDescent="0.25">
      <c r="A1664" s="5">
        <v>24328</v>
      </c>
      <c r="B1664">
        <v>83.489997863769503</v>
      </c>
    </row>
    <row r="1665" spans="1:2" x14ac:dyDescent="0.25">
      <c r="A1665" s="5">
        <v>24329</v>
      </c>
      <c r="B1665">
        <v>83.110000610351605</v>
      </c>
    </row>
    <row r="1666" spans="1:2" x14ac:dyDescent="0.25">
      <c r="A1666" s="5">
        <v>24330</v>
      </c>
      <c r="B1666">
        <v>83.019996643066406</v>
      </c>
    </row>
    <row r="1667" spans="1:2" x14ac:dyDescent="0.25">
      <c r="A1667" s="5">
        <v>24331</v>
      </c>
      <c r="B1667">
        <v>83.169998168945298</v>
      </c>
    </row>
    <row r="1668" spans="1:2" x14ac:dyDescent="0.25">
      <c r="A1668" s="5">
        <v>24334</v>
      </c>
      <c r="B1668">
        <v>82.739997863769503</v>
      </c>
    </row>
    <row r="1669" spans="1:2" x14ac:dyDescent="0.25">
      <c r="A1669" s="5">
        <v>24335</v>
      </c>
      <c r="B1669">
        <v>81.629997253417997</v>
      </c>
    </row>
    <row r="1670" spans="1:2" x14ac:dyDescent="0.25">
      <c r="A1670" s="5">
        <v>24336</v>
      </c>
      <c r="B1670">
        <v>81.180000305175795</v>
      </c>
    </row>
    <row r="1671" spans="1:2" x14ac:dyDescent="0.25">
      <c r="A1671" s="5">
        <v>24337</v>
      </c>
      <c r="B1671">
        <v>80.160003662109403</v>
      </c>
    </row>
    <row r="1672" spans="1:2" x14ac:dyDescent="0.25">
      <c r="A1672" s="5">
        <v>24338</v>
      </c>
      <c r="B1672">
        <v>79.620002746582003</v>
      </c>
    </row>
    <row r="1673" spans="1:2" x14ac:dyDescent="0.25">
      <c r="A1673" s="5">
        <v>24341</v>
      </c>
      <c r="B1673">
        <v>78.239997863769503</v>
      </c>
    </row>
    <row r="1674" spans="1:2" x14ac:dyDescent="0.25">
      <c r="A1674" s="5">
        <v>24342</v>
      </c>
      <c r="B1674">
        <v>78.110000610351605</v>
      </c>
    </row>
    <row r="1675" spans="1:2" x14ac:dyDescent="0.25">
      <c r="A1675" s="5">
        <v>24343</v>
      </c>
      <c r="B1675">
        <v>79.069999694824205</v>
      </c>
    </row>
    <row r="1676" spans="1:2" x14ac:dyDescent="0.25">
      <c r="A1676" s="5">
        <v>24344</v>
      </c>
      <c r="B1676">
        <v>78.059997558593807</v>
      </c>
    </row>
    <row r="1677" spans="1:2" x14ac:dyDescent="0.25">
      <c r="A1677" s="5">
        <v>24345</v>
      </c>
      <c r="B1677">
        <v>76.410003662109403</v>
      </c>
    </row>
    <row r="1678" spans="1:2" x14ac:dyDescent="0.25">
      <c r="A1678" s="5">
        <v>24348</v>
      </c>
      <c r="B1678">
        <v>74.529998779296903</v>
      </c>
    </row>
    <row r="1679" spans="1:2" x14ac:dyDescent="0.25">
      <c r="A1679" s="5">
        <v>24349</v>
      </c>
      <c r="B1679">
        <v>75.860000610351605</v>
      </c>
    </row>
    <row r="1680" spans="1:2" x14ac:dyDescent="0.25">
      <c r="A1680" s="5">
        <v>24350</v>
      </c>
      <c r="B1680">
        <v>77.099998474121094</v>
      </c>
    </row>
    <row r="1681" spans="1:2" x14ac:dyDescent="0.25">
      <c r="A1681" s="5">
        <v>24351</v>
      </c>
      <c r="B1681">
        <v>77.699996948242202</v>
      </c>
    </row>
    <row r="1682" spans="1:2" x14ac:dyDescent="0.25">
      <c r="A1682" s="5">
        <v>24352</v>
      </c>
      <c r="B1682">
        <v>77.419998168945298</v>
      </c>
    </row>
    <row r="1683" spans="1:2" x14ac:dyDescent="0.25">
      <c r="A1683" s="5">
        <v>24356</v>
      </c>
      <c r="B1683">
        <v>76.959999084472699</v>
      </c>
    </row>
    <row r="1684" spans="1:2" x14ac:dyDescent="0.25">
      <c r="A1684" s="5">
        <v>24357</v>
      </c>
      <c r="B1684">
        <v>76.370002746582003</v>
      </c>
    </row>
    <row r="1685" spans="1:2" x14ac:dyDescent="0.25">
      <c r="A1685" s="5">
        <v>24358</v>
      </c>
      <c r="B1685">
        <v>76.050003051757798</v>
      </c>
    </row>
    <row r="1686" spans="1:2" x14ac:dyDescent="0.25">
      <c r="A1686" s="5">
        <v>24359</v>
      </c>
      <c r="B1686">
        <v>76.290000915527301</v>
      </c>
    </row>
    <row r="1687" spans="1:2" x14ac:dyDescent="0.25">
      <c r="A1687" s="5">
        <v>24362</v>
      </c>
      <c r="B1687">
        <v>77.910003662109403</v>
      </c>
    </row>
    <row r="1688" spans="1:2" x14ac:dyDescent="0.25">
      <c r="A1688" s="5">
        <v>24363</v>
      </c>
      <c r="B1688">
        <v>78.319999694824205</v>
      </c>
    </row>
    <row r="1689" spans="1:2" x14ac:dyDescent="0.25">
      <c r="A1689" s="5">
        <v>24364</v>
      </c>
      <c r="B1689">
        <v>79.129997253417997</v>
      </c>
    </row>
    <row r="1690" spans="1:2" x14ac:dyDescent="0.25">
      <c r="A1690" s="5">
        <v>24365</v>
      </c>
      <c r="B1690">
        <v>80.080001831054702</v>
      </c>
    </row>
    <row r="1691" spans="1:2" x14ac:dyDescent="0.25">
      <c r="A1691" s="5">
        <v>24366</v>
      </c>
      <c r="B1691">
        <v>79.989997863769503</v>
      </c>
    </row>
    <row r="1692" spans="1:2" x14ac:dyDescent="0.25">
      <c r="A1692" s="5">
        <v>24369</v>
      </c>
      <c r="B1692">
        <v>79.589996337890597</v>
      </c>
    </row>
    <row r="1693" spans="1:2" x14ac:dyDescent="0.25">
      <c r="A1693" s="5">
        <v>24370</v>
      </c>
      <c r="B1693">
        <v>79.040000915527301</v>
      </c>
    </row>
    <row r="1694" spans="1:2" x14ac:dyDescent="0.25">
      <c r="A1694" s="5">
        <v>24371</v>
      </c>
      <c r="B1694">
        <v>77.709999084472699</v>
      </c>
    </row>
    <row r="1695" spans="1:2" x14ac:dyDescent="0.25">
      <c r="A1695" s="5">
        <v>24372</v>
      </c>
      <c r="B1695">
        <v>77.940002441406193</v>
      </c>
    </row>
    <row r="1696" spans="1:2" x14ac:dyDescent="0.25">
      <c r="A1696" s="5">
        <v>24373</v>
      </c>
      <c r="B1696">
        <v>77.669998168945298</v>
      </c>
    </row>
    <row r="1697" spans="1:2" x14ac:dyDescent="0.25">
      <c r="A1697" s="5">
        <v>24376</v>
      </c>
      <c r="B1697">
        <v>77.860000610351605</v>
      </c>
    </row>
    <row r="1698" spans="1:2" x14ac:dyDescent="0.25">
      <c r="A1698" s="5">
        <v>24377</v>
      </c>
      <c r="B1698">
        <v>78.099998474121094</v>
      </c>
    </row>
    <row r="1699" spans="1:2" x14ac:dyDescent="0.25">
      <c r="A1699" s="5">
        <v>24378</v>
      </c>
      <c r="B1699">
        <v>77.110000610351605</v>
      </c>
    </row>
    <row r="1700" spans="1:2" x14ac:dyDescent="0.25">
      <c r="A1700" s="5">
        <v>24379</v>
      </c>
      <c r="B1700">
        <v>76.309997558593807</v>
      </c>
    </row>
    <row r="1701" spans="1:2" x14ac:dyDescent="0.25">
      <c r="A1701" s="5">
        <v>24380</v>
      </c>
      <c r="B1701">
        <v>76.559997558593807</v>
      </c>
    </row>
    <row r="1702" spans="1:2" x14ac:dyDescent="0.25">
      <c r="A1702" s="5">
        <v>24383</v>
      </c>
      <c r="B1702">
        <v>74.900001525878906</v>
      </c>
    </row>
    <row r="1703" spans="1:2" x14ac:dyDescent="0.25">
      <c r="A1703" s="5">
        <v>24384</v>
      </c>
      <c r="B1703">
        <v>75.099998474121094</v>
      </c>
    </row>
    <row r="1704" spans="1:2" x14ac:dyDescent="0.25">
      <c r="A1704" s="5">
        <v>24385</v>
      </c>
      <c r="B1704">
        <v>74.690002441406193</v>
      </c>
    </row>
    <row r="1705" spans="1:2" x14ac:dyDescent="0.25">
      <c r="A1705" s="5">
        <v>24386</v>
      </c>
      <c r="B1705">
        <v>74.050003051757798</v>
      </c>
    </row>
    <row r="1706" spans="1:2" x14ac:dyDescent="0.25">
      <c r="A1706" s="5">
        <v>24387</v>
      </c>
      <c r="B1706">
        <v>73.199996948242202</v>
      </c>
    </row>
    <row r="1707" spans="1:2" x14ac:dyDescent="0.25">
      <c r="A1707" s="5">
        <v>24390</v>
      </c>
      <c r="B1707">
        <v>74.529998779296903</v>
      </c>
    </row>
    <row r="1708" spans="1:2" x14ac:dyDescent="0.25">
      <c r="A1708" s="5">
        <v>24391</v>
      </c>
      <c r="B1708">
        <v>74.910003662109403</v>
      </c>
    </row>
    <row r="1709" spans="1:2" x14ac:dyDescent="0.25">
      <c r="A1709" s="5">
        <v>24392</v>
      </c>
      <c r="B1709">
        <v>77.040000915527301</v>
      </c>
    </row>
    <row r="1710" spans="1:2" x14ac:dyDescent="0.25">
      <c r="A1710" s="5">
        <v>24393</v>
      </c>
      <c r="B1710">
        <v>76.889999389648395</v>
      </c>
    </row>
    <row r="1711" spans="1:2" x14ac:dyDescent="0.25">
      <c r="A1711" s="5">
        <v>24394</v>
      </c>
      <c r="B1711">
        <v>76.599998474121094</v>
      </c>
    </row>
    <row r="1712" spans="1:2" x14ac:dyDescent="0.25">
      <c r="A1712" s="5">
        <v>24397</v>
      </c>
      <c r="B1712">
        <v>77.470001220703097</v>
      </c>
    </row>
    <row r="1713" spans="1:2" x14ac:dyDescent="0.25">
      <c r="A1713" s="5">
        <v>24398</v>
      </c>
      <c r="B1713">
        <v>78.680000305175795</v>
      </c>
    </row>
    <row r="1714" spans="1:2" x14ac:dyDescent="0.25">
      <c r="A1714" s="5">
        <v>24399</v>
      </c>
      <c r="B1714">
        <v>78.050003051757798</v>
      </c>
    </row>
    <row r="1715" spans="1:2" x14ac:dyDescent="0.25">
      <c r="A1715" s="5">
        <v>24400</v>
      </c>
      <c r="B1715">
        <v>77.839996337890597</v>
      </c>
    </row>
    <row r="1716" spans="1:2" x14ac:dyDescent="0.25">
      <c r="A1716" s="5">
        <v>24401</v>
      </c>
      <c r="B1716">
        <v>78.190002441406193</v>
      </c>
    </row>
    <row r="1717" spans="1:2" x14ac:dyDescent="0.25">
      <c r="A1717" s="5">
        <v>24404</v>
      </c>
      <c r="B1717">
        <v>78.419998168945298</v>
      </c>
    </row>
    <row r="1718" spans="1:2" x14ac:dyDescent="0.25">
      <c r="A1718" s="5">
        <v>24405</v>
      </c>
      <c r="B1718">
        <v>78.900001525878906</v>
      </c>
    </row>
    <row r="1719" spans="1:2" x14ac:dyDescent="0.25">
      <c r="A1719" s="5">
        <v>24406</v>
      </c>
      <c r="B1719">
        <v>79.580001831054702</v>
      </c>
    </row>
    <row r="1720" spans="1:2" x14ac:dyDescent="0.25">
      <c r="A1720" s="5">
        <v>24407</v>
      </c>
      <c r="B1720">
        <v>80.230003356933594</v>
      </c>
    </row>
    <row r="1721" spans="1:2" x14ac:dyDescent="0.25">
      <c r="A1721" s="5">
        <v>24408</v>
      </c>
      <c r="B1721">
        <v>80.239997863769503</v>
      </c>
    </row>
    <row r="1722" spans="1:2" x14ac:dyDescent="0.25">
      <c r="A1722" s="5">
        <v>24411</v>
      </c>
      <c r="B1722">
        <v>80.199996948242202</v>
      </c>
    </row>
    <row r="1723" spans="1:2" x14ac:dyDescent="0.25">
      <c r="A1723" s="5">
        <v>24412</v>
      </c>
      <c r="B1723">
        <v>80.809997558593807</v>
      </c>
    </row>
    <row r="1724" spans="1:2" x14ac:dyDescent="0.25">
      <c r="A1724" s="5">
        <v>24413</v>
      </c>
      <c r="B1724">
        <v>80.879997253417997</v>
      </c>
    </row>
    <row r="1725" spans="1:2" x14ac:dyDescent="0.25">
      <c r="A1725" s="5">
        <v>24414</v>
      </c>
      <c r="B1725">
        <v>80.559997558593807</v>
      </c>
    </row>
    <row r="1726" spans="1:2" x14ac:dyDescent="0.25">
      <c r="A1726" s="5">
        <v>24415</v>
      </c>
      <c r="B1726">
        <v>80.809997558593807</v>
      </c>
    </row>
    <row r="1727" spans="1:2" x14ac:dyDescent="0.25">
      <c r="A1727" s="5">
        <v>24418</v>
      </c>
      <c r="B1727">
        <v>80.730003356933594</v>
      </c>
    </row>
    <row r="1728" spans="1:2" x14ac:dyDescent="0.25">
      <c r="A1728" s="5">
        <v>24420</v>
      </c>
      <c r="B1728">
        <v>81.379997253417997</v>
      </c>
    </row>
    <row r="1729" spans="1:2" x14ac:dyDescent="0.25">
      <c r="A1729" s="5">
        <v>24421</v>
      </c>
      <c r="B1729">
        <v>81.889999389648395</v>
      </c>
    </row>
    <row r="1730" spans="1:2" x14ac:dyDescent="0.25">
      <c r="A1730" s="5">
        <v>24422</v>
      </c>
      <c r="B1730">
        <v>81.940002441406193</v>
      </c>
    </row>
    <row r="1731" spans="1:2" x14ac:dyDescent="0.25">
      <c r="A1731" s="5">
        <v>24425</v>
      </c>
      <c r="B1731">
        <v>81.370002746582003</v>
      </c>
    </row>
    <row r="1732" spans="1:2" x14ac:dyDescent="0.25">
      <c r="A1732" s="5">
        <v>24426</v>
      </c>
      <c r="B1732">
        <v>81.690002441406193</v>
      </c>
    </row>
    <row r="1733" spans="1:2" x14ac:dyDescent="0.25">
      <c r="A1733" s="5">
        <v>24427</v>
      </c>
      <c r="B1733">
        <v>82.370002746582003</v>
      </c>
    </row>
    <row r="1734" spans="1:2" x14ac:dyDescent="0.25">
      <c r="A1734" s="5">
        <v>24428</v>
      </c>
      <c r="B1734">
        <v>81.800003051757798</v>
      </c>
    </row>
    <row r="1735" spans="1:2" x14ac:dyDescent="0.25">
      <c r="A1735" s="5">
        <v>24429</v>
      </c>
      <c r="B1735">
        <v>81.260002136230497</v>
      </c>
    </row>
    <row r="1736" spans="1:2" x14ac:dyDescent="0.25">
      <c r="A1736" s="5">
        <v>24432</v>
      </c>
      <c r="B1736">
        <v>80.089996337890597</v>
      </c>
    </row>
    <row r="1737" spans="1:2" x14ac:dyDescent="0.25">
      <c r="A1737" s="5">
        <v>24433</v>
      </c>
      <c r="B1737">
        <v>79.669998168945298</v>
      </c>
    </row>
    <row r="1738" spans="1:2" x14ac:dyDescent="0.25">
      <c r="A1738" s="5">
        <v>24434</v>
      </c>
      <c r="B1738">
        <v>80.209999084472699</v>
      </c>
    </row>
    <row r="1739" spans="1:2" x14ac:dyDescent="0.25">
      <c r="A1739" s="5">
        <v>24436</v>
      </c>
      <c r="B1739">
        <v>80.849998474121094</v>
      </c>
    </row>
    <row r="1740" spans="1:2" x14ac:dyDescent="0.25">
      <c r="A1740" s="5">
        <v>24439</v>
      </c>
      <c r="B1740">
        <v>80.709999084472699</v>
      </c>
    </row>
    <row r="1741" spans="1:2" x14ac:dyDescent="0.25">
      <c r="A1741" s="5">
        <v>24440</v>
      </c>
      <c r="B1741">
        <v>80.419998168945298</v>
      </c>
    </row>
    <row r="1742" spans="1:2" x14ac:dyDescent="0.25">
      <c r="A1742" s="5">
        <v>24441</v>
      </c>
      <c r="B1742">
        <v>80.449996948242202</v>
      </c>
    </row>
    <row r="1743" spans="1:2" x14ac:dyDescent="0.25">
      <c r="A1743" s="5">
        <v>24442</v>
      </c>
      <c r="B1743">
        <v>80.080001831054702</v>
      </c>
    </row>
    <row r="1744" spans="1:2" x14ac:dyDescent="0.25">
      <c r="A1744" s="5">
        <v>24443</v>
      </c>
      <c r="B1744">
        <v>80.129997253417997</v>
      </c>
    </row>
    <row r="1745" spans="1:2" x14ac:dyDescent="0.25">
      <c r="A1745" s="5">
        <v>24446</v>
      </c>
      <c r="B1745">
        <v>80.239997863769503</v>
      </c>
    </row>
    <row r="1746" spans="1:2" x14ac:dyDescent="0.25">
      <c r="A1746" s="5">
        <v>24447</v>
      </c>
      <c r="B1746">
        <v>80.839996337890597</v>
      </c>
    </row>
    <row r="1747" spans="1:2" x14ac:dyDescent="0.25">
      <c r="A1747" s="5">
        <v>24448</v>
      </c>
      <c r="B1747">
        <v>81.720001220703097</v>
      </c>
    </row>
    <row r="1748" spans="1:2" x14ac:dyDescent="0.25">
      <c r="A1748" s="5">
        <v>24449</v>
      </c>
      <c r="B1748">
        <v>82.050003051757798</v>
      </c>
    </row>
    <row r="1749" spans="1:2" x14ac:dyDescent="0.25">
      <c r="A1749" s="5">
        <v>24450</v>
      </c>
      <c r="B1749">
        <v>82.139999389648395</v>
      </c>
    </row>
    <row r="1750" spans="1:2" x14ac:dyDescent="0.25">
      <c r="A1750" s="5">
        <v>24453</v>
      </c>
      <c r="B1750">
        <v>83</v>
      </c>
    </row>
    <row r="1751" spans="1:2" x14ac:dyDescent="0.25">
      <c r="A1751" s="5">
        <v>24454</v>
      </c>
      <c r="B1751">
        <v>82.730003356933594</v>
      </c>
    </row>
    <row r="1752" spans="1:2" x14ac:dyDescent="0.25">
      <c r="A1752" s="5">
        <v>24455</v>
      </c>
      <c r="B1752">
        <v>82.639999389648395</v>
      </c>
    </row>
    <row r="1753" spans="1:2" x14ac:dyDescent="0.25">
      <c r="A1753" s="5">
        <v>24456</v>
      </c>
      <c r="B1753">
        <v>81.639999389648395</v>
      </c>
    </row>
    <row r="1754" spans="1:2" x14ac:dyDescent="0.25">
      <c r="A1754" s="5">
        <v>24457</v>
      </c>
      <c r="B1754">
        <v>81.580001831054702</v>
      </c>
    </row>
    <row r="1755" spans="1:2" x14ac:dyDescent="0.25">
      <c r="A1755" s="5">
        <v>24460</v>
      </c>
      <c r="B1755">
        <v>81.269996643066406</v>
      </c>
    </row>
    <row r="1756" spans="1:2" x14ac:dyDescent="0.25">
      <c r="A1756" s="5">
        <v>24461</v>
      </c>
      <c r="B1756">
        <v>80.959999084472699</v>
      </c>
    </row>
    <row r="1757" spans="1:2" x14ac:dyDescent="0.25">
      <c r="A1757" s="5">
        <v>24462</v>
      </c>
      <c r="B1757">
        <v>81.379997253417997</v>
      </c>
    </row>
    <row r="1758" spans="1:2" x14ac:dyDescent="0.25">
      <c r="A1758" s="5">
        <v>24463</v>
      </c>
      <c r="B1758">
        <v>81.690002441406193</v>
      </c>
    </row>
    <row r="1759" spans="1:2" x14ac:dyDescent="0.25">
      <c r="A1759" s="5">
        <v>24464</v>
      </c>
      <c r="B1759">
        <v>81.470001220703097</v>
      </c>
    </row>
    <row r="1760" spans="1:2" x14ac:dyDescent="0.25">
      <c r="A1760" s="5">
        <v>24468</v>
      </c>
      <c r="B1760">
        <v>81</v>
      </c>
    </row>
    <row r="1761" spans="1:2" x14ac:dyDescent="0.25">
      <c r="A1761" s="5">
        <v>24469</v>
      </c>
      <c r="B1761">
        <v>80.610000610351605</v>
      </c>
    </row>
    <row r="1762" spans="1:2" x14ac:dyDescent="0.25">
      <c r="A1762" s="5">
        <v>24470</v>
      </c>
      <c r="B1762">
        <v>80.370002746582003</v>
      </c>
    </row>
    <row r="1763" spans="1:2" x14ac:dyDescent="0.25">
      <c r="A1763" s="5">
        <v>24471</v>
      </c>
      <c r="B1763">
        <v>80.330001831054702</v>
      </c>
    </row>
    <row r="1764" spans="1:2" x14ac:dyDescent="0.25">
      <c r="A1764" s="5">
        <v>24475</v>
      </c>
      <c r="B1764">
        <v>80.379997253417997</v>
      </c>
    </row>
    <row r="1765" spans="1:2" x14ac:dyDescent="0.25">
      <c r="A1765" s="5">
        <v>24476</v>
      </c>
      <c r="B1765">
        <v>80.550003051757798</v>
      </c>
    </row>
    <row r="1766" spans="1:2" x14ac:dyDescent="0.25">
      <c r="A1766" s="5">
        <v>24477</v>
      </c>
      <c r="B1766">
        <v>81.599998474121094</v>
      </c>
    </row>
    <row r="1767" spans="1:2" x14ac:dyDescent="0.25">
      <c r="A1767" s="5">
        <v>24478</v>
      </c>
      <c r="B1767">
        <v>82.180000305175795</v>
      </c>
    </row>
    <row r="1768" spans="1:2" x14ac:dyDescent="0.25">
      <c r="A1768" s="5">
        <v>24481</v>
      </c>
      <c r="B1768">
        <v>82.809997558593807</v>
      </c>
    </row>
    <row r="1769" spans="1:2" x14ac:dyDescent="0.25">
      <c r="A1769" s="5">
        <v>24482</v>
      </c>
      <c r="B1769">
        <v>82.809997558593807</v>
      </c>
    </row>
    <row r="1770" spans="1:2" x14ac:dyDescent="0.25">
      <c r="A1770" s="5">
        <v>24483</v>
      </c>
      <c r="B1770">
        <v>83.470001220703097</v>
      </c>
    </row>
    <row r="1771" spans="1:2" x14ac:dyDescent="0.25">
      <c r="A1771" s="5">
        <v>24484</v>
      </c>
      <c r="B1771">
        <v>83.910003662109403</v>
      </c>
    </row>
    <row r="1772" spans="1:2" x14ac:dyDescent="0.25">
      <c r="A1772" s="5">
        <v>24485</v>
      </c>
      <c r="B1772">
        <v>84.529998779296903</v>
      </c>
    </row>
    <row r="1773" spans="1:2" x14ac:dyDescent="0.25">
      <c r="A1773" s="5">
        <v>24488</v>
      </c>
      <c r="B1773">
        <v>84.309997558593807</v>
      </c>
    </row>
    <row r="1774" spans="1:2" x14ac:dyDescent="0.25">
      <c r="A1774" s="5">
        <v>24489</v>
      </c>
      <c r="B1774">
        <v>85.239997863769503</v>
      </c>
    </row>
    <row r="1775" spans="1:2" x14ac:dyDescent="0.25">
      <c r="A1775" s="5">
        <v>24490</v>
      </c>
      <c r="B1775">
        <v>85.790000915527301</v>
      </c>
    </row>
    <row r="1776" spans="1:2" x14ac:dyDescent="0.25">
      <c r="A1776" s="5">
        <v>24491</v>
      </c>
      <c r="B1776">
        <v>85.819999694824205</v>
      </c>
    </row>
    <row r="1777" spans="1:2" x14ac:dyDescent="0.25">
      <c r="A1777" s="5">
        <v>24492</v>
      </c>
      <c r="B1777">
        <v>86.069999694824205</v>
      </c>
    </row>
    <row r="1778" spans="1:2" x14ac:dyDescent="0.25">
      <c r="A1778" s="5">
        <v>24495</v>
      </c>
      <c r="B1778">
        <v>86.389999389648395</v>
      </c>
    </row>
    <row r="1779" spans="1:2" x14ac:dyDescent="0.25">
      <c r="A1779" s="5">
        <v>24496</v>
      </c>
      <c r="B1779">
        <v>86.510002136230497</v>
      </c>
    </row>
    <row r="1780" spans="1:2" x14ac:dyDescent="0.25">
      <c r="A1780" s="5">
        <v>24497</v>
      </c>
      <c r="B1780">
        <v>85.849998474121094</v>
      </c>
    </row>
    <row r="1781" spans="1:2" x14ac:dyDescent="0.25">
      <c r="A1781" s="5">
        <v>24498</v>
      </c>
      <c r="B1781">
        <v>85.809997558593807</v>
      </c>
    </row>
    <row r="1782" spans="1:2" x14ac:dyDescent="0.25">
      <c r="A1782" s="5">
        <v>24499</v>
      </c>
      <c r="B1782">
        <v>86.160003662109403</v>
      </c>
    </row>
    <row r="1783" spans="1:2" x14ac:dyDescent="0.25">
      <c r="A1783" s="5">
        <v>24502</v>
      </c>
      <c r="B1783">
        <v>86.660003662109403</v>
      </c>
    </row>
    <row r="1784" spans="1:2" x14ac:dyDescent="0.25">
      <c r="A1784" s="5">
        <v>24503</v>
      </c>
      <c r="B1784">
        <v>86.610000610351605</v>
      </c>
    </row>
    <row r="1785" spans="1:2" x14ac:dyDescent="0.25">
      <c r="A1785" s="5">
        <v>24504</v>
      </c>
      <c r="B1785">
        <v>86.430000305175795</v>
      </c>
    </row>
    <row r="1786" spans="1:2" x14ac:dyDescent="0.25">
      <c r="A1786" s="5">
        <v>24505</v>
      </c>
      <c r="B1786">
        <v>86.730003356933594</v>
      </c>
    </row>
    <row r="1787" spans="1:2" x14ac:dyDescent="0.25">
      <c r="A1787" s="5">
        <v>24506</v>
      </c>
      <c r="B1787">
        <v>87.360000610351605</v>
      </c>
    </row>
    <row r="1788" spans="1:2" x14ac:dyDescent="0.25">
      <c r="A1788" s="5">
        <v>24509</v>
      </c>
      <c r="B1788">
        <v>87.180000305175795</v>
      </c>
    </row>
    <row r="1789" spans="1:2" x14ac:dyDescent="0.25">
      <c r="A1789" s="5">
        <v>24510</v>
      </c>
      <c r="B1789">
        <v>86.949996948242202</v>
      </c>
    </row>
    <row r="1790" spans="1:2" x14ac:dyDescent="0.25">
      <c r="A1790" s="5">
        <v>24511</v>
      </c>
      <c r="B1790">
        <v>87.720001220703097</v>
      </c>
    </row>
    <row r="1791" spans="1:2" x14ac:dyDescent="0.25">
      <c r="A1791" s="5">
        <v>24512</v>
      </c>
      <c r="B1791">
        <v>87.360000610351605</v>
      </c>
    </row>
    <row r="1792" spans="1:2" x14ac:dyDescent="0.25">
      <c r="A1792" s="5">
        <v>24513</v>
      </c>
      <c r="B1792">
        <v>87.629997253417997</v>
      </c>
    </row>
    <row r="1793" spans="1:2" x14ac:dyDescent="0.25">
      <c r="A1793" s="5">
        <v>24516</v>
      </c>
      <c r="B1793">
        <v>87.580001831054702</v>
      </c>
    </row>
    <row r="1794" spans="1:2" x14ac:dyDescent="0.25">
      <c r="A1794" s="5">
        <v>24517</v>
      </c>
      <c r="B1794">
        <v>88.169998168945298</v>
      </c>
    </row>
    <row r="1795" spans="1:2" x14ac:dyDescent="0.25">
      <c r="A1795" s="5">
        <v>24518</v>
      </c>
      <c r="B1795">
        <v>88.269996643066406</v>
      </c>
    </row>
    <row r="1796" spans="1:2" x14ac:dyDescent="0.25">
      <c r="A1796" s="5">
        <v>24519</v>
      </c>
      <c r="B1796">
        <v>87.860000610351605</v>
      </c>
    </row>
    <row r="1797" spans="1:2" x14ac:dyDescent="0.25">
      <c r="A1797" s="5">
        <v>24520</v>
      </c>
      <c r="B1797">
        <v>87.889999389648395</v>
      </c>
    </row>
    <row r="1798" spans="1:2" x14ac:dyDescent="0.25">
      <c r="A1798" s="5">
        <v>24523</v>
      </c>
      <c r="B1798">
        <v>87.400001525878906</v>
      </c>
    </row>
    <row r="1799" spans="1:2" x14ac:dyDescent="0.25">
      <c r="A1799" s="5">
        <v>24524</v>
      </c>
      <c r="B1799">
        <v>87.339996337890597</v>
      </c>
    </row>
    <row r="1800" spans="1:2" x14ac:dyDescent="0.25">
      <c r="A1800" s="5">
        <v>24526</v>
      </c>
      <c r="B1800">
        <v>87.449996948242202</v>
      </c>
    </row>
    <row r="1801" spans="1:2" x14ac:dyDescent="0.25">
      <c r="A1801" s="5">
        <v>24527</v>
      </c>
      <c r="B1801">
        <v>87.410003662109403</v>
      </c>
    </row>
    <row r="1802" spans="1:2" x14ac:dyDescent="0.25">
      <c r="A1802" s="5">
        <v>24530</v>
      </c>
      <c r="B1802">
        <v>86.459999084472699</v>
      </c>
    </row>
    <row r="1803" spans="1:2" x14ac:dyDescent="0.25">
      <c r="A1803" s="5">
        <v>24531</v>
      </c>
      <c r="B1803">
        <v>86.779998779296903</v>
      </c>
    </row>
    <row r="1804" spans="1:2" x14ac:dyDescent="0.25">
      <c r="A1804" s="5">
        <v>24532</v>
      </c>
      <c r="B1804">
        <v>87.680000305175795</v>
      </c>
    </row>
    <row r="1805" spans="1:2" x14ac:dyDescent="0.25">
      <c r="A1805" s="5">
        <v>24533</v>
      </c>
      <c r="B1805">
        <v>88.160003662109403</v>
      </c>
    </row>
    <row r="1806" spans="1:2" x14ac:dyDescent="0.25">
      <c r="A1806" s="5">
        <v>24534</v>
      </c>
      <c r="B1806">
        <v>88.290000915527301</v>
      </c>
    </row>
    <row r="1807" spans="1:2" x14ac:dyDescent="0.25">
      <c r="A1807" s="5">
        <v>24537</v>
      </c>
      <c r="B1807">
        <v>88.099998474121094</v>
      </c>
    </row>
    <row r="1808" spans="1:2" x14ac:dyDescent="0.25">
      <c r="A1808" s="5">
        <v>24538</v>
      </c>
      <c r="B1808">
        <v>88.160003662109403</v>
      </c>
    </row>
    <row r="1809" spans="1:2" x14ac:dyDescent="0.25">
      <c r="A1809" s="5">
        <v>24539</v>
      </c>
      <c r="B1809">
        <v>88.269996643066406</v>
      </c>
    </row>
    <row r="1810" spans="1:2" x14ac:dyDescent="0.25">
      <c r="A1810" s="5">
        <v>24540</v>
      </c>
      <c r="B1810">
        <v>88.529998779296903</v>
      </c>
    </row>
    <row r="1811" spans="1:2" x14ac:dyDescent="0.25">
      <c r="A1811" s="5">
        <v>24541</v>
      </c>
      <c r="B1811">
        <v>88.889999389648395</v>
      </c>
    </row>
    <row r="1812" spans="1:2" x14ac:dyDescent="0.25">
      <c r="A1812" s="5">
        <v>24544</v>
      </c>
      <c r="B1812">
        <v>88.430000305175795</v>
      </c>
    </row>
    <row r="1813" spans="1:2" x14ac:dyDescent="0.25">
      <c r="A1813" s="5">
        <v>24545</v>
      </c>
      <c r="B1813">
        <v>88.349998474121094</v>
      </c>
    </row>
    <row r="1814" spans="1:2" x14ac:dyDescent="0.25">
      <c r="A1814" s="5">
        <v>24546</v>
      </c>
      <c r="B1814">
        <v>89.190002441406193</v>
      </c>
    </row>
    <row r="1815" spans="1:2" x14ac:dyDescent="0.25">
      <c r="A1815" s="5">
        <v>24547</v>
      </c>
      <c r="B1815">
        <v>90.089996337890597</v>
      </c>
    </row>
    <row r="1816" spans="1:2" x14ac:dyDescent="0.25">
      <c r="A1816" s="5">
        <v>24548</v>
      </c>
      <c r="B1816">
        <v>90.25</v>
      </c>
    </row>
    <row r="1817" spans="1:2" x14ac:dyDescent="0.25">
      <c r="A1817" s="5">
        <v>24551</v>
      </c>
      <c r="B1817">
        <v>90.199996948242202</v>
      </c>
    </row>
    <row r="1818" spans="1:2" x14ac:dyDescent="0.25">
      <c r="A1818" s="5">
        <v>24552</v>
      </c>
      <c r="B1818">
        <v>90</v>
      </c>
    </row>
    <row r="1819" spans="1:2" x14ac:dyDescent="0.25">
      <c r="A1819" s="5">
        <v>24553</v>
      </c>
      <c r="B1819">
        <v>90.25</v>
      </c>
    </row>
    <row r="1820" spans="1:2" x14ac:dyDescent="0.25">
      <c r="A1820" s="5">
        <v>24554</v>
      </c>
      <c r="B1820">
        <v>90.940002441406193</v>
      </c>
    </row>
    <row r="1821" spans="1:2" x14ac:dyDescent="0.25">
      <c r="A1821" s="5">
        <v>24558</v>
      </c>
      <c r="B1821">
        <v>90.870002746582003</v>
      </c>
    </row>
    <row r="1822" spans="1:2" x14ac:dyDescent="0.25">
      <c r="A1822" s="5">
        <v>24559</v>
      </c>
      <c r="B1822">
        <v>90.910003662109403</v>
      </c>
    </row>
    <row r="1823" spans="1:2" x14ac:dyDescent="0.25">
      <c r="A1823" s="5">
        <v>24560</v>
      </c>
      <c r="B1823">
        <v>90.730003356933594</v>
      </c>
    </row>
    <row r="1824" spans="1:2" x14ac:dyDescent="0.25">
      <c r="A1824" s="5">
        <v>24561</v>
      </c>
      <c r="B1824">
        <v>90.699996948242202</v>
      </c>
    </row>
    <row r="1825" spans="1:2" x14ac:dyDescent="0.25">
      <c r="A1825" s="5">
        <v>24562</v>
      </c>
      <c r="B1825">
        <v>90.199996948242202</v>
      </c>
    </row>
    <row r="1826" spans="1:2" x14ac:dyDescent="0.25">
      <c r="A1826" s="5">
        <v>24565</v>
      </c>
      <c r="B1826">
        <v>89.239997863769503</v>
      </c>
    </row>
    <row r="1827" spans="1:2" x14ac:dyDescent="0.25">
      <c r="A1827" s="5">
        <v>24566</v>
      </c>
      <c r="B1827">
        <v>89.220001220703097</v>
      </c>
    </row>
    <row r="1828" spans="1:2" x14ac:dyDescent="0.25">
      <c r="A1828" s="5">
        <v>24567</v>
      </c>
      <c r="B1828">
        <v>89.790000915527301</v>
      </c>
    </row>
    <row r="1829" spans="1:2" x14ac:dyDescent="0.25">
      <c r="A1829" s="5">
        <v>24568</v>
      </c>
      <c r="B1829">
        <v>89.940002441406193</v>
      </c>
    </row>
    <row r="1830" spans="1:2" x14ac:dyDescent="0.25">
      <c r="A1830" s="5">
        <v>24569</v>
      </c>
      <c r="B1830">
        <v>89.360000610351605</v>
      </c>
    </row>
    <row r="1831" spans="1:2" x14ac:dyDescent="0.25">
      <c r="A1831" s="5">
        <v>24572</v>
      </c>
      <c r="B1831">
        <v>88.239997863769503</v>
      </c>
    </row>
    <row r="1832" spans="1:2" x14ac:dyDescent="0.25">
      <c r="A1832" s="5">
        <v>24573</v>
      </c>
      <c r="B1832">
        <v>88.879997253417997</v>
      </c>
    </row>
    <row r="1833" spans="1:2" x14ac:dyDescent="0.25">
      <c r="A1833" s="5">
        <v>24574</v>
      </c>
      <c r="B1833">
        <v>88.779998779296903</v>
      </c>
    </row>
    <row r="1834" spans="1:2" x14ac:dyDescent="0.25">
      <c r="A1834" s="5">
        <v>24575</v>
      </c>
      <c r="B1834">
        <v>89.459999084472699</v>
      </c>
    </row>
    <row r="1835" spans="1:2" x14ac:dyDescent="0.25">
      <c r="A1835" s="5">
        <v>24576</v>
      </c>
      <c r="B1835">
        <v>90.430000305175795</v>
      </c>
    </row>
    <row r="1836" spans="1:2" x14ac:dyDescent="0.25">
      <c r="A1836" s="5">
        <v>24579</v>
      </c>
      <c r="B1836">
        <v>91.069999694824205</v>
      </c>
    </row>
    <row r="1837" spans="1:2" x14ac:dyDescent="0.25">
      <c r="A1837" s="5">
        <v>24580</v>
      </c>
      <c r="B1837">
        <v>91.860000610351605</v>
      </c>
    </row>
    <row r="1838" spans="1:2" x14ac:dyDescent="0.25">
      <c r="A1838" s="5">
        <v>24581</v>
      </c>
      <c r="B1838">
        <v>91.940002441406193</v>
      </c>
    </row>
    <row r="1839" spans="1:2" x14ac:dyDescent="0.25">
      <c r="A1839" s="5">
        <v>24582</v>
      </c>
      <c r="B1839">
        <v>92.110000610351605</v>
      </c>
    </row>
    <row r="1840" spans="1:2" x14ac:dyDescent="0.25">
      <c r="A1840" s="5">
        <v>24583</v>
      </c>
      <c r="B1840">
        <v>92.300003051757798</v>
      </c>
    </row>
    <row r="1841" spans="1:2" x14ac:dyDescent="0.25">
      <c r="A1841" s="5">
        <v>24586</v>
      </c>
      <c r="B1841">
        <v>92.620002746582003</v>
      </c>
    </row>
    <row r="1842" spans="1:2" x14ac:dyDescent="0.25">
      <c r="A1842" s="5">
        <v>24587</v>
      </c>
      <c r="B1842">
        <v>93.110000610351605</v>
      </c>
    </row>
    <row r="1843" spans="1:2" x14ac:dyDescent="0.25">
      <c r="A1843" s="5">
        <v>24588</v>
      </c>
      <c r="B1843">
        <v>93.019996643066406</v>
      </c>
    </row>
    <row r="1844" spans="1:2" x14ac:dyDescent="0.25">
      <c r="A1844" s="5">
        <v>24589</v>
      </c>
      <c r="B1844">
        <v>93.809997558593807</v>
      </c>
    </row>
    <row r="1845" spans="1:2" x14ac:dyDescent="0.25">
      <c r="A1845" s="5">
        <v>24590</v>
      </c>
      <c r="B1845">
        <v>94.010002136230497</v>
      </c>
    </row>
    <row r="1846" spans="1:2" x14ac:dyDescent="0.25">
      <c r="A1846" s="5">
        <v>24593</v>
      </c>
      <c r="B1846">
        <v>93.839996337890597</v>
      </c>
    </row>
    <row r="1847" spans="1:2" x14ac:dyDescent="0.25">
      <c r="A1847" s="5">
        <v>24594</v>
      </c>
      <c r="B1847">
        <v>93.669998168945298</v>
      </c>
    </row>
    <row r="1848" spans="1:2" x14ac:dyDescent="0.25">
      <c r="A1848" s="5">
        <v>24595</v>
      </c>
      <c r="B1848">
        <v>93.910003662109403</v>
      </c>
    </row>
    <row r="1849" spans="1:2" x14ac:dyDescent="0.25">
      <c r="A1849" s="5">
        <v>24596</v>
      </c>
      <c r="B1849">
        <v>94.319999694824205</v>
      </c>
    </row>
    <row r="1850" spans="1:2" x14ac:dyDescent="0.25">
      <c r="A1850" s="5">
        <v>24597</v>
      </c>
      <c r="B1850">
        <v>94.440002441406193</v>
      </c>
    </row>
    <row r="1851" spans="1:2" x14ac:dyDescent="0.25">
      <c r="A1851" s="5">
        <v>24600</v>
      </c>
      <c r="B1851">
        <v>94.580001831054702</v>
      </c>
    </row>
    <row r="1852" spans="1:2" x14ac:dyDescent="0.25">
      <c r="A1852" s="5">
        <v>24601</v>
      </c>
      <c r="B1852">
        <v>93.599998474121094</v>
      </c>
    </row>
    <row r="1853" spans="1:2" x14ac:dyDescent="0.25">
      <c r="A1853" s="5">
        <v>24602</v>
      </c>
      <c r="B1853">
        <v>93.349998474121094</v>
      </c>
    </row>
    <row r="1854" spans="1:2" x14ac:dyDescent="0.25">
      <c r="A1854" s="5">
        <v>24603</v>
      </c>
      <c r="B1854">
        <v>93.75</v>
      </c>
    </row>
    <row r="1855" spans="1:2" x14ac:dyDescent="0.25">
      <c r="A1855" s="5">
        <v>24604</v>
      </c>
      <c r="B1855">
        <v>93.480003356933594</v>
      </c>
    </row>
    <row r="1856" spans="1:2" x14ac:dyDescent="0.25">
      <c r="A1856" s="5">
        <v>24607</v>
      </c>
      <c r="B1856">
        <v>92.709999084472699</v>
      </c>
    </row>
    <row r="1857" spans="1:2" x14ac:dyDescent="0.25">
      <c r="A1857" s="5">
        <v>24608</v>
      </c>
      <c r="B1857">
        <v>93.139999389648395</v>
      </c>
    </row>
    <row r="1858" spans="1:2" x14ac:dyDescent="0.25">
      <c r="A1858" s="5">
        <v>24609</v>
      </c>
      <c r="B1858">
        <v>92.779998779296903</v>
      </c>
    </row>
    <row r="1859" spans="1:2" x14ac:dyDescent="0.25">
      <c r="A1859" s="5">
        <v>24610</v>
      </c>
      <c r="B1859">
        <v>92.529998779296903</v>
      </c>
    </row>
    <row r="1860" spans="1:2" x14ac:dyDescent="0.25">
      <c r="A1860" s="5">
        <v>24611</v>
      </c>
      <c r="B1860">
        <v>92.069999694824205</v>
      </c>
    </row>
    <row r="1861" spans="1:2" x14ac:dyDescent="0.25">
      <c r="A1861" s="5">
        <v>24614</v>
      </c>
      <c r="B1861">
        <v>91.669998168945298</v>
      </c>
    </row>
    <row r="1862" spans="1:2" x14ac:dyDescent="0.25">
      <c r="A1862" s="5">
        <v>24615</v>
      </c>
      <c r="B1862">
        <v>91.230003356933594</v>
      </c>
    </row>
    <row r="1863" spans="1:2" x14ac:dyDescent="0.25">
      <c r="A1863" s="5">
        <v>24616</v>
      </c>
      <c r="B1863">
        <v>90.180000305175795</v>
      </c>
    </row>
    <row r="1864" spans="1:2" x14ac:dyDescent="0.25">
      <c r="A1864" s="5">
        <v>24617</v>
      </c>
      <c r="B1864">
        <v>91.190002441406193</v>
      </c>
    </row>
    <row r="1865" spans="1:2" x14ac:dyDescent="0.25">
      <c r="A1865" s="5">
        <v>24618</v>
      </c>
      <c r="B1865">
        <v>90.980003356933594</v>
      </c>
    </row>
    <row r="1866" spans="1:2" x14ac:dyDescent="0.25">
      <c r="A1866" s="5">
        <v>24621</v>
      </c>
      <c r="B1866">
        <v>90.489997863769503</v>
      </c>
    </row>
    <row r="1867" spans="1:2" x14ac:dyDescent="0.25">
      <c r="A1867" s="5">
        <v>24623</v>
      </c>
      <c r="B1867">
        <v>89.080001831054702</v>
      </c>
    </row>
    <row r="1868" spans="1:2" x14ac:dyDescent="0.25">
      <c r="A1868" s="5">
        <v>24624</v>
      </c>
      <c r="B1868">
        <v>90.230003356933594</v>
      </c>
    </row>
    <row r="1869" spans="1:2" x14ac:dyDescent="0.25">
      <c r="A1869" s="5">
        <v>24625</v>
      </c>
      <c r="B1869">
        <v>89.790000915527301</v>
      </c>
    </row>
    <row r="1870" spans="1:2" x14ac:dyDescent="0.25">
      <c r="A1870" s="5">
        <v>24628</v>
      </c>
      <c r="B1870">
        <v>88.430000305175795</v>
      </c>
    </row>
    <row r="1871" spans="1:2" x14ac:dyDescent="0.25">
      <c r="A1871" s="5">
        <v>24629</v>
      </c>
      <c r="B1871">
        <v>90.230003356933594</v>
      </c>
    </row>
    <row r="1872" spans="1:2" x14ac:dyDescent="0.25">
      <c r="A1872" s="5">
        <v>24630</v>
      </c>
      <c r="B1872">
        <v>90.910003662109403</v>
      </c>
    </row>
    <row r="1873" spans="1:2" x14ac:dyDescent="0.25">
      <c r="A1873" s="5">
        <v>24631</v>
      </c>
      <c r="B1873">
        <v>91.400001525878906</v>
      </c>
    </row>
    <row r="1874" spans="1:2" x14ac:dyDescent="0.25">
      <c r="A1874" s="5">
        <v>24632</v>
      </c>
      <c r="B1874">
        <v>91.559997558593807</v>
      </c>
    </row>
    <row r="1875" spans="1:2" x14ac:dyDescent="0.25">
      <c r="A1875" s="5">
        <v>24635</v>
      </c>
      <c r="B1875">
        <v>92.040000915527301</v>
      </c>
    </row>
    <row r="1876" spans="1:2" x14ac:dyDescent="0.25">
      <c r="A1876" s="5">
        <v>24636</v>
      </c>
      <c r="B1876">
        <v>92.620002746582003</v>
      </c>
    </row>
    <row r="1877" spans="1:2" x14ac:dyDescent="0.25">
      <c r="A1877" s="5">
        <v>24637</v>
      </c>
      <c r="B1877">
        <v>92.400001525878906</v>
      </c>
    </row>
    <row r="1878" spans="1:2" x14ac:dyDescent="0.25">
      <c r="A1878" s="5">
        <v>24638</v>
      </c>
      <c r="B1878">
        <v>92.489997863769503</v>
      </c>
    </row>
    <row r="1879" spans="1:2" x14ac:dyDescent="0.25">
      <c r="A1879" s="5">
        <v>24639</v>
      </c>
      <c r="B1879">
        <v>92.540000915527301</v>
      </c>
    </row>
    <row r="1880" spans="1:2" x14ac:dyDescent="0.25">
      <c r="A1880" s="5">
        <v>24642</v>
      </c>
      <c r="B1880">
        <v>92.510002136230497</v>
      </c>
    </row>
    <row r="1881" spans="1:2" x14ac:dyDescent="0.25">
      <c r="A1881" s="5">
        <v>24643</v>
      </c>
      <c r="B1881">
        <v>92.480003356933594</v>
      </c>
    </row>
    <row r="1882" spans="1:2" x14ac:dyDescent="0.25">
      <c r="A1882" s="5">
        <v>24644</v>
      </c>
      <c r="B1882">
        <v>92.199996948242202</v>
      </c>
    </row>
    <row r="1883" spans="1:2" x14ac:dyDescent="0.25">
      <c r="A1883" s="5">
        <v>24645</v>
      </c>
      <c r="B1883">
        <v>91.970001220703097</v>
      </c>
    </row>
    <row r="1884" spans="1:2" x14ac:dyDescent="0.25">
      <c r="A1884" s="5">
        <v>24646</v>
      </c>
      <c r="B1884">
        <v>92</v>
      </c>
    </row>
    <row r="1885" spans="1:2" x14ac:dyDescent="0.25">
      <c r="A1885" s="5">
        <v>24649</v>
      </c>
      <c r="B1885">
        <v>91.639999389648395</v>
      </c>
    </row>
    <row r="1886" spans="1:2" x14ac:dyDescent="0.25">
      <c r="A1886" s="5">
        <v>24650</v>
      </c>
      <c r="B1886">
        <v>91.300003051757798</v>
      </c>
    </row>
    <row r="1887" spans="1:2" x14ac:dyDescent="0.25">
      <c r="A1887" s="5">
        <v>24651</v>
      </c>
      <c r="B1887">
        <v>91.309997558593807</v>
      </c>
    </row>
    <row r="1888" spans="1:2" x14ac:dyDescent="0.25">
      <c r="A1888" s="5">
        <v>24652</v>
      </c>
      <c r="B1888">
        <v>90.849998474121094</v>
      </c>
    </row>
    <row r="1889" spans="1:2" x14ac:dyDescent="0.25">
      <c r="A1889" s="5">
        <v>24653</v>
      </c>
      <c r="B1889">
        <v>90.639999389648395</v>
      </c>
    </row>
    <row r="1890" spans="1:2" x14ac:dyDescent="0.25">
      <c r="A1890" s="5">
        <v>24656</v>
      </c>
      <c r="B1890">
        <v>90.910003662109403</v>
      </c>
    </row>
    <row r="1891" spans="1:2" x14ac:dyDescent="0.25">
      <c r="A1891" s="5">
        <v>24658</v>
      </c>
      <c r="B1891">
        <v>91.360000610351605</v>
      </c>
    </row>
    <row r="1892" spans="1:2" x14ac:dyDescent="0.25">
      <c r="A1892" s="5">
        <v>24659</v>
      </c>
      <c r="B1892">
        <v>91.319999694824205</v>
      </c>
    </row>
    <row r="1893" spans="1:2" x14ac:dyDescent="0.25">
      <c r="A1893" s="5">
        <v>24660</v>
      </c>
      <c r="B1893">
        <v>91.690002441406193</v>
      </c>
    </row>
    <row r="1894" spans="1:2" x14ac:dyDescent="0.25">
      <c r="A1894" s="5">
        <v>24663</v>
      </c>
      <c r="B1894">
        <v>92.050003051757798</v>
      </c>
    </row>
    <row r="1895" spans="1:2" x14ac:dyDescent="0.25">
      <c r="A1895" s="5">
        <v>24664</v>
      </c>
      <c r="B1895">
        <v>92.480003356933594</v>
      </c>
    </row>
    <row r="1896" spans="1:2" x14ac:dyDescent="0.25">
      <c r="A1896" s="5">
        <v>24665</v>
      </c>
      <c r="B1896">
        <v>92.400001525878906</v>
      </c>
    </row>
    <row r="1897" spans="1:2" x14ac:dyDescent="0.25">
      <c r="A1897" s="5">
        <v>24666</v>
      </c>
      <c r="B1897">
        <v>92.419998168945298</v>
      </c>
    </row>
    <row r="1898" spans="1:2" x14ac:dyDescent="0.25">
      <c r="A1898" s="5">
        <v>24667</v>
      </c>
      <c r="B1898">
        <v>92.739997863769503</v>
      </c>
    </row>
    <row r="1899" spans="1:2" x14ac:dyDescent="0.25">
      <c r="A1899" s="5">
        <v>24670</v>
      </c>
      <c r="B1899">
        <v>92.75</v>
      </c>
    </row>
    <row r="1900" spans="1:2" x14ac:dyDescent="0.25">
      <c r="A1900" s="5">
        <v>24671</v>
      </c>
      <c r="B1900">
        <v>93.5</v>
      </c>
    </row>
    <row r="1901" spans="1:2" x14ac:dyDescent="0.25">
      <c r="A1901" s="5">
        <v>24672</v>
      </c>
      <c r="B1901">
        <v>93.650001525878906</v>
      </c>
    </row>
    <row r="1902" spans="1:2" x14ac:dyDescent="0.25">
      <c r="A1902" s="5">
        <v>24673</v>
      </c>
      <c r="B1902">
        <v>93.849998474121094</v>
      </c>
    </row>
    <row r="1903" spans="1:2" x14ac:dyDescent="0.25">
      <c r="A1903" s="5">
        <v>24674</v>
      </c>
      <c r="B1903">
        <v>94.040000915527301</v>
      </c>
    </row>
    <row r="1904" spans="1:2" x14ac:dyDescent="0.25">
      <c r="A1904" s="5">
        <v>24677</v>
      </c>
      <c r="B1904">
        <v>93.730003356933594</v>
      </c>
    </row>
    <row r="1905" spans="1:2" x14ac:dyDescent="0.25">
      <c r="A1905" s="5">
        <v>24678</v>
      </c>
      <c r="B1905">
        <v>93.239997863769503</v>
      </c>
    </row>
    <row r="1906" spans="1:2" x14ac:dyDescent="0.25">
      <c r="A1906" s="5">
        <v>24679</v>
      </c>
      <c r="B1906">
        <v>94.059997558593807</v>
      </c>
    </row>
    <row r="1907" spans="1:2" x14ac:dyDescent="0.25">
      <c r="A1907" s="5">
        <v>24680</v>
      </c>
      <c r="B1907">
        <v>94.349998474121094</v>
      </c>
    </row>
    <row r="1908" spans="1:2" x14ac:dyDescent="0.25">
      <c r="A1908" s="5">
        <v>24681</v>
      </c>
      <c r="B1908">
        <v>94.489997863769503</v>
      </c>
    </row>
    <row r="1909" spans="1:2" x14ac:dyDescent="0.25">
      <c r="A1909" s="5">
        <v>24684</v>
      </c>
      <c r="B1909">
        <v>94.75</v>
      </c>
    </row>
    <row r="1910" spans="1:2" x14ac:dyDescent="0.25">
      <c r="A1910" s="5">
        <v>24685</v>
      </c>
      <c r="B1910">
        <v>95.370002746582003</v>
      </c>
    </row>
    <row r="1911" spans="1:2" x14ac:dyDescent="0.25">
      <c r="A1911" s="5">
        <v>24686</v>
      </c>
      <c r="B1911">
        <v>95.779998779296903</v>
      </c>
    </row>
    <row r="1912" spans="1:2" x14ac:dyDescent="0.25">
      <c r="A1912" s="5">
        <v>24687</v>
      </c>
      <c r="B1912">
        <v>95.660003662109403</v>
      </c>
    </row>
    <row r="1913" spans="1:2" x14ac:dyDescent="0.25">
      <c r="A1913" s="5">
        <v>24688</v>
      </c>
      <c r="B1913">
        <v>95.830001831054702</v>
      </c>
    </row>
    <row r="1914" spans="1:2" x14ac:dyDescent="0.25">
      <c r="A1914" s="5">
        <v>24691</v>
      </c>
      <c r="B1914">
        <v>95.580001831054702</v>
      </c>
    </row>
    <row r="1915" spans="1:2" x14ac:dyDescent="0.25">
      <c r="A1915" s="5">
        <v>24692</v>
      </c>
      <c r="B1915">
        <v>95.690002441406193</v>
      </c>
    </row>
    <row r="1916" spans="1:2" x14ac:dyDescent="0.25">
      <c r="A1916" s="5">
        <v>24693</v>
      </c>
      <c r="B1916">
        <v>95.779998779296903</v>
      </c>
    </row>
    <row r="1917" spans="1:2" x14ac:dyDescent="0.25">
      <c r="A1917" s="5">
        <v>24694</v>
      </c>
      <c r="B1917">
        <v>95.529998779296903</v>
      </c>
    </row>
    <row r="1918" spans="1:2" x14ac:dyDescent="0.25">
      <c r="A1918" s="5">
        <v>24695</v>
      </c>
      <c r="B1918">
        <v>95.150001525878906</v>
      </c>
    </row>
    <row r="1919" spans="1:2" x14ac:dyDescent="0.25">
      <c r="A1919" s="5">
        <v>24698</v>
      </c>
      <c r="B1919">
        <v>94.639999389648395</v>
      </c>
    </row>
    <row r="1920" spans="1:2" x14ac:dyDescent="0.25">
      <c r="A1920" s="5">
        <v>24699</v>
      </c>
      <c r="B1920">
        <v>94.769996643066406</v>
      </c>
    </row>
    <row r="1921" spans="1:2" x14ac:dyDescent="0.25">
      <c r="A1921" s="5">
        <v>24700</v>
      </c>
      <c r="B1921">
        <v>94.550003051757798</v>
      </c>
    </row>
    <row r="1922" spans="1:2" x14ac:dyDescent="0.25">
      <c r="A1922" s="5">
        <v>24701</v>
      </c>
      <c r="B1922">
        <v>94.629997253417997</v>
      </c>
    </row>
    <row r="1923" spans="1:2" x14ac:dyDescent="0.25">
      <c r="A1923" s="5">
        <v>24702</v>
      </c>
      <c r="B1923">
        <v>94.779998779296903</v>
      </c>
    </row>
    <row r="1924" spans="1:2" x14ac:dyDescent="0.25">
      <c r="A1924" s="5">
        <v>24705</v>
      </c>
      <c r="B1924">
        <v>94.25</v>
      </c>
    </row>
    <row r="1925" spans="1:2" x14ac:dyDescent="0.25">
      <c r="A1925" s="5">
        <v>24706</v>
      </c>
      <c r="B1925">
        <v>93.739997863769503</v>
      </c>
    </row>
    <row r="1926" spans="1:2" x14ac:dyDescent="0.25">
      <c r="A1926" s="5">
        <v>24707</v>
      </c>
      <c r="B1926">
        <v>93.610000610351605</v>
      </c>
    </row>
    <row r="1927" spans="1:2" x14ac:dyDescent="0.25">
      <c r="A1927" s="5">
        <v>24708</v>
      </c>
      <c r="B1927">
        <v>93.089996337890597</v>
      </c>
    </row>
    <row r="1928" spans="1:2" x14ac:dyDescent="0.25">
      <c r="A1928" s="5">
        <v>24709</v>
      </c>
      <c r="B1928">
        <v>92.699996948242202</v>
      </c>
    </row>
    <row r="1929" spans="1:2" x14ac:dyDescent="0.25">
      <c r="A1929" s="5">
        <v>24712</v>
      </c>
      <c r="B1929">
        <v>92.639999389648395</v>
      </c>
    </row>
    <row r="1930" spans="1:2" x14ac:dyDescent="0.25">
      <c r="A1930" s="5">
        <v>24713</v>
      </c>
      <c r="B1930">
        <v>92.879997253417997</v>
      </c>
    </row>
    <row r="1931" spans="1:2" x14ac:dyDescent="0.25">
      <c r="A1931" s="5">
        <v>24714</v>
      </c>
      <c r="B1931">
        <v>93.069999694824205</v>
      </c>
    </row>
    <row r="1932" spans="1:2" x14ac:dyDescent="0.25">
      <c r="A1932" s="5">
        <v>24715</v>
      </c>
      <c r="B1932">
        <v>93.639999389648395</v>
      </c>
    </row>
    <row r="1933" spans="1:2" x14ac:dyDescent="0.25">
      <c r="A1933" s="5">
        <v>24716</v>
      </c>
      <c r="B1933">
        <v>93.680000305175795</v>
      </c>
    </row>
    <row r="1934" spans="1:2" x14ac:dyDescent="0.25">
      <c r="A1934" s="5">
        <v>24720</v>
      </c>
      <c r="B1934">
        <v>94.209999084472699</v>
      </c>
    </row>
    <row r="1935" spans="1:2" x14ac:dyDescent="0.25">
      <c r="A1935" s="5">
        <v>24721</v>
      </c>
      <c r="B1935">
        <v>94.389999389648395</v>
      </c>
    </row>
    <row r="1936" spans="1:2" x14ac:dyDescent="0.25">
      <c r="A1936" s="5">
        <v>24722</v>
      </c>
      <c r="B1936">
        <v>94.330001831054702</v>
      </c>
    </row>
    <row r="1937" spans="1:2" x14ac:dyDescent="0.25">
      <c r="A1937" s="5">
        <v>24723</v>
      </c>
      <c r="B1937">
        <v>94.360000610351605</v>
      </c>
    </row>
    <row r="1938" spans="1:2" x14ac:dyDescent="0.25">
      <c r="A1938" s="5">
        <v>24726</v>
      </c>
      <c r="B1938">
        <v>94.540000915527301</v>
      </c>
    </row>
    <row r="1939" spans="1:2" x14ac:dyDescent="0.25">
      <c r="A1939" s="5">
        <v>24727</v>
      </c>
      <c r="B1939">
        <v>94.989997863769503</v>
      </c>
    </row>
    <row r="1940" spans="1:2" x14ac:dyDescent="0.25">
      <c r="A1940" s="5">
        <v>24728</v>
      </c>
      <c r="B1940">
        <v>95.989997863769503</v>
      </c>
    </row>
    <row r="1941" spans="1:2" x14ac:dyDescent="0.25">
      <c r="A1941" s="5">
        <v>24729</v>
      </c>
      <c r="B1941">
        <v>96.199996948242202</v>
      </c>
    </row>
    <row r="1942" spans="1:2" x14ac:dyDescent="0.25">
      <c r="A1942" s="5">
        <v>24730</v>
      </c>
      <c r="B1942">
        <v>96.269996643066406</v>
      </c>
    </row>
    <row r="1943" spans="1:2" x14ac:dyDescent="0.25">
      <c r="A1943" s="5">
        <v>24733</v>
      </c>
      <c r="B1943">
        <v>96.529998779296903</v>
      </c>
    </row>
    <row r="1944" spans="1:2" x14ac:dyDescent="0.25">
      <c r="A1944" s="5">
        <v>24734</v>
      </c>
      <c r="B1944">
        <v>96.169998168945298</v>
      </c>
    </row>
    <row r="1945" spans="1:2" x14ac:dyDescent="0.25">
      <c r="A1945" s="5">
        <v>24735</v>
      </c>
      <c r="B1945">
        <v>96.129997253417997</v>
      </c>
    </row>
    <row r="1946" spans="1:2" x14ac:dyDescent="0.25">
      <c r="A1946" s="5">
        <v>24736</v>
      </c>
      <c r="B1946">
        <v>96.75</v>
      </c>
    </row>
    <row r="1947" spans="1:2" x14ac:dyDescent="0.25">
      <c r="A1947" s="5">
        <v>24737</v>
      </c>
      <c r="B1947">
        <v>97</v>
      </c>
    </row>
    <row r="1948" spans="1:2" x14ac:dyDescent="0.25">
      <c r="A1948" s="5">
        <v>24740</v>
      </c>
      <c r="B1948">
        <v>97.589996337890597</v>
      </c>
    </row>
    <row r="1949" spans="1:2" x14ac:dyDescent="0.25">
      <c r="A1949" s="5">
        <v>24741</v>
      </c>
      <c r="B1949">
        <v>96.760002136230497</v>
      </c>
    </row>
    <row r="1950" spans="1:2" x14ac:dyDescent="0.25">
      <c r="A1950" s="5">
        <v>24742</v>
      </c>
      <c r="B1950">
        <v>96.790000915527301</v>
      </c>
    </row>
    <row r="1951" spans="1:2" x14ac:dyDescent="0.25">
      <c r="A1951" s="5">
        <v>24743</v>
      </c>
      <c r="B1951">
        <v>96.790000915527301</v>
      </c>
    </row>
    <row r="1952" spans="1:2" x14ac:dyDescent="0.25">
      <c r="A1952" s="5">
        <v>24744</v>
      </c>
      <c r="B1952">
        <v>96.709999084472699</v>
      </c>
    </row>
    <row r="1953" spans="1:2" x14ac:dyDescent="0.25">
      <c r="A1953" s="5">
        <v>24747</v>
      </c>
      <c r="B1953">
        <v>96.319999694824205</v>
      </c>
    </row>
    <row r="1954" spans="1:2" x14ac:dyDescent="0.25">
      <c r="A1954" s="5">
        <v>24748</v>
      </c>
      <c r="B1954">
        <v>96.650001525878906</v>
      </c>
    </row>
    <row r="1955" spans="1:2" x14ac:dyDescent="0.25">
      <c r="A1955" s="5">
        <v>24749</v>
      </c>
      <c r="B1955">
        <v>96.430000305175795</v>
      </c>
    </row>
    <row r="1956" spans="1:2" x14ac:dyDescent="0.25">
      <c r="A1956" s="5">
        <v>24750</v>
      </c>
      <c r="B1956">
        <v>96.669998168945298</v>
      </c>
    </row>
    <row r="1957" spans="1:2" x14ac:dyDescent="0.25">
      <c r="A1957" s="5">
        <v>24751</v>
      </c>
      <c r="B1957">
        <v>97.260002136230497</v>
      </c>
    </row>
    <row r="1958" spans="1:2" x14ac:dyDescent="0.25">
      <c r="A1958" s="5">
        <v>24754</v>
      </c>
      <c r="B1958">
        <v>97.510002136230497</v>
      </c>
    </row>
    <row r="1959" spans="1:2" x14ac:dyDescent="0.25">
      <c r="A1959" s="5">
        <v>24755</v>
      </c>
      <c r="B1959">
        <v>96.839996337890597</v>
      </c>
    </row>
    <row r="1960" spans="1:2" x14ac:dyDescent="0.25">
      <c r="A1960" s="5">
        <v>24756</v>
      </c>
      <c r="B1960">
        <v>96.370002746582003</v>
      </c>
    </row>
    <row r="1961" spans="1:2" x14ac:dyDescent="0.25">
      <c r="A1961" s="5">
        <v>24757</v>
      </c>
      <c r="B1961">
        <v>95.75</v>
      </c>
    </row>
    <row r="1962" spans="1:2" x14ac:dyDescent="0.25">
      <c r="A1962" s="5">
        <v>24758</v>
      </c>
      <c r="B1962">
        <v>96</v>
      </c>
    </row>
    <row r="1963" spans="1:2" x14ac:dyDescent="0.25">
      <c r="A1963" s="5">
        <v>24761</v>
      </c>
      <c r="B1963">
        <v>95.25</v>
      </c>
    </row>
    <row r="1964" spans="1:2" x14ac:dyDescent="0.25">
      <c r="A1964" s="5">
        <v>24762</v>
      </c>
      <c r="B1964">
        <v>95</v>
      </c>
    </row>
    <row r="1965" spans="1:2" x14ac:dyDescent="0.25">
      <c r="A1965" s="5">
        <v>24763</v>
      </c>
      <c r="B1965">
        <v>95.25</v>
      </c>
    </row>
    <row r="1966" spans="1:2" x14ac:dyDescent="0.25">
      <c r="A1966" s="5">
        <v>24764</v>
      </c>
      <c r="B1966">
        <v>95.430000305175795</v>
      </c>
    </row>
    <row r="1967" spans="1:2" x14ac:dyDescent="0.25">
      <c r="A1967" s="5">
        <v>24765</v>
      </c>
      <c r="B1967">
        <v>95.379997253417997</v>
      </c>
    </row>
    <row r="1968" spans="1:2" x14ac:dyDescent="0.25">
      <c r="A1968" s="5">
        <v>24768</v>
      </c>
      <c r="B1968">
        <v>94.959999084472699</v>
      </c>
    </row>
    <row r="1969" spans="1:2" x14ac:dyDescent="0.25">
      <c r="A1969" s="5">
        <v>24769</v>
      </c>
      <c r="B1969">
        <v>94.419998168945298</v>
      </c>
    </row>
    <row r="1970" spans="1:2" x14ac:dyDescent="0.25">
      <c r="A1970" s="5">
        <v>24770</v>
      </c>
      <c r="B1970">
        <v>94.519996643066406</v>
      </c>
    </row>
    <row r="1971" spans="1:2" x14ac:dyDescent="0.25">
      <c r="A1971" s="5">
        <v>24771</v>
      </c>
      <c r="B1971">
        <v>94.940002441406193</v>
      </c>
    </row>
    <row r="1972" spans="1:2" x14ac:dyDescent="0.25">
      <c r="A1972" s="5">
        <v>24772</v>
      </c>
      <c r="B1972">
        <v>94.959999084472699</v>
      </c>
    </row>
    <row r="1973" spans="1:2" x14ac:dyDescent="0.25">
      <c r="A1973" s="5">
        <v>24775</v>
      </c>
      <c r="B1973">
        <v>94.790000915527301</v>
      </c>
    </row>
    <row r="1974" spans="1:2" x14ac:dyDescent="0.25">
      <c r="A1974" s="5">
        <v>24776</v>
      </c>
      <c r="B1974">
        <v>93.300003051757798</v>
      </c>
    </row>
    <row r="1975" spans="1:2" x14ac:dyDescent="0.25">
      <c r="A1975" s="5">
        <v>24777</v>
      </c>
      <c r="B1975">
        <v>92.709999084472699</v>
      </c>
    </row>
    <row r="1976" spans="1:2" x14ac:dyDescent="0.25">
      <c r="A1976" s="5">
        <v>24778</v>
      </c>
      <c r="B1976">
        <v>92.339996337890597</v>
      </c>
    </row>
    <row r="1977" spans="1:2" x14ac:dyDescent="0.25">
      <c r="A1977" s="5">
        <v>24779</v>
      </c>
      <c r="B1977">
        <v>91.779998779296903</v>
      </c>
    </row>
    <row r="1978" spans="1:2" x14ac:dyDescent="0.25">
      <c r="A1978" s="5">
        <v>24782</v>
      </c>
      <c r="B1978">
        <v>91.480003356933594</v>
      </c>
    </row>
    <row r="1979" spans="1:2" x14ac:dyDescent="0.25">
      <c r="A1979" s="5">
        <v>24784</v>
      </c>
      <c r="B1979">
        <v>91.139999389648395</v>
      </c>
    </row>
    <row r="1980" spans="1:2" x14ac:dyDescent="0.25">
      <c r="A1980" s="5">
        <v>24785</v>
      </c>
      <c r="B1980">
        <v>91.589996337890597</v>
      </c>
    </row>
    <row r="1981" spans="1:2" x14ac:dyDescent="0.25">
      <c r="A1981" s="5">
        <v>24786</v>
      </c>
      <c r="B1981">
        <v>92.209999084472699</v>
      </c>
    </row>
    <row r="1982" spans="1:2" x14ac:dyDescent="0.25">
      <c r="A1982" s="5">
        <v>24789</v>
      </c>
      <c r="B1982">
        <v>91.970001220703097</v>
      </c>
    </row>
    <row r="1983" spans="1:2" x14ac:dyDescent="0.25">
      <c r="A1983" s="5">
        <v>24790</v>
      </c>
      <c r="B1983">
        <v>91.389999389648395</v>
      </c>
    </row>
    <row r="1984" spans="1:2" x14ac:dyDescent="0.25">
      <c r="A1984" s="5">
        <v>24791</v>
      </c>
      <c r="B1984">
        <v>91.760002136230497</v>
      </c>
    </row>
    <row r="1985" spans="1:2" x14ac:dyDescent="0.25">
      <c r="A1985" s="5">
        <v>24792</v>
      </c>
      <c r="B1985">
        <v>92.599998474121094</v>
      </c>
    </row>
    <row r="1986" spans="1:2" x14ac:dyDescent="0.25">
      <c r="A1986" s="5">
        <v>24793</v>
      </c>
      <c r="B1986">
        <v>92.819999694824205</v>
      </c>
    </row>
    <row r="1987" spans="1:2" x14ac:dyDescent="0.25">
      <c r="A1987" s="5">
        <v>24796</v>
      </c>
      <c r="B1987">
        <v>91.650001525878906</v>
      </c>
    </row>
    <row r="1988" spans="1:2" x14ac:dyDescent="0.25">
      <c r="A1988" s="5">
        <v>24797</v>
      </c>
      <c r="B1988">
        <v>93.099998474121094</v>
      </c>
    </row>
    <row r="1989" spans="1:2" x14ac:dyDescent="0.25">
      <c r="A1989" s="5">
        <v>24798</v>
      </c>
      <c r="B1989">
        <v>93.650001525878906</v>
      </c>
    </row>
    <row r="1990" spans="1:2" x14ac:dyDescent="0.25">
      <c r="A1990" s="5">
        <v>24800</v>
      </c>
      <c r="B1990">
        <v>93.900001525878906</v>
      </c>
    </row>
    <row r="1991" spans="1:2" x14ac:dyDescent="0.25">
      <c r="A1991" s="5">
        <v>24803</v>
      </c>
      <c r="B1991">
        <v>94.169998168945298</v>
      </c>
    </row>
    <row r="1992" spans="1:2" x14ac:dyDescent="0.25">
      <c r="A1992" s="5">
        <v>24804</v>
      </c>
      <c r="B1992">
        <v>94.489997863769503</v>
      </c>
    </row>
    <row r="1993" spans="1:2" x14ac:dyDescent="0.25">
      <c r="A1993" s="5">
        <v>24805</v>
      </c>
      <c r="B1993">
        <v>94.470001220703097</v>
      </c>
    </row>
    <row r="1994" spans="1:2" x14ac:dyDescent="0.25">
      <c r="A1994" s="5">
        <v>24806</v>
      </c>
      <c r="B1994">
        <v>94</v>
      </c>
    </row>
    <row r="1995" spans="1:2" x14ac:dyDescent="0.25">
      <c r="A1995" s="5">
        <v>24807</v>
      </c>
      <c r="B1995">
        <v>94.5</v>
      </c>
    </row>
    <row r="1996" spans="1:2" x14ac:dyDescent="0.25">
      <c r="A1996" s="5">
        <v>24810</v>
      </c>
      <c r="B1996">
        <v>95.099998474121094</v>
      </c>
    </row>
    <row r="1997" spans="1:2" x14ac:dyDescent="0.25">
      <c r="A1997" s="5">
        <v>24811</v>
      </c>
      <c r="B1997">
        <v>95.230003356933594</v>
      </c>
    </row>
    <row r="1998" spans="1:2" x14ac:dyDescent="0.25">
      <c r="A1998" s="5">
        <v>24812</v>
      </c>
      <c r="B1998">
        <v>95.639999389648395</v>
      </c>
    </row>
    <row r="1999" spans="1:2" x14ac:dyDescent="0.25">
      <c r="A1999" s="5">
        <v>24813</v>
      </c>
      <c r="B1999">
        <v>95.529998779296903</v>
      </c>
    </row>
    <row r="2000" spans="1:2" x14ac:dyDescent="0.25">
      <c r="A2000" s="5">
        <v>24814</v>
      </c>
      <c r="B2000">
        <v>95.419998168945298</v>
      </c>
    </row>
    <row r="2001" spans="1:2" x14ac:dyDescent="0.25">
      <c r="A2001" s="5">
        <v>24817</v>
      </c>
      <c r="B2001">
        <v>95.120002746582003</v>
      </c>
    </row>
    <row r="2002" spans="1:2" x14ac:dyDescent="0.25">
      <c r="A2002" s="5">
        <v>24818</v>
      </c>
      <c r="B2002">
        <v>95.010002136230497</v>
      </c>
    </row>
    <row r="2003" spans="1:2" x14ac:dyDescent="0.25">
      <c r="A2003" s="5">
        <v>24819</v>
      </c>
      <c r="B2003">
        <v>95.339996337890597</v>
      </c>
    </row>
    <row r="2004" spans="1:2" x14ac:dyDescent="0.25">
      <c r="A2004" s="5">
        <v>24820</v>
      </c>
      <c r="B2004">
        <v>95.470001220703097</v>
      </c>
    </row>
    <row r="2005" spans="1:2" x14ac:dyDescent="0.25">
      <c r="A2005" s="5">
        <v>24821</v>
      </c>
      <c r="B2005">
        <v>95.029998779296903</v>
      </c>
    </row>
    <row r="2006" spans="1:2" x14ac:dyDescent="0.25">
      <c r="A2006" s="5">
        <v>24824</v>
      </c>
      <c r="B2006">
        <v>94.769996643066406</v>
      </c>
    </row>
    <row r="2007" spans="1:2" x14ac:dyDescent="0.25">
      <c r="A2007" s="5">
        <v>24825</v>
      </c>
      <c r="B2007">
        <v>94.629997253417997</v>
      </c>
    </row>
    <row r="2008" spans="1:2" x14ac:dyDescent="0.25">
      <c r="A2008" s="5">
        <v>24826</v>
      </c>
      <c r="B2008">
        <v>95.150001525878906</v>
      </c>
    </row>
    <row r="2009" spans="1:2" x14ac:dyDescent="0.25">
      <c r="A2009" s="5">
        <v>24827</v>
      </c>
      <c r="B2009">
        <v>95.379997253417997</v>
      </c>
    </row>
    <row r="2010" spans="1:2" x14ac:dyDescent="0.25">
      <c r="A2010" s="5">
        <v>24828</v>
      </c>
      <c r="B2010">
        <v>95.199996948242202</v>
      </c>
    </row>
    <row r="2011" spans="1:2" x14ac:dyDescent="0.25">
      <c r="A2011" s="5">
        <v>24832</v>
      </c>
      <c r="B2011">
        <v>95.260002136230497</v>
      </c>
    </row>
    <row r="2012" spans="1:2" x14ac:dyDescent="0.25">
      <c r="A2012" s="5">
        <v>24833</v>
      </c>
      <c r="B2012">
        <v>95.910003662109403</v>
      </c>
    </row>
    <row r="2013" spans="1:2" x14ac:dyDescent="0.25">
      <c r="A2013" s="5">
        <v>24834</v>
      </c>
      <c r="B2013">
        <v>95.889999389648395</v>
      </c>
    </row>
    <row r="2014" spans="1:2" x14ac:dyDescent="0.25">
      <c r="A2014" s="5">
        <v>24835</v>
      </c>
      <c r="B2014">
        <v>96.470001220703097</v>
      </c>
    </row>
    <row r="2015" spans="1:2" x14ac:dyDescent="0.25">
      <c r="A2015" s="5">
        <v>24839</v>
      </c>
      <c r="B2015">
        <v>96.110000610351605</v>
      </c>
    </row>
    <row r="2016" spans="1:2" x14ac:dyDescent="0.25">
      <c r="A2016" s="5">
        <v>24840</v>
      </c>
      <c r="B2016">
        <v>95.669998168945298</v>
      </c>
    </row>
    <row r="2017" spans="1:2" x14ac:dyDescent="0.25">
      <c r="A2017" s="5">
        <v>24841</v>
      </c>
      <c r="B2017">
        <v>95.360000610351605</v>
      </c>
    </row>
    <row r="2018" spans="1:2" x14ac:dyDescent="0.25">
      <c r="A2018" s="5">
        <v>24842</v>
      </c>
      <c r="B2018">
        <v>95.940002441406193</v>
      </c>
    </row>
    <row r="2019" spans="1:2" x14ac:dyDescent="0.25">
      <c r="A2019" s="5">
        <v>24845</v>
      </c>
      <c r="B2019">
        <v>96.620002746582003</v>
      </c>
    </row>
    <row r="2020" spans="1:2" x14ac:dyDescent="0.25">
      <c r="A2020" s="5">
        <v>24846</v>
      </c>
      <c r="B2020">
        <v>96.5</v>
      </c>
    </row>
    <row r="2021" spans="1:2" x14ac:dyDescent="0.25">
      <c r="A2021" s="5">
        <v>24847</v>
      </c>
      <c r="B2021">
        <v>96.519996643066406</v>
      </c>
    </row>
    <row r="2022" spans="1:2" x14ac:dyDescent="0.25">
      <c r="A2022" s="5">
        <v>24848</v>
      </c>
      <c r="B2022">
        <v>96.620002746582003</v>
      </c>
    </row>
    <row r="2023" spans="1:2" x14ac:dyDescent="0.25">
      <c r="A2023" s="5">
        <v>24849</v>
      </c>
      <c r="B2023">
        <v>96.720001220703097</v>
      </c>
    </row>
    <row r="2024" spans="1:2" x14ac:dyDescent="0.25">
      <c r="A2024" s="5">
        <v>24852</v>
      </c>
      <c r="B2024">
        <v>96.419998168945298</v>
      </c>
    </row>
    <row r="2025" spans="1:2" x14ac:dyDescent="0.25">
      <c r="A2025" s="5">
        <v>24853</v>
      </c>
      <c r="B2025">
        <v>95.819999694824205</v>
      </c>
    </row>
    <row r="2026" spans="1:2" x14ac:dyDescent="0.25">
      <c r="A2026" s="5">
        <v>24854</v>
      </c>
      <c r="B2026">
        <v>95.639999389648395</v>
      </c>
    </row>
    <row r="2027" spans="1:2" x14ac:dyDescent="0.25">
      <c r="A2027" s="5">
        <v>24855</v>
      </c>
      <c r="B2027">
        <v>95.559997558593807</v>
      </c>
    </row>
    <row r="2028" spans="1:2" x14ac:dyDescent="0.25">
      <c r="A2028" s="5">
        <v>24856</v>
      </c>
      <c r="B2028">
        <v>95.239997863769503</v>
      </c>
    </row>
    <row r="2029" spans="1:2" x14ac:dyDescent="0.25">
      <c r="A2029" s="5">
        <v>24859</v>
      </c>
      <c r="B2029">
        <v>94.029998779296903</v>
      </c>
    </row>
    <row r="2030" spans="1:2" x14ac:dyDescent="0.25">
      <c r="A2030" s="5">
        <v>24860</v>
      </c>
      <c r="B2030">
        <v>93.660003662109403</v>
      </c>
    </row>
    <row r="2031" spans="1:2" x14ac:dyDescent="0.25">
      <c r="A2031" s="5">
        <v>24861</v>
      </c>
      <c r="B2031">
        <v>93.169998168945298</v>
      </c>
    </row>
    <row r="2032" spans="1:2" x14ac:dyDescent="0.25">
      <c r="A2032" s="5">
        <v>24862</v>
      </c>
      <c r="B2032">
        <v>93.300003051757798</v>
      </c>
    </row>
    <row r="2033" spans="1:2" x14ac:dyDescent="0.25">
      <c r="A2033" s="5">
        <v>24863</v>
      </c>
      <c r="B2033">
        <v>93.449996948242202</v>
      </c>
    </row>
    <row r="2034" spans="1:2" x14ac:dyDescent="0.25">
      <c r="A2034" s="5">
        <v>24866</v>
      </c>
      <c r="B2034">
        <v>93.349998474121094</v>
      </c>
    </row>
    <row r="2035" spans="1:2" x14ac:dyDescent="0.25">
      <c r="A2035" s="5">
        <v>24867</v>
      </c>
      <c r="B2035">
        <v>92.889999389648395</v>
      </c>
    </row>
    <row r="2036" spans="1:2" x14ac:dyDescent="0.25">
      <c r="A2036" s="5">
        <v>24868</v>
      </c>
      <c r="B2036">
        <v>92.239997863769503</v>
      </c>
    </row>
    <row r="2037" spans="1:2" x14ac:dyDescent="0.25">
      <c r="A2037" s="5">
        <v>24869</v>
      </c>
      <c r="B2037">
        <v>92.559997558593807</v>
      </c>
    </row>
    <row r="2038" spans="1:2" x14ac:dyDescent="0.25">
      <c r="A2038" s="5">
        <v>24870</v>
      </c>
      <c r="B2038">
        <v>92.269996643066406</v>
      </c>
    </row>
    <row r="2039" spans="1:2" x14ac:dyDescent="0.25">
      <c r="A2039" s="5">
        <v>24873</v>
      </c>
      <c r="B2039">
        <v>91.870002746582003</v>
      </c>
    </row>
    <row r="2040" spans="1:2" x14ac:dyDescent="0.25">
      <c r="A2040" s="5">
        <v>24874</v>
      </c>
      <c r="B2040">
        <v>91.900001525878906</v>
      </c>
    </row>
    <row r="2041" spans="1:2" x14ac:dyDescent="0.25">
      <c r="A2041" s="5">
        <v>24875</v>
      </c>
      <c r="B2041">
        <v>92.059997558593807</v>
      </c>
    </row>
    <row r="2042" spans="1:2" x14ac:dyDescent="0.25">
      <c r="A2042" s="5">
        <v>24876</v>
      </c>
      <c r="B2042">
        <v>90.900001525878906</v>
      </c>
    </row>
    <row r="2043" spans="1:2" x14ac:dyDescent="0.25">
      <c r="A2043" s="5">
        <v>24877</v>
      </c>
      <c r="B2043">
        <v>89.860000610351605</v>
      </c>
    </row>
    <row r="2044" spans="1:2" x14ac:dyDescent="0.25">
      <c r="A2044" s="5">
        <v>24881</v>
      </c>
      <c r="B2044">
        <v>89.069999694824205</v>
      </c>
    </row>
    <row r="2045" spans="1:2" x14ac:dyDescent="0.25">
      <c r="A2045" s="5">
        <v>24882</v>
      </c>
      <c r="B2045">
        <v>90.139999389648395</v>
      </c>
    </row>
    <row r="2046" spans="1:2" x14ac:dyDescent="0.25">
      <c r="A2046" s="5">
        <v>24883</v>
      </c>
      <c r="B2046">
        <v>90.300003051757798</v>
      </c>
    </row>
    <row r="2047" spans="1:2" x14ac:dyDescent="0.25">
      <c r="A2047" s="5">
        <v>24884</v>
      </c>
      <c r="B2047">
        <v>89.959999084472699</v>
      </c>
    </row>
    <row r="2048" spans="1:2" x14ac:dyDescent="0.25">
      <c r="A2048" s="5">
        <v>24887</v>
      </c>
      <c r="B2048">
        <v>90.309997558593807</v>
      </c>
    </row>
    <row r="2049" spans="1:2" x14ac:dyDescent="0.25">
      <c r="A2049" s="5">
        <v>24888</v>
      </c>
      <c r="B2049">
        <v>91.239997863769503</v>
      </c>
    </row>
    <row r="2050" spans="1:2" x14ac:dyDescent="0.25">
      <c r="A2050" s="5">
        <v>24889</v>
      </c>
      <c r="B2050">
        <v>91.239997863769503</v>
      </c>
    </row>
    <row r="2051" spans="1:2" x14ac:dyDescent="0.25">
      <c r="A2051" s="5">
        <v>24891</v>
      </c>
      <c r="B2051">
        <v>90.889999389648395</v>
      </c>
    </row>
    <row r="2052" spans="1:2" x14ac:dyDescent="0.25">
      <c r="A2052" s="5">
        <v>24894</v>
      </c>
      <c r="B2052">
        <v>90.180000305175795</v>
      </c>
    </row>
    <row r="2053" spans="1:2" x14ac:dyDescent="0.25">
      <c r="A2053" s="5">
        <v>24895</v>
      </c>
      <c r="B2053">
        <v>90.529998779296903</v>
      </c>
    </row>
    <row r="2054" spans="1:2" x14ac:dyDescent="0.25">
      <c r="A2054" s="5">
        <v>24896</v>
      </c>
      <c r="B2054">
        <v>90.080001831054702</v>
      </c>
    </row>
    <row r="2055" spans="1:2" x14ac:dyDescent="0.25">
      <c r="A2055" s="5">
        <v>24897</v>
      </c>
      <c r="B2055">
        <v>89.360000610351605</v>
      </c>
    </row>
    <row r="2056" spans="1:2" x14ac:dyDescent="0.25">
      <c r="A2056" s="5">
        <v>24898</v>
      </c>
      <c r="B2056">
        <v>89.110000610351605</v>
      </c>
    </row>
    <row r="2057" spans="1:2" x14ac:dyDescent="0.25">
      <c r="A2057" s="5">
        <v>24901</v>
      </c>
      <c r="B2057">
        <v>87.919998168945298</v>
      </c>
    </row>
    <row r="2058" spans="1:2" x14ac:dyDescent="0.25">
      <c r="A2058" s="5">
        <v>24902</v>
      </c>
      <c r="B2058">
        <v>87.720001220703097</v>
      </c>
    </row>
    <row r="2059" spans="1:2" x14ac:dyDescent="0.25">
      <c r="A2059" s="5">
        <v>24903</v>
      </c>
      <c r="B2059">
        <v>89.260002136230497</v>
      </c>
    </row>
    <row r="2060" spans="1:2" x14ac:dyDescent="0.25">
      <c r="A2060" s="5">
        <v>24904</v>
      </c>
      <c r="B2060">
        <v>89.099998474121094</v>
      </c>
    </row>
    <row r="2061" spans="1:2" x14ac:dyDescent="0.25">
      <c r="A2061" s="5">
        <v>24905</v>
      </c>
      <c r="B2061">
        <v>89.029998779296903</v>
      </c>
    </row>
    <row r="2062" spans="1:2" x14ac:dyDescent="0.25">
      <c r="A2062" s="5">
        <v>24908</v>
      </c>
      <c r="B2062">
        <v>90.129997253417997</v>
      </c>
    </row>
    <row r="2063" spans="1:2" x14ac:dyDescent="0.25">
      <c r="A2063" s="5">
        <v>24909</v>
      </c>
      <c r="B2063">
        <v>90.230003356933594</v>
      </c>
    </row>
    <row r="2064" spans="1:2" x14ac:dyDescent="0.25">
      <c r="A2064" s="5">
        <v>24910</v>
      </c>
      <c r="B2064">
        <v>90.029998779296903</v>
      </c>
    </row>
    <row r="2065" spans="1:2" x14ac:dyDescent="0.25">
      <c r="A2065" s="5">
        <v>24911</v>
      </c>
      <c r="B2065">
        <v>88.319999694824205</v>
      </c>
    </row>
    <row r="2066" spans="1:2" x14ac:dyDescent="0.25">
      <c r="A2066" s="5">
        <v>24912</v>
      </c>
      <c r="B2066">
        <v>89.099998474121094</v>
      </c>
    </row>
    <row r="2067" spans="1:2" x14ac:dyDescent="0.25">
      <c r="A2067" s="5">
        <v>24915</v>
      </c>
      <c r="B2067">
        <v>89.589996337890597</v>
      </c>
    </row>
    <row r="2068" spans="1:2" x14ac:dyDescent="0.25">
      <c r="A2068" s="5">
        <v>24916</v>
      </c>
      <c r="B2068">
        <v>88.989997863769503</v>
      </c>
    </row>
    <row r="2069" spans="1:2" x14ac:dyDescent="0.25">
      <c r="A2069" s="5">
        <v>24917</v>
      </c>
      <c r="B2069">
        <v>88.980003356933594</v>
      </c>
    </row>
    <row r="2070" spans="1:2" x14ac:dyDescent="0.25">
      <c r="A2070" s="5">
        <v>24918</v>
      </c>
      <c r="B2070">
        <v>88.330001831054702</v>
      </c>
    </row>
    <row r="2071" spans="1:2" x14ac:dyDescent="0.25">
      <c r="A2071" s="5">
        <v>24919</v>
      </c>
      <c r="B2071">
        <v>88.419998168945298</v>
      </c>
    </row>
    <row r="2072" spans="1:2" x14ac:dyDescent="0.25">
      <c r="A2072" s="5">
        <v>24922</v>
      </c>
      <c r="B2072">
        <v>88.330001831054702</v>
      </c>
    </row>
    <row r="2073" spans="1:2" x14ac:dyDescent="0.25">
      <c r="A2073" s="5">
        <v>24923</v>
      </c>
      <c r="B2073">
        <v>88.930000305175795</v>
      </c>
    </row>
    <row r="2074" spans="1:2" x14ac:dyDescent="0.25">
      <c r="A2074" s="5">
        <v>24924</v>
      </c>
      <c r="B2074">
        <v>89.660003662109403</v>
      </c>
    </row>
    <row r="2075" spans="1:2" x14ac:dyDescent="0.25">
      <c r="A2075" s="5">
        <v>24925</v>
      </c>
      <c r="B2075">
        <v>89.569999694824205</v>
      </c>
    </row>
    <row r="2076" spans="1:2" x14ac:dyDescent="0.25">
      <c r="A2076" s="5">
        <v>24926</v>
      </c>
      <c r="B2076">
        <v>90.199996948242202</v>
      </c>
    </row>
    <row r="2077" spans="1:2" x14ac:dyDescent="0.25">
      <c r="A2077" s="5">
        <v>24929</v>
      </c>
      <c r="B2077">
        <v>92.480003356933594</v>
      </c>
    </row>
    <row r="2078" spans="1:2" x14ac:dyDescent="0.25">
      <c r="A2078" s="5">
        <v>24930</v>
      </c>
      <c r="B2078">
        <v>92.639999389648395</v>
      </c>
    </row>
    <row r="2079" spans="1:2" x14ac:dyDescent="0.25">
      <c r="A2079" s="5">
        <v>24931</v>
      </c>
      <c r="B2079">
        <v>93.470001220703097</v>
      </c>
    </row>
    <row r="2080" spans="1:2" x14ac:dyDescent="0.25">
      <c r="A2080" s="5">
        <v>24932</v>
      </c>
      <c r="B2080">
        <v>93.839996337890597</v>
      </c>
    </row>
    <row r="2081" spans="1:2" x14ac:dyDescent="0.25">
      <c r="A2081" s="5">
        <v>24933</v>
      </c>
      <c r="B2081">
        <v>93.290000915527301</v>
      </c>
    </row>
    <row r="2082" spans="1:2" x14ac:dyDescent="0.25">
      <c r="A2082" s="5">
        <v>24936</v>
      </c>
      <c r="B2082">
        <v>94.949996948242202</v>
      </c>
    </row>
    <row r="2083" spans="1:2" x14ac:dyDescent="0.25">
      <c r="A2083" s="5">
        <v>24938</v>
      </c>
      <c r="B2083">
        <v>95.669998168945298</v>
      </c>
    </row>
    <row r="2084" spans="1:2" x14ac:dyDescent="0.25">
      <c r="A2084" s="5">
        <v>24939</v>
      </c>
      <c r="B2084">
        <v>96.529998779296903</v>
      </c>
    </row>
    <row r="2085" spans="1:2" x14ac:dyDescent="0.25">
      <c r="A2085" s="5">
        <v>24943</v>
      </c>
      <c r="B2085">
        <v>96.589996337890597</v>
      </c>
    </row>
    <row r="2086" spans="1:2" x14ac:dyDescent="0.25">
      <c r="A2086" s="5">
        <v>24944</v>
      </c>
      <c r="B2086">
        <v>96.620002746582003</v>
      </c>
    </row>
    <row r="2087" spans="1:2" x14ac:dyDescent="0.25">
      <c r="A2087" s="5">
        <v>24945</v>
      </c>
      <c r="B2087">
        <v>96.809997558593807</v>
      </c>
    </row>
    <row r="2088" spans="1:2" x14ac:dyDescent="0.25">
      <c r="A2088" s="5">
        <v>24946</v>
      </c>
      <c r="B2088">
        <v>97.080001831054702</v>
      </c>
    </row>
    <row r="2089" spans="1:2" x14ac:dyDescent="0.25">
      <c r="A2089" s="5">
        <v>24947</v>
      </c>
      <c r="B2089">
        <v>95.849998474121094</v>
      </c>
    </row>
    <row r="2090" spans="1:2" x14ac:dyDescent="0.25">
      <c r="A2090" s="5">
        <v>24950</v>
      </c>
      <c r="B2090">
        <v>95.319999694824205</v>
      </c>
    </row>
    <row r="2091" spans="1:2" x14ac:dyDescent="0.25">
      <c r="A2091" s="5">
        <v>24951</v>
      </c>
      <c r="B2091">
        <v>96.620002746582003</v>
      </c>
    </row>
    <row r="2092" spans="1:2" x14ac:dyDescent="0.25">
      <c r="A2092" s="5">
        <v>24952</v>
      </c>
      <c r="B2092">
        <v>96.919998168945298</v>
      </c>
    </row>
    <row r="2093" spans="1:2" x14ac:dyDescent="0.25">
      <c r="A2093" s="5">
        <v>24953</v>
      </c>
      <c r="B2093">
        <v>96.620002746582003</v>
      </c>
    </row>
    <row r="2094" spans="1:2" x14ac:dyDescent="0.25">
      <c r="A2094" s="5">
        <v>24954</v>
      </c>
      <c r="B2094">
        <v>97.209999084472699</v>
      </c>
    </row>
    <row r="2095" spans="1:2" x14ac:dyDescent="0.25">
      <c r="A2095" s="5">
        <v>24957</v>
      </c>
      <c r="B2095">
        <v>97.970001220703097</v>
      </c>
    </row>
    <row r="2096" spans="1:2" x14ac:dyDescent="0.25">
      <c r="A2096" s="5">
        <v>24958</v>
      </c>
      <c r="B2096">
        <v>97.459999084472699</v>
      </c>
    </row>
    <row r="2097" spans="1:2" x14ac:dyDescent="0.25">
      <c r="A2097" s="5">
        <v>24959</v>
      </c>
      <c r="B2097">
        <v>97.970001220703097</v>
      </c>
    </row>
    <row r="2098" spans="1:2" x14ac:dyDescent="0.25">
      <c r="A2098" s="5">
        <v>24960</v>
      </c>
      <c r="B2098">
        <v>98.589996337890597</v>
      </c>
    </row>
    <row r="2099" spans="1:2" x14ac:dyDescent="0.25">
      <c r="A2099" s="5">
        <v>24961</v>
      </c>
      <c r="B2099">
        <v>98.660003662109403</v>
      </c>
    </row>
    <row r="2100" spans="1:2" x14ac:dyDescent="0.25">
      <c r="A2100" s="5">
        <v>24964</v>
      </c>
      <c r="B2100">
        <v>98.349998474121094</v>
      </c>
    </row>
    <row r="2101" spans="1:2" x14ac:dyDescent="0.25">
      <c r="A2101" s="5">
        <v>24965</v>
      </c>
      <c r="B2101">
        <v>98.900001525878906</v>
      </c>
    </row>
    <row r="2102" spans="1:2" x14ac:dyDescent="0.25">
      <c r="A2102" s="5">
        <v>24966</v>
      </c>
      <c r="B2102">
        <v>98.910003662109403</v>
      </c>
    </row>
    <row r="2103" spans="1:2" x14ac:dyDescent="0.25">
      <c r="A2103" s="5">
        <v>24967</v>
      </c>
      <c r="B2103">
        <v>98.389999389648395</v>
      </c>
    </row>
    <row r="2104" spans="1:2" x14ac:dyDescent="0.25">
      <c r="A2104" s="5">
        <v>24968</v>
      </c>
      <c r="B2104">
        <v>98.5</v>
      </c>
    </row>
    <row r="2105" spans="1:2" x14ac:dyDescent="0.25">
      <c r="A2105" s="5">
        <v>24971</v>
      </c>
      <c r="B2105">
        <v>98.190002441406193</v>
      </c>
    </row>
    <row r="2106" spans="1:2" x14ac:dyDescent="0.25">
      <c r="A2106" s="5">
        <v>24972</v>
      </c>
      <c r="B2106">
        <v>98.120002746582003</v>
      </c>
    </row>
    <row r="2107" spans="1:2" x14ac:dyDescent="0.25">
      <c r="A2107" s="5">
        <v>24973</v>
      </c>
      <c r="B2107">
        <v>98.069999694824205</v>
      </c>
    </row>
    <row r="2108" spans="1:2" x14ac:dyDescent="0.25">
      <c r="A2108" s="5">
        <v>24974</v>
      </c>
      <c r="B2108">
        <v>97.599998474121094</v>
      </c>
    </row>
    <row r="2109" spans="1:2" x14ac:dyDescent="0.25">
      <c r="A2109" s="5">
        <v>24975</v>
      </c>
      <c r="B2109">
        <v>96.900001525878906</v>
      </c>
    </row>
    <row r="2110" spans="1:2" x14ac:dyDescent="0.25">
      <c r="A2110" s="5">
        <v>24978</v>
      </c>
      <c r="B2110">
        <v>96.449996948242202</v>
      </c>
    </row>
    <row r="2111" spans="1:2" x14ac:dyDescent="0.25">
      <c r="A2111" s="5">
        <v>24979</v>
      </c>
      <c r="B2111">
        <v>96.930000305175795</v>
      </c>
    </row>
    <row r="2112" spans="1:2" x14ac:dyDescent="0.25">
      <c r="A2112" s="5">
        <v>24980</v>
      </c>
      <c r="B2112">
        <v>97.180000305175795</v>
      </c>
    </row>
    <row r="2113" spans="1:2" x14ac:dyDescent="0.25">
      <c r="A2113" s="5">
        <v>24981</v>
      </c>
      <c r="B2113">
        <v>96.970001220703097</v>
      </c>
    </row>
    <row r="2114" spans="1:2" x14ac:dyDescent="0.25">
      <c r="A2114" s="5">
        <v>24982</v>
      </c>
      <c r="B2114">
        <v>97.150001525878906</v>
      </c>
    </row>
    <row r="2115" spans="1:2" x14ac:dyDescent="0.25">
      <c r="A2115" s="5">
        <v>24985</v>
      </c>
      <c r="B2115">
        <v>96.989997863769503</v>
      </c>
    </row>
    <row r="2116" spans="1:2" x14ac:dyDescent="0.25">
      <c r="A2116" s="5">
        <v>24986</v>
      </c>
      <c r="B2116">
        <v>97.620002746582003</v>
      </c>
    </row>
    <row r="2117" spans="1:2" x14ac:dyDescent="0.25">
      <c r="A2117" s="5">
        <v>24987</v>
      </c>
      <c r="B2117">
        <v>97.919998168945298</v>
      </c>
    </row>
    <row r="2118" spans="1:2" x14ac:dyDescent="0.25">
      <c r="A2118" s="5">
        <v>24989</v>
      </c>
      <c r="B2118">
        <v>98.680000305175795</v>
      </c>
    </row>
    <row r="2119" spans="1:2" x14ac:dyDescent="0.25">
      <c r="A2119" s="5">
        <v>24992</v>
      </c>
      <c r="B2119">
        <v>99.989997863769503</v>
      </c>
    </row>
    <row r="2120" spans="1:2" x14ac:dyDescent="0.25">
      <c r="A2120" s="5">
        <v>24993</v>
      </c>
      <c r="B2120">
        <v>100.379997253418</v>
      </c>
    </row>
    <row r="2121" spans="1:2" x14ac:dyDescent="0.25">
      <c r="A2121" s="5">
        <v>24994</v>
      </c>
      <c r="B2121">
        <v>99.889999389648395</v>
      </c>
    </row>
    <row r="2122" spans="1:2" x14ac:dyDescent="0.25">
      <c r="A2122" s="5">
        <v>24995</v>
      </c>
      <c r="B2122">
        <v>100.65000152587901</v>
      </c>
    </row>
    <row r="2123" spans="1:2" x14ac:dyDescent="0.25">
      <c r="A2123" s="5">
        <v>24996</v>
      </c>
      <c r="B2123">
        <v>101.26999664306599</v>
      </c>
    </row>
    <row r="2124" spans="1:2" x14ac:dyDescent="0.25">
      <c r="A2124" s="5">
        <v>24999</v>
      </c>
      <c r="B2124">
        <v>101.41000366210901</v>
      </c>
    </row>
    <row r="2125" spans="1:2" x14ac:dyDescent="0.25">
      <c r="A2125" s="5">
        <v>25000</v>
      </c>
      <c r="B2125">
        <v>101.66000366210901</v>
      </c>
    </row>
    <row r="2126" spans="1:2" x14ac:dyDescent="0.25">
      <c r="A2126" s="5">
        <v>25002</v>
      </c>
      <c r="B2126">
        <v>101.25</v>
      </c>
    </row>
    <row r="2127" spans="1:2" x14ac:dyDescent="0.25">
      <c r="A2127" s="5">
        <v>25003</v>
      </c>
      <c r="B2127">
        <v>101.129997253418</v>
      </c>
    </row>
    <row r="2128" spans="1:2" x14ac:dyDescent="0.25">
      <c r="A2128" s="5">
        <v>25006</v>
      </c>
      <c r="B2128">
        <v>100.129997253418</v>
      </c>
    </row>
    <row r="2129" spans="1:2" x14ac:dyDescent="0.25">
      <c r="A2129" s="5">
        <v>25007</v>
      </c>
      <c r="B2129">
        <v>99.989997863769503</v>
      </c>
    </row>
    <row r="2130" spans="1:2" x14ac:dyDescent="0.25">
      <c r="A2130" s="5">
        <v>25009</v>
      </c>
      <c r="B2130">
        <v>101.51000213623</v>
      </c>
    </row>
    <row r="2131" spans="1:2" x14ac:dyDescent="0.25">
      <c r="A2131" s="5">
        <v>25010</v>
      </c>
      <c r="B2131">
        <v>100.66000366210901</v>
      </c>
    </row>
    <row r="2132" spans="1:2" x14ac:dyDescent="0.25">
      <c r="A2132" s="5">
        <v>25013</v>
      </c>
      <c r="B2132">
        <v>100.389999389648</v>
      </c>
    </row>
    <row r="2133" spans="1:2" x14ac:dyDescent="0.25">
      <c r="A2133" s="5">
        <v>25014</v>
      </c>
      <c r="B2133">
        <v>100.080001831055</v>
      </c>
    </row>
    <row r="2134" spans="1:2" x14ac:dyDescent="0.25">
      <c r="A2134" s="5">
        <v>25016</v>
      </c>
      <c r="B2134">
        <v>99.980003356933594</v>
      </c>
    </row>
    <row r="2135" spans="1:2" x14ac:dyDescent="0.25">
      <c r="A2135" s="5">
        <v>25017</v>
      </c>
      <c r="B2135">
        <v>99.580001831054702</v>
      </c>
    </row>
    <row r="2136" spans="1:2" x14ac:dyDescent="0.25">
      <c r="A2136" s="5">
        <v>25020</v>
      </c>
      <c r="B2136">
        <v>99.400001525878906</v>
      </c>
    </row>
    <row r="2137" spans="1:2" x14ac:dyDescent="0.25">
      <c r="A2137" s="5">
        <v>25021</v>
      </c>
      <c r="B2137">
        <v>99.739997863769503</v>
      </c>
    </row>
    <row r="2138" spans="1:2" x14ac:dyDescent="0.25">
      <c r="A2138" s="5">
        <v>25022</v>
      </c>
      <c r="B2138">
        <v>100.91000366210901</v>
      </c>
    </row>
    <row r="2139" spans="1:2" x14ac:dyDescent="0.25">
      <c r="A2139" s="5">
        <v>25027</v>
      </c>
      <c r="B2139">
        <v>101.94000244140599</v>
      </c>
    </row>
    <row r="2140" spans="1:2" x14ac:dyDescent="0.25">
      <c r="A2140" s="5">
        <v>25028</v>
      </c>
      <c r="B2140">
        <v>102.23000335693401</v>
      </c>
    </row>
    <row r="2141" spans="1:2" x14ac:dyDescent="0.25">
      <c r="A2141" s="5">
        <v>25030</v>
      </c>
      <c r="B2141">
        <v>102.389999389648</v>
      </c>
    </row>
    <row r="2142" spans="1:2" x14ac:dyDescent="0.25">
      <c r="A2142" s="5">
        <v>25031</v>
      </c>
      <c r="B2142">
        <v>102.33999633789099</v>
      </c>
    </row>
    <row r="2143" spans="1:2" x14ac:dyDescent="0.25">
      <c r="A2143" s="5">
        <v>25034</v>
      </c>
      <c r="B2143">
        <v>102.26000213623</v>
      </c>
    </row>
    <row r="2144" spans="1:2" x14ac:dyDescent="0.25">
      <c r="A2144" s="5">
        <v>25035</v>
      </c>
      <c r="B2144">
        <v>101.699996948242</v>
      </c>
    </row>
    <row r="2145" spans="1:2" x14ac:dyDescent="0.25">
      <c r="A2145" s="5">
        <v>25037</v>
      </c>
      <c r="B2145">
        <v>101.44000244140599</v>
      </c>
    </row>
    <row r="2146" spans="1:2" x14ac:dyDescent="0.25">
      <c r="A2146" s="5">
        <v>25038</v>
      </c>
      <c r="B2146">
        <v>100.459999084473</v>
      </c>
    </row>
    <row r="2147" spans="1:2" x14ac:dyDescent="0.25">
      <c r="A2147" s="5">
        <v>25041</v>
      </c>
      <c r="B2147">
        <v>99.330001831054702</v>
      </c>
    </row>
    <row r="2148" spans="1:2" x14ac:dyDescent="0.25">
      <c r="A2148" s="5">
        <v>25042</v>
      </c>
      <c r="B2148">
        <v>99.209999084472699</v>
      </c>
    </row>
    <row r="2149" spans="1:2" x14ac:dyDescent="0.25">
      <c r="A2149" s="5">
        <v>25044</v>
      </c>
      <c r="B2149">
        <v>97.940002441406193</v>
      </c>
    </row>
    <row r="2150" spans="1:2" x14ac:dyDescent="0.25">
      <c r="A2150" s="5">
        <v>25045</v>
      </c>
      <c r="B2150">
        <v>98.339996337890597</v>
      </c>
    </row>
    <row r="2151" spans="1:2" x14ac:dyDescent="0.25">
      <c r="A2151" s="5">
        <v>25048</v>
      </c>
      <c r="B2151">
        <v>97.650001525878906</v>
      </c>
    </row>
    <row r="2152" spans="1:2" x14ac:dyDescent="0.25">
      <c r="A2152" s="5">
        <v>25049</v>
      </c>
      <c r="B2152">
        <v>97.739997863769503</v>
      </c>
    </row>
    <row r="2153" spans="1:2" x14ac:dyDescent="0.25">
      <c r="A2153" s="5">
        <v>25051</v>
      </c>
      <c r="B2153">
        <v>97.279998779296903</v>
      </c>
    </row>
    <row r="2154" spans="1:2" x14ac:dyDescent="0.25">
      <c r="A2154" s="5">
        <v>25052</v>
      </c>
      <c r="B2154">
        <v>96.629997253417997</v>
      </c>
    </row>
    <row r="2155" spans="1:2" x14ac:dyDescent="0.25">
      <c r="A2155" s="5">
        <v>25055</v>
      </c>
      <c r="B2155">
        <v>96.849998474121094</v>
      </c>
    </row>
    <row r="2156" spans="1:2" x14ac:dyDescent="0.25">
      <c r="A2156" s="5">
        <v>25056</v>
      </c>
      <c r="B2156">
        <v>97.25</v>
      </c>
    </row>
    <row r="2157" spans="1:2" x14ac:dyDescent="0.25">
      <c r="A2157" s="5">
        <v>25058</v>
      </c>
      <c r="B2157">
        <v>97.040000915527301</v>
      </c>
    </row>
    <row r="2158" spans="1:2" x14ac:dyDescent="0.25">
      <c r="A2158" s="5">
        <v>25059</v>
      </c>
      <c r="B2158">
        <v>97.010002136230497</v>
      </c>
    </row>
    <row r="2159" spans="1:2" x14ac:dyDescent="0.25">
      <c r="A2159" s="5">
        <v>25062</v>
      </c>
      <c r="B2159">
        <v>98.010002136230497</v>
      </c>
    </row>
    <row r="2160" spans="1:2" x14ac:dyDescent="0.25">
      <c r="A2160" s="5">
        <v>25063</v>
      </c>
      <c r="B2160">
        <v>98.529998779296903</v>
      </c>
    </row>
    <row r="2161" spans="1:2" x14ac:dyDescent="0.25">
      <c r="A2161" s="5">
        <v>25065</v>
      </c>
      <c r="B2161">
        <v>98.069999694824205</v>
      </c>
    </row>
    <row r="2162" spans="1:2" x14ac:dyDescent="0.25">
      <c r="A2162" s="5">
        <v>25066</v>
      </c>
      <c r="B2162">
        <v>98.680000305175795</v>
      </c>
    </row>
    <row r="2163" spans="1:2" x14ac:dyDescent="0.25">
      <c r="A2163" s="5">
        <v>25069</v>
      </c>
      <c r="B2163">
        <v>99</v>
      </c>
    </row>
    <row r="2164" spans="1:2" x14ac:dyDescent="0.25">
      <c r="A2164" s="5">
        <v>25070</v>
      </c>
      <c r="B2164">
        <v>98.959999084472699</v>
      </c>
    </row>
    <row r="2165" spans="1:2" x14ac:dyDescent="0.25">
      <c r="A2165" s="5">
        <v>25072</v>
      </c>
      <c r="B2165">
        <v>98.699996948242202</v>
      </c>
    </row>
    <row r="2166" spans="1:2" x14ac:dyDescent="0.25">
      <c r="A2166" s="5">
        <v>25073</v>
      </c>
      <c r="B2166">
        <v>98.690002441406193</v>
      </c>
    </row>
    <row r="2167" spans="1:2" x14ac:dyDescent="0.25">
      <c r="A2167" s="5">
        <v>25076</v>
      </c>
      <c r="B2167">
        <v>98.940002441406193</v>
      </c>
    </row>
    <row r="2168" spans="1:2" x14ac:dyDescent="0.25">
      <c r="A2168" s="5">
        <v>25077</v>
      </c>
      <c r="B2168">
        <v>98.809997558593807</v>
      </c>
    </row>
    <row r="2169" spans="1:2" x14ac:dyDescent="0.25">
      <c r="A2169" s="5">
        <v>25079</v>
      </c>
      <c r="B2169">
        <v>98.739997863769503</v>
      </c>
    </row>
    <row r="2170" spans="1:2" x14ac:dyDescent="0.25">
      <c r="A2170" s="5">
        <v>25080</v>
      </c>
      <c r="B2170">
        <v>98.860000610351605</v>
      </c>
    </row>
    <row r="2171" spans="1:2" x14ac:dyDescent="0.25">
      <c r="A2171" s="5">
        <v>25084</v>
      </c>
      <c r="B2171">
        <v>99.319999694824205</v>
      </c>
    </row>
    <row r="2172" spans="1:2" x14ac:dyDescent="0.25">
      <c r="A2172" s="5">
        <v>25085</v>
      </c>
      <c r="B2172">
        <v>100.01999664306599</v>
      </c>
    </row>
    <row r="2173" spans="1:2" x14ac:dyDescent="0.25">
      <c r="A2173" s="5">
        <v>25086</v>
      </c>
      <c r="B2173">
        <v>100.73999786377</v>
      </c>
    </row>
    <row r="2174" spans="1:2" x14ac:dyDescent="0.25">
      <c r="A2174" s="5">
        <v>25087</v>
      </c>
      <c r="B2174">
        <v>101.199996948242</v>
      </c>
    </row>
    <row r="2175" spans="1:2" x14ac:dyDescent="0.25">
      <c r="A2175" s="5">
        <v>25090</v>
      </c>
      <c r="B2175">
        <v>101.23000335693401</v>
      </c>
    </row>
    <row r="2176" spans="1:2" x14ac:dyDescent="0.25">
      <c r="A2176" s="5">
        <v>25091</v>
      </c>
      <c r="B2176">
        <v>100.73000335693401</v>
      </c>
    </row>
    <row r="2177" spans="1:2" x14ac:dyDescent="0.25">
      <c r="A2177" s="5">
        <v>25093</v>
      </c>
      <c r="B2177">
        <v>100.51999664306599</v>
      </c>
    </row>
    <row r="2178" spans="1:2" x14ac:dyDescent="0.25">
      <c r="A2178" s="5">
        <v>25094</v>
      </c>
      <c r="B2178">
        <v>100.860000610352</v>
      </c>
    </row>
    <row r="2179" spans="1:2" x14ac:dyDescent="0.25">
      <c r="A2179" s="5">
        <v>25097</v>
      </c>
      <c r="B2179">
        <v>101.23999786377</v>
      </c>
    </row>
    <row r="2180" spans="1:2" x14ac:dyDescent="0.25">
      <c r="A2180" s="5">
        <v>25098</v>
      </c>
      <c r="B2180">
        <v>101.5</v>
      </c>
    </row>
    <row r="2181" spans="1:2" x14ac:dyDescent="0.25">
      <c r="A2181" s="5">
        <v>25100</v>
      </c>
      <c r="B2181">
        <v>101.58999633789099</v>
      </c>
    </row>
    <row r="2182" spans="1:2" x14ac:dyDescent="0.25">
      <c r="A2182" s="5">
        <v>25101</v>
      </c>
      <c r="B2182">
        <v>101.66000366210901</v>
      </c>
    </row>
    <row r="2183" spans="1:2" x14ac:dyDescent="0.25">
      <c r="A2183" s="5">
        <v>25104</v>
      </c>
      <c r="B2183">
        <v>102.23999786377</v>
      </c>
    </row>
    <row r="2184" spans="1:2" x14ac:dyDescent="0.25">
      <c r="A2184" s="5">
        <v>25105</v>
      </c>
      <c r="B2184">
        <v>102.58999633789099</v>
      </c>
    </row>
    <row r="2185" spans="1:2" x14ac:dyDescent="0.25">
      <c r="A2185" s="5">
        <v>25107</v>
      </c>
      <c r="B2185">
        <v>102.360000610352</v>
      </c>
    </row>
    <row r="2186" spans="1:2" x14ac:dyDescent="0.25">
      <c r="A2186" s="5">
        <v>25108</v>
      </c>
      <c r="B2186">
        <v>102.30999755859401</v>
      </c>
    </row>
    <row r="2187" spans="1:2" x14ac:dyDescent="0.25">
      <c r="A2187" s="5">
        <v>25111</v>
      </c>
      <c r="B2187">
        <v>102.669998168945</v>
      </c>
    </row>
    <row r="2188" spans="1:2" x14ac:dyDescent="0.25">
      <c r="A2188" s="5">
        <v>25112</v>
      </c>
      <c r="B2188">
        <v>102.860000610352</v>
      </c>
    </row>
    <row r="2189" spans="1:2" x14ac:dyDescent="0.25">
      <c r="A2189" s="5">
        <v>25114</v>
      </c>
      <c r="B2189">
        <v>103.220001220703</v>
      </c>
    </row>
    <row r="2190" spans="1:2" x14ac:dyDescent="0.25">
      <c r="A2190" s="5">
        <v>25115</v>
      </c>
      <c r="B2190">
        <v>103.709999084473</v>
      </c>
    </row>
    <row r="2191" spans="1:2" x14ac:dyDescent="0.25">
      <c r="A2191" s="5">
        <v>25118</v>
      </c>
      <c r="B2191">
        <v>103.699996948242</v>
      </c>
    </row>
    <row r="2192" spans="1:2" x14ac:dyDescent="0.25">
      <c r="A2192" s="5">
        <v>25119</v>
      </c>
      <c r="B2192">
        <v>103.73999786377</v>
      </c>
    </row>
    <row r="2193" spans="1:2" x14ac:dyDescent="0.25">
      <c r="A2193" s="5">
        <v>25121</v>
      </c>
      <c r="B2193">
        <v>103.290000915527</v>
      </c>
    </row>
    <row r="2194" spans="1:2" x14ac:dyDescent="0.25">
      <c r="A2194" s="5">
        <v>25122</v>
      </c>
      <c r="B2194">
        <v>103.18000030517599</v>
      </c>
    </row>
    <row r="2195" spans="1:2" x14ac:dyDescent="0.25">
      <c r="A2195" s="5">
        <v>25125</v>
      </c>
      <c r="B2195">
        <v>103.31999969482401</v>
      </c>
    </row>
    <row r="2196" spans="1:2" x14ac:dyDescent="0.25">
      <c r="A2196" s="5">
        <v>25126</v>
      </c>
      <c r="B2196">
        <v>103.529998779297</v>
      </c>
    </row>
    <row r="2197" spans="1:2" x14ac:dyDescent="0.25">
      <c r="A2197" s="5">
        <v>25128</v>
      </c>
      <c r="B2197">
        <v>104.01000213623</v>
      </c>
    </row>
    <row r="2198" spans="1:2" x14ac:dyDescent="0.25">
      <c r="A2198" s="5">
        <v>25129</v>
      </c>
      <c r="B2198">
        <v>104.81999969482401</v>
      </c>
    </row>
    <row r="2199" spans="1:2" x14ac:dyDescent="0.25">
      <c r="A2199" s="5">
        <v>25132</v>
      </c>
      <c r="B2199">
        <v>104.98999786377</v>
      </c>
    </row>
    <row r="2200" spans="1:2" x14ac:dyDescent="0.25">
      <c r="A2200" s="5">
        <v>25133</v>
      </c>
      <c r="B2200">
        <v>104.56999969482401</v>
      </c>
    </row>
    <row r="2201" spans="1:2" x14ac:dyDescent="0.25">
      <c r="A2201" s="5">
        <v>25135</v>
      </c>
      <c r="B2201">
        <v>103.83999633789099</v>
      </c>
    </row>
    <row r="2202" spans="1:2" x14ac:dyDescent="0.25">
      <c r="A2202" s="5">
        <v>25136</v>
      </c>
      <c r="B2202">
        <v>104.199996948242</v>
      </c>
    </row>
    <row r="2203" spans="1:2" x14ac:dyDescent="0.25">
      <c r="A2203" s="5">
        <v>25139</v>
      </c>
      <c r="B2203">
        <v>103.90000152587901</v>
      </c>
    </row>
    <row r="2204" spans="1:2" x14ac:dyDescent="0.25">
      <c r="A2204" s="5">
        <v>25140</v>
      </c>
      <c r="B2204">
        <v>103.300003051758</v>
      </c>
    </row>
    <row r="2205" spans="1:2" x14ac:dyDescent="0.25">
      <c r="A2205" s="5">
        <v>25142</v>
      </c>
      <c r="B2205">
        <v>103.41000366210901</v>
      </c>
    </row>
    <row r="2206" spans="1:2" x14ac:dyDescent="0.25">
      <c r="A2206" s="5">
        <v>25143</v>
      </c>
      <c r="B2206">
        <v>103.05999755859401</v>
      </c>
    </row>
    <row r="2207" spans="1:2" x14ac:dyDescent="0.25">
      <c r="A2207" s="5">
        <v>25146</v>
      </c>
      <c r="B2207">
        <v>103.09999847412099</v>
      </c>
    </row>
    <row r="2208" spans="1:2" x14ac:dyDescent="0.25">
      <c r="A2208" s="5">
        <v>25148</v>
      </c>
      <c r="B2208">
        <v>103.26999664306599</v>
      </c>
    </row>
    <row r="2209" spans="1:2" x14ac:dyDescent="0.25">
      <c r="A2209" s="5">
        <v>25149</v>
      </c>
      <c r="B2209">
        <v>103.5</v>
      </c>
    </row>
    <row r="2210" spans="1:2" x14ac:dyDescent="0.25">
      <c r="A2210" s="5">
        <v>25150</v>
      </c>
      <c r="B2210">
        <v>103.949996948242</v>
      </c>
    </row>
    <row r="2211" spans="1:2" x14ac:dyDescent="0.25">
      <c r="A2211" s="5">
        <v>25154</v>
      </c>
      <c r="B2211">
        <v>104.620002746582</v>
      </c>
    </row>
    <row r="2212" spans="1:2" x14ac:dyDescent="0.25">
      <c r="A2212" s="5">
        <v>25155</v>
      </c>
      <c r="B2212">
        <v>105.129997253418</v>
      </c>
    </row>
    <row r="2213" spans="1:2" x14ac:dyDescent="0.25">
      <c r="A2213" s="5">
        <v>25156</v>
      </c>
      <c r="B2213">
        <v>105.199996948242</v>
      </c>
    </row>
    <row r="2214" spans="1:2" x14ac:dyDescent="0.25">
      <c r="A2214" s="5">
        <v>25157</v>
      </c>
      <c r="B2214">
        <v>105.779998779297</v>
      </c>
    </row>
    <row r="2215" spans="1:2" x14ac:dyDescent="0.25">
      <c r="A2215" s="5">
        <v>25160</v>
      </c>
      <c r="B2215">
        <v>105.919998168945</v>
      </c>
    </row>
    <row r="2216" spans="1:2" x14ac:dyDescent="0.25">
      <c r="A2216" s="5">
        <v>25161</v>
      </c>
      <c r="B2216">
        <v>106.139999389648</v>
      </c>
    </row>
    <row r="2217" spans="1:2" x14ac:dyDescent="0.25">
      <c r="A2217" s="5">
        <v>25163</v>
      </c>
      <c r="B2217">
        <v>105.970001220703</v>
      </c>
    </row>
    <row r="2218" spans="1:2" x14ac:dyDescent="0.25">
      <c r="A2218" s="5">
        <v>25164</v>
      </c>
      <c r="B2218">
        <v>106.300003051758</v>
      </c>
    </row>
    <row r="2219" spans="1:2" x14ac:dyDescent="0.25">
      <c r="A2219" s="5">
        <v>25167</v>
      </c>
      <c r="B2219">
        <v>106.48000335693401</v>
      </c>
    </row>
    <row r="2220" spans="1:2" x14ac:dyDescent="0.25">
      <c r="A2220" s="5">
        <v>25168</v>
      </c>
      <c r="B2220">
        <v>107.26000213623</v>
      </c>
    </row>
    <row r="2221" spans="1:2" x14ac:dyDescent="0.25">
      <c r="A2221" s="5">
        <v>25169</v>
      </c>
      <c r="B2221">
        <v>107.76000213623</v>
      </c>
    </row>
    <row r="2222" spans="1:2" x14ac:dyDescent="0.25">
      <c r="A2222" s="5">
        <v>25171</v>
      </c>
      <c r="B2222">
        <v>108.370002746582</v>
      </c>
    </row>
    <row r="2223" spans="1:2" x14ac:dyDescent="0.25">
      <c r="A2223" s="5">
        <v>25174</v>
      </c>
      <c r="B2223">
        <v>108.120002746582</v>
      </c>
    </row>
    <row r="2224" spans="1:2" x14ac:dyDescent="0.25">
      <c r="A2224" s="5">
        <v>25175</v>
      </c>
      <c r="B2224">
        <v>108.01999664306599</v>
      </c>
    </row>
    <row r="2225" spans="1:2" x14ac:dyDescent="0.25">
      <c r="A2225" s="5">
        <v>25177</v>
      </c>
      <c r="B2225">
        <v>107.669998168945</v>
      </c>
    </row>
    <row r="2226" spans="1:2" x14ac:dyDescent="0.25">
      <c r="A2226" s="5">
        <v>25178</v>
      </c>
      <c r="B2226">
        <v>107.93000030517599</v>
      </c>
    </row>
    <row r="2227" spans="1:2" x14ac:dyDescent="0.25">
      <c r="A2227" s="5">
        <v>25181</v>
      </c>
      <c r="B2227">
        <v>107.66000366210901</v>
      </c>
    </row>
    <row r="2228" spans="1:2" x14ac:dyDescent="0.25">
      <c r="A2228" s="5">
        <v>25182</v>
      </c>
      <c r="B2228">
        <v>107.389999389648</v>
      </c>
    </row>
    <row r="2229" spans="1:2" x14ac:dyDescent="0.25">
      <c r="A2229" s="5">
        <v>25184</v>
      </c>
      <c r="B2229">
        <v>107.31999969482401</v>
      </c>
    </row>
    <row r="2230" spans="1:2" x14ac:dyDescent="0.25">
      <c r="A2230" s="5">
        <v>25185</v>
      </c>
      <c r="B2230">
        <v>107.580001831055</v>
      </c>
    </row>
    <row r="2231" spans="1:2" x14ac:dyDescent="0.25">
      <c r="A2231" s="5">
        <v>25188</v>
      </c>
      <c r="B2231">
        <v>107.09999847412099</v>
      </c>
    </row>
    <row r="2232" spans="1:2" x14ac:dyDescent="0.25">
      <c r="A2232" s="5">
        <v>25189</v>
      </c>
      <c r="B2232">
        <v>106.66000366210901</v>
      </c>
    </row>
    <row r="2233" spans="1:2" x14ac:dyDescent="0.25">
      <c r="A2233" s="5">
        <v>25191</v>
      </c>
      <c r="B2233">
        <v>106.970001220703</v>
      </c>
    </row>
    <row r="2234" spans="1:2" x14ac:dyDescent="0.25">
      <c r="A2234" s="5">
        <v>25192</v>
      </c>
      <c r="B2234">
        <v>106.33999633789099</v>
      </c>
    </row>
    <row r="2235" spans="1:2" x14ac:dyDescent="0.25">
      <c r="A2235" s="5">
        <v>25195</v>
      </c>
      <c r="B2235">
        <v>105.209999084473</v>
      </c>
    </row>
    <row r="2236" spans="1:2" x14ac:dyDescent="0.25">
      <c r="A2236" s="5">
        <v>25196</v>
      </c>
      <c r="B2236">
        <v>105.040000915527</v>
      </c>
    </row>
    <row r="2237" spans="1:2" x14ac:dyDescent="0.25">
      <c r="A2237" s="5">
        <v>25198</v>
      </c>
      <c r="B2237">
        <v>105.15000152587901</v>
      </c>
    </row>
    <row r="2238" spans="1:2" x14ac:dyDescent="0.25">
      <c r="A2238" s="5">
        <v>25199</v>
      </c>
      <c r="B2238">
        <v>104.73999786377</v>
      </c>
    </row>
    <row r="2239" spans="1:2" x14ac:dyDescent="0.25">
      <c r="A2239" s="5">
        <v>25202</v>
      </c>
      <c r="B2239">
        <v>103.800003051758</v>
      </c>
    </row>
    <row r="2240" spans="1:2" x14ac:dyDescent="0.25">
      <c r="A2240" s="5">
        <v>25203</v>
      </c>
      <c r="B2240">
        <v>103.860000610352</v>
      </c>
    </row>
    <row r="2241" spans="1:2" x14ac:dyDescent="0.25">
      <c r="A2241" s="5">
        <v>25205</v>
      </c>
      <c r="B2241">
        <v>103.93000030517599</v>
      </c>
    </row>
    <row r="2242" spans="1:2" x14ac:dyDescent="0.25">
      <c r="A2242" s="5">
        <v>25206</v>
      </c>
      <c r="B2242">
        <v>103.98999786377</v>
      </c>
    </row>
    <row r="2243" spans="1:2" x14ac:dyDescent="0.25">
      <c r="A2243" s="5">
        <v>25209</v>
      </c>
      <c r="B2243">
        <v>102.470001220703</v>
      </c>
    </row>
    <row r="2244" spans="1:2" x14ac:dyDescent="0.25">
      <c r="A2244" s="5">
        <v>25210</v>
      </c>
      <c r="B2244">
        <v>101.220001220703</v>
      </c>
    </row>
    <row r="2245" spans="1:2" x14ac:dyDescent="0.25">
      <c r="A2245" s="5">
        <v>25211</v>
      </c>
      <c r="B2245">
        <v>100.800003051758</v>
      </c>
    </row>
    <row r="2246" spans="1:2" x14ac:dyDescent="0.25">
      <c r="A2246" s="5">
        <v>25212</v>
      </c>
      <c r="B2246">
        <v>101.220001220703</v>
      </c>
    </row>
    <row r="2247" spans="1:2" x14ac:dyDescent="0.25">
      <c r="A2247" s="5">
        <v>25213</v>
      </c>
      <c r="B2247">
        <v>100.93000030517599</v>
      </c>
    </row>
    <row r="2248" spans="1:2" x14ac:dyDescent="0.25">
      <c r="A2248" s="5">
        <v>25216</v>
      </c>
      <c r="B2248">
        <v>100.44000244140599</v>
      </c>
    </row>
    <row r="2249" spans="1:2" x14ac:dyDescent="0.25">
      <c r="A2249" s="5">
        <v>25217</v>
      </c>
      <c r="B2249">
        <v>101.129997253418</v>
      </c>
    </row>
    <row r="2250" spans="1:2" x14ac:dyDescent="0.25">
      <c r="A2250" s="5">
        <v>25218</v>
      </c>
      <c r="B2250">
        <v>101.620002746582</v>
      </c>
    </row>
    <row r="2251" spans="1:2" x14ac:dyDescent="0.25">
      <c r="A2251" s="5">
        <v>25219</v>
      </c>
      <c r="B2251">
        <v>102.18000030517599</v>
      </c>
    </row>
    <row r="2252" spans="1:2" x14ac:dyDescent="0.25">
      <c r="A2252" s="5">
        <v>25220</v>
      </c>
      <c r="B2252">
        <v>102.029998779297</v>
      </c>
    </row>
    <row r="2253" spans="1:2" x14ac:dyDescent="0.25">
      <c r="A2253" s="5">
        <v>25223</v>
      </c>
      <c r="B2253">
        <v>101.69000244140599</v>
      </c>
    </row>
    <row r="2254" spans="1:2" x14ac:dyDescent="0.25">
      <c r="A2254" s="5">
        <v>25224</v>
      </c>
      <c r="B2254">
        <v>101.629997253418</v>
      </c>
    </row>
    <row r="2255" spans="1:2" x14ac:dyDescent="0.25">
      <c r="A2255" s="5">
        <v>25225</v>
      </c>
      <c r="B2255">
        <v>101.98000335693401</v>
      </c>
    </row>
    <row r="2256" spans="1:2" x14ac:dyDescent="0.25">
      <c r="A2256" s="5">
        <v>25226</v>
      </c>
      <c r="B2256">
        <v>102.43000030517599</v>
      </c>
    </row>
    <row r="2257" spans="1:2" x14ac:dyDescent="0.25">
      <c r="A2257" s="5">
        <v>25227</v>
      </c>
      <c r="B2257">
        <v>102.379997253418</v>
      </c>
    </row>
    <row r="2258" spans="1:2" x14ac:dyDescent="0.25">
      <c r="A2258" s="5">
        <v>25230</v>
      </c>
      <c r="B2258">
        <v>102.40000152587901</v>
      </c>
    </row>
    <row r="2259" spans="1:2" x14ac:dyDescent="0.25">
      <c r="A2259" s="5">
        <v>25231</v>
      </c>
      <c r="B2259">
        <v>102.41000366210901</v>
      </c>
    </row>
    <row r="2260" spans="1:2" x14ac:dyDescent="0.25">
      <c r="A2260" s="5">
        <v>25232</v>
      </c>
      <c r="B2260">
        <v>102.51000213623</v>
      </c>
    </row>
    <row r="2261" spans="1:2" x14ac:dyDescent="0.25">
      <c r="A2261" s="5">
        <v>25233</v>
      </c>
      <c r="B2261">
        <v>102.550003051758</v>
      </c>
    </row>
    <row r="2262" spans="1:2" x14ac:dyDescent="0.25">
      <c r="A2262" s="5">
        <v>25234</v>
      </c>
      <c r="B2262">
        <v>103.01000213623</v>
      </c>
    </row>
    <row r="2263" spans="1:2" x14ac:dyDescent="0.25">
      <c r="A2263" s="5">
        <v>25237</v>
      </c>
      <c r="B2263">
        <v>102.889999389648</v>
      </c>
    </row>
    <row r="2264" spans="1:2" x14ac:dyDescent="0.25">
      <c r="A2264" s="5">
        <v>25238</v>
      </c>
      <c r="B2264">
        <v>102.919998168945</v>
      </c>
    </row>
    <row r="2265" spans="1:2" x14ac:dyDescent="0.25">
      <c r="A2265" s="5">
        <v>25239</v>
      </c>
      <c r="B2265">
        <v>103.199996948242</v>
      </c>
    </row>
    <row r="2266" spans="1:2" x14ac:dyDescent="0.25">
      <c r="A2266" s="5">
        <v>25240</v>
      </c>
      <c r="B2266">
        <v>103.540000915527</v>
      </c>
    </row>
    <row r="2267" spans="1:2" x14ac:dyDescent="0.25">
      <c r="A2267" s="5">
        <v>25241</v>
      </c>
      <c r="B2267">
        <v>103.529998779297</v>
      </c>
    </row>
    <row r="2268" spans="1:2" x14ac:dyDescent="0.25">
      <c r="A2268" s="5">
        <v>25245</v>
      </c>
      <c r="B2268">
        <v>103.65000152587901</v>
      </c>
    </row>
    <row r="2269" spans="1:2" x14ac:dyDescent="0.25">
      <c r="A2269" s="5">
        <v>25246</v>
      </c>
      <c r="B2269">
        <v>103.629997253418</v>
      </c>
    </row>
    <row r="2270" spans="1:2" x14ac:dyDescent="0.25">
      <c r="A2270" s="5">
        <v>25247</v>
      </c>
      <c r="B2270">
        <v>103.709999084473</v>
      </c>
    </row>
    <row r="2271" spans="1:2" x14ac:dyDescent="0.25">
      <c r="A2271" s="5">
        <v>25248</v>
      </c>
      <c r="B2271">
        <v>103.610000610352</v>
      </c>
    </row>
    <row r="2272" spans="1:2" x14ac:dyDescent="0.25">
      <c r="A2272" s="5">
        <v>25251</v>
      </c>
      <c r="B2272">
        <v>102.44000244140599</v>
      </c>
    </row>
    <row r="2273" spans="1:2" x14ac:dyDescent="0.25">
      <c r="A2273" s="5">
        <v>25252</v>
      </c>
      <c r="B2273">
        <v>101.40000152587901</v>
      </c>
    </row>
    <row r="2274" spans="1:2" x14ac:dyDescent="0.25">
      <c r="A2274" s="5">
        <v>25253</v>
      </c>
      <c r="B2274">
        <v>100.65000152587901</v>
      </c>
    </row>
    <row r="2275" spans="1:2" x14ac:dyDescent="0.25">
      <c r="A2275" s="5">
        <v>25254</v>
      </c>
      <c r="B2275">
        <v>99.790000915527301</v>
      </c>
    </row>
    <row r="2276" spans="1:2" x14ac:dyDescent="0.25">
      <c r="A2276" s="5">
        <v>25258</v>
      </c>
      <c r="B2276">
        <v>98.599998474121094</v>
      </c>
    </row>
    <row r="2277" spans="1:2" x14ac:dyDescent="0.25">
      <c r="A2277" s="5">
        <v>25259</v>
      </c>
      <c r="B2277">
        <v>97.980003356933594</v>
      </c>
    </row>
    <row r="2278" spans="1:2" x14ac:dyDescent="0.25">
      <c r="A2278" s="5">
        <v>25260</v>
      </c>
      <c r="B2278">
        <v>98.449996948242202</v>
      </c>
    </row>
    <row r="2279" spans="1:2" x14ac:dyDescent="0.25">
      <c r="A2279" s="5">
        <v>25261</v>
      </c>
      <c r="B2279">
        <v>98.139999389648395</v>
      </c>
    </row>
    <row r="2280" spans="1:2" x14ac:dyDescent="0.25">
      <c r="A2280" s="5">
        <v>25262</v>
      </c>
      <c r="B2280">
        <v>98.129997253417997</v>
      </c>
    </row>
    <row r="2281" spans="1:2" x14ac:dyDescent="0.25">
      <c r="A2281" s="5">
        <v>25265</v>
      </c>
      <c r="B2281">
        <v>98.379997253417997</v>
      </c>
    </row>
    <row r="2282" spans="1:2" x14ac:dyDescent="0.25">
      <c r="A2282" s="5">
        <v>25266</v>
      </c>
      <c r="B2282">
        <v>99.319999694824205</v>
      </c>
    </row>
    <row r="2283" spans="1:2" x14ac:dyDescent="0.25">
      <c r="A2283" s="5">
        <v>25267</v>
      </c>
      <c r="B2283">
        <v>99.709999084472699</v>
      </c>
    </row>
    <row r="2284" spans="1:2" x14ac:dyDescent="0.25">
      <c r="A2284" s="5">
        <v>25268</v>
      </c>
      <c r="B2284">
        <v>98.699996948242202</v>
      </c>
    </row>
    <row r="2285" spans="1:2" x14ac:dyDescent="0.25">
      <c r="A2285" s="5">
        <v>25269</v>
      </c>
      <c r="B2285">
        <v>98.650001525878906</v>
      </c>
    </row>
    <row r="2286" spans="1:2" x14ac:dyDescent="0.25">
      <c r="A2286" s="5">
        <v>25272</v>
      </c>
      <c r="B2286">
        <v>98.989997863769503</v>
      </c>
    </row>
    <row r="2287" spans="1:2" x14ac:dyDescent="0.25">
      <c r="A2287" s="5">
        <v>25273</v>
      </c>
      <c r="B2287">
        <v>99.319999694824205</v>
      </c>
    </row>
    <row r="2288" spans="1:2" x14ac:dyDescent="0.25">
      <c r="A2288" s="5">
        <v>25274</v>
      </c>
      <c r="B2288">
        <v>99.050003051757798</v>
      </c>
    </row>
    <row r="2289" spans="1:2" x14ac:dyDescent="0.25">
      <c r="A2289" s="5">
        <v>25275</v>
      </c>
      <c r="B2289">
        <v>98.389999389648395</v>
      </c>
    </row>
    <row r="2290" spans="1:2" x14ac:dyDescent="0.25">
      <c r="A2290" s="5">
        <v>25276</v>
      </c>
      <c r="B2290">
        <v>98</v>
      </c>
    </row>
    <row r="2291" spans="1:2" x14ac:dyDescent="0.25">
      <c r="A2291" s="5">
        <v>25279</v>
      </c>
      <c r="B2291">
        <v>98.25</v>
      </c>
    </row>
    <row r="2292" spans="1:2" x14ac:dyDescent="0.25">
      <c r="A2292" s="5">
        <v>25280</v>
      </c>
      <c r="B2292">
        <v>98.489997863769503</v>
      </c>
    </row>
    <row r="2293" spans="1:2" x14ac:dyDescent="0.25">
      <c r="A2293" s="5">
        <v>25281</v>
      </c>
      <c r="B2293">
        <v>99.209999084472699</v>
      </c>
    </row>
    <row r="2294" spans="1:2" x14ac:dyDescent="0.25">
      <c r="A2294" s="5">
        <v>25282</v>
      </c>
      <c r="B2294">
        <v>99.839996337890597</v>
      </c>
    </row>
    <row r="2295" spans="1:2" x14ac:dyDescent="0.25">
      <c r="A2295" s="5">
        <v>25283</v>
      </c>
      <c r="B2295">
        <v>99.629997253417997</v>
      </c>
    </row>
    <row r="2296" spans="1:2" x14ac:dyDescent="0.25">
      <c r="A2296" s="5">
        <v>25286</v>
      </c>
      <c r="B2296">
        <v>99.5</v>
      </c>
    </row>
    <row r="2297" spans="1:2" x14ac:dyDescent="0.25">
      <c r="A2297" s="5">
        <v>25287</v>
      </c>
      <c r="B2297">
        <v>99.660003662109403</v>
      </c>
    </row>
    <row r="2298" spans="1:2" x14ac:dyDescent="0.25">
      <c r="A2298" s="5">
        <v>25288</v>
      </c>
      <c r="B2298">
        <v>100.389999389648</v>
      </c>
    </row>
    <row r="2299" spans="1:2" x14ac:dyDescent="0.25">
      <c r="A2299" s="5">
        <v>25289</v>
      </c>
      <c r="B2299">
        <v>101.09999847412099</v>
      </c>
    </row>
    <row r="2300" spans="1:2" x14ac:dyDescent="0.25">
      <c r="A2300" s="5">
        <v>25290</v>
      </c>
      <c r="B2300">
        <v>101.51000213623</v>
      </c>
    </row>
    <row r="2301" spans="1:2" x14ac:dyDescent="0.25">
      <c r="A2301" s="5">
        <v>25294</v>
      </c>
      <c r="B2301">
        <v>101.419998168945</v>
      </c>
    </row>
    <row r="2302" spans="1:2" x14ac:dyDescent="0.25">
      <c r="A2302" s="5">
        <v>25295</v>
      </c>
      <c r="B2302">
        <v>100.779998779297</v>
      </c>
    </row>
    <row r="2303" spans="1:2" x14ac:dyDescent="0.25">
      <c r="A2303" s="5">
        <v>25296</v>
      </c>
      <c r="B2303">
        <v>100.68000030517599</v>
      </c>
    </row>
    <row r="2304" spans="1:2" x14ac:dyDescent="0.25">
      <c r="A2304" s="5">
        <v>25300</v>
      </c>
      <c r="B2304">
        <v>99.889999389648395</v>
      </c>
    </row>
    <row r="2305" spans="1:2" x14ac:dyDescent="0.25">
      <c r="A2305" s="5">
        <v>25301</v>
      </c>
      <c r="B2305">
        <v>100.139999389648</v>
      </c>
    </row>
    <row r="2306" spans="1:2" x14ac:dyDescent="0.25">
      <c r="A2306" s="5">
        <v>25302</v>
      </c>
      <c r="B2306">
        <v>101.01999664306599</v>
      </c>
    </row>
    <row r="2307" spans="1:2" x14ac:dyDescent="0.25">
      <c r="A2307" s="5">
        <v>25303</v>
      </c>
      <c r="B2307">
        <v>101.550003051758</v>
      </c>
    </row>
    <row r="2308" spans="1:2" x14ac:dyDescent="0.25">
      <c r="A2308" s="5">
        <v>25304</v>
      </c>
      <c r="B2308">
        <v>101.65000152587901</v>
      </c>
    </row>
    <row r="2309" spans="1:2" x14ac:dyDescent="0.25">
      <c r="A2309" s="5">
        <v>25307</v>
      </c>
      <c r="B2309">
        <v>101.56999969482401</v>
      </c>
    </row>
    <row r="2310" spans="1:2" x14ac:dyDescent="0.25">
      <c r="A2310" s="5">
        <v>25308</v>
      </c>
      <c r="B2310">
        <v>101.529998779297</v>
      </c>
    </row>
    <row r="2311" spans="1:2" x14ac:dyDescent="0.25">
      <c r="A2311" s="5">
        <v>25309</v>
      </c>
      <c r="B2311">
        <v>100.629997253418</v>
      </c>
    </row>
    <row r="2312" spans="1:2" x14ac:dyDescent="0.25">
      <c r="A2312" s="5">
        <v>25310</v>
      </c>
      <c r="B2312">
        <v>100.779998779297</v>
      </c>
    </row>
    <row r="2313" spans="1:2" x14ac:dyDescent="0.25">
      <c r="A2313" s="5">
        <v>25311</v>
      </c>
      <c r="B2313">
        <v>101.23999786377</v>
      </c>
    </row>
    <row r="2314" spans="1:2" x14ac:dyDescent="0.25">
      <c r="A2314" s="5">
        <v>25314</v>
      </c>
      <c r="B2314">
        <v>100.55999755859401</v>
      </c>
    </row>
    <row r="2315" spans="1:2" x14ac:dyDescent="0.25">
      <c r="A2315" s="5">
        <v>25315</v>
      </c>
      <c r="B2315">
        <v>100.779998779297</v>
      </c>
    </row>
    <row r="2316" spans="1:2" x14ac:dyDescent="0.25">
      <c r="A2316" s="5">
        <v>25316</v>
      </c>
      <c r="B2316">
        <v>100.800003051758</v>
      </c>
    </row>
    <row r="2317" spans="1:2" x14ac:dyDescent="0.25">
      <c r="A2317" s="5">
        <v>25317</v>
      </c>
      <c r="B2317">
        <v>101.26999664306599</v>
      </c>
    </row>
    <row r="2318" spans="1:2" x14ac:dyDescent="0.25">
      <c r="A2318" s="5">
        <v>25318</v>
      </c>
      <c r="B2318">
        <v>101.720001220703</v>
      </c>
    </row>
    <row r="2319" spans="1:2" x14ac:dyDescent="0.25">
      <c r="A2319" s="5">
        <v>25321</v>
      </c>
      <c r="B2319">
        <v>102.029998779297</v>
      </c>
    </row>
    <row r="2320" spans="1:2" x14ac:dyDescent="0.25">
      <c r="A2320" s="5">
        <v>25322</v>
      </c>
      <c r="B2320">
        <v>102.790000915527</v>
      </c>
    </row>
    <row r="2321" spans="1:2" x14ac:dyDescent="0.25">
      <c r="A2321" s="5">
        <v>25323</v>
      </c>
      <c r="B2321">
        <v>103.69000244140599</v>
      </c>
    </row>
    <row r="2322" spans="1:2" x14ac:dyDescent="0.25">
      <c r="A2322" s="5">
        <v>25324</v>
      </c>
      <c r="B2322">
        <v>103.51000213623</v>
      </c>
    </row>
    <row r="2323" spans="1:2" x14ac:dyDescent="0.25">
      <c r="A2323" s="5">
        <v>25325</v>
      </c>
      <c r="B2323">
        <v>104</v>
      </c>
    </row>
    <row r="2324" spans="1:2" x14ac:dyDescent="0.25">
      <c r="A2324" s="5">
        <v>25328</v>
      </c>
      <c r="B2324">
        <v>104.370002746582</v>
      </c>
    </row>
    <row r="2325" spans="1:2" x14ac:dyDescent="0.25">
      <c r="A2325" s="5">
        <v>25329</v>
      </c>
      <c r="B2325">
        <v>104.860000610352</v>
      </c>
    </row>
    <row r="2326" spans="1:2" x14ac:dyDescent="0.25">
      <c r="A2326" s="5">
        <v>25330</v>
      </c>
      <c r="B2326">
        <v>104.669998168945</v>
      </c>
    </row>
    <row r="2327" spans="1:2" x14ac:dyDescent="0.25">
      <c r="A2327" s="5">
        <v>25331</v>
      </c>
      <c r="B2327">
        <v>105.09999847412099</v>
      </c>
    </row>
    <row r="2328" spans="1:2" x14ac:dyDescent="0.25">
      <c r="A2328" s="5">
        <v>25332</v>
      </c>
      <c r="B2328">
        <v>105.050003051758</v>
      </c>
    </row>
    <row r="2329" spans="1:2" x14ac:dyDescent="0.25">
      <c r="A2329" s="5">
        <v>25335</v>
      </c>
      <c r="B2329">
        <v>104.889999389648</v>
      </c>
    </row>
    <row r="2330" spans="1:2" x14ac:dyDescent="0.25">
      <c r="A2330" s="5">
        <v>25336</v>
      </c>
      <c r="B2330">
        <v>105.33999633789099</v>
      </c>
    </row>
    <row r="2331" spans="1:2" x14ac:dyDescent="0.25">
      <c r="A2331" s="5">
        <v>25337</v>
      </c>
      <c r="B2331">
        <v>106.16000366210901</v>
      </c>
    </row>
    <row r="2332" spans="1:2" x14ac:dyDescent="0.25">
      <c r="A2332" s="5">
        <v>25338</v>
      </c>
      <c r="B2332">
        <v>105.84999847412099</v>
      </c>
    </row>
    <row r="2333" spans="1:2" x14ac:dyDescent="0.25">
      <c r="A2333" s="5">
        <v>25339</v>
      </c>
      <c r="B2333">
        <v>105.94000244140599</v>
      </c>
    </row>
    <row r="2334" spans="1:2" x14ac:dyDescent="0.25">
      <c r="A2334" s="5">
        <v>25342</v>
      </c>
      <c r="B2334">
        <v>104.970001220703</v>
      </c>
    </row>
    <row r="2335" spans="1:2" x14ac:dyDescent="0.25">
      <c r="A2335" s="5">
        <v>25343</v>
      </c>
      <c r="B2335">
        <v>104.040000915527</v>
      </c>
    </row>
    <row r="2336" spans="1:2" x14ac:dyDescent="0.25">
      <c r="A2336" s="5">
        <v>25344</v>
      </c>
      <c r="B2336">
        <v>104.470001220703</v>
      </c>
    </row>
    <row r="2337" spans="1:2" x14ac:dyDescent="0.25">
      <c r="A2337" s="5">
        <v>25345</v>
      </c>
      <c r="B2337">
        <v>104.59999847412099</v>
      </c>
    </row>
    <row r="2338" spans="1:2" x14ac:dyDescent="0.25">
      <c r="A2338" s="5">
        <v>25346</v>
      </c>
      <c r="B2338">
        <v>104.58999633789099</v>
      </c>
    </row>
    <row r="2339" spans="1:2" x14ac:dyDescent="0.25">
      <c r="A2339" s="5">
        <v>25349</v>
      </c>
      <c r="B2339">
        <v>104.360000610352</v>
      </c>
    </row>
    <row r="2340" spans="1:2" x14ac:dyDescent="0.25">
      <c r="A2340" s="5">
        <v>25350</v>
      </c>
      <c r="B2340">
        <v>103.56999969482401</v>
      </c>
    </row>
    <row r="2341" spans="1:2" x14ac:dyDescent="0.25">
      <c r="A2341" s="5">
        <v>25351</v>
      </c>
      <c r="B2341">
        <v>103.26000213623</v>
      </c>
    </row>
    <row r="2342" spans="1:2" x14ac:dyDescent="0.25">
      <c r="A2342" s="5">
        <v>25352</v>
      </c>
      <c r="B2342">
        <v>103.459999084473</v>
      </c>
    </row>
    <row r="2343" spans="1:2" x14ac:dyDescent="0.25">
      <c r="A2343" s="5">
        <v>25356</v>
      </c>
      <c r="B2343">
        <v>102.94000244140599</v>
      </c>
    </row>
    <row r="2344" spans="1:2" x14ac:dyDescent="0.25">
      <c r="A2344" s="5">
        <v>25357</v>
      </c>
      <c r="B2344">
        <v>102.629997253418</v>
      </c>
    </row>
    <row r="2345" spans="1:2" x14ac:dyDescent="0.25">
      <c r="A2345" s="5">
        <v>25358</v>
      </c>
      <c r="B2345">
        <v>102.58999633789099</v>
      </c>
    </row>
    <row r="2346" spans="1:2" x14ac:dyDescent="0.25">
      <c r="A2346" s="5">
        <v>25359</v>
      </c>
      <c r="B2346">
        <v>102.76000213623</v>
      </c>
    </row>
    <row r="2347" spans="1:2" x14ac:dyDescent="0.25">
      <c r="A2347" s="5">
        <v>25360</v>
      </c>
      <c r="B2347">
        <v>102.120002746582</v>
      </c>
    </row>
    <row r="2348" spans="1:2" x14ac:dyDescent="0.25">
      <c r="A2348" s="5">
        <v>25363</v>
      </c>
      <c r="B2348">
        <v>101.199996948242</v>
      </c>
    </row>
    <row r="2349" spans="1:2" x14ac:dyDescent="0.25">
      <c r="A2349" s="5">
        <v>25364</v>
      </c>
      <c r="B2349">
        <v>100.419998168945</v>
      </c>
    </row>
    <row r="2350" spans="1:2" x14ac:dyDescent="0.25">
      <c r="A2350" s="5">
        <v>25365</v>
      </c>
      <c r="B2350">
        <v>99.050003051757798</v>
      </c>
    </row>
    <row r="2351" spans="1:2" x14ac:dyDescent="0.25">
      <c r="A2351" s="5">
        <v>25366</v>
      </c>
      <c r="B2351">
        <v>98.260002136230497</v>
      </c>
    </row>
    <row r="2352" spans="1:2" x14ac:dyDescent="0.25">
      <c r="A2352" s="5">
        <v>25367</v>
      </c>
      <c r="B2352">
        <v>98.650001525878906</v>
      </c>
    </row>
    <row r="2353" spans="1:2" x14ac:dyDescent="0.25">
      <c r="A2353" s="5">
        <v>25370</v>
      </c>
      <c r="B2353">
        <v>98.319999694824205</v>
      </c>
    </row>
    <row r="2354" spans="1:2" x14ac:dyDescent="0.25">
      <c r="A2354" s="5">
        <v>25371</v>
      </c>
      <c r="B2354">
        <v>97.949996948242202</v>
      </c>
    </row>
    <row r="2355" spans="1:2" x14ac:dyDescent="0.25">
      <c r="A2355" s="5">
        <v>25372</v>
      </c>
      <c r="B2355">
        <v>97.809997558593807</v>
      </c>
    </row>
    <row r="2356" spans="1:2" x14ac:dyDescent="0.25">
      <c r="A2356" s="5">
        <v>25373</v>
      </c>
      <c r="B2356">
        <v>97.239997863769503</v>
      </c>
    </row>
    <row r="2357" spans="1:2" x14ac:dyDescent="0.25">
      <c r="A2357" s="5">
        <v>25374</v>
      </c>
      <c r="B2357">
        <v>96.669998168945298</v>
      </c>
    </row>
    <row r="2358" spans="1:2" x14ac:dyDescent="0.25">
      <c r="A2358" s="5">
        <v>25377</v>
      </c>
      <c r="B2358">
        <v>96.230003356933594</v>
      </c>
    </row>
    <row r="2359" spans="1:2" x14ac:dyDescent="0.25">
      <c r="A2359" s="5">
        <v>25378</v>
      </c>
      <c r="B2359">
        <v>97.319999694824205</v>
      </c>
    </row>
    <row r="2360" spans="1:2" x14ac:dyDescent="0.25">
      <c r="A2360" s="5">
        <v>25379</v>
      </c>
      <c r="B2360">
        <v>97.010002136230497</v>
      </c>
    </row>
    <row r="2361" spans="1:2" x14ac:dyDescent="0.25">
      <c r="A2361" s="5">
        <v>25380</v>
      </c>
      <c r="B2361">
        <v>97.25</v>
      </c>
    </row>
    <row r="2362" spans="1:2" x14ac:dyDescent="0.25">
      <c r="A2362" s="5">
        <v>25381</v>
      </c>
      <c r="B2362">
        <v>97.330001831054702</v>
      </c>
    </row>
    <row r="2363" spans="1:2" x14ac:dyDescent="0.25">
      <c r="A2363" s="5">
        <v>25384</v>
      </c>
      <c r="B2363">
        <v>97.709999084472699</v>
      </c>
    </row>
    <row r="2364" spans="1:2" x14ac:dyDescent="0.25">
      <c r="A2364" s="5">
        <v>25385</v>
      </c>
      <c r="B2364">
        <v>98.080001831054702</v>
      </c>
    </row>
    <row r="2365" spans="1:2" x14ac:dyDescent="0.25">
      <c r="A2365" s="5">
        <v>25386</v>
      </c>
      <c r="B2365">
        <v>98.940002441406193</v>
      </c>
    </row>
    <row r="2366" spans="1:2" x14ac:dyDescent="0.25">
      <c r="A2366" s="5">
        <v>25387</v>
      </c>
      <c r="B2366">
        <v>99.610000610351605</v>
      </c>
    </row>
    <row r="2367" spans="1:2" x14ac:dyDescent="0.25">
      <c r="A2367" s="5">
        <v>25391</v>
      </c>
      <c r="B2367">
        <v>99.029998779296903</v>
      </c>
    </row>
    <row r="2368" spans="1:2" x14ac:dyDescent="0.25">
      <c r="A2368" s="5">
        <v>25392</v>
      </c>
      <c r="B2368">
        <v>97.629997253417997</v>
      </c>
    </row>
    <row r="2369" spans="1:2" x14ac:dyDescent="0.25">
      <c r="A2369" s="5">
        <v>25393</v>
      </c>
      <c r="B2369">
        <v>96.879997253417997</v>
      </c>
    </row>
    <row r="2370" spans="1:2" x14ac:dyDescent="0.25">
      <c r="A2370" s="5">
        <v>25394</v>
      </c>
      <c r="B2370">
        <v>95.379997253417997</v>
      </c>
    </row>
    <row r="2371" spans="1:2" x14ac:dyDescent="0.25">
      <c r="A2371" s="5">
        <v>25395</v>
      </c>
      <c r="B2371">
        <v>95.769996643066406</v>
      </c>
    </row>
    <row r="2372" spans="1:2" x14ac:dyDescent="0.25">
      <c r="A2372" s="5">
        <v>25398</v>
      </c>
      <c r="B2372">
        <v>94.550003051757798</v>
      </c>
    </row>
    <row r="2373" spans="1:2" x14ac:dyDescent="0.25">
      <c r="A2373" s="5">
        <v>25399</v>
      </c>
      <c r="B2373">
        <v>94.239997863769503</v>
      </c>
    </row>
    <row r="2374" spans="1:2" x14ac:dyDescent="0.25">
      <c r="A2374" s="5">
        <v>25400</v>
      </c>
      <c r="B2374">
        <v>95.180000305175795</v>
      </c>
    </row>
    <row r="2375" spans="1:2" x14ac:dyDescent="0.25">
      <c r="A2375" s="5">
        <v>25401</v>
      </c>
      <c r="B2375">
        <v>95.760002136230497</v>
      </c>
    </row>
    <row r="2376" spans="1:2" x14ac:dyDescent="0.25">
      <c r="A2376" s="5">
        <v>25402</v>
      </c>
      <c r="B2376">
        <v>94.949996948242202</v>
      </c>
    </row>
    <row r="2377" spans="1:2" x14ac:dyDescent="0.25">
      <c r="A2377" s="5">
        <v>25406</v>
      </c>
      <c r="B2377">
        <v>93.519996643066406</v>
      </c>
    </row>
    <row r="2378" spans="1:2" x14ac:dyDescent="0.25">
      <c r="A2378" s="5">
        <v>25407</v>
      </c>
      <c r="B2378">
        <v>93.120002746582003</v>
      </c>
    </row>
    <row r="2379" spans="1:2" x14ac:dyDescent="0.25">
      <c r="A2379" s="5">
        <v>25408</v>
      </c>
      <c r="B2379">
        <v>92.800003051757798</v>
      </c>
    </row>
    <row r="2380" spans="1:2" x14ac:dyDescent="0.25">
      <c r="A2380" s="5">
        <v>25409</v>
      </c>
      <c r="B2380">
        <v>92.059997558593807</v>
      </c>
    </row>
    <row r="2381" spans="1:2" x14ac:dyDescent="0.25">
      <c r="A2381" s="5">
        <v>25412</v>
      </c>
      <c r="B2381">
        <v>90.209999084472699</v>
      </c>
    </row>
    <row r="2382" spans="1:2" x14ac:dyDescent="0.25">
      <c r="A2382" s="5">
        <v>25413</v>
      </c>
      <c r="B2382">
        <v>89.480003356933594</v>
      </c>
    </row>
    <row r="2383" spans="1:2" x14ac:dyDescent="0.25">
      <c r="A2383" s="5">
        <v>25414</v>
      </c>
      <c r="B2383">
        <v>89.930000305175795</v>
      </c>
    </row>
    <row r="2384" spans="1:2" x14ac:dyDescent="0.25">
      <c r="A2384" s="5">
        <v>25415</v>
      </c>
      <c r="B2384">
        <v>91.830001831054702</v>
      </c>
    </row>
    <row r="2385" spans="1:2" x14ac:dyDescent="0.25">
      <c r="A2385" s="5">
        <v>25416</v>
      </c>
      <c r="B2385">
        <v>93.470001220703097</v>
      </c>
    </row>
    <row r="2386" spans="1:2" x14ac:dyDescent="0.25">
      <c r="A2386" s="5">
        <v>25419</v>
      </c>
      <c r="B2386">
        <v>92.989997863769503</v>
      </c>
    </row>
    <row r="2387" spans="1:2" x14ac:dyDescent="0.25">
      <c r="A2387" s="5">
        <v>25420</v>
      </c>
      <c r="B2387">
        <v>93.410003662109403</v>
      </c>
    </row>
    <row r="2388" spans="1:2" x14ac:dyDescent="0.25">
      <c r="A2388" s="5">
        <v>25421</v>
      </c>
      <c r="B2388">
        <v>93.919998168945298</v>
      </c>
    </row>
    <row r="2389" spans="1:2" x14ac:dyDescent="0.25">
      <c r="A2389" s="5">
        <v>25422</v>
      </c>
      <c r="B2389">
        <v>93.989997863769503</v>
      </c>
    </row>
    <row r="2390" spans="1:2" x14ac:dyDescent="0.25">
      <c r="A2390" s="5">
        <v>25423</v>
      </c>
      <c r="B2390">
        <v>93.940002441406193</v>
      </c>
    </row>
    <row r="2391" spans="1:2" x14ac:dyDescent="0.25">
      <c r="A2391" s="5">
        <v>25426</v>
      </c>
      <c r="B2391">
        <v>93.360000610351605</v>
      </c>
    </row>
    <row r="2392" spans="1:2" x14ac:dyDescent="0.25">
      <c r="A2392" s="5">
        <v>25427</v>
      </c>
      <c r="B2392">
        <v>92.629997253417997</v>
      </c>
    </row>
    <row r="2393" spans="1:2" x14ac:dyDescent="0.25">
      <c r="A2393" s="5">
        <v>25428</v>
      </c>
      <c r="B2393">
        <v>92.699996948242202</v>
      </c>
    </row>
    <row r="2394" spans="1:2" x14ac:dyDescent="0.25">
      <c r="A2394" s="5">
        <v>25429</v>
      </c>
      <c r="B2394">
        <v>93.339996337890597</v>
      </c>
    </row>
    <row r="2395" spans="1:2" x14ac:dyDescent="0.25">
      <c r="A2395" s="5">
        <v>25430</v>
      </c>
      <c r="B2395">
        <v>94</v>
      </c>
    </row>
    <row r="2396" spans="1:2" x14ac:dyDescent="0.25">
      <c r="A2396" s="5">
        <v>25433</v>
      </c>
      <c r="B2396">
        <v>94.569999694824205</v>
      </c>
    </row>
    <row r="2397" spans="1:2" x14ac:dyDescent="0.25">
      <c r="A2397" s="5">
        <v>25434</v>
      </c>
      <c r="B2397">
        <v>95.069999694824205</v>
      </c>
    </row>
    <row r="2398" spans="1:2" x14ac:dyDescent="0.25">
      <c r="A2398" s="5">
        <v>25435</v>
      </c>
      <c r="B2398">
        <v>95.069999694824205</v>
      </c>
    </row>
    <row r="2399" spans="1:2" x14ac:dyDescent="0.25">
      <c r="A2399" s="5">
        <v>25436</v>
      </c>
      <c r="B2399">
        <v>95.349998474121094</v>
      </c>
    </row>
    <row r="2400" spans="1:2" x14ac:dyDescent="0.25">
      <c r="A2400" s="5">
        <v>25437</v>
      </c>
      <c r="B2400">
        <v>95.919998168945298</v>
      </c>
    </row>
    <row r="2401" spans="1:2" x14ac:dyDescent="0.25">
      <c r="A2401" s="5">
        <v>25440</v>
      </c>
      <c r="B2401">
        <v>94.930000305175795</v>
      </c>
    </row>
    <row r="2402" spans="1:2" x14ac:dyDescent="0.25">
      <c r="A2402" s="5">
        <v>25441</v>
      </c>
      <c r="B2402">
        <v>94.300003051757798</v>
      </c>
    </row>
    <row r="2403" spans="1:2" x14ac:dyDescent="0.25">
      <c r="A2403" s="5">
        <v>25442</v>
      </c>
      <c r="B2403">
        <v>94.489997863769503</v>
      </c>
    </row>
    <row r="2404" spans="1:2" x14ac:dyDescent="0.25">
      <c r="A2404" s="5">
        <v>25443</v>
      </c>
      <c r="B2404">
        <v>94.889999389648395</v>
      </c>
    </row>
    <row r="2405" spans="1:2" x14ac:dyDescent="0.25">
      <c r="A2405" s="5">
        <v>25444</v>
      </c>
      <c r="B2405">
        <v>95.510002136230497</v>
      </c>
    </row>
    <row r="2406" spans="1:2" x14ac:dyDescent="0.25">
      <c r="A2406" s="5">
        <v>25448</v>
      </c>
      <c r="B2406">
        <v>95.540000915527301</v>
      </c>
    </row>
    <row r="2407" spans="1:2" x14ac:dyDescent="0.25">
      <c r="A2407" s="5">
        <v>25449</v>
      </c>
      <c r="B2407">
        <v>94.980003356933594</v>
      </c>
    </row>
    <row r="2408" spans="1:2" x14ac:dyDescent="0.25">
      <c r="A2408" s="5">
        <v>25450</v>
      </c>
      <c r="B2408">
        <v>94.199996948242202</v>
      </c>
    </row>
    <row r="2409" spans="1:2" x14ac:dyDescent="0.25">
      <c r="A2409" s="5">
        <v>25451</v>
      </c>
      <c r="B2409">
        <v>93.639999389648395</v>
      </c>
    </row>
    <row r="2410" spans="1:2" x14ac:dyDescent="0.25">
      <c r="A2410" s="5">
        <v>25454</v>
      </c>
      <c r="B2410">
        <v>92.699996948242202</v>
      </c>
    </row>
    <row r="2411" spans="1:2" x14ac:dyDescent="0.25">
      <c r="A2411" s="5">
        <v>25455</v>
      </c>
      <c r="B2411">
        <v>93.379997253417997</v>
      </c>
    </row>
    <row r="2412" spans="1:2" x14ac:dyDescent="0.25">
      <c r="A2412" s="5">
        <v>25456</v>
      </c>
      <c r="B2412">
        <v>94.949996948242202</v>
      </c>
    </row>
    <row r="2413" spans="1:2" x14ac:dyDescent="0.25">
      <c r="A2413" s="5">
        <v>25457</v>
      </c>
      <c r="B2413">
        <v>94.220001220703097</v>
      </c>
    </row>
    <row r="2414" spans="1:2" x14ac:dyDescent="0.25">
      <c r="A2414" s="5">
        <v>25458</v>
      </c>
      <c r="B2414">
        <v>94.129997253417997</v>
      </c>
    </row>
    <row r="2415" spans="1:2" x14ac:dyDescent="0.25">
      <c r="A2415" s="5">
        <v>25461</v>
      </c>
      <c r="B2415">
        <v>94.870002746582003</v>
      </c>
    </row>
    <row r="2416" spans="1:2" x14ac:dyDescent="0.25">
      <c r="A2416" s="5">
        <v>25462</v>
      </c>
      <c r="B2416">
        <v>94.949996948242202</v>
      </c>
    </row>
    <row r="2417" spans="1:2" x14ac:dyDescent="0.25">
      <c r="A2417" s="5">
        <v>25463</v>
      </c>
      <c r="B2417">
        <v>94.760002136230497</v>
      </c>
    </row>
    <row r="2418" spans="1:2" x14ac:dyDescent="0.25">
      <c r="A2418" s="5">
        <v>25464</v>
      </c>
      <c r="B2418">
        <v>94.900001525878906</v>
      </c>
    </row>
    <row r="2419" spans="1:2" x14ac:dyDescent="0.25">
      <c r="A2419" s="5">
        <v>25465</v>
      </c>
      <c r="B2419">
        <v>95.190002441406193</v>
      </c>
    </row>
    <row r="2420" spans="1:2" x14ac:dyDescent="0.25">
      <c r="A2420" s="5">
        <v>25468</v>
      </c>
      <c r="B2420">
        <v>95.629997253417997</v>
      </c>
    </row>
    <row r="2421" spans="1:2" x14ac:dyDescent="0.25">
      <c r="A2421" s="5">
        <v>25469</v>
      </c>
      <c r="B2421">
        <v>95.629997253417997</v>
      </c>
    </row>
    <row r="2422" spans="1:2" x14ac:dyDescent="0.25">
      <c r="A2422" s="5">
        <v>25470</v>
      </c>
      <c r="B2422">
        <v>95.5</v>
      </c>
    </row>
    <row r="2423" spans="1:2" x14ac:dyDescent="0.25">
      <c r="A2423" s="5">
        <v>25471</v>
      </c>
      <c r="B2423">
        <v>94.769996643066406</v>
      </c>
    </row>
    <row r="2424" spans="1:2" x14ac:dyDescent="0.25">
      <c r="A2424" s="5">
        <v>25472</v>
      </c>
      <c r="B2424">
        <v>94.160003662109403</v>
      </c>
    </row>
    <row r="2425" spans="1:2" x14ac:dyDescent="0.25">
      <c r="A2425" s="5">
        <v>25475</v>
      </c>
      <c r="B2425">
        <v>93.410003662109403</v>
      </c>
    </row>
    <row r="2426" spans="1:2" x14ac:dyDescent="0.25">
      <c r="A2426" s="5">
        <v>25476</v>
      </c>
      <c r="B2426">
        <v>93.120002746582003</v>
      </c>
    </row>
    <row r="2427" spans="1:2" x14ac:dyDescent="0.25">
      <c r="A2427" s="5">
        <v>25477</v>
      </c>
      <c r="B2427">
        <v>92.519996643066406</v>
      </c>
    </row>
    <row r="2428" spans="1:2" x14ac:dyDescent="0.25">
      <c r="A2428" s="5">
        <v>25478</v>
      </c>
      <c r="B2428">
        <v>93.239997863769503</v>
      </c>
    </row>
    <row r="2429" spans="1:2" x14ac:dyDescent="0.25">
      <c r="A2429" s="5">
        <v>25479</v>
      </c>
      <c r="B2429">
        <v>93.190002441406193</v>
      </c>
    </row>
    <row r="2430" spans="1:2" x14ac:dyDescent="0.25">
      <c r="A2430" s="5">
        <v>25482</v>
      </c>
      <c r="B2430">
        <v>93.379997253417997</v>
      </c>
    </row>
    <row r="2431" spans="1:2" x14ac:dyDescent="0.25">
      <c r="A2431" s="5">
        <v>25483</v>
      </c>
      <c r="B2431">
        <v>93.089996337890597</v>
      </c>
    </row>
    <row r="2432" spans="1:2" x14ac:dyDescent="0.25">
      <c r="A2432" s="5">
        <v>25484</v>
      </c>
      <c r="B2432">
        <v>92.669998168945298</v>
      </c>
    </row>
    <row r="2433" spans="1:2" x14ac:dyDescent="0.25">
      <c r="A2433" s="5">
        <v>25485</v>
      </c>
      <c r="B2433">
        <v>93.029998779296903</v>
      </c>
    </row>
    <row r="2434" spans="1:2" x14ac:dyDescent="0.25">
      <c r="A2434" s="5">
        <v>25486</v>
      </c>
      <c r="B2434">
        <v>93.559997558593807</v>
      </c>
    </row>
    <row r="2435" spans="1:2" x14ac:dyDescent="0.25">
      <c r="A2435" s="5">
        <v>25489</v>
      </c>
      <c r="B2435">
        <v>94.550003051757798</v>
      </c>
    </row>
    <row r="2436" spans="1:2" x14ac:dyDescent="0.25">
      <c r="A2436" s="5">
        <v>25490</v>
      </c>
      <c r="B2436">
        <v>95.699996948242202</v>
      </c>
    </row>
    <row r="2437" spans="1:2" x14ac:dyDescent="0.25">
      <c r="A2437" s="5">
        <v>25491</v>
      </c>
      <c r="B2437">
        <v>95.720001220703097</v>
      </c>
    </row>
    <row r="2438" spans="1:2" x14ac:dyDescent="0.25">
      <c r="A2438" s="5">
        <v>25492</v>
      </c>
      <c r="B2438">
        <v>96.370002746582003</v>
      </c>
    </row>
    <row r="2439" spans="1:2" x14ac:dyDescent="0.25">
      <c r="A2439" s="5">
        <v>25493</v>
      </c>
      <c r="B2439">
        <v>96.260002136230497</v>
      </c>
    </row>
    <row r="2440" spans="1:2" x14ac:dyDescent="0.25">
      <c r="A2440" s="5">
        <v>25496</v>
      </c>
      <c r="B2440">
        <v>96.459999084472699</v>
      </c>
    </row>
    <row r="2441" spans="1:2" x14ac:dyDescent="0.25">
      <c r="A2441" s="5">
        <v>25497</v>
      </c>
      <c r="B2441">
        <v>97.199996948242202</v>
      </c>
    </row>
    <row r="2442" spans="1:2" x14ac:dyDescent="0.25">
      <c r="A2442" s="5">
        <v>25498</v>
      </c>
      <c r="B2442">
        <v>97.830001831054702</v>
      </c>
    </row>
    <row r="2443" spans="1:2" x14ac:dyDescent="0.25">
      <c r="A2443" s="5">
        <v>25499</v>
      </c>
      <c r="B2443">
        <v>97.459999084472699</v>
      </c>
    </row>
    <row r="2444" spans="1:2" x14ac:dyDescent="0.25">
      <c r="A2444" s="5">
        <v>25500</v>
      </c>
      <c r="B2444">
        <v>98.120002746582003</v>
      </c>
    </row>
    <row r="2445" spans="1:2" x14ac:dyDescent="0.25">
      <c r="A2445" s="5">
        <v>25503</v>
      </c>
      <c r="B2445">
        <v>97.970001220703097</v>
      </c>
    </row>
    <row r="2446" spans="1:2" x14ac:dyDescent="0.25">
      <c r="A2446" s="5">
        <v>25504</v>
      </c>
      <c r="B2446">
        <v>97.660003662109403</v>
      </c>
    </row>
    <row r="2447" spans="1:2" x14ac:dyDescent="0.25">
      <c r="A2447" s="5">
        <v>25505</v>
      </c>
      <c r="B2447">
        <v>96.809997558593807</v>
      </c>
    </row>
    <row r="2448" spans="1:2" x14ac:dyDescent="0.25">
      <c r="A2448" s="5">
        <v>25506</v>
      </c>
      <c r="B2448">
        <v>96.930000305175795</v>
      </c>
    </row>
    <row r="2449" spans="1:2" x14ac:dyDescent="0.25">
      <c r="A2449" s="5">
        <v>25507</v>
      </c>
      <c r="B2449">
        <v>97.120002746582003</v>
      </c>
    </row>
    <row r="2450" spans="1:2" x14ac:dyDescent="0.25">
      <c r="A2450" s="5">
        <v>25510</v>
      </c>
      <c r="B2450">
        <v>97.150001525878906</v>
      </c>
    </row>
    <row r="2451" spans="1:2" x14ac:dyDescent="0.25">
      <c r="A2451" s="5">
        <v>25511</v>
      </c>
      <c r="B2451">
        <v>97.209999084472699</v>
      </c>
    </row>
    <row r="2452" spans="1:2" x14ac:dyDescent="0.25">
      <c r="A2452" s="5">
        <v>25512</v>
      </c>
      <c r="B2452">
        <v>97.639999389648395</v>
      </c>
    </row>
    <row r="2453" spans="1:2" x14ac:dyDescent="0.25">
      <c r="A2453" s="5">
        <v>25513</v>
      </c>
      <c r="B2453">
        <v>97.669998168945298</v>
      </c>
    </row>
    <row r="2454" spans="1:2" x14ac:dyDescent="0.25">
      <c r="A2454" s="5">
        <v>25514</v>
      </c>
      <c r="B2454">
        <v>98.260002136230497</v>
      </c>
    </row>
    <row r="2455" spans="1:2" x14ac:dyDescent="0.25">
      <c r="A2455" s="5">
        <v>25517</v>
      </c>
      <c r="B2455">
        <v>98.330001831054702</v>
      </c>
    </row>
    <row r="2456" spans="1:2" x14ac:dyDescent="0.25">
      <c r="A2456" s="5">
        <v>25518</v>
      </c>
      <c r="B2456">
        <v>98.069999694824205</v>
      </c>
    </row>
    <row r="2457" spans="1:2" x14ac:dyDescent="0.25">
      <c r="A2457" s="5">
        <v>25519</v>
      </c>
      <c r="B2457">
        <v>97.889999389648395</v>
      </c>
    </row>
    <row r="2458" spans="1:2" x14ac:dyDescent="0.25">
      <c r="A2458" s="5">
        <v>25520</v>
      </c>
      <c r="B2458">
        <v>97.419998168945298</v>
      </c>
    </row>
    <row r="2459" spans="1:2" x14ac:dyDescent="0.25">
      <c r="A2459" s="5">
        <v>25521</v>
      </c>
      <c r="B2459">
        <v>97.069999694824205</v>
      </c>
    </row>
    <row r="2460" spans="1:2" x14ac:dyDescent="0.25">
      <c r="A2460" s="5">
        <v>25524</v>
      </c>
      <c r="B2460">
        <v>96.410003662109403</v>
      </c>
    </row>
    <row r="2461" spans="1:2" x14ac:dyDescent="0.25">
      <c r="A2461" s="5">
        <v>25525</v>
      </c>
      <c r="B2461">
        <v>96.389999389648395</v>
      </c>
    </row>
    <row r="2462" spans="1:2" x14ac:dyDescent="0.25">
      <c r="A2462" s="5">
        <v>25526</v>
      </c>
      <c r="B2462">
        <v>95.900001525878906</v>
      </c>
    </row>
    <row r="2463" spans="1:2" x14ac:dyDescent="0.25">
      <c r="A2463" s="5">
        <v>25527</v>
      </c>
      <c r="B2463">
        <v>94.910003662109403</v>
      </c>
    </row>
    <row r="2464" spans="1:2" x14ac:dyDescent="0.25">
      <c r="A2464" s="5">
        <v>25528</v>
      </c>
      <c r="B2464">
        <v>94.319999694824205</v>
      </c>
    </row>
    <row r="2465" spans="1:2" x14ac:dyDescent="0.25">
      <c r="A2465" s="5">
        <v>25531</v>
      </c>
      <c r="B2465">
        <v>93.239997863769503</v>
      </c>
    </row>
    <row r="2466" spans="1:2" x14ac:dyDescent="0.25">
      <c r="A2466" s="5">
        <v>25532</v>
      </c>
      <c r="B2466">
        <v>92.940002441406193</v>
      </c>
    </row>
    <row r="2467" spans="1:2" x14ac:dyDescent="0.25">
      <c r="A2467" s="5">
        <v>25533</v>
      </c>
      <c r="B2467">
        <v>93.269996643066406</v>
      </c>
    </row>
    <row r="2468" spans="1:2" x14ac:dyDescent="0.25">
      <c r="A2468" s="5">
        <v>25535</v>
      </c>
      <c r="B2468">
        <v>93.809997558593807</v>
      </c>
    </row>
    <row r="2469" spans="1:2" x14ac:dyDescent="0.25">
      <c r="A2469" s="5">
        <v>25538</v>
      </c>
      <c r="B2469">
        <v>93.220001220703097</v>
      </c>
    </row>
    <row r="2470" spans="1:2" x14ac:dyDescent="0.25">
      <c r="A2470" s="5">
        <v>25539</v>
      </c>
      <c r="B2470">
        <v>92.650001525878906</v>
      </c>
    </row>
    <row r="2471" spans="1:2" x14ac:dyDescent="0.25">
      <c r="A2471" s="5">
        <v>25540</v>
      </c>
      <c r="B2471">
        <v>91.650001525878906</v>
      </c>
    </row>
    <row r="2472" spans="1:2" x14ac:dyDescent="0.25">
      <c r="A2472" s="5">
        <v>25541</v>
      </c>
      <c r="B2472">
        <v>91.949996948242202</v>
      </c>
    </row>
    <row r="2473" spans="1:2" x14ac:dyDescent="0.25">
      <c r="A2473" s="5">
        <v>25542</v>
      </c>
      <c r="B2473">
        <v>91.730003356933594</v>
      </c>
    </row>
    <row r="2474" spans="1:2" x14ac:dyDescent="0.25">
      <c r="A2474" s="5">
        <v>25545</v>
      </c>
      <c r="B2474">
        <v>90.839996337890597</v>
      </c>
    </row>
    <row r="2475" spans="1:2" x14ac:dyDescent="0.25">
      <c r="A2475" s="5">
        <v>25546</v>
      </c>
      <c r="B2475">
        <v>90.550003051757798</v>
      </c>
    </row>
    <row r="2476" spans="1:2" x14ac:dyDescent="0.25">
      <c r="A2476" s="5">
        <v>25547</v>
      </c>
      <c r="B2476">
        <v>90.480003356933594</v>
      </c>
    </row>
    <row r="2477" spans="1:2" x14ac:dyDescent="0.25">
      <c r="A2477" s="5">
        <v>25548</v>
      </c>
      <c r="B2477">
        <v>90.519996643066406</v>
      </c>
    </row>
    <row r="2478" spans="1:2" x14ac:dyDescent="0.25">
      <c r="A2478" s="5">
        <v>25549</v>
      </c>
      <c r="B2478">
        <v>90.809997558593807</v>
      </c>
    </row>
    <row r="2479" spans="1:2" x14ac:dyDescent="0.25">
      <c r="A2479" s="5">
        <v>25552</v>
      </c>
      <c r="B2479">
        <v>90.540000915527301</v>
      </c>
    </row>
    <row r="2480" spans="1:2" x14ac:dyDescent="0.25">
      <c r="A2480" s="5">
        <v>25553</v>
      </c>
      <c r="B2480">
        <v>89.720001220703097</v>
      </c>
    </row>
    <row r="2481" spans="1:2" x14ac:dyDescent="0.25">
      <c r="A2481" s="5">
        <v>25554</v>
      </c>
      <c r="B2481">
        <v>89.199996948242202</v>
      </c>
    </row>
    <row r="2482" spans="1:2" x14ac:dyDescent="0.25">
      <c r="A2482" s="5">
        <v>25555</v>
      </c>
      <c r="B2482">
        <v>90.610000610351605</v>
      </c>
    </row>
    <row r="2483" spans="1:2" x14ac:dyDescent="0.25">
      <c r="A2483" s="5">
        <v>25556</v>
      </c>
      <c r="B2483">
        <v>91.379997253417997</v>
      </c>
    </row>
    <row r="2484" spans="1:2" x14ac:dyDescent="0.25">
      <c r="A2484" s="5">
        <v>25559</v>
      </c>
      <c r="B2484">
        <v>90.580001831054702</v>
      </c>
    </row>
    <row r="2485" spans="1:2" x14ac:dyDescent="0.25">
      <c r="A2485" s="5">
        <v>25560</v>
      </c>
      <c r="B2485">
        <v>90.230003356933594</v>
      </c>
    </row>
    <row r="2486" spans="1:2" x14ac:dyDescent="0.25">
      <c r="A2486" s="5">
        <v>25561</v>
      </c>
      <c r="B2486">
        <v>91.180000305175795</v>
      </c>
    </row>
    <row r="2487" spans="1:2" x14ac:dyDescent="0.25">
      <c r="A2487" s="5">
        <v>25563</v>
      </c>
      <c r="B2487">
        <v>91.889999389648395</v>
      </c>
    </row>
    <row r="2488" spans="1:2" x14ac:dyDescent="0.25">
      <c r="A2488" s="5">
        <v>25566</v>
      </c>
      <c r="B2488">
        <v>91.25</v>
      </c>
    </row>
    <row r="2489" spans="1:2" x14ac:dyDescent="0.25">
      <c r="A2489" s="5">
        <v>25567</v>
      </c>
      <c r="B2489">
        <v>91.599998474121094</v>
      </c>
    </row>
    <row r="2490" spans="1:2" x14ac:dyDescent="0.25">
      <c r="A2490" s="5">
        <v>25568</v>
      </c>
      <c r="B2490">
        <v>92.059997558593807</v>
      </c>
    </row>
    <row r="2491" spans="1:2" x14ac:dyDescent="0.25">
      <c r="A2491" s="5">
        <v>25570</v>
      </c>
      <c r="B2491">
        <v>93</v>
      </c>
    </row>
    <row r="2492" spans="1:2" x14ac:dyDescent="0.25">
      <c r="A2492" s="5">
        <v>25573</v>
      </c>
      <c r="B2492">
        <v>93.459999084472699</v>
      </c>
    </row>
    <row r="2493" spans="1:2" x14ac:dyDescent="0.25">
      <c r="A2493" s="5">
        <v>25574</v>
      </c>
      <c r="B2493">
        <v>92.819999694824205</v>
      </c>
    </row>
    <row r="2494" spans="1:2" x14ac:dyDescent="0.25">
      <c r="A2494" s="5">
        <v>25575</v>
      </c>
      <c r="B2494">
        <v>92.629997253417997</v>
      </c>
    </row>
    <row r="2495" spans="1:2" x14ac:dyDescent="0.25">
      <c r="A2495" s="5">
        <v>25576</v>
      </c>
      <c r="B2495">
        <v>92.680000305175795</v>
      </c>
    </row>
    <row r="2496" spans="1:2" x14ac:dyDescent="0.25">
      <c r="A2496" s="5">
        <v>25577</v>
      </c>
      <c r="B2496">
        <v>92.400001525878906</v>
      </c>
    </row>
    <row r="2497" spans="1:2" x14ac:dyDescent="0.25">
      <c r="A2497" s="5">
        <v>25580</v>
      </c>
      <c r="B2497">
        <v>91.699996948242202</v>
      </c>
    </row>
    <row r="2498" spans="1:2" x14ac:dyDescent="0.25">
      <c r="A2498" s="5">
        <v>25581</v>
      </c>
      <c r="B2498">
        <v>91.919998168945298</v>
      </c>
    </row>
    <row r="2499" spans="1:2" x14ac:dyDescent="0.25">
      <c r="A2499" s="5">
        <v>25582</v>
      </c>
      <c r="B2499">
        <v>91.650001525878906</v>
      </c>
    </row>
    <row r="2500" spans="1:2" x14ac:dyDescent="0.25">
      <c r="A2500" s="5">
        <v>25583</v>
      </c>
      <c r="B2500">
        <v>91.680000305175795</v>
      </c>
    </row>
    <row r="2501" spans="1:2" x14ac:dyDescent="0.25">
      <c r="A2501" s="5">
        <v>25584</v>
      </c>
      <c r="B2501">
        <v>90.919998168945298</v>
      </c>
    </row>
    <row r="2502" spans="1:2" x14ac:dyDescent="0.25">
      <c r="A2502" s="5">
        <v>25587</v>
      </c>
      <c r="B2502">
        <v>89.650001525878906</v>
      </c>
    </row>
    <row r="2503" spans="1:2" x14ac:dyDescent="0.25">
      <c r="A2503" s="5">
        <v>25588</v>
      </c>
      <c r="B2503">
        <v>89.830001831054702</v>
      </c>
    </row>
    <row r="2504" spans="1:2" x14ac:dyDescent="0.25">
      <c r="A2504" s="5">
        <v>25589</v>
      </c>
      <c r="B2504">
        <v>89.949996948242202</v>
      </c>
    </row>
    <row r="2505" spans="1:2" x14ac:dyDescent="0.25">
      <c r="A2505" s="5">
        <v>25590</v>
      </c>
      <c r="B2505">
        <v>90.040000915527301</v>
      </c>
    </row>
    <row r="2506" spans="1:2" x14ac:dyDescent="0.25">
      <c r="A2506" s="5">
        <v>25591</v>
      </c>
      <c r="B2506">
        <v>89.370002746582003</v>
      </c>
    </row>
    <row r="2507" spans="1:2" x14ac:dyDescent="0.25">
      <c r="A2507" s="5">
        <v>25594</v>
      </c>
      <c r="B2507">
        <v>88.169998168945298</v>
      </c>
    </row>
    <row r="2508" spans="1:2" x14ac:dyDescent="0.25">
      <c r="A2508" s="5">
        <v>25595</v>
      </c>
      <c r="B2508">
        <v>87.620002746582003</v>
      </c>
    </row>
    <row r="2509" spans="1:2" x14ac:dyDescent="0.25">
      <c r="A2509" s="5">
        <v>25596</v>
      </c>
      <c r="B2509">
        <v>86.790000915527301</v>
      </c>
    </row>
    <row r="2510" spans="1:2" x14ac:dyDescent="0.25">
      <c r="A2510" s="5">
        <v>25597</v>
      </c>
      <c r="B2510">
        <v>85.690002441406193</v>
      </c>
    </row>
    <row r="2511" spans="1:2" x14ac:dyDescent="0.25">
      <c r="A2511" s="5">
        <v>25598</v>
      </c>
      <c r="B2511">
        <v>85.019996643066406</v>
      </c>
    </row>
    <row r="2512" spans="1:2" x14ac:dyDescent="0.25">
      <c r="A2512" s="5">
        <v>25601</v>
      </c>
      <c r="B2512">
        <v>85.75</v>
      </c>
    </row>
    <row r="2513" spans="1:2" x14ac:dyDescent="0.25">
      <c r="A2513" s="5">
        <v>25602</v>
      </c>
      <c r="B2513">
        <v>86.769996643066406</v>
      </c>
    </row>
    <row r="2514" spans="1:2" x14ac:dyDescent="0.25">
      <c r="A2514" s="5">
        <v>25603</v>
      </c>
      <c r="B2514">
        <v>86.239997863769503</v>
      </c>
    </row>
    <row r="2515" spans="1:2" x14ac:dyDescent="0.25">
      <c r="A2515" s="5">
        <v>25604</v>
      </c>
      <c r="B2515">
        <v>85.900001525878906</v>
      </c>
    </row>
    <row r="2516" spans="1:2" x14ac:dyDescent="0.25">
      <c r="A2516" s="5">
        <v>25605</v>
      </c>
      <c r="B2516">
        <v>86.330001831054702</v>
      </c>
    </row>
    <row r="2517" spans="1:2" x14ac:dyDescent="0.25">
      <c r="A2517" s="5">
        <v>25608</v>
      </c>
      <c r="B2517">
        <v>87.010002136230497</v>
      </c>
    </row>
    <row r="2518" spans="1:2" x14ac:dyDescent="0.25">
      <c r="A2518" s="5">
        <v>25609</v>
      </c>
      <c r="B2518">
        <v>86.099998474121094</v>
      </c>
    </row>
    <row r="2519" spans="1:2" x14ac:dyDescent="0.25">
      <c r="A2519" s="5">
        <v>25610</v>
      </c>
      <c r="B2519">
        <v>86.940002441406193</v>
      </c>
    </row>
    <row r="2520" spans="1:2" x14ac:dyDescent="0.25">
      <c r="A2520" s="5">
        <v>25611</v>
      </c>
      <c r="B2520">
        <v>86.730003356933594</v>
      </c>
    </row>
    <row r="2521" spans="1:2" x14ac:dyDescent="0.25">
      <c r="A2521" s="5">
        <v>25612</v>
      </c>
      <c r="B2521">
        <v>86.540000915527301</v>
      </c>
    </row>
    <row r="2522" spans="1:2" x14ac:dyDescent="0.25">
      <c r="A2522" s="5">
        <v>25615</v>
      </c>
      <c r="B2522">
        <v>86.470001220703097</v>
      </c>
    </row>
    <row r="2523" spans="1:2" x14ac:dyDescent="0.25">
      <c r="A2523" s="5">
        <v>25616</v>
      </c>
      <c r="B2523">
        <v>86.370002746582003</v>
      </c>
    </row>
    <row r="2524" spans="1:2" x14ac:dyDescent="0.25">
      <c r="A2524" s="5">
        <v>25617</v>
      </c>
      <c r="B2524">
        <v>87.440002441406193</v>
      </c>
    </row>
    <row r="2525" spans="1:2" x14ac:dyDescent="0.25">
      <c r="A2525" s="5">
        <v>25618</v>
      </c>
      <c r="B2525">
        <v>87.760002136230497</v>
      </c>
    </row>
    <row r="2526" spans="1:2" x14ac:dyDescent="0.25">
      <c r="A2526" s="5">
        <v>25619</v>
      </c>
      <c r="B2526">
        <v>88.029998779296903</v>
      </c>
    </row>
    <row r="2527" spans="1:2" x14ac:dyDescent="0.25">
      <c r="A2527" s="5">
        <v>25623</v>
      </c>
      <c r="B2527">
        <v>87.989997863769503</v>
      </c>
    </row>
    <row r="2528" spans="1:2" x14ac:dyDescent="0.25">
      <c r="A2528" s="5">
        <v>25624</v>
      </c>
      <c r="B2528">
        <v>89.349998474121094</v>
      </c>
    </row>
    <row r="2529" spans="1:2" x14ac:dyDescent="0.25">
      <c r="A2529" s="5">
        <v>25625</v>
      </c>
      <c r="B2529">
        <v>88.900001525878906</v>
      </c>
    </row>
    <row r="2530" spans="1:2" x14ac:dyDescent="0.25">
      <c r="A2530" s="5">
        <v>25626</v>
      </c>
      <c r="B2530">
        <v>89.5</v>
      </c>
    </row>
    <row r="2531" spans="1:2" x14ac:dyDescent="0.25">
      <c r="A2531" s="5">
        <v>25629</v>
      </c>
      <c r="B2531">
        <v>89.709999084472699</v>
      </c>
    </row>
    <row r="2532" spans="1:2" x14ac:dyDescent="0.25">
      <c r="A2532" s="5">
        <v>25630</v>
      </c>
      <c r="B2532">
        <v>90.230003356933594</v>
      </c>
    </row>
    <row r="2533" spans="1:2" x14ac:dyDescent="0.25">
      <c r="A2533" s="5">
        <v>25631</v>
      </c>
      <c r="B2533">
        <v>90.040000915527301</v>
      </c>
    </row>
    <row r="2534" spans="1:2" x14ac:dyDescent="0.25">
      <c r="A2534" s="5">
        <v>25632</v>
      </c>
      <c r="B2534">
        <v>90</v>
      </c>
    </row>
    <row r="2535" spans="1:2" x14ac:dyDescent="0.25">
      <c r="A2535" s="5">
        <v>25633</v>
      </c>
      <c r="B2535">
        <v>89.440002441406193</v>
      </c>
    </row>
    <row r="2536" spans="1:2" x14ac:dyDescent="0.25">
      <c r="A2536" s="5">
        <v>25636</v>
      </c>
      <c r="B2536">
        <v>88.510002136230497</v>
      </c>
    </row>
    <row r="2537" spans="1:2" x14ac:dyDescent="0.25">
      <c r="A2537" s="5">
        <v>25637</v>
      </c>
      <c r="B2537">
        <v>88.75</v>
      </c>
    </row>
    <row r="2538" spans="1:2" x14ac:dyDescent="0.25">
      <c r="A2538" s="5">
        <v>25638</v>
      </c>
      <c r="B2538">
        <v>88.690002441406193</v>
      </c>
    </row>
    <row r="2539" spans="1:2" x14ac:dyDescent="0.25">
      <c r="A2539" s="5">
        <v>25639</v>
      </c>
      <c r="B2539">
        <v>88.330001831054702</v>
      </c>
    </row>
    <row r="2540" spans="1:2" x14ac:dyDescent="0.25">
      <c r="A2540" s="5">
        <v>25640</v>
      </c>
      <c r="B2540">
        <v>87.860000610351605</v>
      </c>
    </row>
    <row r="2541" spans="1:2" x14ac:dyDescent="0.25">
      <c r="A2541" s="5">
        <v>25643</v>
      </c>
      <c r="B2541">
        <v>86.910003662109403</v>
      </c>
    </row>
    <row r="2542" spans="1:2" x14ac:dyDescent="0.25">
      <c r="A2542" s="5">
        <v>25644</v>
      </c>
      <c r="B2542">
        <v>87.290000915527301</v>
      </c>
    </row>
    <row r="2543" spans="1:2" x14ac:dyDescent="0.25">
      <c r="A2543" s="5">
        <v>25645</v>
      </c>
      <c r="B2543">
        <v>87.540000915527301</v>
      </c>
    </row>
    <row r="2544" spans="1:2" x14ac:dyDescent="0.25">
      <c r="A2544" s="5">
        <v>25646</v>
      </c>
      <c r="B2544">
        <v>87.419998168945298</v>
      </c>
    </row>
    <row r="2545" spans="1:2" x14ac:dyDescent="0.25">
      <c r="A2545" s="5">
        <v>25647</v>
      </c>
      <c r="B2545">
        <v>87.059997558593807</v>
      </c>
    </row>
    <row r="2546" spans="1:2" x14ac:dyDescent="0.25">
      <c r="A2546" s="5">
        <v>25650</v>
      </c>
      <c r="B2546">
        <v>86.989997863769503</v>
      </c>
    </row>
    <row r="2547" spans="1:2" x14ac:dyDescent="0.25">
      <c r="A2547" s="5">
        <v>25651</v>
      </c>
      <c r="B2547">
        <v>87.980003356933594</v>
      </c>
    </row>
    <row r="2548" spans="1:2" x14ac:dyDescent="0.25">
      <c r="A2548" s="5">
        <v>25652</v>
      </c>
      <c r="B2548">
        <v>89.769996643066406</v>
      </c>
    </row>
    <row r="2549" spans="1:2" x14ac:dyDescent="0.25">
      <c r="A2549" s="5">
        <v>25653</v>
      </c>
      <c r="B2549">
        <v>89.919998168945298</v>
      </c>
    </row>
    <row r="2550" spans="1:2" x14ac:dyDescent="0.25">
      <c r="A2550" s="5">
        <v>25657</v>
      </c>
      <c r="B2550">
        <v>89.629997253417997</v>
      </c>
    </row>
    <row r="2551" spans="1:2" x14ac:dyDescent="0.25">
      <c r="A2551" s="5">
        <v>25658</v>
      </c>
      <c r="B2551">
        <v>89.629997253417997</v>
      </c>
    </row>
    <row r="2552" spans="1:2" x14ac:dyDescent="0.25">
      <c r="A2552" s="5">
        <v>25659</v>
      </c>
      <c r="B2552">
        <v>90.069999694824205</v>
      </c>
    </row>
    <row r="2553" spans="1:2" x14ac:dyDescent="0.25">
      <c r="A2553" s="5">
        <v>25660</v>
      </c>
      <c r="B2553">
        <v>89.790000915527301</v>
      </c>
    </row>
    <row r="2554" spans="1:2" x14ac:dyDescent="0.25">
      <c r="A2554" s="5">
        <v>25661</v>
      </c>
      <c r="B2554">
        <v>89.389999389648395</v>
      </c>
    </row>
    <row r="2555" spans="1:2" x14ac:dyDescent="0.25">
      <c r="A2555" s="5">
        <v>25664</v>
      </c>
      <c r="B2555">
        <v>88.760002136230497</v>
      </c>
    </row>
    <row r="2556" spans="1:2" x14ac:dyDescent="0.25">
      <c r="A2556" s="5">
        <v>25665</v>
      </c>
      <c r="B2556">
        <v>88.519996643066406</v>
      </c>
    </row>
    <row r="2557" spans="1:2" x14ac:dyDescent="0.25">
      <c r="A2557" s="5">
        <v>25666</v>
      </c>
      <c r="B2557">
        <v>88.489997863769503</v>
      </c>
    </row>
    <row r="2558" spans="1:2" x14ac:dyDescent="0.25">
      <c r="A2558" s="5">
        <v>25667</v>
      </c>
      <c r="B2558">
        <v>88.529998779296903</v>
      </c>
    </row>
    <row r="2559" spans="1:2" x14ac:dyDescent="0.25">
      <c r="A2559" s="5">
        <v>25668</v>
      </c>
      <c r="B2559">
        <v>88.239997863769503</v>
      </c>
    </row>
    <row r="2560" spans="1:2" x14ac:dyDescent="0.25">
      <c r="A2560" s="5">
        <v>25671</v>
      </c>
      <c r="B2560">
        <v>87.639999389648395</v>
      </c>
    </row>
    <row r="2561" spans="1:2" x14ac:dyDescent="0.25">
      <c r="A2561" s="5">
        <v>25672</v>
      </c>
      <c r="B2561">
        <v>86.889999389648395</v>
      </c>
    </row>
    <row r="2562" spans="1:2" x14ac:dyDescent="0.25">
      <c r="A2562" s="5">
        <v>25673</v>
      </c>
      <c r="B2562">
        <v>86.730003356933594</v>
      </c>
    </row>
    <row r="2563" spans="1:2" x14ac:dyDescent="0.25">
      <c r="A2563" s="5">
        <v>25674</v>
      </c>
      <c r="B2563">
        <v>85.879997253417997</v>
      </c>
    </row>
    <row r="2564" spans="1:2" x14ac:dyDescent="0.25">
      <c r="A2564" s="5">
        <v>25675</v>
      </c>
      <c r="B2564">
        <v>85.669998168945298</v>
      </c>
    </row>
    <row r="2565" spans="1:2" x14ac:dyDescent="0.25">
      <c r="A2565" s="5">
        <v>25678</v>
      </c>
      <c r="B2565">
        <v>85.830001831054702</v>
      </c>
    </row>
    <row r="2566" spans="1:2" x14ac:dyDescent="0.25">
      <c r="A2566" s="5">
        <v>25679</v>
      </c>
      <c r="B2566">
        <v>85.379997253417997</v>
      </c>
    </row>
    <row r="2567" spans="1:2" x14ac:dyDescent="0.25">
      <c r="A2567" s="5">
        <v>25680</v>
      </c>
      <c r="B2567">
        <v>84.269996643066406</v>
      </c>
    </row>
    <row r="2568" spans="1:2" x14ac:dyDescent="0.25">
      <c r="A2568" s="5">
        <v>25681</v>
      </c>
      <c r="B2568">
        <v>83.040000915527301</v>
      </c>
    </row>
    <row r="2569" spans="1:2" x14ac:dyDescent="0.25">
      <c r="A2569" s="5">
        <v>25682</v>
      </c>
      <c r="B2569">
        <v>82.769996643066406</v>
      </c>
    </row>
    <row r="2570" spans="1:2" x14ac:dyDescent="0.25">
      <c r="A2570" s="5">
        <v>25685</v>
      </c>
      <c r="B2570">
        <v>81.459999084472699</v>
      </c>
    </row>
    <row r="2571" spans="1:2" x14ac:dyDescent="0.25">
      <c r="A2571" s="5">
        <v>25686</v>
      </c>
      <c r="B2571">
        <v>80.269996643066406</v>
      </c>
    </row>
    <row r="2572" spans="1:2" x14ac:dyDescent="0.25">
      <c r="A2572" s="5">
        <v>25687</v>
      </c>
      <c r="B2572">
        <v>81.809997558593807</v>
      </c>
    </row>
    <row r="2573" spans="1:2" x14ac:dyDescent="0.25">
      <c r="A2573" s="5">
        <v>25688</v>
      </c>
      <c r="B2573">
        <v>81.519996643066406</v>
      </c>
    </row>
    <row r="2574" spans="1:2" x14ac:dyDescent="0.25">
      <c r="A2574" s="5">
        <v>25689</v>
      </c>
      <c r="B2574">
        <v>81.440002441406193</v>
      </c>
    </row>
    <row r="2575" spans="1:2" x14ac:dyDescent="0.25">
      <c r="A2575" s="5">
        <v>25692</v>
      </c>
      <c r="B2575">
        <v>79.370002746582003</v>
      </c>
    </row>
    <row r="2576" spans="1:2" x14ac:dyDescent="0.25">
      <c r="A2576" s="5">
        <v>25693</v>
      </c>
      <c r="B2576">
        <v>78.599998474121094</v>
      </c>
    </row>
    <row r="2577" spans="1:2" x14ac:dyDescent="0.25">
      <c r="A2577" s="5">
        <v>25694</v>
      </c>
      <c r="B2577">
        <v>79.470001220703097</v>
      </c>
    </row>
    <row r="2578" spans="1:2" x14ac:dyDescent="0.25">
      <c r="A2578" s="5">
        <v>25695</v>
      </c>
      <c r="B2578">
        <v>79.830001831054702</v>
      </c>
    </row>
    <row r="2579" spans="1:2" x14ac:dyDescent="0.25">
      <c r="A2579" s="5">
        <v>25696</v>
      </c>
      <c r="B2579">
        <v>79.440002441406193</v>
      </c>
    </row>
    <row r="2580" spans="1:2" x14ac:dyDescent="0.25">
      <c r="A2580" s="5">
        <v>25699</v>
      </c>
      <c r="B2580">
        <v>78.599998474121094</v>
      </c>
    </row>
    <row r="2581" spans="1:2" x14ac:dyDescent="0.25">
      <c r="A2581" s="5">
        <v>25700</v>
      </c>
      <c r="B2581">
        <v>77.849998474121094</v>
      </c>
    </row>
    <row r="2582" spans="1:2" x14ac:dyDescent="0.25">
      <c r="A2582" s="5">
        <v>25701</v>
      </c>
      <c r="B2582">
        <v>76.529998779296903</v>
      </c>
    </row>
    <row r="2583" spans="1:2" x14ac:dyDescent="0.25">
      <c r="A2583" s="5">
        <v>25702</v>
      </c>
      <c r="B2583">
        <v>75.440002441406193</v>
      </c>
    </row>
    <row r="2584" spans="1:2" x14ac:dyDescent="0.25">
      <c r="A2584" s="5">
        <v>25703</v>
      </c>
      <c r="B2584">
        <v>76.900001525878906</v>
      </c>
    </row>
    <row r="2585" spans="1:2" x14ac:dyDescent="0.25">
      <c r="A2585" s="5">
        <v>25706</v>
      </c>
      <c r="B2585">
        <v>76.959999084472699</v>
      </c>
    </row>
    <row r="2586" spans="1:2" x14ac:dyDescent="0.25">
      <c r="A2586" s="5">
        <v>25707</v>
      </c>
      <c r="B2586">
        <v>75.459999084472699</v>
      </c>
    </row>
    <row r="2587" spans="1:2" x14ac:dyDescent="0.25">
      <c r="A2587" s="5">
        <v>25708</v>
      </c>
      <c r="B2587">
        <v>73.519996643066406</v>
      </c>
    </row>
    <row r="2588" spans="1:2" x14ac:dyDescent="0.25">
      <c r="A2588" s="5">
        <v>25709</v>
      </c>
      <c r="B2588">
        <v>72.160003662109403</v>
      </c>
    </row>
    <row r="2589" spans="1:2" x14ac:dyDescent="0.25">
      <c r="A2589" s="5">
        <v>25710</v>
      </c>
      <c r="B2589">
        <v>72.25</v>
      </c>
    </row>
    <row r="2590" spans="1:2" x14ac:dyDescent="0.25">
      <c r="A2590" s="5">
        <v>25713</v>
      </c>
      <c r="B2590">
        <v>70.25</v>
      </c>
    </row>
    <row r="2591" spans="1:2" x14ac:dyDescent="0.25">
      <c r="A2591" s="5">
        <v>25714</v>
      </c>
      <c r="B2591">
        <v>69.290000915527301</v>
      </c>
    </row>
    <row r="2592" spans="1:2" x14ac:dyDescent="0.25">
      <c r="A2592" s="5">
        <v>25715</v>
      </c>
      <c r="B2592">
        <v>72.769996643066406</v>
      </c>
    </row>
    <row r="2593" spans="1:2" x14ac:dyDescent="0.25">
      <c r="A2593" s="5">
        <v>25716</v>
      </c>
      <c r="B2593">
        <v>74.610000610351605</v>
      </c>
    </row>
    <row r="2594" spans="1:2" x14ac:dyDescent="0.25">
      <c r="A2594" s="5">
        <v>25717</v>
      </c>
      <c r="B2594">
        <v>76.550003051757798</v>
      </c>
    </row>
    <row r="2595" spans="1:2" x14ac:dyDescent="0.25">
      <c r="A2595" s="5">
        <v>25720</v>
      </c>
      <c r="B2595">
        <v>77.839996337890597</v>
      </c>
    </row>
    <row r="2596" spans="1:2" x14ac:dyDescent="0.25">
      <c r="A2596" s="5">
        <v>25721</v>
      </c>
      <c r="B2596">
        <v>77.839996337890597</v>
      </c>
    </row>
    <row r="2597" spans="1:2" x14ac:dyDescent="0.25">
      <c r="A2597" s="5">
        <v>25722</v>
      </c>
      <c r="B2597">
        <v>78.519996643066406</v>
      </c>
    </row>
    <row r="2598" spans="1:2" x14ac:dyDescent="0.25">
      <c r="A2598" s="5">
        <v>25723</v>
      </c>
      <c r="B2598">
        <v>77.360000610351605</v>
      </c>
    </row>
    <row r="2599" spans="1:2" x14ac:dyDescent="0.25">
      <c r="A2599" s="5">
        <v>25724</v>
      </c>
      <c r="B2599">
        <v>76.169998168945298</v>
      </c>
    </row>
    <row r="2600" spans="1:2" x14ac:dyDescent="0.25">
      <c r="A2600" s="5">
        <v>25727</v>
      </c>
      <c r="B2600">
        <v>76.290000915527301</v>
      </c>
    </row>
    <row r="2601" spans="1:2" x14ac:dyDescent="0.25">
      <c r="A2601" s="5">
        <v>25728</v>
      </c>
      <c r="B2601">
        <v>76.25</v>
      </c>
    </row>
    <row r="2602" spans="1:2" x14ac:dyDescent="0.25">
      <c r="A2602" s="5">
        <v>25729</v>
      </c>
      <c r="B2602">
        <v>75.480003356933594</v>
      </c>
    </row>
    <row r="2603" spans="1:2" x14ac:dyDescent="0.25">
      <c r="A2603" s="5">
        <v>25730</v>
      </c>
      <c r="B2603">
        <v>74.449996948242202</v>
      </c>
    </row>
    <row r="2604" spans="1:2" x14ac:dyDescent="0.25">
      <c r="A2604" s="5">
        <v>25731</v>
      </c>
      <c r="B2604">
        <v>73.879997253417997</v>
      </c>
    </row>
    <row r="2605" spans="1:2" x14ac:dyDescent="0.25">
      <c r="A2605" s="5">
        <v>25734</v>
      </c>
      <c r="B2605">
        <v>74.580001831054702</v>
      </c>
    </row>
    <row r="2606" spans="1:2" x14ac:dyDescent="0.25">
      <c r="A2606" s="5">
        <v>25735</v>
      </c>
      <c r="B2606">
        <v>76.150001525878906</v>
      </c>
    </row>
    <row r="2607" spans="1:2" x14ac:dyDescent="0.25">
      <c r="A2607" s="5">
        <v>25736</v>
      </c>
      <c r="B2607">
        <v>76</v>
      </c>
    </row>
    <row r="2608" spans="1:2" x14ac:dyDescent="0.25">
      <c r="A2608" s="5">
        <v>25737</v>
      </c>
      <c r="B2608">
        <v>76.510002136230497</v>
      </c>
    </row>
    <row r="2609" spans="1:2" x14ac:dyDescent="0.25">
      <c r="A2609" s="5">
        <v>25738</v>
      </c>
      <c r="B2609">
        <v>77.050003051757798</v>
      </c>
    </row>
    <row r="2610" spans="1:2" x14ac:dyDescent="0.25">
      <c r="A2610" s="5">
        <v>25741</v>
      </c>
      <c r="B2610">
        <v>76.639999389648395</v>
      </c>
    </row>
    <row r="2611" spans="1:2" x14ac:dyDescent="0.25">
      <c r="A2611" s="5">
        <v>25742</v>
      </c>
      <c r="B2611">
        <v>74.760002136230497</v>
      </c>
    </row>
    <row r="2612" spans="1:2" x14ac:dyDescent="0.25">
      <c r="A2612" s="5">
        <v>25743</v>
      </c>
      <c r="B2612">
        <v>73.970001220703097</v>
      </c>
    </row>
    <row r="2613" spans="1:2" x14ac:dyDescent="0.25">
      <c r="A2613" s="5">
        <v>25744</v>
      </c>
      <c r="B2613">
        <v>74.019996643066406</v>
      </c>
    </row>
    <row r="2614" spans="1:2" x14ac:dyDescent="0.25">
      <c r="A2614" s="5">
        <v>25745</v>
      </c>
      <c r="B2614">
        <v>73.470001220703097</v>
      </c>
    </row>
    <row r="2615" spans="1:2" x14ac:dyDescent="0.25">
      <c r="A2615" s="5">
        <v>25748</v>
      </c>
      <c r="B2615">
        <v>72.889999389648395</v>
      </c>
    </row>
    <row r="2616" spans="1:2" x14ac:dyDescent="0.25">
      <c r="A2616" s="5">
        <v>25749</v>
      </c>
      <c r="B2616">
        <v>72.720001220703097</v>
      </c>
    </row>
    <row r="2617" spans="1:2" x14ac:dyDescent="0.25">
      <c r="A2617" s="5">
        <v>25750</v>
      </c>
      <c r="B2617">
        <v>72.940002441406193</v>
      </c>
    </row>
    <row r="2618" spans="1:2" x14ac:dyDescent="0.25">
      <c r="A2618" s="5">
        <v>25751</v>
      </c>
      <c r="B2618">
        <v>72.919998168945298</v>
      </c>
    </row>
    <row r="2619" spans="1:2" x14ac:dyDescent="0.25">
      <c r="A2619" s="5">
        <v>25755</v>
      </c>
      <c r="B2619">
        <v>71.779998779296903</v>
      </c>
    </row>
    <row r="2620" spans="1:2" x14ac:dyDescent="0.25">
      <c r="A2620" s="5">
        <v>25756</v>
      </c>
      <c r="B2620">
        <v>71.230003356933594</v>
      </c>
    </row>
    <row r="2621" spans="1:2" x14ac:dyDescent="0.25">
      <c r="A2621" s="5">
        <v>25757</v>
      </c>
      <c r="B2621">
        <v>73</v>
      </c>
    </row>
    <row r="2622" spans="1:2" x14ac:dyDescent="0.25">
      <c r="A2622" s="5">
        <v>25758</v>
      </c>
      <c r="B2622">
        <v>74.059997558593807</v>
      </c>
    </row>
    <row r="2623" spans="1:2" x14ac:dyDescent="0.25">
      <c r="A2623" s="5">
        <v>25759</v>
      </c>
      <c r="B2623">
        <v>74.449996948242202</v>
      </c>
    </row>
    <row r="2624" spans="1:2" x14ac:dyDescent="0.25">
      <c r="A2624" s="5">
        <v>25762</v>
      </c>
      <c r="B2624">
        <v>74.550003051757798</v>
      </c>
    </row>
    <row r="2625" spans="1:2" x14ac:dyDescent="0.25">
      <c r="A2625" s="5">
        <v>25763</v>
      </c>
      <c r="B2625">
        <v>74.419998168945298</v>
      </c>
    </row>
    <row r="2626" spans="1:2" x14ac:dyDescent="0.25">
      <c r="A2626" s="5">
        <v>25764</v>
      </c>
      <c r="B2626">
        <v>75.230003356933594</v>
      </c>
    </row>
    <row r="2627" spans="1:2" x14ac:dyDescent="0.25">
      <c r="A2627" s="5">
        <v>25765</v>
      </c>
      <c r="B2627">
        <v>76.339996337890597</v>
      </c>
    </row>
    <row r="2628" spans="1:2" x14ac:dyDescent="0.25">
      <c r="A2628" s="5">
        <v>25766</v>
      </c>
      <c r="B2628">
        <v>77.690002441406193</v>
      </c>
    </row>
    <row r="2629" spans="1:2" x14ac:dyDescent="0.25">
      <c r="A2629" s="5">
        <v>25769</v>
      </c>
      <c r="B2629">
        <v>77.790000915527301</v>
      </c>
    </row>
    <row r="2630" spans="1:2" x14ac:dyDescent="0.25">
      <c r="A2630" s="5">
        <v>25770</v>
      </c>
      <c r="B2630">
        <v>76.980003356933594</v>
      </c>
    </row>
    <row r="2631" spans="1:2" x14ac:dyDescent="0.25">
      <c r="A2631" s="5">
        <v>25771</v>
      </c>
      <c r="B2631">
        <v>77.029998779296903</v>
      </c>
    </row>
    <row r="2632" spans="1:2" x14ac:dyDescent="0.25">
      <c r="A2632" s="5">
        <v>25772</v>
      </c>
      <c r="B2632">
        <v>78</v>
      </c>
    </row>
    <row r="2633" spans="1:2" x14ac:dyDescent="0.25">
      <c r="A2633" s="5">
        <v>25773</v>
      </c>
      <c r="B2633">
        <v>77.819999694824205</v>
      </c>
    </row>
    <row r="2634" spans="1:2" x14ac:dyDescent="0.25">
      <c r="A2634" s="5">
        <v>25776</v>
      </c>
      <c r="B2634">
        <v>77.650001525878906</v>
      </c>
    </row>
    <row r="2635" spans="1:2" x14ac:dyDescent="0.25">
      <c r="A2635" s="5">
        <v>25777</v>
      </c>
      <c r="B2635">
        <v>77.769996643066406</v>
      </c>
    </row>
    <row r="2636" spans="1:2" x14ac:dyDescent="0.25">
      <c r="A2636" s="5">
        <v>25778</v>
      </c>
      <c r="B2636">
        <v>78.040000915527301</v>
      </c>
    </row>
    <row r="2637" spans="1:2" x14ac:dyDescent="0.25">
      <c r="A2637" s="5">
        <v>25779</v>
      </c>
      <c r="B2637">
        <v>78.069999694824205</v>
      </c>
    </row>
    <row r="2638" spans="1:2" x14ac:dyDescent="0.25">
      <c r="A2638" s="5">
        <v>25780</v>
      </c>
      <c r="B2638">
        <v>78.050003051757798</v>
      </c>
    </row>
    <row r="2639" spans="1:2" x14ac:dyDescent="0.25">
      <c r="A2639" s="5">
        <v>25783</v>
      </c>
      <c r="B2639">
        <v>77.019996643066406</v>
      </c>
    </row>
    <row r="2640" spans="1:2" x14ac:dyDescent="0.25">
      <c r="A2640" s="5">
        <v>25784</v>
      </c>
      <c r="B2640">
        <v>77.190002441406193</v>
      </c>
    </row>
    <row r="2641" spans="1:2" x14ac:dyDescent="0.25">
      <c r="A2641" s="5">
        <v>25785</v>
      </c>
      <c r="B2641">
        <v>77.180000305175795</v>
      </c>
    </row>
    <row r="2642" spans="1:2" x14ac:dyDescent="0.25">
      <c r="A2642" s="5">
        <v>25786</v>
      </c>
      <c r="B2642">
        <v>77.080001831054702</v>
      </c>
    </row>
    <row r="2643" spans="1:2" x14ac:dyDescent="0.25">
      <c r="A2643" s="5">
        <v>25787</v>
      </c>
      <c r="B2643">
        <v>77.279998779296903</v>
      </c>
    </row>
    <row r="2644" spans="1:2" x14ac:dyDescent="0.25">
      <c r="A2644" s="5">
        <v>25790</v>
      </c>
      <c r="B2644">
        <v>76.199996948242202</v>
      </c>
    </row>
    <row r="2645" spans="1:2" x14ac:dyDescent="0.25">
      <c r="A2645" s="5">
        <v>25791</v>
      </c>
      <c r="B2645">
        <v>75.819999694824205</v>
      </c>
    </row>
    <row r="2646" spans="1:2" x14ac:dyDescent="0.25">
      <c r="A2646" s="5">
        <v>25792</v>
      </c>
      <c r="B2646">
        <v>75.419998168945298</v>
      </c>
    </row>
    <row r="2647" spans="1:2" x14ac:dyDescent="0.25">
      <c r="A2647" s="5">
        <v>25793</v>
      </c>
      <c r="B2647">
        <v>74.760002136230497</v>
      </c>
    </row>
    <row r="2648" spans="1:2" x14ac:dyDescent="0.25">
      <c r="A2648" s="5">
        <v>25794</v>
      </c>
      <c r="B2648">
        <v>75.180000305175795</v>
      </c>
    </row>
    <row r="2649" spans="1:2" x14ac:dyDescent="0.25">
      <c r="A2649" s="5">
        <v>25797</v>
      </c>
      <c r="B2649">
        <v>75.330001831054702</v>
      </c>
    </row>
    <row r="2650" spans="1:2" x14ac:dyDescent="0.25">
      <c r="A2650" s="5">
        <v>25798</v>
      </c>
      <c r="B2650">
        <v>76.199996948242202</v>
      </c>
    </row>
    <row r="2651" spans="1:2" x14ac:dyDescent="0.25">
      <c r="A2651" s="5">
        <v>25799</v>
      </c>
      <c r="B2651">
        <v>76.959999084472699</v>
      </c>
    </row>
    <row r="2652" spans="1:2" x14ac:dyDescent="0.25">
      <c r="A2652" s="5">
        <v>25800</v>
      </c>
      <c r="B2652">
        <v>77.839996337890597</v>
      </c>
    </row>
    <row r="2653" spans="1:2" x14ac:dyDescent="0.25">
      <c r="A2653" s="5">
        <v>25801</v>
      </c>
      <c r="B2653">
        <v>79.239997863769503</v>
      </c>
    </row>
    <row r="2654" spans="1:2" x14ac:dyDescent="0.25">
      <c r="A2654" s="5">
        <v>25804</v>
      </c>
      <c r="B2654">
        <v>80.989997863769503</v>
      </c>
    </row>
    <row r="2655" spans="1:2" x14ac:dyDescent="0.25">
      <c r="A2655" s="5">
        <v>25805</v>
      </c>
      <c r="B2655">
        <v>81.120002746582003</v>
      </c>
    </row>
    <row r="2656" spans="1:2" x14ac:dyDescent="0.25">
      <c r="A2656" s="5">
        <v>25806</v>
      </c>
      <c r="B2656">
        <v>81.209999084472699</v>
      </c>
    </row>
    <row r="2657" spans="1:2" x14ac:dyDescent="0.25">
      <c r="A2657" s="5">
        <v>25807</v>
      </c>
      <c r="B2657">
        <v>81.080001831054702</v>
      </c>
    </row>
    <row r="2658" spans="1:2" x14ac:dyDescent="0.25">
      <c r="A2658" s="5">
        <v>25808</v>
      </c>
      <c r="B2658">
        <v>81.860000610351605</v>
      </c>
    </row>
    <row r="2659" spans="1:2" x14ac:dyDescent="0.25">
      <c r="A2659" s="5">
        <v>25811</v>
      </c>
      <c r="B2659">
        <v>81.519996643066406</v>
      </c>
    </row>
    <row r="2660" spans="1:2" x14ac:dyDescent="0.25">
      <c r="A2660" s="5">
        <v>25812</v>
      </c>
      <c r="B2660">
        <v>80.949996948242202</v>
      </c>
    </row>
    <row r="2661" spans="1:2" x14ac:dyDescent="0.25">
      <c r="A2661" s="5">
        <v>25813</v>
      </c>
      <c r="B2661">
        <v>80.959999084472699</v>
      </c>
    </row>
    <row r="2662" spans="1:2" x14ac:dyDescent="0.25">
      <c r="A2662" s="5">
        <v>25814</v>
      </c>
      <c r="B2662">
        <v>82.089996337890597</v>
      </c>
    </row>
    <row r="2663" spans="1:2" x14ac:dyDescent="0.25">
      <c r="A2663" s="5">
        <v>25815</v>
      </c>
      <c r="B2663">
        <v>82.830001831054702</v>
      </c>
    </row>
    <row r="2664" spans="1:2" x14ac:dyDescent="0.25">
      <c r="A2664" s="5">
        <v>25819</v>
      </c>
      <c r="B2664">
        <v>83.040000915527301</v>
      </c>
    </row>
    <row r="2665" spans="1:2" x14ac:dyDescent="0.25">
      <c r="A2665" s="5">
        <v>25820</v>
      </c>
      <c r="B2665">
        <v>82.790000915527301</v>
      </c>
    </row>
    <row r="2666" spans="1:2" x14ac:dyDescent="0.25">
      <c r="A2666" s="5">
        <v>25821</v>
      </c>
      <c r="B2666">
        <v>82.300003051757798</v>
      </c>
    </row>
    <row r="2667" spans="1:2" x14ac:dyDescent="0.25">
      <c r="A2667" s="5">
        <v>25822</v>
      </c>
      <c r="B2667">
        <v>82.519996643066406</v>
      </c>
    </row>
    <row r="2668" spans="1:2" x14ac:dyDescent="0.25">
      <c r="A2668" s="5">
        <v>25825</v>
      </c>
      <c r="B2668">
        <v>82.069999694824205</v>
      </c>
    </row>
    <row r="2669" spans="1:2" x14ac:dyDescent="0.25">
      <c r="A2669" s="5">
        <v>25826</v>
      </c>
      <c r="B2669">
        <v>81.360000610351605</v>
      </c>
    </row>
    <row r="2670" spans="1:2" x14ac:dyDescent="0.25">
      <c r="A2670" s="5">
        <v>25827</v>
      </c>
      <c r="B2670">
        <v>81.790000915527301</v>
      </c>
    </row>
    <row r="2671" spans="1:2" x14ac:dyDescent="0.25">
      <c r="A2671" s="5">
        <v>25828</v>
      </c>
      <c r="B2671">
        <v>82.290000915527301</v>
      </c>
    </row>
    <row r="2672" spans="1:2" x14ac:dyDescent="0.25">
      <c r="A2672" s="5">
        <v>25829</v>
      </c>
      <c r="B2672">
        <v>82.620002746582003</v>
      </c>
    </row>
    <row r="2673" spans="1:2" x14ac:dyDescent="0.25">
      <c r="A2673" s="5">
        <v>25832</v>
      </c>
      <c r="B2673">
        <v>81.910003662109403</v>
      </c>
    </row>
    <row r="2674" spans="1:2" x14ac:dyDescent="0.25">
      <c r="A2674" s="5">
        <v>25833</v>
      </c>
      <c r="B2674">
        <v>81.860000610351605</v>
      </c>
    </row>
    <row r="2675" spans="1:2" x14ac:dyDescent="0.25">
      <c r="A2675" s="5">
        <v>25834</v>
      </c>
      <c r="B2675">
        <v>81.910003662109403</v>
      </c>
    </row>
    <row r="2676" spans="1:2" x14ac:dyDescent="0.25">
      <c r="A2676" s="5">
        <v>25835</v>
      </c>
      <c r="B2676">
        <v>81.660003662109403</v>
      </c>
    </row>
    <row r="2677" spans="1:2" x14ac:dyDescent="0.25">
      <c r="A2677" s="5">
        <v>25836</v>
      </c>
      <c r="B2677">
        <v>82.830001831054702</v>
      </c>
    </row>
    <row r="2678" spans="1:2" x14ac:dyDescent="0.25">
      <c r="A2678" s="5">
        <v>25839</v>
      </c>
      <c r="B2678">
        <v>83.910003662109403</v>
      </c>
    </row>
    <row r="2679" spans="1:2" x14ac:dyDescent="0.25">
      <c r="A2679" s="5">
        <v>25840</v>
      </c>
      <c r="B2679">
        <v>83.860000610351605</v>
      </c>
    </row>
    <row r="2680" spans="1:2" x14ac:dyDescent="0.25">
      <c r="A2680" s="5">
        <v>25841</v>
      </c>
      <c r="B2680">
        <v>84.300003051757798</v>
      </c>
    </row>
    <row r="2681" spans="1:2" x14ac:dyDescent="0.25">
      <c r="A2681" s="5">
        <v>25842</v>
      </c>
      <c r="B2681">
        <v>84.319999694824205</v>
      </c>
    </row>
    <row r="2682" spans="1:2" x14ac:dyDescent="0.25">
      <c r="A2682" s="5">
        <v>25843</v>
      </c>
      <c r="B2682">
        <v>85.160003662109403</v>
      </c>
    </row>
    <row r="2683" spans="1:2" x14ac:dyDescent="0.25">
      <c r="A2683" s="5">
        <v>25846</v>
      </c>
      <c r="B2683">
        <v>86.470001220703097</v>
      </c>
    </row>
    <row r="2684" spans="1:2" x14ac:dyDescent="0.25">
      <c r="A2684" s="5">
        <v>25847</v>
      </c>
      <c r="B2684">
        <v>86.849998474121094</v>
      </c>
    </row>
    <row r="2685" spans="1:2" x14ac:dyDescent="0.25">
      <c r="A2685" s="5">
        <v>25848</v>
      </c>
      <c r="B2685">
        <v>86.889999389648395</v>
      </c>
    </row>
    <row r="2686" spans="1:2" x14ac:dyDescent="0.25">
      <c r="A2686" s="5">
        <v>25849</v>
      </c>
      <c r="B2686">
        <v>85.949996948242202</v>
      </c>
    </row>
    <row r="2687" spans="1:2" x14ac:dyDescent="0.25">
      <c r="A2687" s="5">
        <v>25850</v>
      </c>
      <c r="B2687">
        <v>85.080001831054702</v>
      </c>
    </row>
    <row r="2688" spans="1:2" x14ac:dyDescent="0.25">
      <c r="A2688" s="5">
        <v>25853</v>
      </c>
      <c r="B2688">
        <v>84.169998168945298</v>
      </c>
    </row>
    <row r="2689" spans="1:2" x14ac:dyDescent="0.25">
      <c r="A2689" s="5">
        <v>25854</v>
      </c>
      <c r="B2689">
        <v>84.059997558593807</v>
      </c>
    </row>
    <row r="2690" spans="1:2" x14ac:dyDescent="0.25">
      <c r="A2690" s="5">
        <v>25855</v>
      </c>
      <c r="B2690">
        <v>84.190002441406193</v>
      </c>
    </row>
    <row r="2691" spans="1:2" x14ac:dyDescent="0.25">
      <c r="A2691" s="5">
        <v>25856</v>
      </c>
      <c r="B2691">
        <v>84.650001525878906</v>
      </c>
    </row>
    <row r="2692" spans="1:2" x14ac:dyDescent="0.25">
      <c r="A2692" s="5">
        <v>25857</v>
      </c>
      <c r="B2692">
        <v>84.279998779296903</v>
      </c>
    </row>
    <row r="2693" spans="1:2" x14ac:dyDescent="0.25">
      <c r="A2693" s="5">
        <v>25860</v>
      </c>
      <c r="B2693">
        <v>83.150001525878906</v>
      </c>
    </row>
    <row r="2694" spans="1:2" x14ac:dyDescent="0.25">
      <c r="A2694" s="5">
        <v>25861</v>
      </c>
      <c r="B2694">
        <v>83.639999389648395</v>
      </c>
    </row>
    <row r="2695" spans="1:2" x14ac:dyDescent="0.25">
      <c r="A2695" s="5">
        <v>25862</v>
      </c>
      <c r="B2695">
        <v>83.660003662109403</v>
      </c>
    </row>
    <row r="2696" spans="1:2" x14ac:dyDescent="0.25">
      <c r="A2696" s="5">
        <v>25863</v>
      </c>
      <c r="B2696">
        <v>83.379997253417997</v>
      </c>
    </row>
    <row r="2697" spans="1:2" x14ac:dyDescent="0.25">
      <c r="A2697" s="5">
        <v>25864</v>
      </c>
      <c r="B2697">
        <v>83.769996643066406</v>
      </c>
    </row>
    <row r="2698" spans="1:2" x14ac:dyDescent="0.25">
      <c r="A2698" s="5">
        <v>25867</v>
      </c>
      <c r="B2698">
        <v>83.309997558593807</v>
      </c>
    </row>
    <row r="2699" spans="1:2" x14ac:dyDescent="0.25">
      <c r="A2699" s="5">
        <v>25868</v>
      </c>
      <c r="B2699">
        <v>83.120002746582003</v>
      </c>
    </row>
    <row r="2700" spans="1:2" x14ac:dyDescent="0.25">
      <c r="A2700" s="5">
        <v>25869</v>
      </c>
      <c r="B2700">
        <v>83.430000305175795</v>
      </c>
    </row>
    <row r="2701" spans="1:2" x14ac:dyDescent="0.25">
      <c r="A2701" s="5">
        <v>25870</v>
      </c>
      <c r="B2701">
        <v>83.360000610351605</v>
      </c>
    </row>
    <row r="2702" spans="1:2" x14ac:dyDescent="0.25">
      <c r="A2702" s="5">
        <v>25871</v>
      </c>
      <c r="B2702">
        <v>83.25</v>
      </c>
    </row>
    <row r="2703" spans="1:2" x14ac:dyDescent="0.25">
      <c r="A2703" s="5">
        <v>25874</v>
      </c>
      <c r="B2703">
        <v>83.510002136230497</v>
      </c>
    </row>
    <row r="2704" spans="1:2" x14ac:dyDescent="0.25">
      <c r="A2704" s="5">
        <v>25875</v>
      </c>
      <c r="B2704">
        <v>84.220001220703097</v>
      </c>
    </row>
    <row r="2705" spans="1:2" x14ac:dyDescent="0.25">
      <c r="A2705" s="5">
        <v>25876</v>
      </c>
      <c r="B2705">
        <v>84.389999389648395</v>
      </c>
    </row>
    <row r="2706" spans="1:2" x14ac:dyDescent="0.25">
      <c r="A2706" s="5">
        <v>25877</v>
      </c>
      <c r="B2706">
        <v>84.099998474121094</v>
      </c>
    </row>
    <row r="2707" spans="1:2" x14ac:dyDescent="0.25">
      <c r="A2707" s="5">
        <v>25878</v>
      </c>
      <c r="B2707">
        <v>84.220001220703097</v>
      </c>
    </row>
    <row r="2708" spans="1:2" x14ac:dyDescent="0.25">
      <c r="A2708" s="5">
        <v>25881</v>
      </c>
      <c r="B2708">
        <v>84.669998168945298</v>
      </c>
    </row>
    <row r="2709" spans="1:2" x14ac:dyDescent="0.25">
      <c r="A2709" s="5">
        <v>25882</v>
      </c>
      <c r="B2709">
        <v>84.790000915527301</v>
      </c>
    </row>
    <row r="2710" spans="1:2" x14ac:dyDescent="0.25">
      <c r="A2710" s="5">
        <v>25883</v>
      </c>
      <c r="B2710">
        <v>85.029998779296903</v>
      </c>
    </row>
    <row r="2711" spans="1:2" x14ac:dyDescent="0.25">
      <c r="A2711" s="5">
        <v>25884</v>
      </c>
      <c r="B2711">
        <v>84.150001525878906</v>
      </c>
    </row>
    <row r="2712" spans="1:2" x14ac:dyDescent="0.25">
      <c r="A2712" s="5">
        <v>25885</v>
      </c>
      <c r="B2712">
        <v>83.370002746582003</v>
      </c>
    </row>
    <row r="2713" spans="1:2" x14ac:dyDescent="0.25">
      <c r="A2713" s="5">
        <v>25888</v>
      </c>
      <c r="B2713">
        <v>83.239997863769503</v>
      </c>
    </row>
    <row r="2714" spans="1:2" x14ac:dyDescent="0.25">
      <c r="A2714" s="5">
        <v>25889</v>
      </c>
      <c r="B2714">
        <v>83.470001220703097</v>
      </c>
    </row>
    <row r="2715" spans="1:2" x14ac:dyDescent="0.25">
      <c r="A2715" s="5">
        <v>25890</v>
      </c>
      <c r="B2715">
        <v>82.790000915527301</v>
      </c>
    </row>
    <row r="2716" spans="1:2" x14ac:dyDescent="0.25">
      <c r="A2716" s="5">
        <v>25891</v>
      </c>
      <c r="B2716">
        <v>82.910003662109403</v>
      </c>
    </row>
    <row r="2717" spans="1:2" x14ac:dyDescent="0.25">
      <c r="A2717" s="5">
        <v>25892</v>
      </c>
      <c r="B2717">
        <v>83.720001220703097</v>
      </c>
    </row>
    <row r="2718" spans="1:2" x14ac:dyDescent="0.25">
      <c r="A2718" s="5">
        <v>25895</v>
      </c>
      <c r="B2718">
        <v>84.239997863769503</v>
      </c>
    </row>
    <row r="2719" spans="1:2" x14ac:dyDescent="0.25">
      <c r="A2719" s="5">
        <v>25896</v>
      </c>
      <c r="B2719">
        <v>84.779998779296903</v>
      </c>
    </row>
    <row r="2720" spans="1:2" x14ac:dyDescent="0.25">
      <c r="A2720" s="5">
        <v>25897</v>
      </c>
      <c r="B2720">
        <v>85.089996337890597</v>
      </c>
    </row>
    <row r="2721" spans="1:2" x14ac:dyDescent="0.25">
      <c r="A2721" s="5">
        <v>25899</v>
      </c>
      <c r="B2721">
        <v>85.930000305175795</v>
      </c>
    </row>
    <row r="2722" spans="1:2" x14ac:dyDescent="0.25">
      <c r="A2722" s="5">
        <v>25902</v>
      </c>
      <c r="B2722">
        <v>87.199996948242202</v>
      </c>
    </row>
    <row r="2723" spans="1:2" x14ac:dyDescent="0.25">
      <c r="A2723" s="5">
        <v>25903</v>
      </c>
      <c r="B2723">
        <v>87.470001220703097</v>
      </c>
    </row>
    <row r="2724" spans="1:2" x14ac:dyDescent="0.25">
      <c r="A2724" s="5">
        <v>25904</v>
      </c>
      <c r="B2724">
        <v>88.480003356933594</v>
      </c>
    </row>
    <row r="2725" spans="1:2" x14ac:dyDescent="0.25">
      <c r="A2725" s="5">
        <v>25905</v>
      </c>
      <c r="B2725">
        <v>88.900001525878906</v>
      </c>
    </row>
    <row r="2726" spans="1:2" x14ac:dyDescent="0.25">
      <c r="A2726" s="5">
        <v>25906</v>
      </c>
      <c r="B2726">
        <v>89.459999084472699</v>
      </c>
    </row>
    <row r="2727" spans="1:2" x14ac:dyDescent="0.25">
      <c r="A2727" s="5">
        <v>25909</v>
      </c>
      <c r="B2727">
        <v>89.940002441406193</v>
      </c>
    </row>
    <row r="2728" spans="1:2" x14ac:dyDescent="0.25">
      <c r="A2728" s="5">
        <v>25910</v>
      </c>
      <c r="B2728">
        <v>89.470001220703097</v>
      </c>
    </row>
    <row r="2729" spans="1:2" x14ac:dyDescent="0.25">
      <c r="A2729" s="5">
        <v>25911</v>
      </c>
      <c r="B2729">
        <v>89.540000915527301</v>
      </c>
    </row>
    <row r="2730" spans="1:2" x14ac:dyDescent="0.25">
      <c r="A2730" s="5">
        <v>25912</v>
      </c>
      <c r="B2730">
        <v>89.919998168945298</v>
      </c>
    </row>
    <row r="2731" spans="1:2" x14ac:dyDescent="0.25">
      <c r="A2731" s="5">
        <v>25913</v>
      </c>
      <c r="B2731">
        <v>90.260002136230497</v>
      </c>
    </row>
    <row r="2732" spans="1:2" x14ac:dyDescent="0.25">
      <c r="A2732" s="5">
        <v>25916</v>
      </c>
      <c r="B2732">
        <v>89.800003051757798</v>
      </c>
    </row>
    <row r="2733" spans="1:2" x14ac:dyDescent="0.25">
      <c r="A2733" s="5">
        <v>25917</v>
      </c>
      <c r="B2733">
        <v>89.660003662109403</v>
      </c>
    </row>
    <row r="2734" spans="1:2" x14ac:dyDescent="0.25">
      <c r="A2734" s="5">
        <v>25918</v>
      </c>
      <c r="B2734">
        <v>89.720001220703097</v>
      </c>
    </row>
    <row r="2735" spans="1:2" x14ac:dyDescent="0.25">
      <c r="A2735" s="5">
        <v>25919</v>
      </c>
      <c r="B2735">
        <v>90.040000915527301</v>
      </c>
    </row>
    <row r="2736" spans="1:2" x14ac:dyDescent="0.25">
      <c r="A2736" s="5">
        <v>25920</v>
      </c>
      <c r="B2736">
        <v>90.220001220703097</v>
      </c>
    </row>
    <row r="2737" spans="1:2" x14ac:dyDescent="0.25">
      <c r="A2737" s="5">
        <v>25923</v>
      </c>
      <c r="B2737">
        <v>89.940002441406193</v>
      </c>
    </row>
    <row r="2738" spans="1:2" x14ac:dyDescent="0.25">
      <c r="A2738" s="5">
        <v>25924</v>
      </c>
      <c r="B2738">
        <v>90.040000915527301</v>
      </c>
    </row>
    <row r="2739" spans="1:2" x14ac:dyDescent="0.25">
      <c r="A2739" s="5">
        <v>25925</v>
      </c>
      <c r="B2739">
        <v>90.099998474121094</v>
      </c>
    </row>
    <row r="2740" spans="1:2" x14ac:dyDescent="0.25">
      <c r="A2740" s="5">
        <v>25926</v>
      </c>
      <c r="B2740">
        <v>90.610000610351605</v>
      </c>
    </row>
    <row r="2741" spans="1:2" x14ac:dyDescent="0.25">
      <c r="A2741" s="5">
        <v>25930</v>
      </c>
      <c r="B2741">
        <v>91.089996337890597</v>
      </c>
    </row>
    <row r="2742" spans="1:2" x14ac:dyDescent="0.25">
      <c r="A2742" s="5">
        <v>25931</v>
      </c>
      <c r="B2742">
        <v>92.080001831054702</v>
      </c>
    </row>
    <row r="2743" spans="1:2" x14ac:dyDescent="0.25">
      <c r="A2743" s="5">
        <v>25932</v>
      </c>
      <c r="B2743">
        <v>92.269996643066406</v>
      </c>
    </row>
    <row r="2744" spans="1:2" x14ac:dyDescent="0.25">
      <c r="A2744" s="5">
        <v>25933</v>
      </c>
      <c r="B2744">
        <v>92.150001525878906</v>
      </c>
    </row>
    <row r="2745" spans="1:2" x14ac:dyDescent="0.25">
      <c r="A2745" s="5">
        <v>25937</v>
      </c>
      <c r="B2745">
        <v>91.150001525878906</v>
      </c>
    </row>
    <row r="2746" spans="1:2" x14ac:dyDescent="0.25">
      <c r="A2746" s="5">
        <v>25938</v>
      </c>
      <c r="B2746">
        <v>91.800003051757798</v>
      </c>
    </row>
    <row r="2747" spans="1:2" x14ac:dyDescent="0.25">
      <c r="A2747" s="5">
        <v>25939</v>
      </c>
      <c r="B2747">
        <v>92.349998474121094</v>
      </c>
    </row>
    <row r="2748" spans="1:2" x14ac:dyDescent="0.25">
      <c r="A2748" s="5">
        <v>25940</v>
      </c>
      <c r="B2748">
        <v>92.379997253417997</v>
      </c>
    </row>
    <row r="2749" spans="1:2" x14ac:dyDescent="0.25">
      <c r="A2749" s="5">
        <v>25941</v>
      </c>
      <c r="B2749">
        <v>92.190002441406193</v>
      </c>
    </row>
    <row r="2750" spans="1:2" x14ac:dyDescent="0.25">
      <c r="A2750" s="5">
        <v>25944</v>
      </c>
      <c r="B2750">
        <v>91.980003356933594</v>
      </c>
    </row>
    <row r="2751" spans="1:2" x14ac:dyDescent="0.25">
      <c r="A2751" s="5">
        <v>25945</v>
      </c>
      <c r="B2751">
        <v>92.720001220703097</v>
      </c>
    </row>
    <row r="2752" spans="1:2" x14ac:dyDescent="0.25">
      <c r="A2752" s="5">
        <v>25946</v>
      </c>
      <c r="B2752">
        <v>92.559997558593807</v>
      </c>
    </row>
    <row r="2753" spans="1:2" x14ac:dyDescent="0.25">
      <c r="A2753" s="5">
        <v>25947</v>
      </c>
      <c r="B2753">
        <v>92.800003051757798</v>
      </c>
    </row>
    <row r="2754" spans="1:2" x14ac:dyDescent="0.25">
      <c r="A2754" s="5">
        <v>25948</v>
      </c>
      <c r="B2754">
        <v>93.029998779296903</v>
      </c>
    </row>
    <row r="2755" spans="1:2" x14ac:dyDescent="0.25">
      <c r="A2755" s="5">
        <v>25951</v>
      </c>
      <c r="B2755">
        <v>93.410003662109403</v>
      </c>
    </row>
    <row r="2756" spans="1:2" x14ac:dyDescent="0.25">
      <c r="A2756" s="5">
        <v>25952</v>
      </c>
      <c r="B2756">
        <v>93.760002136230497</v>
      </c>
    </row>
    <row r="2757" spans="1:2" x14ac:dyDescent="0.25">
      <c r="A2757" s="5">
        <v>25953</v>
      </c>
      <c r="B2757">
        <v>93.779998779296903</v>
      </c>
    </row>
    <row r="2758" spans="1:2" x14ac:dyDescent="0.25">
      <c r="A2758" s="5">
        <v>25954</v>
      </c>
      <c r="B2758">
        <v>94.190002441406193</v>
      </c>
    </row>
    <row r="2759" spans="1:2" x14ac:dyDescent="0.25">
      <c r="A2759" s="5">
        <v>25955</v>
      </c>
      <c r="B2759">
        <v>94.879997253417997</v>
      </c>
    </row>
    <row r="2760" spans="1:2" x14ac:dyDescent="0.25">
      <c r="A2760" s="5">
        <v>25958</v>
      </c>
      <c r="B2760">
        <v>95.279998779296903</v>
      </c>
    </row>
    <row r="2761" spans="1:2" x14ac:dyDescent="0.25">
      <c r="A2761" s="5">
        <v>25959</v>
      </c>
      <c r="B2761">
        <v>95.589996337890597</v>
      </c>
    </row>
    <row r="2762" spans="1:2" x14ac:dyDescent="0.25">
      <c r="A2762" s="5">
        <v>25960</v>
      </c>
      <c r="B2762">
        <v>94.889999389648395</v>
      </c>
    </row>
    <row r="2763" spans="1:2" x14ac:dyDescent="0.25">
      <c r="A2763" s="5">
        <v>25961</v>
      </c>
      <c r="B2763">
        <v>95.209999084472699</v>
      </c>
    </row>
    <row r="2764" spans="1:2" x14ac:dyDescent="0.25">
      <c r="A2764" s="5">
        <v>25962</v>
      </c>
      <c r="B2764">
        <v>95.879997253417997</v>
      </c>
    </row>
    <row r="2765" spans="1:2" x14ac:dyDescent="0.25">
      <c r="A2765" s="5">
        <v>25965</v>
      </c>
      <c r="B2765">
        <v>96.419998168945298</v>
      </c>
    </row>
    <row r="2766" spans="1:2" x14ac:dyDescent="0.25">
      <c r="A2766" s="5">
        <v>25966</v>
      </c>
      <c r="B2766">
        <v>96.430000305175795</v>
      </c>
    </row>
    <row r="2767" spans="1:2" x14ac:dyDescent="0.25">
      <c r="A2767" s="5">
        <v>25967</v>
      </c>
      <c r="B2767">
        <v>96.629997253417997</v>
      </c>
    </row>
    <row r="2768" spans="1:2" x14ac:dyDescent="0.25">
      <c r="A2768" s="5">
        <v>25968</v>
      </c>
      <c r="B2768">
        <v>96.620002746582003</v>
      </c>
    </row>
    <row r="2769" spans="1:2" x14ac:dyDescent="0.25">
      <c r="A2769" s="5">
        <v>25969</v>
      </c>
      <c r="B2769">
        <v>96.930000305175795</v>
      </c>
    </row>
    <row r="2770" spans="1:2" x14ac:dyDescent="0.25">
      <c r="A2770" s="5">
        <v>25972</v>
      </c>
      <c r="B2770">
        <v>97.449996948242202</v>
      </c>
    </row>
    <row r="2771" spans="1:2" x14ac:dyDescent="0.25">
      <c r="A2771" s="5">
        <v>25973</v>
      </c>
      <c r="B2771">
        <v>97.510002136230497</v>
      </c>
    </row>
    <row r="2772" spans="1:2" x14ac:dyDescent="0.25">
      <c r="A2772" s="5">
        <v>25974</v>
      </c>
      <c r="B2772">
        <v>97.389999389648395</v>
      </c>
    </row>
    <row r="2773" spans="1:2" x14ac:dyDescent="0.25">
      <c r="A2773" s="5">
        <v>25975</v>
      </c>
      <c r="B2773">
        <v>97.910003662109403</v>
      </c>
    </row>
    <row r="2774" spans="1:2" x14ac:dyDescent="0.25">
      <c r="A2774" s="5">
        <v>25976</v>
      </c>
      <c r="B2774">
        <v>98.430000305175795</v>
      </c>
    </row>
    <row r="2775" spans="1:2" x14ac:dyDescent="0.25">
      <c r="A2775" s="5">
        <v>25980</v>
      </c>
      <c r="B2775">
        <v>98.660003662109403</v>
      </c>
    </row>
    <row r="2776" spans="1:2" x14ac:dyDescent="0.25">
      <c r="A2776" s="5">
        <v>25981</v>
      </c>
      <c r="B2776">
        <v>98.199996948242202</v>
      </c>
    </row>
    <row r="2777" spans="1:2" x14ac:dyDescent="0.25">
      <c r="A2777" s="5">
        <v>25982</v>
      </c>
      <c r="B2777">
        <v>97.559997558593807</v>
      </c>
    </row>
    <row r="2778" spans="1:2" x14ac:dyDescent="0.25">
      <c r="A2778" s="5">
        <v>25983</v>
      </c>
      <c r="B2778">
        <v>96.739997863769503</v>
      </c>
    </row>
    <row r="2779" spans="1:2" x14ac:dyDescent="0.25">
      <c r="A2779" s="5">
        <v>25986</v>
      </c>
      <c r="B2779">
        <v>95.720001220703097</v>
      </c>
    </row>
    <row r="2780" spans="1:2" x14ac:dyDescent="0.25">
      <c r="A2780" s="5">
        <v>25987</v>
      </c>
      <c r="B2780">
        <v>96.089996337890597</v>
      </c>
    </row>
    <row r="2781" spans="1:2" x14ac:dyDescent="0.25">
      <c r="A2781" s="5">
        <v>25988</v>
      </c>
      <c r="B2781">
        <v>96.730003356933594</v>
      </c>
    </row>
    <row r="2782" spans="1:2" x14ac:dyDescent="0.25">
      <c r="A2782" s="5">
        <v>25989</v>
      </c>
      <c r="B2782">
        <v>96.959999084472699</v>
      </c>
    </row>
    <row r="2783" spans="1:2" x14ac:dyDescent="0.25">
      <c r="A2783" s="5">
        <v>25990</v>
      </c>
      <c r="B2783">
        <v>96.75</v>
      </c>
    </row>
    <row r="2784" spans="1:2" x14ac:dyDescent="0.25">
      <c r="A2784" s="5">
        <v>25993</v>
      </c>
      <c r="B2784">
        <v>97</v>
      </c>
    </row>
    <row r="2785" spans="1:2" x14ac:dyDescent="0.25">
      <c r="A2785" s="5">
        <v>25994</v>
      </c>
      <c r="B2785">
        <v>96.980003356933594</v>
      </c>
    </row>
    <row r="2786" spans="1:2" x14ac:dyDescent="0.25">
      <c r="A2786" s="5">
        <v>25995</v>
      </c>
      <c r="B2786">
        <v>96.949996948242202</v>
      </c>
    </row>
    <row r="2787" spans="1:2" x14ac:dyDescent="0.25">
      <c r="A2787" s="5">
        <v>25996</v>
      </c>
      <c r="B2787">
        <v>97.919998168945298</v>
      </c>
    </row>
    <row r="2788" spans="1:2" x14ac:dyDescent="0.25">
      <c r="A2788" s="5">
        <v>25997</v>
      </c>
      <c r="B2788">
        <v>98.959999084472699</v>
      </c>
    </row>
    <row r="2789" spans="1:2" x14ac:dyDescent="0.25">
      <c r="A2789" s="5">
        <v>26000</v>
      </c>
      <c r="B2789">
        <v>99.379997253417997</v>
      </c>
    </row>
    <row r="2790" spans="1:2" x14ac:dyDescent="0.25">
      <c r="A2790" s="5">
        <v>26001</v>
      </c>
      <c r="B2790">
        <v>99.459999084472699</v>
      </c>
    </row>
    <row r="2791" spans="1:2" x14ac:dyDescent="0.25">
      <c r="A2791" s="5">
        <v>26002</v>
      </c>
      <c r="B2791">
        <v>99.300003051757798</v>
      </c>
    </row>
    <row r="2792" spans="1:2" x14ac:dyDescent="0.25">
      <c r="A2792" s="5">
        <v>26003</v>
      </c>
      <c r="B2792">
        <v>99.389999389648395</v>
      </c>
    </row>
    <row r="2793" spans="1:2" x14ac:dyDescent="0.25">
      <c r="A2793" s="5">
        <v>26004</v>
      </c>
      <c r="B2793">
        <v>99.569999694824205</v>
      </c>
    </row>
    <row r="2794" spans="1:2" x14ac:dyDescent="0.25">
      <c r="A2794" s="5">
        <v>26007</v>
      </c>
      <c r="B2794">
        <v>100.709999084473</v>
      </c>
    </row>
    <row r="2795" spans="1:2" x14ac:dyDescent="0.25">
      <c r="A2795" s="5">
        <v>26008</v>
      </c>
      <c r="B2795">
        <v>101.209999084473</v>
      </c>
    </row>
    <row r="2796" spans="1:2" x14ac:dyDescent="0.25">
      <c r="A2796" s="5">
        <v>26009</v>
      </c>
      <c r="B2796">
        <v>101.120002746582</v>
      </c>
    </row>
    <row r="2797" spans="1:2" x14ac:dyDescent="0.25">
      <c r="A2797" s="5">
        <v>26010</v>
      </c>
      <c r="B2797">
        <v>101.19000244140599</v>
      </c>
    </row>
    <row r="2798" spans="1:2" x14ac:dyDescent="0.25">
      <c r="A2798" s="5">
        <v>26011</v>
      </c>
      <c r="B2798">
        <v>101.01000213623</v>
      </c>
    </row>
    <row r="2799" spans="1:2" x14ac:dyDescent="0.25">
      <c r="A2799" s="5">
        <v>26014</v>
      </c>
      <c r="B2799">
        <v>100.620002746582</v>
      </c>
    </row>
    <row r="2800" spans="1:2" x14ac:dyDescent="0.25">
      <c r="A2800" s="5">
        <v>26015</v>
      </c>
      <c r="B2800">
        <v>100.279998779297</v>
      </c>
    </row>
    <row r="2801" spans="1:2" x14ac:dyDescent="0.25">
      <c r="A2801" s="5">
        <v>26016</v>
      </c>
      <c r="B2801">
        <v>99.620002746582003</v>
      </c>
    </row>
    <row r="2802" spans="1:2" x14ac:dyDescent="0.25">
      <c r="A2802" s="5">
        <v>26017</v>
      </c>
      <c r="B2802">
        <v>99.610000610351605</v>
      </c>
    </row>
    <row r="2803" spans="1:2" x14ac:dyDescent="0.25">
      <c r="A2803" s="5">
        <v>26018</v>
      </c>
      <c r="B2803">
        <v>99.949996948242202</v>
      </c>
    </row>
    <row r="2804" spans="1:2" x14ac:dyDescent="0.25">
      <c r="A2804" s="5">
        <v>26021</v>
      </c>
      <c r="B2804">
        <v>100.029998779297</v>
      </c>
    </row>
    <row r="2805" spans="1:2" x14ac:dyDescent="0.25">
      <c r="A2805" s="5">
        <v>26022</v>
      </c>
      <c r="B2805">
        <v>100.26000213623</v>
      </c>
    </row>
    <row r="2806" spans="1:2" x14ac:dyDescent="0.25">
      <c r="A2806" s="5">
        <v>26023</v>
      </c>
      <c r="B2806">
        <v>100.30999755859401</v>
      </c>
    </row>
    <row r="2807" spans="1:2" x14ac:dyDescent="0.25">
      <c r="A2807" s="5">
        <v>26024</v>
      </c>
      <c r="B2807">
        <v>100.389999389648</v>
      </c>
    </row>
    <row r="2808" spans="1:2" x14ac:dyDescent="0.25">
      <c r="A2808" s="5">
        <v>26025</v>
      </c>
      <c r="B2808">
        <v>100.55999755859401</v>
      </c>
    </row>
    <row r="2809" spans="1:2" x14ac:dyDescent="0.25">
      <c r="A2809" s="5">
        <v>26028</v>
      </c>
      <c r="B2809">
        <v>100.790000915527</v>
      </c>
    </row>
    <row r="2810" spans="1:2" x14ac:dyDescent="0.25">
      <c r="A2810" s="5">
        <v>26029</v>
      </c>
      <c r="B2810">
        <v>101.51000213623</v>
      </c>
    </row>
    <row r="2811" spans="1:2" x14ac:dyDescent="0.25">
      <c r="A2811" s="5">
        <v>26030</v>
      </c>
      <c r="B2811">
        <v>101.98000335693401</v>
      </c>
    </row>
    <row r="2812" spans="1:2" x14ac:dyDescent="0.25">
      <c r="A2812" s="5">
        <v>26031</v>
      </c>
      <c r="B2812">
        <v>102.09999847412099</v>
      </c>
    </row>
    <row r="2813" spans="1:2" x14ac:dyDescent="0.25">
      <c r="A2813" s="5">
        <v>26035</v>
      </c>
      <c r="B2813">
        <v>102.879997253418</v>
      </c>
    </row>
    <row r="2814" spans="1:2" x14ac:dyDescent="0.25">
      <c r="A2814" s="5">
        <v>26036</v>
      </c>
      <c r="B2814">
        <v>102.98000335693401</v>
      </c>
    </row>
    <row r="2815" spans="1:2" x14ac:dyDescent="0.25">
      <c r="A2815" s="5">
        <v>26037</v>
      </c>
      <c r="B2815">
        <v>103.370002746582</v>
      </c>
    </row>
    <row r="2816" spans="1:2" x14ac:dyDescent="0.25">
      <c r="A2816" s="5">
        <v>26038</v>
      </c>
      <c r="B2816">
        <v>103.51999664306599</v>
      </c>
    </row>
    <row r="2817" spans="1:2" x14ac:dyDescent="0.25">
      <c r="A2817" s="5">
        <v>26039</v>
      </c>
      <c r="B2817">
        <v>103.48999786377</v>
      </c>
    </row>
    <row r="2818" spans="1:2" x14ac:dyDescent="0.25">
      <c r="A2818" s="5">
        <v>26042</v>
      </c>
      <c r="B2818">
        <v>104.01000213623</v>
      </c>
    </row>
    <row r="2819" spans="1:2" x14ac:dyDescent="0.25">
      <c r="A2819" s="5">
        <v>26043</v>
      </c>
      <c r="B2819">
        <v>103.610000610352</v>
      </c>
    </row>
    <row r="2820" spans="1:2" x14ac:dyDescent="0.25">
      <c r="A2820" s="5">
        <v>26044</v>
      </c>
      <c r="B2820">
        <v>103.360000610352</v>
      </c>
    </row>
    <row r="2821" spans="1:2" x14ac:dyDescent="0.25">
      <c r="A2821" s="5">
        <v>26045</v>
      </c>
      <c r="B2821">
        <v>103.55999755859401</v>
      </c>
    </row>
    <row r="2822" spans="1:2" x14ac:dyDescent="0.25">
      <c r="A2822" s="5">
        <v>26046</v>
      </c>
      <c r="B2822">
        <v>104.050003051758</v>
      </c>
    </row>
    <row r="2823" spans="1:2" x14ac:dyDescent="0.25">
      <c r="A2823" s="5">
        <v>26049</v>
      </c>
      <c r="B2823">
        <v>103.94000244140599</v>
      </c>
    </row>
    <row r="2824" spans="1:2" x14ac:dyDescent="0.25">
      <c r="A2824" s="5">
        <v>26050</v>
      </c>
      <c r="B2824">
        <v>104.58999633789099</v>
      </c>
    </row>
    <row r="2825" spans="1:2" x14ac:dyDescent="0.25">
      <c r="A2825" s="5">
        <v>26051</v>
      </c>
      <c r="B2825">
        <v>104.76999664306599</v>
      </c>
    </row>
    <row r="2826" spans="1:2" x14ac:dyDescent="0.25">
      <c r="A2826" s="5">
        <v>26052</v>
      </c>
      <c r="B2826">
        <v>104.629997253418</v>
      </c>
    </row>
    <row r="2827" spans="1:2" x14ac:dyDescent="0.25">
      <c r="A2827" s="5">
        <v>26053</v>
      </c>
      <c r="B2827">
        <v>103.949996948242</v>
      </c>
    </row>
    <row r="2828" spans="1:2" x14ac:dyDescent="0.25">
      <c r="A2828" s="5">
        <v>26056</v>
      </c>
      <c r="B2828">
        <v>103.290000915527</v>
      </c>
    </row>
    <row r="2829" spans="1:2" x14ac:dyDescent="0.25">
      <c r="A2829" s="5">
        <v>26057</v>
      </c>
      <c r="B2829">
        <v>103.790000915527</v>
      </c>
    </row>
    <row r="2830" spans="1:2" x14ac:dyDescent="0.25">
      <c r="A2830" s="5">
        <v>26058</v>
      </c>
      <c r="B2830">
        <v>103.779998779297</v>
      </c>
    </row>
    <row r="2831" spans="1:2" x14ac:dyDescent="0.25">
      <c r="A2831" s="5">
        <v>26059</v>
      </c>
      <c r="B2831">
        <v>103.23000335693401</v>
      </c>
    </row>
    <row r="2832" spans="1:2" x14ac:dyDescent="0.25">
      <c r="A2832" s="5">
        <v>26060</v>
      </c>
      <c r="B2832">
        <v>102.870002746582</v>
      </c>
    </row>
    <row r="2833" spans="1:2" x14ac:dyDescent="0.25">
      <c r="A2833" s="5">
        <v>26063</v>
      </c>
      <c r="B2833">
        <v>102.360000610352</v>
      </c>
    </row>
    <row r="2834" spans="1:2" x14ac:dyDescent="0.25">
      <c r="A2834" s="5">
        <v>26064</v>
      </c>
      <c r="B2834">
        <v>102.620002746582</v>
      </c>
    </row>
    <row r="2835" spans="1:2" x14ac:dyDescent="0.25">
      <c r="A2835" s="5">
        <v>26065</v>
      </c>
      <c r="B2835">
        <v>102.90000152587901</v>
      </c>
    </row>
    <row r="2836" spans="1:2" x14ac:dyDescent="0.25">
      <c r="A2836" s="5">
        <v>26066</v>
      </c>
      <c r="B2836">
        <v>102.69000244140599</v>
      </c>
    </row>
    <row r="2837" spans="1:2" x14ac:dyDescent="0.25">
      <c r="A2837" s="5">
        <v>26067</v>
      </c>
      <c r="B2837">
        <v>102.209999084473</v>
      </c>
    </row>
    <row r="2838" spans="1:2" x14ac:dyDescent="0.25">
      <c r="A2838" s="5">
        <v>26070</v>
      </c>
      <c r="B2838">
        <v>100.69000244140599</v>
      </c>
    </row>
    <row r="2839" spans="1:2" x14ac:dyDescent="0.25">
      <c r="A2839" s="5">
        <v>26071</v>
      </c>
      <c r="B2839">
        <v>100.830001831055</v>
      </c>
    </row>
    <row r="2840" spans="1:2" x14ac:dyDescent="0.25">
      <c r="A2840" s="5">
        <v>26072</v>
      </c>
      <c r="B2840">
        <v>101.06999969482401</v>
      </c>
    </row>
    <row r="2841" spans="1:2" x14ac:dyDescent="0.25">
      <c r="A2841" s="5">
        <v>26073</v>
      </c>
      <c r="B2841">
        <v>101.30999755859401</v>
      </c>
    </row>
    <row r="2842" spans="1:2" x14ac:dyDescent="0.25">
      <c r="A2842" s="5">
        <v>26074</v>
      </c>
      <c r="B2842">
        <v>100.98999786377</v>
      </c>
    </row>
    <row r="2843" spans="1:2" x14ac:dyDescent="0.25">
      <c r="A2843" s="5">
        <v>26077</v>
      </c>
      <c r="B2843">
        <v>100.129997253418</v>
      </c>
    </row>
    <row r="2844" spans="1:2" x14ac:dyDescent="0.25">
      <c r="A2844" s="5">
        <v>26078</v>
      </c>
      <c r="B2844">
        <v>99.470001220703097</v>
      </c>
    </row>
    <row r="2845" spans="1:2" x14ac:dyDescent="0.25">
      <c r="A2845" s="5">
        <v>26079</v>
      </c>
      <c r="B2845">
        <v>99.589996337890597</v>
      </c>
    </row>
    <row r="2846" spans="1:2" x14ac:dyDescent="0.25">
      <c r="A2846" s="5">
        <v>26080</v>
      </c>
      <c r="B2846">
        <v>99.400001525878906</v>
      </c>
    </row>
    <row r="2847" spans="1:2" x14ac:dyDescent="0.25">
      <c r="A2847" s="5">
        <v>26081</v>
      </c>
      <c r="B2847">
        <v>99.629997253417997</v>
      </c>
    </row>
    <row r="2848" spans="1:2" x14ac:dyDescent="0.25">
      <c r="A2848" s="5">
        <v>26085</v>
      </c>
      <c r="B2848">
        <v>100.199996948242</v>
      </c>
    </row>
    <row r="2849" spans="1:2" x14ac:dyDescent="0.25">
      <c r="A2849" s="5">
        <v>26086</v>
      </c>
      <c r="B2849">
        <v>100.959999084473</v>
      </c>
    </row>
    <row r="2850" spans="1:2" x14ac:dyDescent="0.25">
      <c r="A2850" s="5">
        <v>26087</v>
      </c>
      <c r="B2850">
        <v>101.01000213623</v>
      </c>
    </row>
    <row r="2851" spans="1:2" x14ac:dyDescent="0.25">
      <c r="A2851" s="5">
        <v>26088</v>
      </c>
      <c r="B2851">
        <v>101.300003051758</v>
      </c>
    </row>
    <row r="2852" spans="1:2" x14ac:dyDescent="0.25">
      <c r="A2852" s="5">
        <v>26091</v>
      </c>
      <c r="B2852">
        <v>101.08999633789099</v>
      </c>
    </row>
    <row r="2853" spans="1:2" x14ac:dyDescent="0.25">
      <c r="A2853" s="5">
        <v>26092</v>
      </c>
      <c r="B2853">
        <v>100.31999969482401</v>
      </c>
    </row>
    <row r="2854" spans="1:2" x14ac:dyDescent="0.25">
      <c r="A2854" s="5">
        <v>26093</v>
      </c>
      <c r="B2854">
        <v>100.290000915527</v>
      </c>
    </row>
    <row r="2855" spans="1:2" x14ac:dyDescent="0.25">
      <c r="A2855" s="5">
        <v>26094</v>
      </c>
      <c r="B2855">
        <v>100.639999389648</v>
      </c>
    </row>
    <row r="2856" spans="1:2" x14ac:dyDescent="0.25">
      <c r="A2856" s="5">
        <v>26095</v>
      </c>
      <c r="B2856">
        <v>101.06999969482401</v>
      </c>
    </row>
    <row r="2857" spans="1:2" x14ac:dyDescent="0.25">
      <c r="A2857" s="5">
        <v>26098</v>
      </c>
      <c r="B2857">
        <v>100.220001220703</v>
      </c>
    </row>
    <row r="2858" spans="1:2" x14ac:dyDescent="0.25">
      <c r="A2858" s="5">
        <v>26099</v>
      </c>
      <c r="B2858">
        <v>100.31999969482401</v>
      </c>
    </row>
    <row r="2859" spans="1:2" x14ac:dyDescent="0.25">
      <c r="A2859" s="5">
        <v>26100</v>
      </c>
      <c r="B2859">
        <v>100.51999664306599</v>
      </c>
    </row>
    <row r="2860" spans="1:2" x14ac:dyDescent="0.25">
      <c r="A2860" s="5">
        <v>26101</v>
      </c>
      <c r="B2860">
        <v>100.5</v>
      </c>
    </row>
    <row r="2861" spans="1:2" x14ac:dyDescent="0.25">
      <c r="A2861" s="5">
        <v>26102</v>
      </c>
      <c r="B2861">
        <v>98.970001220703097</v>
      </c>
    </row>
    <row r="2862" spans="1:2" x14ac:dyDescent="0.25">
      <c r="A2862" s="5">
        <v>26105</v>
      </c>
      <c r="B2862">
        <v>97.870002746582003</v>
      </c>
    </row>
    <row r="2863" spans="1:2" x14ac:dyDescent="0.25">
      <c r="A2863" s="5">
        <v>26106</v>
      </c>
      <c r="B2863">
        <v>97.589996337890597</v>
      </c>
    </row>
    <row r="2864" spans="1:2" x14ac:dyDescent="0.25">
      <c r="A2864" s="5">
        <v>26107</v>
      </c>
      <c r="B2864">
        <v>98.410003662109403</v>
      </c>
    </row>
    <row r="2865" spans="1:2" x14ac:dyDescent="0.25">
      <c r="A2865" s="5">
        <v>26108</v>
      </c>
      <c r="B2865">
        <v>98.129997253417997</v>
      </c>
    </row>
    <row r="2866" spans="1:2" x14ac:dyDescent="0.25">
      <c r="A2866" s="5">
        <v>26109</v>
      </c>
      <c r="B2866">
        <v>97.989997863769503</v>
      </c>
    </row>
    <row r="2867" spans="1:2" x14ac:dyDescent="0.25">
      <c r="A2867" s="5">
        <v>26112</v>
      </c>
      <c r="B2867">
        <v>97.739997863769503</v>
      </c>
    </row>
    <row r="2868" spans="1:2" x14ac:dyDescent="0.25">
      <c r="A2868" s="5">
        <v>26113</v>
      </c>
      <c r="B2868">
        <v>98.819999694824205</v>
      </c>
    </row>
    <row r="2869" spans="1:2" x14ac:dyDescent="0.25">
      <c r="A2869" s="5">
        <v>26114</v>
      </c>
      <c r="B2869">
        <v>98.699996948242202</v>
      </c>
    </row>
    <row r="2870" spans="1:2" x14ac:dyDescent="0.25">
      <c r="A2870" s="5">
        <v>26115</v>
      </c>
      <c r="B2870">
        <v>99.779998779296903</v>
      </c>
    </row>
    <row r="2871" spans="1:2" x14ac:dyDescent="0.25">
      <c r="A2871" s="5">
        <v>26116</v>
      </c>
      <c r="B2871">
        <v>99.779998779296903</v>
      </c>
    </row>
    <row r="2872" spans="1:2" x14ac:dyDescent="0.25">
      <c r="A2872" s="5">
        <v>26120</v>
      </c>
      <c r="B2872">
        <v>99.760002136230497</v>
      </c>
    </row>
    <row r="2873" spans="1:2" x14ac:dyDescent="0.25">
      <c r="A2873" s="5">
        <v>26121</v>
      </c>
      <c r="B2873">
        <v>100.040000915527</v>
      </c>
    </row>
    <row r="2874" spans="1:2" x14ac:dyDescent="0.25">
      <c r="A2874" s="5">
        <v>26122</v>
      </c>
      <c r="B2874">
        <v>100.33999633789099</v>
      </c>
    </row>
    <row r="2875" spans="1:2" x14ac:dyDescent="0.25">
      <c r="A2875" s="5">
        <v>26123</v>
      </c>
      <c r="B2875">
        <v>100.69000244140599</v>
      </c>
    </row>
    <row r="2876" spans="1:2" x14ac:dyDescent="0.25">
      <c r="A2876" s="5">
        <v>26126</v>
      </c>
      <c r="B2876">
        <v>100.81999969482401</v>
      </c>
    </row>
    <row r="2877" spans="1:2" x14ac:dyDescent="0.25">
      <c r="A2877" s="5">
        <v>26127</v>
      </c>
      <c r="B2877">
        <v>99.5</v>
      </c>
    </row>
    <row r="2878" spans="1:2" x14ac:dyDescent="0.25">
      <c r="A2878" s="5">
        <v>26128</v>
      </c>
      <c r="B2878">
        <v>99.220001220703097</v>
      </c>
    </row>
    <row r="2879" spans="1:2" x14ac:dyDescent="0.25">
      <c r="A2879" s="5">
        <v>26129</v>
      </c>
      <c r="B2879">
        <v>99.279998779296903</v>
      </c>
    </row>
    <row r="2880" spans="1:2" x14ac:dyDescent="0.25">
      <c r="A2880" s="5">
        <v>26130</v>
      </c>
      <c r="B2880">
        <v>99.110000610351605</v>
      </c>
    </row>
    <row r="2881" spans="1:2" x14ac:dyDescent="0.25">
      <c r="A2881" s="5">
        <v>26133</v>
      </c>
      <c r="B2881">
        <v>98.930000305175795</v>
      </c>
    </row>
    <row r="2882" spans="1:2" x14ac:dyDescent="0.25">
      <c r="A2882" s="5">
        <v>26134</v>
      </c>
      <c r="B2882">
        <v>99.319999694824205</v>
      </c>
    </row>
    <row r="2883" spans="1:2" x14ac:dyDescent="0.25">
      <c r="A2883" s="5">
        <v>26135</v>
      </c>
      <c r="B2883">
        <v>99.279998779296903</v>
      </c>
    </row>
    <row r="2884" spans="1:2" x14ac:dyDescent="0.25">
      <c r="A2884" s="5">
        <v>26136</v>
      </c>
      <c r="B2884">
        <v>99.110000610351605</v>
      </c>
    </row>
    <row r="2885" spans="1:2" x14ac:dyDescent="0.25">
      <c r="A2885" s="5">
        <v>26137</v>
      </c>
      <c r="B2885">
        <v>98.940002441406193</v>
      </c>
    </row>
    <row r="2886" spans="1:2" x14ac:dyDescent="0.25">
      <c r="A2886" s="5">
        <v>26140</v>
      </c>
      <c r="B2886">
        <v>98.139999389648395</v>
      </c>
    </row>
    <row r="2887" spans="1:2" x14ac:dyDescent="0.25">
      <c r="A2887" s="5">
        <v>26141</v>
      </c>
      <c r="B2887">
        <v>97.779998779296903</v>
      </c>
    </row>
    <row r="2888" spans="1:2" x14ac:dyDescent="0.25">
      <c r="A2888" s="5">
        <v>26142</v>
      </c>
      <c r="B2888">
        <v>97.069999694824205</v>
      </c>
    </row>
    <row r="2889" spans="1:2" x14ac:dyDescent="0.25">
      <c r="A2889" s="5">
        <v>26143</v>
      </c>
      <c r="B2889">
        <v>96.019996643066406</v>
      </c>
    </row>
    <row r="2890" spans="1:2" x14ac:dyDescent="0.25">
      <c r="A2890" s="5">
        <v>26144</v>
      </c>
      <c r="B2890">
        <v>95.580001831054702</v>
      </c>
    </row>
    <row r="2891" spans="1:2" x14ac:dyDescent="0.25">
      <c r="A2891" s="5">
        <v>26147</v>
      </c>
      <c r="B2891">
        <v>95.959999084472699</v>
      </c>
    </row>
    <row r="2892" spans="1:2" x14ac:dyDescent="0.25">
      <c r="A2892" s="5">
        <v>26148</v>
      </c>
      <c r="B2892">
        <v>94.510002136230497</v>
      </c>
    </row>
    <row r="2893" spans="1:2" x14ac:dyDescent="0.25">
      <c r="A2893" s="5">
        <v>26149</v>
      </c>
      <c r="B2893">
        <v>93.889999389648395</v>
      </c>
    </row>
    <row r="2894" spans="1:2" x14ac:dyDescent="0.25">
      <c r="A2894" s="5">
        <v>26150</v>
      </c>
      <c r="B2894">
        <v>94.089996337890597</v>
      </c>
    </row>
    <row r="2895" spans="1:2" x14ac:dyDescent="0.25">
      <c r="A2895" s="5">
        <v>26151</v>
      </c>
      <c r="B2895">
        <v>94.25</v>
      </c>
    </row>
    <row r="2896" spans="1:2" x14ac:dyDescent="0.25">
      <c r="A2896" s="5">
        <v>26154</v>
      </c>
      <c r="B2896">
        <v>93.529998779296903</v>
      </c>
    </row>
    <row r="2897" spans="1:2" x14ac:dyDescent="0.25">
      <c r="A2897" s="5">
        <v>26155</v>
      </c>
      <c r="B2897">
        <v>93.540000915527301</v>
      </c>
    </row>
    <row r="2898" spans="1:2" x14ac:dyDescent="0.25">
      <c r="A2898" s="5">
        <v>26156</v>
      </c>
      <c r="B2898">
        <v>94.660003662109403</v>
      </c>
    </row>
    <row r="2899" spans="1:2" x14ac:dyDescent="0.25">
      <c r="A2899" s="5">
        <v>26157</v>
      </c>
      <c r="B2899">
        <v>96</v>
      </c>
    </row>
    <row r="2900" spans="1:2" x14ac:dyDescent="0.25">
      <c r="A2900" s="5">
        <v>26158</v>
      </c>
      <c r="B2900">
        <v>95.690002441406193</v>
      </c>
    </row>
    <row r="2901" spans="1:2" x14ac:dyDescent="0.25">
      <c r="A2901" s="5">
        <v>26161</v>
      </c>
      <c r="B2901">
        <v>98.760002136230497</v>
      </c>
    </row>
    <row r="2902" spans="1:2" x14ac:dyDescent="0.25">
      <c r="A2902" s="5">
        <v>26162</v>
      </c>
      <c r="B2902">
        <v>99.989997863769503</v>
      </c>
    </row>
    <row r="2903" spans="1:2" x14ac:dyDescent="0.25">
      <c r="A2903" s="5">
        <v>26163</v>
      </c>
      <c r="B2903">
        <v>98.599998474121094</v>
      </c>
    </row>
    <row r="2904" spans="1:2" x14ac:dyDescent="0.25">
      <c r="A2904" s="5">
        <v>26164</v>
      </c>
      <c r="B2904">
        <v>98.160003662109403</v>
      </c>
    </row>
    <row r="2905" spans="1:2" x14ac:dyDescent="0.25">
      <c r="A2905" s="5">
        <v>26165</v>
      </c>
      <c r="B2905">
        <v>98.330001831054702</v>
      </c>
    </row>
    <row r="2906" spans="1:2" x14ac:dyDescent="0.25">
      <c r="A2906" s="5">
        <v>26168</v>
      </c>
      <c r="B2906">
        <v>99.25</v>
      </c>
    </row>
    <row r="2907" spans="1:2" x14ac:dyDescent="0.25">
      <c r="A2907" s="5">
        <v>26169</v>
      </c>
      <c r="B2907">
        <v>100.40000152587901</v>
      </c>
    </row>
    <row r="2908" spans="1:2" x14ac:dyDescent="0.25">
      <c r="A2908" s="5">
        <v>26170</v>
      </c>
      <c r="B2908">
        <v>100.41000366210901</v>
      </c>
    </row>
    <row r="2909" spans="1:2" x14ac:dyDescent="0.25">
      <c r="A2909" s="5">
        <v>26171</v>
      </c>
      <c r="B2909">
        <v>100.23999786377</v>
      </c>
    </row>
    <row r="2910" spans="1:2" x14ac:dyDescent="0.25">
      <c r="A2910" s="5">
        <v>26172</v>
      </c>
      <c r="B2910">
        <v>100.48000335693401</v>
      </c>
    </row>
    <row r="2911" spans="1:2" x14ac:dyDescent="0.25">
      <c r="A2911" s="5">
        <v>26175</v>
      </c>
      <c r="B2911">
        <v>99.519996643066406</v>
      </c>
    </row>
    <row r="2912" spans="1:2" x14ac:dyDescent="0.25">
      <c r="A2912" s="5">
        <v>26176</v>
      </c>
      <c r="B2912">
        <v>99.029998779296903</v>
      </c>
    </row>
    <row r="2913" spans="1:2" x14ac:dyDescent="0.25">
      <c r="A2913" s="5">
        <v>26177</v>
      </c>
      <c r="B2913">
        <v>99.069999694824205</v>
      </c>
    </row>
    <row r="2914" spans="1:2" x14ac:dyDescent="0.25">
      <c r="A2914" s="5">
        <v>26178</v>
      </c>
      <c r="B2914">
        <v>99.290000915527301</v>
      </c>
    </row>
    <row r="2915" spans="1:2" x14ac:dyDescent="0.25">
      <c r="A2915" s="5">
        <v>26179</v>
      </c>
      <c r="B2915">
        <v>100.69000244140599</v>
      </c>
    </row>
    <row r="2916" spans="1:2" x14ac:dyDescent="0.25">
      <c r="A2916" s="5">
        <v>26183</v>
      </c>
      <c r="B2916">
        <v>101.15000152587901</v>
      </c>
    </row>
    <row r="2917" spans="1:2" x14ac:dyDescent="0.25">
      <c r="A2917" s="5">
        <v>26184</v>
      </c>
      <c r="B2917">
        <v>101.33999633789099</v>
      </c>
    </row>
    <row r="2918" spans="1:2" x14ac:dyDescent="0.25">
      <c r="A2918" s="5">
        <v>26185</v>
      </c>
      <c r="B2918">
        <v>100.800003051758</v>
      </c>
    </row>
    <row r="2919" spans="1:2" x14ac:dyDescent="0.25">
      <c r="A2919" s="5">
        <v>26186</v>
      </c>
      <c r="B2919">
        <v>100.419998168945</v>
      </c>
    </row>
    <row r="2920" spans="1:2" x14ac:dyDescent="0.25">
      <c r="A2920" s="5">
        <v>26189</v>
      </c>
      <c r="B2920">
        <v>100.06999969482401</v>
      </c>
    </row>
    <row r="2921" spans="1:2" x14ac:dyDescent="0.25">
      <c r="A2921" s="5">
        <v>26190</v>
      </c>
      <c r="B2921">
        <v>99.339996337890597</v>
      </c>
    </row>
    <row r="2922" spans="1:2" x14ac:dyDescent="0.25">
      <c r="A2922" s="5">
        <v>26191</v>
      </c>
      <c r="B2922">
        <v>99.769996643066406</v>
      </c>
    </row>
    <row r="2923" spans="1:2" x14ac:dyDescent="0.25">
      <c r="A2923" s="5">
        <v>26192</v>
      </c>
      <c r="B2923">
        <v>99.660003662109403</v>
      </c>
    </row>
    <row r="2924" spans="1:2" x14ac:dyDescent="0.25">
      <c r="A2924" s="5">
        <v>26193</v>
      </c>
      <c r="B2924">
        <v>99.959999084472699</v>
      </c>
    </row>
    <row r="2925" spans="1:2" x14ac:dyDescent="0.25">
      <c r="A2925" s="5">
        <v>26196</v>
      </c>
      <c r="B2925">
        <v>99.680000305175795</v>
      </c>
    </row>
    <row r="2926" spans="1:2" x14ac:dyDescent="0.25">
      <c r="A2926" s="5">
        <v>26197</v>
      </c>
      <c r="B2926">
        <v>99.339996337890597</v>
      </c>
    </row>
    <row r="2927" spans="1:2" x14ac:dyDescent="0.25">
      <c r="A2927" s="5">
        <v>26198</v>
      </c>
      <c r="B2927">
        <v>98.470001220703097</v>
      </c>
    </row>
    <row r="2928" spans="1:2" x14ac:dyDescent="0.25">
      <c r="A2928" s="5">
        <v>26199</v>
      </c>
      <c r="B2928">
        <v>98.379997253417997</v>
      </c>
    </row>
    <row r="2929" spans="1:2" x14ac:dyDescent="0.25">
      <c r="A2929" s="5">
        <v>26200</v>
      </c>
      <c r="B2929">
        <v>98.150001525878906</v>
      </c>
    </row>
    <row r="2930" spans="1:2" x14ac:dyDescent="0.25">
      <c r="A2930" s="5">
        <v>26203</v>
      </c>
      <c r="B2930">
        <v>97.620002746582003</v>
      </c>
    </row>
    <row r="2931" spans="1:2" x14ac:dyDescent="0.25">
      <c r="A2931" s="5">
        <v>26204</v>
      </c>
      <c r="B2931">
        <v>97.879997253417997</v>
      </c>
    </row>
    <row r="2932" spans="1:2" x14ac:dyDescent="0.25">
      <c r="A2932" s="5">
        <v>26205</v>
      </c>
      <c r="B2932">
        <v>97.900001525878906</v>
      </c>
    </row>
    <row r="2933" spans="1:2" x14ac:dyDescent="0.25">
      <c r="A2933" s="5">
        <v>26206</v>
      </c>
      <c r="B2933">
        <v>98.339996337890597</v>
      </c>
    </row>
    <row r="2934" spans="1:2" x14ac:dyDescent="0.25">
      <c r="A2934" s="5">
        <v>26207</v>
      </c>
      <c r="B2934">
        <v>98.930000305175795</v>
      </c>
    </row>
    <row r="2935" spans="1:2" x14ac:dyDescent="0.25">
      <c r="A2935" s="5">
        <v>26210</v>
      </c>
      <c r="B2935">
        <v>99.209999084472699</v>
      </c>
    </row>
    <row r="2936" spans="1:2" x14ac:dyDescent="0.25">
      <c r="A2936" s="5">
        <v>26211</v>
      </c>
      <c r="B2936">
        <v>99.110000610351605</v>
      </c>
    </row>
    <row r="2937" spans="1:2" x14ac:dyDescent="0.25">
      <c r="A2937" s="5">
        <v>26212</v>
      </c>
      <c r="B2937">
        <v>99.819999694824205</v>
      </c>
    </row>
    <row r="2938" spans="1:2" x14ac:dyDescent="0.25">
      <c r="A2938" s="5">
        <v>26213</v>
      </c>
      <c r="B2938">
        <v>100.01999664306599</v>
      </c>
    </row>
    <row r="2939" spans="1:2" x14ac:dyDescent="0.25">
      <c r="A2939" s="5">
        <v>26214</v>
      </c>
      <c r="B2939">
        <v>99.360000610351605</v>
      </c>
    </row>
    <row r="2940" spans="1:2" x14ac:dyDescent="0.25">
      <c r="A2940" s="5">
        <v>26217</v>
      </c>
      <c r="B2940">
        <v>99.209999084472699</v>
      </c>
    </row>
    <row r="2941" spans="1:2" x14ac:dyDescent="0.25">
      <c r="A2941" s="5">
        <v>26218</v>
      </c>
      <c r="B2941">
        <v>99.569999694824205</v>
      </c>
    </row>
    <row r="2942" spans="1:2" x14ac:dyDescent="0.25">
      <c r="A2942" s="5">
        <v>26219</v>
      </c>
      <c r="B2942">
        <v>99.029998779296903</v>
      </c>
    </row>
    <row r="2943" spans="1:2" x14ac:dyDescent="0.25">
      <c r="A2943" s="5">
        <v>26220</v>
      </c>
      <c r="B2943">
        <v>98.129997253417997</v>
      </c>
    </row>
    <row r="2944" spans="1:2" x14ac:dyDescent="0.25">
      <c r="A2944" s="5">
        <v>26221</v>
      </c>
      <c r="B2944">
        <v>97.790000915527301</v>
      </c>
    </row>
    <row r="2945" spans="1:2" x14ac:dyDescent="0.25">
      <c r="A2945" s="5">
        <v>26224</v>
      </c>
      <c r="B2945">
        <v>97.349998474121094</v>
      </c>
    </row>
    <row r="2946" spans="1:2" x14ac:dyDescent="0.25">
      <c r="A2946" s="5">
        <v>26225</v>
      </c>
      <c r="B2946">
        <v>97</v>
      </c>
    </row>
    <row r="2947" spans="1:2" x14ac:dyDescent="0.25">
      <c r="A2947" s="5">
        <v>26226</v>
      </c>
      <c r="B2947">
        <v>95.650001525878906</v>
      </c>
    </row>
    <row r="2948" spans="1:2" x14ac:dyDescent="0.25">
      <c r="A2948" s="5">
        <v>26227</v>
      </c>
      <c r="B2948">
        <v>95.599998474121094</v>
      </c>
    </row>
    <row r="2949" spans="1:2" x14ac:dyDescent="0.25">
      <c r="A2949" s="5">
        <v>26228</v>
      </c>
      <c r="B2949">
        <v>95.569999694824205</v>
      </c>
    </row>
    <row r="2950" spans="1:2" x14ac:dyDescent="0.25">
      <c r="A2950" s="5">
        <v>26231</v>
      </c>
      <c r="B2950">
        <v>95.099998474121094</v>
      </c>
    </row>
    <row r="2951" spans="1:2" x14ac:dyDescent="0.25">
      <c r="A2951" s="5">
        <v>26232</v>
      </c>
      <c r="B2951">
        <v>94.739997863769503</v>
      </c>
    </row>
    <row r="2952" spans="1:2" x14ac:dyDescent="0.25">
      <c r="A2952" s="5">
        <v>26233</v>
      </c>
      <c r="B2952">
        <v>93.790000915527301</v>
      </c>
    </row>
    <row r="2953" spans="1:2" x14ac:dyDescent="0.25">
      <c r="A2953" s="5">
        <v>26234</v>
      </c>
      <c r="B2953">
        <v>93.959999084472699</v>
      </c>
    </row>
    <row r="2954" spans="1:2" x14ac:dyDescent="0.25">
      <c r="A2954" s="5">
        <v>26235</v>
      </c>
      <c r="B2954">
        <v>94.230003356933594</v>
      </c>
    </row>
    <row r="2955" spans="1:2" x14ac:dyDescent="0.25">
      <c r="A2955" s="5">
        <v>26238</v>
      </c>
      <c r="B2955">
        <v>92.800003051757798</v>
      </c>
    </row>
    <row r="2956" spans="1:2" x14ac:dyDescent="0.25">
      <c r="A2956" s="5">
        <v>26239</v>
      </c>
      <c r="B2956">
        <v>93.180000305175795</v>
      </c>
    </row>
    <row r="2957" spans="1:2" x14ac:dyDescent="0.25">
      <c r="A2957" s="5">
        <v>26240</v>
      </c>
      <c r="B2957">
        <v>94.910003662109403</v>
      </c>
    </row>
    <row r="2958" spans="1:2" x14ac:dyDescent="0.25">
      <c r="A2958" s="5">
        <v>26241</v>
      </c>
      <c r="B2958">
        <v>94.790000915527301</v>
      </c>
    </row>
    <row r="2959" spans="1:2" x14ac:dyDescent="0.25">
      <c r="A2959" s="5">
        <v>26242</v>
      </c>
      <c r="B2959">
        <v>94.459999084472699</v>
      </c>
    </row>
    <row r="2960" spans="1:2" x14ac:dyDescent="0.25">
      <c r="A2960" s="5">
        <v>26245</v>
      </c>
      <c r="B2960">
        <v>94.389999389648395</v>
      </c>
    </row>
    <row r="2961" spans="1:2" x14ac:dyDescent="0.25">
      <c r="A2961" s="5">
        <v>26246</v>
      </c>
      <c r="B2961">
        <v>94.459999084472699</v>
      </c>
    </row>
    <row r="2962" spans="1:2" x14ac:dyDescent="0.25">
      <c r="A2962" s="5">
        <v>26247</v>
      </c>
      <c r="B2962">
        <v>93.410003662109403</v>
      </c>
    </row>
    <row r="2963" spans="1:2" x14ac:dyDescent="0.25">
      <c r="A2963" s="5">
        <v>26248</v>
      </c>
      <c r="B2963">
        <v>92.120002746582003</v>
      </c>
    </row>
    <row r="2964" spans="1:2" x14ac:dyDescent="0.25">
      <c r="A2964" s="5">
        <v>26249</v>
      </c>
      <c r="B2964">
        <v>92.120002746582003</v>
      </c>
    </row>
    <row r="2965" spans="1:2" x14ac:dyDescent="0.25">
      <c r="A2965" s="5">
        <v>26252</v>
      </c>
      <c r="B2965">
        <v>91.809997558593807</v>
      </c>
    </row>
    <row r="2966" spans="1:2" x14ac:dyDescent="0.25">
      <c r="A2966" s="5">
        <v>26253</v>
      </c>
      <c r="B2966">
        <v>92.709999084472699</v>
      </c>
    </row>
    <row r="2967" spans="1:2" x14ac:dyDescent="0.25">
      <c r="A2967" s="5">
        <v>26254</v>
      </c>
      <c r="B2967">
        <v>92.849998474121094</v>
      </c>
    </row>
    <row r="2968" spans="1:2" x14ac:dyDescent="0.25">
      <c r="A2968" s="5">
        <v>26255</v>
      </c>
      <c r="B2968">
        <v>92.129997253417997</v>
      </c>
    </row>
    <row r="2969" spans="1:2" x14ac:dyDescent="0.25">
      <c r="A2969" s="5">
        <v>26256</v>
      </c>
      <c r="B2969">
        <v>91.610000610351605</v>
      </c>
    </row>
    <row r="2970" spans="1:2" x14ac:dyDescent="0.25">
      <c r="A2970" s="5">
        <v>26259</v>
      </c>
      <c r="B2970">
        <v>90.790000915527301</v>
      </c>
    </row>
    <row r="2971" spans="1:2" x14ac:dyDescent="0.25">
      <c r="A2971" s="5">
        <v>26260</v>
      </c>
      <c r="B2971">
        <v>90.160003662109403</v>
      </c>
    </row>
    <row r="2972" spans="1:2" x14ac:dyDescent="0.25">
      <c r="A2972" s="5">
        <v>26261</v>
      </c>
      <c r="B2972">
        <v>90.330001831054702</v>
      </c>
    </row>
    <row r="2973" spans="1:2" x14ac:dyDescent="0.25">
      <c r="A2973" s="5">
        <v>26263</v>
      </c>
      <c r="B2973">
        <v>91.940002441406193</v>
      </c>
    </row>
    <row r="2974" spans="1:2" x14ac:dyDescent="0.25">
      <c r="A2974" s="5">
        <v>26266</v>
      </c>
      <c r="B2974">
        <v>93.410003662109403</v>
      </c>
    </row>
    <row r="2975" spans="1:2" x14ac:dyDescent="0.25">
      <c r="A2975" s="5">
        <v>26267</v>
      </c>
      <c r="B2975">
        <v>93.989997863769503</v>
      </c>
    </row>
    <row r="2976" spans="1:2" x14ac:dyDescent="0.25">
      <c r="A2976" s="5">
        <v>26268</v>
      </c>
      <c r="B2976">
        <v>95.440002441406193</v>
      </c>
    </row>
    <row r="2977" spans="1:2" x14ac:dyDescent="0.25">
      <c r="A2977" s="5">
        <v>26269</v>
      </c>
      <c r="B2977">
        <v>95.839996337890597</v>
      </c>
    </row>
    <row r="2978" spans="1:2" x14ac:dyDescent="0.25">
      <c r="A2978" s="5">
        <v>26270</v>
      </c>
      <c r="B2978">
        <v>97.059997558593807</v>
      </c>
    </row>
    <row r="2979" spans="1:2" x14ac:dyDescent="0.25">
      <c r="A2979" s="5">
        <v>26273</v>
      </c>
      <c r="B2979">
        <v>96.510002136230497</v>
      </c>
    </row>
    <row r="2980" spans="1:2" x14ac:dyDescent="0.25">
      <c r="A2980" s="5">
        <v>26274</v>
      </c>
      <c r="B2980">
        <v>96.870002746582003</v>
      </c>
    </row>
    <row r="2981" spans="1:2" x14ac:dyDescent="0.25">
      <c r="A2981" s="5">
        <v>26275</v>
      </c>
      <c r="B2981">
        <v>96.919998168945298</v>
      </c>
    </row>
    <row r="2982" spans="1:2" x14ac:dyDescent="0.25">
      <c r="A2982" s="5">
        <v>26276</v>
      </c>
      <c r="B2982">
        <v>96.959999084472699</v>
      </c>
    </row>
    <row r="2983" spans="1:2" x14ac:dyDescent="0.25">
      <c r="A2983" s="5">
        <v>26277</v>
      </c>
      <c r="B2983">
        <v>97.690002441406193</v>
      </c>
    </row>
    <row r="2984" spans="1:2" x14ac:dyDescent="0.25">
      <c r="A2984" s="5">
        <v>26280</v>
      </c>
      <c r="B2984">
        <v>97.970001220703097</v>
      </c>
    </row>
    <row r="2985" spans="1:2" x14ac:dyDescent="0.25">
      <c r="A2985" s="5">
        <v>26281</v>
      </c>
      <c r="B2985">
        <v>97.669998168945298</v>
      </c>
    </row>
    <row r="2986" spans="1:2" x14ac:dyDescent="0.25">
      <c r="A2986" s="5">
        <v>26282</v>
      </c>
      <c r="B2986">
        <v>98.540000915527301</v>
      </c>
    </row>
    <row r="2987" spans="1:2" x14ac:dyDescent="0.25">
      <c r="A2987" s="5">
        <v>26283</v>
      </c>
      <c r="B2987">
        <v>99.739997863769503</v>
      </c>
    </row>
    <row r="2988" spans="1:2" x14ac:dyDescent="0.25">
      <c r="A2988" s="5">
        <v>26284</v>
      </c>
      <c r="B2988">
        <v>100.26000213623</v>
      </c>
    </row>
    <row r="2989" spans="1:2" x14ac:dyDescent="0.25">
      <c r="A2989" s="5">
        <v>26287</v>
      </c>
      <c r="B2989">
        <v>101.550003051758</v>
      </c>
    </row>
    <row r="2990" spans="1:2" x14ac:dyDescent="0.25">
      <c r="A2990" s="5">
        <v>26288</v>
      </c>
      <c r="B2990">
        <v>101.800003051758</v>
      </c>
    </row>
    <row r="2991" spans="1:2" x14ac:dyDescent="0.25">
      <c r="A2991" s="5">
        <v>26289</v>
      </c>
      <c r="B2991">
        <v>101.18000030517599</v>
      </c>
    </row>
    <row r="2992" spans="1:2" x14ac:dyDescent="0.25">
      <c r="A2992" s="5">
        <v>26290</v>
      </c>
      <c r="B2992">
        <v>100.73999786377</v>
      </c>
    </row>
    <row r="2993" spans="1:2" x14ac:dyDescent="0.25">
      <c r="A2993" s="5">
        <v>26294</v>
      </c>
      <c r="B2993">
        <v>100.949996948242</v>
      </c>
    </row>
    <row r="2994" spans="1:2" x14ac:dyDescent="0.25">
      <c r="A2994" s="5">
        <v>26295</v>
      </c>
      <c r="B2994">
        <v>101.949996948242</v>
      </c>
    </row>
    <row r="2995" spans="1:2" x14ac:dyDescent="0.25">
      <c r="A2995" s="5">
        <v>26296</v>
      </c>
      <c r="B2995">
        <v>102.209999084473</v>
      </c>
    </row>
    <row r="2996" spans="1:2" x14ac:dyDescent="0.25">
      <c r="A2996" s="5">
        <v>26297</v>
      </c>
      <c r="B2996">
        <v>101.779998779297</v>
      </c>
    </row>
    <row r="2997" spans="1:2" x14ac:dyDescent="0.25">
      <c r="A2997" s="5">
        <v>26298</v>
      </c>
      <c r="B2997">
        <v>102.08999633789099</v>
      </c>
    </row>
    <row r="2998" spans="1:2" x14ac:dyDescent="0.25">
      <c r="A2998" s="5">
        <v>26301</v>
      </c>
      <c r="B2998">
        <v>101.669998168945</v>
      </c>
    </row>
    <row r="2999" spans="1:2" x14ac:dyDescent="0.25">
      <c r="A2999" s="5">
        <v>26302</v>
      </c>
      <c r="B2999">
        <v>102.08999633789099</v>
      </c>
    </row>
    <row r="3000" spans="1:2" x14ac:dyDescent="0.25">
      <c r="A3000" s="5">
        <v>26303</v>
      </c>
      <c r="B3000">
        <v>103.05999755859401</v>
      </c>
    </row>
    <row r="3001" spans="1:2" x14ac:dyDescent="0.25">
      <c r="A3001" s="5">
        <v>26304</v>
      </c>
      <c r="B3001">
        <v>103.51000213623</v>
      </c>
    </row>
    <row r="3002" spans="1:2" x14ac:dyDescent="0.25">
      <c r="A3002" s="5">
        <v>26305</v>
      </c>
      <c r="B3002">
        <v>103.470001220703</v>
      </c>
    </row>
    <row r="3003" spans="1:2" x14ac:dyDescent="0.25">
      <c r="A3003" s="5">
        <v>26308</v>
      </c>
      <c r="B3003">
        <v>103.31999969482401</v>
      </c>
    </row>
    <row r="3004" spans="1:2" x14ac:dyDescent="0.25">
      <c r="A3004" s="5">
        <v>26309</v>
      </c>
      <c r="B3004">
        <v>103.65000152587901</v>
      </c>
    </row>
    <row r="3005" spans="1:2" x14ac:dyDescent="0.25">
      <c r="A3005" s="5">
        <v>26310</v>
      </c>
      <c r="B3005">
        <v>103.58999633789099</v>
      </c>
    </row>
    <row r="3006" spans="1:2" x14ac:dyDescent="0.25">
      <c r="A3006" s="5">
        <v>26311</v>
      </c>
      <c r="B3006">
        <v>102.98999786377</v>
      </c>
    </row>
    <row r="3007" spans="1:2" x14ac:dyDescent="0.25">
      <c r="A3007" s="5">
        <v>26312</v>
      </c>
      <c r="B3007">
        <v>103.389999389648</v>
      </c>
    </row>
    <row r="3008" spans="1:2" x14ac:dyDescent="0.25">
      <c r="A3008" s="5">
        <v>26315</v>
      </c>
      <c r="B3008">
        <v>103.699996948242</v>
      </c>
    </row>
    <row r="3009" spans="1:2" x14ac:dyDescent="0.25">
      <c r="A3009" s="5">
        <v>26316</v>
      </c>
      <c r="B3009">
        <v>104.050003051758</v>
      </c>
    </row>
    <row r="3010" spans="1:2" x14ac:dyDescent="0.25">
      <c r="A3010" s="5">
        <v>26317</v>
      </c>
      <c r="B3010">
        <v>103.879997253418</v>
      </c>
    </row>
    <row r="3011" spans="1:2" x14ac:dyDescent="0.25">
      <c r="A3011" s="5">
        <v>26318</v>
      </c>
      <c r="B3011">
        <v>103.879997253418</v>
      </c>
    </row>
    <row r="3012" spans="1:2" x14ac:dyDescent="0.25">
      <c r="A3012" s="5">
        <v>26319</v>
      </c>
      <c r="B3012">
        <v>103.65000152587901</v>
      </c>
    </row>
    <row r="3013" spans="1:2" x14ac:dyDescent="0.25">
      <c r="A3013" s="5">
        <v>26322</v>
      </c>
      <c r="B3013">
        <v>102.56999969482401</v>
      </c>
    </row>
    <row r="3014" spans="1:2" x14ac:dyDescent="0.25">
      <c r="A3014" s="5">
        <v>26323</v>
      </c>
      <c r="B3014">
        <v>102.699996948242</v>
      </c>
    </row>
    <row r="3015" spans="1:2" x14ac:dyDescent="0.25">
      <c r="A3015" s="5">
        <v>26324</v>
      </c>
      <c r="B3015">
        <v>102.5</v>
      </c>
    </row>
    <row r="3016" spans="1:2" x14ac:dyDescent="0.25">
      <c r="A3016" s="5">
        <v>26325</v>
      </c>
      <c r="B3016">
        <v>103.5</v>
      </c>
    </row>
    <row r="3017" spans="1:2" x14ac:dyDescent="0.25">
      <c r="A3017" s="5">
        <v>26326</v>
      </c>
      <c r="B3017">
        <v>104.16000366210901</v>
      </c>
    </row>
    <row r="3018" spans="1:2" x14ac:dyDescent="0.25">
      <c r="A3018" s="5">
        <v>26329</v>
      </c>
      <c r="B3018">
        <v>103.94000244140599</v>
      </c>
    </row>
    <row r="3019" spans="1:2" x14ac:dyDescent="0.25">
      <c r="A3019" s="5">
        <v>26330</v>
      </c>
      <c r="B3019">
        <v>104.01000213623</v>
      </c>
    </row>
    <row r="3020" spans="1:2" x14ac:dyDescent="0.25">
      <c r="A3020" s="5">
        <v>26331</v>
      </c>
      <c r="B3020">
        <v>104.68000030517599</v>
      </c>
    </row>
    <row r="3021" spans="1:2" x14ac:dyDescent="0.25">
      <c r="A3021" s="5">
        <v>26332</v>
      </c>
      <c r="B3021">
        <v>104.639999389648</v>
      </c>
    </row>
    <row r="3022" spans="1:2" x14ac:dyDescent="0.25">
      <c r="A3022" s="5">
        <v>26333</v>
      </c>
      <c r="B3022">
        <v>104.860000610352</v>
      </c>
    </row>
    <row r="3023" spans="1:2" x14ac:dyDescent="0.25">
      <c r="A3023" s="5">
        <v>26336</v>
      </c>
      <c r="B3023">
        <v>104.540000915527</v>
      </c>
    </row>
    <row r="3024" spans="1:2" x14ac:dyDescent="0.25">
      <c r="A3024" s="5">
        <v>26337</v>
      </c>
      <c r="B3024">
        <v>104.73999786377</v>
      </c>
    </row>
    <row r="3025" spans="1:2" x14ac:dyDescent="0.25">
      <c r="A3025" s="5">
        <v>26338</v>
      </c>
      <c r="B3025">
        <v>105.550003051758</v>
      </c>
    </row>
    <row r="3026" spans="1:2" x14ac:dyDescent="0.25">
      <c r="A3026" s="5">
        <v>26339</v>
      </c>
      <c r="B3026">
        <v>105.58999633789099</v>
      </c>
    </row>
    <row r="3027" spans="1:2" x14ac:dyDescent="0.25">
      <c r="A3027" s="5">
        <v>26340</v>
      </c>
      <c r="B3027">
        <v>105.080001831055</v>
      </c>
    </row>
    <row r="3028" spans="1:2" x14ac:dyDescent="0.25">
      <c r="A3028" s="5">
        <v>26343</v>
      </c>
      <c r="B3028">
        <v>104.58999633789099</v>
      </c>
    </row>
    <row r="3029" spans="1:2" x14ac:dyDescent="0.25">
      <c r="A3029" s="5">
        <v>26344</v>
      </c>
      <c r="B3029">
        <v>105.029998779297</v>
      </c>
    </row>
    <row r="3030" spans="1:2" x14ac:dyDescent="0.25">
      <c r="A3030" s="5">
        <v>26345</v>
      </c>
      <c r="B3030">
        <v>105.620002746582</v>
      </c>
    </row>
    <row r="3031" spans="1:2" x14ac:dyDescent="0.25">
      <c r="A3031" s="5">
        <v>26346</v>
      </c>
      <c r="B3031">
        <v>105.58999633789099</v>
      </c>
    </row>
    <row r="3032" spans="1:2" x14ac:dyDescent="0.25">
      <c r="A3032" s="5">
        <v>26347</v>
      </c>
      <c r="B3032">
        <v>105.279998779297</v>
      </c>
    </row>
    <row r="3033" spans="1:2" x14ac:dyDescent="0.25">
      <c r="A3033" s="5">
        <v>26351</v>
      </c>
      <c r="B3033">
        <v>105.290000915527</v>
      </c>
    </row>
    <row r="3034" spans="1:2" x14ac:dyDescent="0.25">
      <c r="A3034" s="5">
        <v>26352</v>
      </c>
      <c r="B3034">
        <v>105.379997253418</v>
      </c>
    </row>
    <row r="3035" spans="1:2" x14ac:dyDescent="0.25">
      <c r="A3035" s="5">
        <v>26353</v>
      </c>
      <c r="B3035">
        <v>105.449996948242</v>
      </c>
    </row>
    <row r="3036" spans="1:2" x14ac:dyDescent="0.25">
      <c r="A3036" s="5">
        <v>26354</v>
      </c>
      <c r="B3036">
        <v>106.18000030517599</v>
      </c>
    </row>
    <row r="3037" spans="1:2" x14ac:dyDescent="0.25">
      <c r="A3037" s="5">
        <v>26357</v>
      </c>
      <c r="B3037">
        <v>106.19000244140599</v>
      </c>
    </row>
    <row r="3038" spans="1:2" x14ac:dyDescent="0.25">
      <c r="A3038" s="5">
        <v>26358</v>
      </c>
      <c r="B3038">
        <v>106.56999969482401</v>
      </c>
    </row>
    <row r="3039" spans="1:2" x14ac:dyDescent="0.25">
      <c r="A3039" s="5">
        <v>26359</v>
      </c>
      <c r="B3039">
        <v>107.34999847412099</v>
      </c>
    </row>
    <row r="3040" spans="1:2" x14ac:dyDescent="0.25">
      <c r="A3040" s="5">
        <v>26360</v>
      </c>
      <c r="B3040">
        <v>107.31999969482401</v>
      </c>
    </row>
    <row r="3041" spans="1:2" x14ac:dyDescent="0.25">
      <c r="A3041" s="5">
        <v>26361</v>
      </c>
      <c r="B3041">
        <v>107.94000244140599</v>
      </c>
    </row>
    <row r="3042" spans="1:2" x14ac:dyDescent="0.25">
      <c r="A3042" s="5">
        <v>26364</v>
      </c>
      <c r="B3042">
        <v>108.76999664306599</v>
      </c>
    </row>
    <row r="3043" spans="1:2" x14ac:dyDescent="0.25">
      <c r="A3043" s="5">
        <v>26365</v>
      </c>
      <c r="B3043">
        <v>108.870002746582</v>
      </c>
    </row>
    <row r="3044" spans="1:2" x14ac:dyDescent="0.25">
      <c r="A3044" s="5">
        <v>26366</v>
      </c>
      <c r="B3044">
        <v>108.959999084473</v>
      </c>
    </row>
    <row r="3045" spans="1:2" x14ac:dyDescent="0.25">
      <c r="A3045" s="5">
        <v>26367</v>
      </c>
      <c r="B3045">
        <v>108.94000244140599</v>
      </c>
    </row>
    <row r="3046" spans="1:2" x14ac:dyDescent="0.25">
      <c r="A3046" s="5">
        <v>26368</v>
      </c>
      <c r="B3046">
        <v>108.379997253418</v>
      </c>
    </row>
    <row r="3047" spans="1:2" x14ac:dyDescent="0.25">
      <c r="A3047" s="5">
        <v>26371</v>
      </c>
      <c r="B3047">
        <v>107.330001831055</v>
      </c>
    </row>
    <row r="3048" spans="1:2" x14ac:dyDescent="0.25">
      <c r="A3048" s="5">
        <v>26372</v>
      </c>
      <c r="B3048">
        <v>107.610000610352</v>
      </c>
    </row>
    <row r="3049" spans="1:2" x14ac:dyDescent="0.25">
      <c r="A3049" s="5">
        <v>26373</v>
      </c>
      <c r="B3049">
        <v>107.75</v>
      </c>
    </row>
    <row r="3050" spans="1:2" x14ac:dyDescent="0.25">
      <c r="A3050" s="5">
        <v>26374</v>
      </c>
      <c r="B3050">
        <v>107.5</v>
      </c>
    </row>
    <row r="3051" spans="1:2" x14ac:dyDescent="0.25">
      <c r="A3051" s="5">
        <v>26375</v>
      </c>
      <c r="B3051">
        <v>107.919998168945</v>
      </c>
    </row>
    <row r="3052" spans="1:2" x14ac:dyDescent="0.25">
      <c r="A3052" s="5">
        <v>26378</v>
      </c>
      <c r="B3052">
        <v>107.58999633789099</v>
      </c>
    </row>
    <row r="3053" spans="1:2" x14ac:dyDescent="0.25">
      <c r="A3053" s="5">
        <v>26379</v>
      </c>
      <c r="B3053">
        <v>106.69000244140599</v>
      </c>
    </row>
    <row r="3054" spans="1:2" x14ac:dyDescent="0.25">
      <c r="A3054" s="5">
        <v>26380</v>
      </c>
      <c r="B3054">
        <v>106.83999633789099</v>
      </c>
    </row>
    <row r="3055" spans="1:2" x14ac:dyDescent="0.25">
      <c r="A3055" s="5">
        <v>26381</v>
      </c>
      <c r="B3055">
        <v>107.75</v>
      </c>
    </row>
    <row r="3056" spans="1:2" x14ac:dyDescent="0.25">
      <c r="A3056" s="5">
        <v>26382</v>
      </c>
      <c r="B3056">
        <v>107.51999664306599</v>
      </c>
    </row>
    <row r="3057" spans="1:2" x14ac:dyDescent="0.25">
      <c r="A3057" s="5">
        <v>26385</v>
      </c>
      <c r="B3057">
        <v>107.300003051758</v>
      </c>
    </row>
    <row r="3058" spans="1:2" x14ac:dyDescent="0.25">
      <c r="A3058" s="5">
        <v>26386</v>
      </c>
      <c r="B3058">
        <v>107.169998168945</v>
      </c>
    </row>
    <row r="3059" spans="1:2" x14ac:dyDescent="0.25">
      <c r="A3059" s="5">
        <v>26387</v>
      </c>
      <c r="B3059">
        <v>106.48999786377</v>
      </c>
    </row>
    <row r="3060" spans="1:2" x14ac:dyDescent="0.25">
      <c r="A3060" s="5">
        <v>26388</v>
      </c>
      <c r="B3060">
        <v>107.199996948242</v>
      </c>
    </row>
    <row r="3061" spans="1:2" x14ac:dyDescent="0.25">
      <c r="A3061" s="5">
        <v>26392</v>
      </c>
      <c r="B3061">
        <v>107.48000335693401</v>
      </c>
    </row>
    <row r="3062" spans="1:2" x14ac:dyDescent="0.25">
      <c r="A3062" s="5">
        <v>26393</v>
      </c>
      <c r="B3062">
        <v>108.120002746582</v>
      </c>
    </row>
    <row r="3063" spans="1:2" x14ac:dyDescent="0.25">
      <c r="A3063" s="5">
        <v>26394</v>
      </c>
      <c r="B3063">
        <v>109</v>
      </c>
    </row>
    <row r="3064" spans="1:2" x14ac:dyDescent="0.25">
      <c r="A3064" s="5">
        <v>26395</v>
      </c>
      <c r="B3064">
        <v>109.529998779297</v>
      </c>
    </row>
    <row r="3065" spans="1:2" x14ac:dyDescent="0.25">
      <c r="A3065" s="5">
        <v>26396</v>
      </c>
      <c r="B3065">
        <v>109.620002746582</v>
      </c>
    </row>
    <row r="3066" spans="1:2" x14ac:dyDescent="0.25">
      <c r="A3066" s="5">
        <v>26399</v>
      </c>
      <c r="B3066">
        <v>109.449996948242</v>
      </c>
    </row>
    <row r="3067" spans="1:2" x14ac:dyDescent="0.25">
      <c r="A3067" s="5">
        <v>26400</v>
      </c>
      <c r="B3067">
        <v>109.76000213623</v>
      </c>
    </row>
    <row r="3068" spans="1:2" x14ac:dyDescent="0.25">
      <c r="A3068" s="5">
        <v>26401</v>
      </c>
      <c r="B3068">
        <v>110.18000030517599</v>
      </c>
    </row>
    <row r="3069" spans="1:2" x14ac:dyDescent="0.25">
      <c r="A3069" s="5">
        <v>26402</v>
      </c>
      <c r="B3069">
        <v>109.91000366210901</v>
      </c>
    </row>
    <row r="3070" spans="1:2" x14ac:dyDescent="0.25">
      <c r="A3070" s="5">
        <v>26403</v>
      </c>
      <c r="B3070">
        <v>109.83999633789099</v>
      </c>
    </row>
    <row r="3071" spans="1:2" x14ac:dyDescent="0.25">
      <c r="A3071" s="5">
        <v>26406</v>
      </c>
      <c r="B3071">
        <v>109.51000213623</v>
      </c>
    </row>
    <row r="3072" spans="1:2" x14ac:dyDescent="0.25">
      <c r="A3072" s="5">
        <v>26407</v>
      </c>
      <c r="B3072">
        <v>109.76999664306599</v>
      </c>
    </row>
    <row r="3073" spans="1:2" x14ac:dyDescent="0.25">
      <c r="A3073" s="5">
        <v>26408</v>
      </c>
      <c r="B3073">
        <v>109.199996948242</v>
      </c>
    </row>
    <row r="3074" spans="1:2" x14ac:dyDescent="0.25">
      <c r="A3074" s="5">
        <v>26409</v>
      </c>
      <c r="B3074">
        <v>109.040000915527</v>
      </c>
    </row>
    <row r="3075" spans="1:2" x14ac:dyDescent="0.25">
      <c r="A3075" s="5">
        <v>26410</v>
      </c>
      <c r="B3075">
        <v>108.889999389648</v>
      </c>
    </row>
    <row r="3076" spans="1:2" x14ac:dyDescent="0.25">
      <c r="A3076" s="5">
        <v>26413</v>
      </c>
      <c r="B3076">
        <v>108.19000244140599</v>
      </c>
    </row>
    <row r="3077" spans="1:2" x14ac:dyDescent="0.25">
      <c r="A3077" s="5">
        <v>26414</v>
      </c>
      <c r="B3077">
        <v>107.120002746582</v>
      </c>
    </row>
    <row r="3078" spans="1:2" x14ac:dyDescent="0.25">
      <c r="A3078" s="5">
        <v>26415</v>
      </c>
      <c r="B3078">
        <v>106.889999389648</v>
      </c>
    </row>
    <row r="3079" spans="1:2" x14ac:dyDescent="0.25">
      <c r="A3079" s="5">
        <v>26416</v>
      </c>
      <c r="B3079">
        <v>107.050003051758</v>
      </c>
    </row>
    <row r="3080" spans="1:2" x14ac:dyDescent="0.25">
      <c r="A3080" s="5">
        <v>26417</v>
      </c>
      <c r="B3080">
        <v>107.669998168945</v>
      </c>
    </row>
    <row r="3081" spans="1:2" x14ac:dyDescent="0.25">
      <c r="A3081" s="5">
        <v>26420</v>
      </c>
      <c r="B3081">
        <v>106.69000244140599</v>
      </c>
    </row>
    <row r="3082" spans="1:2" x14ac:dyDescent="0.25">
      <c r="A3082" s="5">
        <v>26421</v>
      </c>
      <c r="B3082">
        <v>106.080001831055</v>
      </c>
    </row>
    <row r="3083" spans="1:2" x14ac:dyDescent="0.25">
      <c r="A3083" s="5">
        <v>26422</v>
      </c>
      <c r="B3083">
        <v>105.98999786377</v>
      </c>
    </row>
    <row r="3084" spans="1:2" x14ac:dyDescent="0.25">
      <c r="A3084" s="5">
        <v>26423</v>
      </c>
      <c r="B3084">
        <v>106.25</v>
      </c>
    </row>
    <row r="3085" spans="1:2" x14ac:dyDescent="0.25">
      <c r="A3085" s="5">
        <v>26424</v>
      </c>
      <c r="B3085">
        <v>106.629997253418</v>
      </c>
    </row>
    <row r="3086" spans="1:2" x14ac:dyDescent="0.25">
      <c r="A3086" s="5">
        <v>26427</v>
      </c>
      <c r="B3086">
        <v>106.139999389648</v>
      </c>
    </row>
    <row r="3087" spans="1:2" x14ac:dyDescent="0.25">
      <c r="A3087" s="5">
        <v>26428</v>
      </c>
      <c r="B3087">
        <v>104.73999786377</v>
      </c>
    </row>
    <row r="3088" spans="1:2" x14ac:dyDescent="0.25">
      <c r="A3088" s="5">
        <v>26429</v>
      </c>
      <c r="B3088">
        <v>105.419998168945</v>
      </c>
    </row>
    <row r="3089" spans="1:2" x14ac:dyDescent="0.25">
      <c r="A3089" s="5">
        <v>26430</v>
      </c>
      <c r="B3089">
        <v>105.76999664306599</v>
      </c>
    </row>
    <row r="3090" spans="1:2" x14ac:dyDescent="0.25">
      <c r="A3090" s="5">
        <v>26431</v>
      </c>
      <c r="B3090">
        <v>106.379997253418</v>
      </c>
    </row>
    <row r="3091" spans="1:2" x14ac:dyDescent="0.25">
      <c r="A3091" s="5">
        <v>26434</v>
      </c>
      <c r="B3091">
        <v>106.860000610352</v>
      </c>
    </row>
    <row r="3092" spans="1:2" x14ac:dyDescent="0.25">
      <c r="A3092" s="5">
        <v>26435</v>
      </c>
      <c r="B3092">
        <v>106.66000366210901</v>
      </c>
    </row>
    <row r="3093" spans="1:2" x14ac:dyDescent="0.25">
      <c r="A3093" s="5">
        <v>26436</v>
      </c>
      <c r="B3093">
        <v>106.889999389648</v>
      </c>
    </row>
    <row r="3094" spans="1:2" x14ac:dyDescent="0.25">
      <c r="A3094" s="5">
        <v>26437</v>
      </c>
      <c r="B3094">
        <v>107.94000244140599</v>
      </c>
    </row>
    <row r="3095" spans="1:2" x14ac:dyDescent="0.25">
      <c r="A3095" s="5">
        <v>26438</v>
      </c>
      <c r="B3095">
        <v>108.98000335693401</v>
      </c>
    </row>
    <row r="3096" spans="1:2" x14ac:dyDescent="0.25">
      <c r="A3096" s="5">
        <v>26441</v>
      </c>
      <c r="B3096">
        <v>109.69000244140599</v>
      </c>
    </row>
    <row r="3097" spans="1:2" x14ac:dyDescent="0.25">
      <c r="A3097" s="5">
        <v>26442</v>
      </c>
      <c r="B3097">
        <v>109.779998779297</v>
      </c>
    </row>
    <row r="3098" spans="1:2" x14ac:dyDescent="0.25">
      <c r="A3098" s="5">
        <v>26443</v>
      </c>
      <c r="B3098">
        <v>110.30999755859401</v>
      </c>
    </row>
    <row r="3099" spans="1:2" x14ac:dyDescent="0.25">
      <c r="A3099" s="5">
        <v>26444</v>
      </c>
      <c r="B3099">
        <v>110.459999084473</v>
      </c>
    </row>
    <row r="3100" spans="1:2" x14ac:dyDescent="0.25">
      <c r="A3100" s="5">
        <v>26445</v>
      </c>
      <c r="B3100">
        <v>110.66000366210901</v>
      </c>
    </row>
    <row r="3101" spans="1:2" x14ac:dyDescent="0.25">
      <c r="A3101" s="5">
        <v>26449</v>
      </c>
      <c r="B3101">
        <v>110.34999847412099</v>
      </c>
    </row>
    <row r="3102" spans="1:2" x14ac:dyDescent="0.25">
      <c r="A3102" s="5">
        <v>26450</v>
      </c>
      <c r="B3102">
        <v>109.529998779297</v>
      </c>
    </row>
    <row r="3103" spans="1:2" x14ac:dyDescent="0.25">
      <c r="A3103" s="5">
        <v>26451</v>
      </c>
      <c r="B3103">
        <v>109.69000244140599</v>
      </c>
    </row>
    <row r="3104" spans="1:2" x14ac:dyDescent="0.25">
      <c r="A3104" s="5">
        <v>26452</v>
      </c>
      <c r="B3104">
        <v>109.73000335693401</v>
      </c>
    </row>
    <row r="3105" spans="1:2" x14ac:dyDescent="0.25">
      <c r="A3105" s="5">
        <v>26455</v>
      </c>
      <c r="B3105">
        <v>108.81999969482401</v>
      </c>
    </row>
    <row r="3106" spans="1:2" x14ac:dyDescent="0.25">
      <c r="A3106" s="5">
        <v>26456</v>
      </c>
      <c r="B3106">
        <v>108.209999084473</v>
      </c>
    </row>
    <row r="3107" spans="1:2" x14ac:dyDescent="0.25">
      <c r="A3107" s="5">
        <v>26457</v>
      </c>
      <c r="B3107">
        <v>107.65000152587901</v>
      </c>
    </row>
    <row r="3108" spans="1:2" x14ac:dyDescent="0.25">
      <c r="A3108" s="5">
        <v>26458</v>
      </c>
      <c r="B3108">
        <v>107.279998779297</v>
      </c>
    </row>
    <row r="3109" spans="1:2" x14ac:dyDescent="0.25">
      <c r="A3109" s="5">
        <v>26459</v>
      </c>
      <c r="B3109">
        <v>106.860000610352</v>
      </c>
    </row>
    <row r="3110" spans="1:2" x14ac:dyDescent="0.25">
      <c r="A3110" s="5">
        <v>26462</v>
      </c>
      <c r="B3110">
        <v>107.01000213623</v>
      </c>
    </row>
    <row r="3111" spans="1:2" x14ac:dyDescent="0.25">
      <c r="A3111" s="5">
        <v>26463</v>
      </c>
      <c r="B3111">
        <v>107.550003051758</v>
      </c>
    </row>
    <row r="3112" spans="1:2" x14ac:dyDescent="0.25">
      <c r="A3112" s="5">
        <v>26464</v>
      </c>
      <c r="B3112">
        <v>108.389999389648</v>
      </c>
    </row>
    <row r="3113" spans="1:2" x14ac:dyDescent="0.25">
      <c r="A3113" s="5">
        <v>26465</v>
      </c>
      <c r="B3113">
        <v>108.44000244140599</v>
      </c>
    </row>
    <row r="3114" spans="1:2" x14ac:dyDescent="0.25">
      <c r="A3114" s="5">
        <v>26466</v>
      </c>
      <c r="B3114">
        <v>108.360000610352</v>
      </c>
    </row>
    <row r="3115" spans="1:2" x14ac:dyDescent="0.25">
      <c r="A3115" s="5">
        <v>26469</v>
      </c>
      <c r="B3115">
        <v>108.110000610352</v>
      </c>
    </row>
    <row r="3116" spans="1:2" x14ac:dyDescent="0.25">
      <c r="A3116" s="5">
        <v>26470</v>
      </c>
      <c r="B3116">
        <v>108.55999755859401</v>
      </c>
    </row>
    <row r="3117" spans="1:2" x14ac:dyDescent="0.25">
      <c r="A3117" s="5">
        <v>26471</v>
      </c>
      <c r="B3117">
        <v>108.790000915527</v>
      </c>
    </row>
    <row r="3118" spans="1:2" x14ac:dyDescent="0.25">
      <c r="A3118" s="5">
        <v>26472</v>
      </c>
      <c r="B3118">
        <v>108.68000030517599</v>
      </c>
    </row>
    <row r="3119" spans="1:2" x14ac:dyDescent="0.25">
      <c r="A3119" s="5">
        <v>26473</v>
      </c>
      <c r="B3119">
        <v>108.26999664306599</v>
      </c>
    </row>
    <row r="3120" spans="1:2" x14ac:dyDescent="0.25">
      <c r="A3120" s="5">
        <v>26476</v>
      </c>
      <c r="B3120">
        <v>107.48000335693401</v>
      </c>
    </row>
    <row r="3121" spans="1:2" x14ac:dyDescent="0.25">
      <c r="A3121" s="5">
        <v>26477</v>
      </c>
      <c r="B3121">
        <v>107.370002746582</v>
      </c>
    </row>
    <row r="3122" spans="1:2" x14ac:dyDescent="0.25">
      <c r="A3122" s="5">
        <v>26478</v>
      </c>
      <c r="B3122">
        <v>107.01999664306599</v>
      </c>
    </row>
    <row r="3123" spans="1:2" x14ac:dyDescent="0.25">
      <c r="A3123" s="5">
        <v>26479</v>
      </c>
      <c r="B3123">
        <v>106.81999969482401</v>
      </c>
    </row>
    <row r="3124" spans="1:2" x14ac:dyDescent="0.25">
      <c r="A3124" s="5">
        <v>26480</v>
      </c>
      <c r="B3124">
        <v>107.139999389648</v>
      </c>
    </row>
    <row r="3125" spans="1:2" x14ac:dyDescent="0.25">
      <c r="A3125" s="5">
        <v>26483</v>
      </c>
      <c r="B3125">
        <v>107.48999786377</v>
      </c>
    </row>
    <row r="3126" spans="1:2" x14ac:dyDescent="0.25">
      <c r="A3126" s="5">
        <v>26485</v>
      </c>
      <c r="B3126">
        <v>108.09999847412099</v>
      </c>
    </row>
    <row r="3127" spans="1:2" x14ac:dyDescent="0.25">
      <c r="A3127" s="5">
        <v>26486</v>
      </c>
      <c r="B3127">
        <v>109.040000915527</v>
      </c>
    </row>
    <row r="3128" spans="1:2" x14ac:dyDescent="0.25">
      <c r="A3128" s="5">
        <v>26487</v>
      </c>
      <c r="B3128">
        <v>108.69000244140599</v>
      </c>
    </row>
    <row r="3129" spans="1:2" x14ac:dyDescent="0.25">
      <c r="A3129" s="5">
        <v>26490</v>
      </c>
      <c r="B3129">
        <v>108.110000610352</v>
      </c>
    </row>
    <row r="3130" spans="1:2" x14ac:dyDescent="0.25">
      <c r="A3130" s="5">
        <v>26491</v>
      </c>
      <c r="B3130">
        <v>107.31999969482401</v>
      </c>
    </row>
    <row r="3131" spans="1:2" x14ac:dyDescent="0.25">
      <c r="A3131" s="5">
        <v>26492</v>
      </c>
      <c r="B3131">
        <v>106.889999389648</v>
      </c>
    </row>
    <row r="3132" spans="1:2" x14ac:dyDescent="0.25">
      <c r="A3132" s="5">
        <v>26493</v>
      </c>
      <c r="B3132">
        <v>106.279998779297</v>
      </c>
    </row>
    <row r="3133" spans="1:2" x14ac:dyDescent="0.25">
      <c r="A3133" s="5">
        <v>26494</v>
      </c>
      <c r="B3133">
        <v>106.800003051758</v>
      </c>
    </row>
    <row r="3134" spans="1:2" x14ac:dyDescent="0.25">
      <c r="A3134" s="5">
        <v>26497</v>
      </c>
      <c r="B3134">
        <v>105.879997253418</v>
      </c>
    </row>
    <row r="3135" spans="1:2" x14ac:dyDescent="0.25">
      <c r="A3135" s="5">
        <v>26498</v>
      </c>
      <c r="B3135">
        <v>105.830001831055</v>
      </c>
    </row>
    <row r="3136" spans="1:2" x14ac:dyDescent="0.25">
      <c r="A3136" s="5">
        <v>26499</v>
      </c>
      <c r="B3136">
        <v>106.139999389648</v>
      </c>
    </row>
    <row r="3137" spans="1:2" x14ac:dyDescent="0.25">
      <c r="A3137" s="5">
        <v>26500</v>
      </c>
      <c r="B3137">
        <v>105.80999755859401</v>
      </c>
    </row>
    <row r="3138" spans="1:2" x14ac:dyDescent="0.25">
      <c r="A3138" s="5">
        <v>26501</v>
      </c>
      <c r="B3138">
        <v>106.66000366210901</v>
      </c>
    </row>
    <row r="3139" spans="1:2" x14ac:dyDescent="0.25">
      <c r="A3139" s="5">
        <v>26504</v>
      </c>
      <c r="B3139">
        <v>107.919998168945</v>
      </c>
    </row>
    <row r="3140" spans="1:2" x14ac:dyDescent="0.25">
      <c r="A3140" s="5">
        <v>26505</v>
      </c>
      <c r="B3140">
        <v>107.59999847412099</v>
      </c>
    </row>
    <row r="3141" spans="1:2" x14ac:dyDescent="0.25">
      <c r="A3141" s="5">
        <v>26506</v>
      </c>
      <c r="B3141">
        <v>107.529998779297</v>
      </c>
    </row>
    <row r="3142" spans="1:2" x14ac:dyDescent="0.25">
      <c r="A3142" s="5">
        <v>26507</v>
      </c>
      <c r="B3142">
        <v>107.279998779297</v>
      </c>
    </row>
    <row r="3143" spans="1:2" x14ac:dyDescent="0.25">
      <c r="A3143" s="5">
        <v>26508</v>
      </c>
      <c r="B3143">
        <v>107.379997253418</v>
      </c>
    </row>
    <row r="3144" spans="1:2" x14ac:dyDescent="0.25">
      <c r="A3144" s="5">
        <v>26511</v>
      </c>
      <c r="B3144">
        <v>107.389999389648</v>
      </c>
    </row>
    <row r="3145" spans="1:2" x14ac:dyDescent="0.25">
      <c r="A3145" s="5">
        <v>26512</v>
      </c>
      <c r="B3145">
        <v>108.40000152587901</v>
      </c>
    </row>
    <row r="3146" spans="1:2" x14ac:dyDescent="0.25">
      <c r="A3146" s="5">
        <v>26513</v>
      </c>
      <c r="B3146">
        <v>109.290000915527</v>
      </c>
    </row>
    <row r="3147" spans="1:2" x14ac:dyDescent="0.25">
      <c r="A3147" s="5">
        <v>26514</v>
      </c>
      <c r="B3147">
        <v>110.139999389648</v>
      </c>
    </row>
    <row r="3148" spans="1:2" x14ac:dyDescent="0.25">
      <c r="A3148" s="5">
        <v>26515</v>
      </c>
      <c r="B3148">
        <v>110.43000030517599</v>
      </c>
    </row>
    <row r="3149" spans="1:2" x14ac:dyDescent="0.25">
      <c r="A3149" s="5">
        <v>26518</v>
      </c>
      <c r="B3149">
        <v>110.610000610352</v>
      </c>
    </row>
    <row r="3150" spans="1:2" x14ac:dyDescent="0.25">
      <c r="A3150" s="5">
        <v>26519</v>
      </c>
      <c r="B3150">
        <v>110.69000244140599</v>
      </c>
    </row>
    <row r="3151" spans="1:2" x14ac:dyDescent="0.25">
      <c r="A3151" s="5">
        <v>26520</v>
      </c>
      <c r="B3151">
        <v>110.860000610352</v>
      </c>
    </row>
    <row r="3152" spans="1:2" x14ac:dyDescent="0.25">
      <c r="A3152" s="5">
        <v>26521</v>
      </c>
      <c r="B3152">
        <v>111.050003051758</v>
      </c>
    </row>
    <row r="3153" spans="1:2" x14ac:dyDescent="0.25">
      <c r="A3153" s="5">
        <v>26522</v>
      </c>
      <c r="B3153">
        <v>111.949996948242</v>
      </c>
    </row>
    <row r="3154" spans="1:2" x14ac:dyDescent="0.25">
      <c r="A3154" s="5">
        <v>26525</v>
      </c>
      <c r="B3154">
        <v>112.550003051758</v>
      </c>
    </row>
    <row r="3155" spans="1:2" x14ac:dyDescent="0.25">
      <c r="A3155" s="5">
        <v>26526</v>
      </c>
      <c r="B3155">
        <v>112.05999755859401</v>
      </c>
    </row>
    <row r="3156" spans="1:2" x14ac:dyDescent="0.25">
      <c r="A3156" s="5">
        <v>26527</v>
      </c>
      <c r="B3156">
        <v>111.66000366210901</v>
      </c>
    </row>
    <row r="3157" spans="1:2" x14ac:dyDescent="0.25">
      <c r="A3157" s="5">
        <v>26528</v>
      </c>
      <c r="B3157">
        <v>111.33999633789099</v>
      </c>
    </row>
    <row r="3158" spans="1:2" x14ac:dyDescent="0.25">
      <c r="A3158" s="5">
        <v>26529</v>
      </c>
      <c r="B3158">
        <v>111.76000213623</v>
      </c>
    </row>
    <row r="3159" spans="1:2" x14ac:dyDescent="0.25">
      <c r="A3159" s="5">
        <v>26532</v>
      </c>
      <c r="B3159">
        <v>111.720001220703</v>
      </c>
    </row>
    <row r="3160" spans="1:2" x14ac:dyDescent="0.25">
      <c r="A3160" s="5">
        <v>26533</v>
      </c>
      <c r="B3160">
        <v>112.41000366210901</v>
      </c>
    </row>
    <row r="3161" spans="1:2" x14ac:dyDescent="0.25">
      <c r="A3161" s="5">
        <v>26534</v>
      </c>
      <c r="B3161">
        <v>112.26000213623</v>
      </c>
    </row>
    <row r="3162" spans="1:2" x14ac:dyDescent="0.25">
      <c r="A3162" s="5">
        <v>26535</v>
      </c>
      <c r="B3162">
        <v>111.01999664306599</v>
      </c>
    </row>
    <row r="3163" spans="1:2" x14ac:dyDescent="0.25">
      <c r="A3163" s="5">
        <v>26536</v>
      </c>
      <c r="B3163">
        <v>110.669998168945</v>
      </c>
    </row>
    <row r="3164" spans="1:2" x14ac:dyDescent="0.25">
      <c r="A3164" s="5">
        <v>26539</v>
      </c>
      <c r="B3164">
        <v>110.23000335693401</v>
      </c>
    </row>
    <row r="3165" spans="1:2" x14ac:dyDescent="0.25">
      <c r="A3165" s="5">
        <v>26540</v>
      </c>
      <c r="B3165">
        <v>110.41000366210901</v>
      </c>
    </row>
    <row r="3166" spans="1:2" x14ac:dyDescent="0.25">
      <c r="A3166" s="5">
        <v>26541</v>
      </c>
      <c r="B3166">
        <v>110.56999969482401</v>
      </c>
    </row>
    <row r="3167" spans="1:2" x14ac:dyDescent="0.25">
      <c r="A3167" s="5">
        <v>26542</v>
      </c>
      <c r="B3167">
        <v>111.08999633789099</v>
      </c>
    </row>
    <row r="3168" spans="1:2" x14ac:dyDescent="0.25">
      <c r="A3168" s="5">
        <v>26543</v>
      </c>
      <c r="B3168">
        <v>111.51000213623</v>
      </c>
    </row>
    <row r="3169" spans="1:2" x14ac:dyDescent="0.25">
      <c r="A3169" s="5">
        <v>26547</v>
      </c>
      <c r="B3169">
        <v>111.23000335693401</v>
      </c>
    </row>
    <row r="3170" spans="1:2" x14ac:dyDescent="0.25">
      <c r="A3170" s="5">
        <v>26548</v>
      </c>
      <c r="B3170">
        <v>110.550003051758</v>
      </c>
    </row>
    <row r="3171" spans="1:2" x14ac:dyDescent="0.25">
      <c r="A3171" s="5">
        <v>26549</v>
      </c>
      <c r="B3171">
        <v>110.290000915527</v>
      </c>
    </row>
    <row r="3172" spans="1:2" x14ac:dyDescent="0.25">
      <c r="A3172" s="5">
        <v>26550</v>
      </c>
      <c r="B3172">
        <v>110.15000152587901</v>
      </c>
    </row>
    <row r="3173" spans="1:2" x14ac:dyDescent="0.25">
      <c r="A3173" s="5">
        <v>26553</v>
      </c>
      <c r="B3173">
        <v>109.51000213623</v>
      </c>
    </row>
    <row r="3174" spans="1:2" x14ac:dyDescent="0.25">
      <c r="A3174" s="5">
        <v>26554</v>
      </c>
      <c r="B3174">
        <v>108.470001220703</v>
      </c>
    </row>
    <row r="3175" spans="1:2" x14ac:dyDescent="0.25">
      <c r="A3175" s="5">
        <v>26555</v>
      </c>
      <c r="B3175">
        <v>108.90000152587901</v>
      </c>
    </row>
    <row r="3176" spans="1:2" x14ac:dyDescent="0.25">
      <c r="A3176" s="5">
        <v>26556</v>
      </c>
      <c r="B3176">
        <v>108.93000030517599</v>
      </c>
    </row>
    <row r="3177" spans="1:2" x14ac:dyDescent="0.25">
      <c r="A3177" s="5">
        <v>26557</v>
      </c>
      <c r="B3177">
        <v>108.80999755859401</v>
      </c>
    </row>
    <row r="3178" spans="1:2" x14ac:dyDescent="0.25">
      <c r="A3178" s="5">
        <v>26560</v>
      </c>
      <c r="B3178">
        <v>108.610000610352</v>
      </c>
    </row>
    <row r="3179" spans="1:2" x14ac:dyDescent="0.25">
      <c r="A3179" s="5">
        <v>26561</v>
      </c>
      <c r="B3179">
        <v>108.550003051758</v>
      </c>
    </row>
    <row r="3180" spans="1:2" x14ac:dyDescent="0.25">
      <c r="A3180" s="5">
        <v>26562</v>
      </c>
      <c r="B3180">
        <v>108.59999847412099</v>
      </c>
    </row>
    <row r="3181" spans="1:2" x14ac:dyDescent="0.25">
      <c r="A3181" s="5">
        <v>26563</v>
      </c>
      <c r="B3181">
        <v>108.43000030517599</v>
      </c>
    </row>
    <row r="3182" spans="1:2" x14ac:dyDescent="0.25">
      <c r="A3182" s="5">
        <v>26564</v>
      </c>
      <c r="B3182">
        <v>108.51999664306599</v>
      </c>
    </row>
    <row r="3183" spans="1:2" x14ac:dyDescent="0.25">
      <c r="A3183" s="5">
        <v>26567</v>
      </c>
      <c r="B3183">
        <v>108.050003051758</v>
      </c>
    </row>
    <row r="3184" spans="1:2" x14ac:dyDescent="0.25">
      <c r="A3184" s="5">
        <v>26568</v>
      </c>
      <c r="B3184">
        <v>108.120002746582</v>
      </c>
    </row>
    <row r="3185" spans="1:2" x14ac:dyDescent="0.25">
      <c r="A3185" s="5">
        <v>26569</v>
      </c>
      <c r="B3185">
        <v>109.66000366210901</v>
      </c>
    </row>
    <row r="3186" spans="1:2" x14ac:dyDescent="0.25">
      <c r="A3186" s="5">
        <v>26570</v>
      </c>
      <c r="B3186">
        <v>110.34999847412099</v>
      </c>
    </row>
    <row r="3187" spans="1:2" x14ac:dyDescent="0.25">
      <c r="A3187" s="5">
        <v>26571</v>
      </c>
      <c r="B3187">
        <v>110.550003051758</v>
      </c>
    </row>
    <row r="3188" spans="1:2" x14ac:dyDescent="0.25">
      <c r="A3188" s="5">
        <v>26574</v>
      </c>
      <c r="B3188">
        <v>110.16000366210901</v>
      </c>
    </row>
    <row r="3189" spans="1:2" x14ac:dyDescent="0.25">
      <c r="A3189" s="5">
        <v>26575</v>
      </c>
      <c r="B3189">
        <v>110.300003051758</v>
      </c>
    </row>
    <row r="3190" spans="1:2" x14ac:dyDescent="0.25">
      <c r="A3190" s="5">
        <v>26576</v>
      </c>
      <c r="B3190">
        <v>110.08999633789099</v>
      </c>
    </row>
    <row r="3191" spans="1:2" x14ac:dyDescent="0.25">
      <c r="A3191" s="5">
        <v>26577</v>
      </c>
      <c r="B3191">
        <v>108.889999389648</v>
      </c>
    </row>
    <row r="3192" spans="1:2" x14ac:dyDescent="0.25">
      <c r="A3192" s="5">
        <v>26578</v>
      </c>
      <c r="B3192">
        <v>109.620002746582</v>
      </c>
    </row>
    <row r="3193" spans="1:2" x14ac:dyDescent="0.25">
      <c r="A3193" s="5">
        <v>26581</v>
      </c>
      <c r="B3193">
        <v>109.90000152587901</v>
      </c>
    </row>
    <row r="3194" spans="1:2" x14ac:dyDescent="0.25">
      <c r="A3194" s="5">
        <v>26582</v>
      </c>
      <c r="B3194">
        <v>109.98999786377</v>
      </c>
    </row>
    <row r="3195" spans="1:2" x14ac:dyDescent="0.25">
      <c r="A3195" s="5">
        <v>26583</v>
      </c>
      <c r="B3195">
        <v>109.5</v>
      </c>
    </row>
    <row r="3196" spans="1:2" x14ac:dyDescent="0.25">
      <c r="A3196" s="5">
        <v>26584</v>
      </c>
      <c r="B3196">
        <v>108.59999847412099</v>
      </c>
    </row>
    <row r="3197" spans="1:2" x14ac:dyDescent="0.25">
      <c r="A3197" s="5">
        <v>26585</v>
      </c>
      <c r="B3197">
        <v>107.919998168945</v>
      </c>
    </row>
    <row r="3198" spans="1:2" x14ac:dyDescent="0.25">
      <c r="A3198" s="5">
        <v>26588</v>
      </c>
      <c r="B3198">
        <v>106.76999664306599</v>
      </c>
    </row>
    <row r="3199" spans="1:2" x14ac:dyDescent="0.25">
      <c r="A3199" s="5">
        <v>26589</v>
      </c>
      <c r="B3199">
        <v>107.5</v>
      </c>
    </row>
    <row r="3200" spans="1:2" x14ac:dyDescent="0.25">
      <c r="A3200" s="5">
        <v>26590</v>
      </c>
      <c r="B3200">
        <v>108.19000244140599</v>
      </c>
    </row>
    <row r="3201" spans="1:2" x14ac:dyDescent="0.25">
      <c r="A3201" s="5">
        <v>26591</v>
      </c>
      <c r="B3201">
        <v>108.050003051758</v>
      </c>
    </row>
    <row r="3202" spans="1:2" x14ac:dyDescent="0.25">
      <c r="A3202" s="5">
        <v>26592</v>
      </c>
      <c r="B3202">
        <v>109.23999786377</v>
      </c>
    </row>
    <row r="3203" spans="1:2" x14ac:dyDescent="0.25">
      <c r="A3203" s="5">
        <v>26595</v>
      </c>
      <c r="B3203">
        <v>110.34999847412099</v>
      </c>
    </row>
    <row r="3204" spans="1:2" x14ac:dyDescent="0.25">
      <c r="A3204" s="5">
        <v>26596</v>
      </c>
      <c r="B3204">
        <v>110.80999755859401</v>
      </c>
    </row>
    <row r="3205" spans="1:2" x14ac:dyDescent="0.25">
      <c r="A3205" s="5">
        <v>26597</v>
      </c>
      <c r="B3205">
        <v>110.720001220703</v>
      </c>
    </row>
    <row r="3206" spans="1:2" x14ac:dyDescent="0.25">
      <c r="A3206" s="5">
        <v>26598</v>
      </c>
      <c r="B3206">
        <v>110.98999786377</v>
      </c>
    </row>
    <row r="3207" spans="1:2" x14ac:dyDescent="0.25">
      <c r="A3207" s="5">
        <v>26599</v>
      </c>
      <c r="B3207">
        <v>110.620002746582</v>
      </c>
    </row>
    <row r="3208" spans="1:2" x14ac:dyDescent="0.25">
      <c r="A3208" s="5">
        <v>26602</v>
      </c>
      <c r="B3208">
        <v>110.58999633789099</v>
      </c>
    </row>
    <row r="3209" spans="1:2" x14ac:dyDescent="0.25">
      <c r="A3209" s="5">
        <v>26603</v>
      </c>
      <c r="B3209">
        <v>111.580001831055</v>
      </c>
    </row>
    <row r="3210" spans="1:2" x14ac:dyDescent="0.25">
      <c r="A3210" s="5">
        <v>26604</v>
      </c>
      <c r="B3210">
        <v>112.669998168945</v>
      </c>
    </row>
    <row r="3211" spans="1:2" x14ac:dyDescent="0.25">
      <c r="A3211" s="5">
        <v>26605</v>
      </c>
      <c r="B3211">
        <v>113.23000335693401</v>
      </c>
    </row>
    <row r="3212" spans="1:2" x14ac:dyDescent="0.25">
      <c r="A3212" s="5">
        <v>26606</v>
      </c>
      <c r="B3212">
        <v>114.220001220703</v>
      </c>
    </row>
    <row r="3213" spans="1:2" x14ac:dyDescent="0.25">
      <c r="A3213" s="5">
        <v>26609</v>
      </c>
      <c r="B3213">
        <v>113.98000335693401</v>
      </c>
    </row>
    <row r="3214" spans="1:2" x14ac:dyDescent="0.25">
      <c r="A3214" s="5">
        <v>26611</v>
      </c>
      <c r="B3214">
        <v>113.34999847412099</v>
      </c>
    </row>
    <row r="3215" spans="1:2" x14ac:dyDescent="0.25">
      <c r="A3215" s="5">
        <v>26612</v>
      </c>
      <c r="B3215">
        <v>113.5</v>
      </c>
    </row>
    <row r="3216" spans="1:2" x14ac:dyDescent="0.25">
      <c r="A3216" s="5">
        <v>26613</v>
      </c>
      <c r="B3216">
        <v>113.73000335693401</v>
      </c>
    </row>
    <row r="3217" spans="1:2" x14ac:dyDescent="0.25">
      <c r="A3217" s="5">
        <v>26616</v>
      </c>
      <c r="B3217">
        <v>113.90000152587901</v>
      </c>
    </row>
    <row r="3218" spans="1:2" x14ac:dyDescent="0.25">
      <c r="A3218" s="5">
        <v>26617</v>
      </c>
      <c r="B3218">
        <v>114.949996948242</v>
      </c>
    </row>
    <row r="3219" spans="1:2" x14ac:dyDescent="0.25">
      <c r="A3219" s="5">
        <v>26618</v>
      </c>
      <c r="B3219">
        <v>114.5</v>
      </c>
    </row>
    <row r="3220" spans="1:2" x14ac:dyDescent="0.25">
      <c r="A3220" s="5">
        <v>26619</v>
      </c>
      <c r="B3220">
        <v>115.129997253418</v>
      </c>
    </row>
    <row r="3221" spans="1:2" x14ac:dyDescent="0.25">
      <c r="A3221" s="5">
        <v>26620</v>
      </c>
      <c r="B3221">
        <v>115.48999786377</v>
      </c>
    </row>
    <row r="3222" spans="1:2" x14ac:dyDescent="0.25">
      <c r="A3222" s="5">
        <v>26623</v>
      </c>
      <c r="B3222">
        <v>115.529998779297</v>
      </c>
    </row>
    <row r="3223" spans="1:2" x14ac:dyDescent="0.25">
      <c r="A3223" s="5">
        <v>26624</v>
      </c>
      <c r="B3223">
        <v>116.209999084473</v>
      </c>
    </row>
    <row r="3224" spans="1:2" x14ac:dyDescent="0.25">
      <c r="A3224" s="5">
        <v>26625</v>
      </c>
      <c r="B3224">
        <v>116.90000152587901</v>
      </c>
    </row>
    <row r="3225" spans="1:2" x14ac:dyDescent="0.25">
      <c r="A3225" s="5">
        <v>26627</v>
      </c>
      <c r="B3225">
        <v>117.26999664306599</v>
      </c>
    </row>
    <row r="3226" spans="1:2" x14ac:dyDescent="0.25">
      <c r="A3226" s="5">
        <v>26630</v>
      </c>
      <c r="B3226">
        <v>116.720001220703</v>
      </c>
    </row>
    <row r="3227" spans="1:2" x14ac:dyDescent="0.25">
      <c r="A3227" s="5">
        <v>26631</v>
      </c>
      <c r="B3227">
        <v>116.470001220703</v>
      </c>
    </row>
    <row r="3228" spans="1:2" x14ac:dyDescent="0.25">
      <c r="A3228" s="5">
        <v>26632</v>
      </c>
      <c r="B3228">
        <v>116.51999664306599</v>
      </c>
    </row>
    <row r="3229" spans="1:2" x14ac:dyDescent="0.25">
      <c r="A3229" s="5">
        <v>26633</v>
      </c>
      <c r="B3229">
        <v>116.669998168945</v>
      </c>
    </row>
    <row r="3230" spans="1:2" x14ac:dyDescent="0.25">
      <c r="A3230" s="5">
        <v>26634</v>
      </c>
      <c r="B3230">
        <v>117.379997253418</v>
      </c>
    </row>
    <row r="3231" spans="1:2" x14ac:dyDescent="0.25">
      <c r="A3231" s="5">
        <v>26637</v>
      </c>
      <c r="B3231">
        <v>117.76999664306599</v>
      </c>
    </row>
    <row r="3232" spans="1:2" x14ac:dyDescent="0.25">
      <c r="A3232" s="5">
        <v>26638</v>
      </c>
      <c r="B3232">
        <v>117.580001831055</v>
      </c>
    </row>
    <row r="3233" spans="1:2" x14ac:dyDescent="0.25">
      <c r="A3233" s="5">
        <v>26639</v>
      </c>
      <c r="B3233">
        <v>118.01000213623</v>
      </c>
    </row>
    <row r="3234" spans="1:2" x14ac:dyDescent="0.25">
      <c r="A3234" s="5">
        <v>26640</v>
      </c>
      <c r="B3234">
        <v>118.59999847412099</v>
      </c>
    </row>
    <row r="3235" spans="1:2" x14ac:dyDescent="0.25">
      <c r="A3235" s="5">
        <v>26641</v>
      </c>
      <c r="B3235">
        <v>118.860000610352</v>
      </c>
    </row>
    <row r="3236" spans="1:2" x14ac:dyDescent="0.25">
      <c r="A3236" s="5">
        <v>26644</v>
      </c>
      <c r="B3236">
        <v>119.120002746582</v>
      </c>
    </row>
    <row r="3237" spans="1:2" x14ac:dyDescent="0.25">
      <c r="A3237" s="5">
        <v>26645</v>
      </c>
      <c r="B3237">
        <v>118.66000366210901</v>
      </c>
    </row>
    <row r="3238" spans="1:2" x14ac:dyDescent="0.25">
      <c r="A3238" s="5">
        <v>26646</v>
      </c>
      <c r="B3238">
        <v>118.55999755859401</v>
      </c>
    </row>
    <row r="3239" spans="1:2" x14ac:dyDescent="0.25">
      <c r="A3239" s="5">
        <v>26647</v>
      </c>
      <c r="B3239">
        <v>118.23999786377</v>
      </c>
    </row>
    <row r="3240" spans="1:2" x14ac:dyDescent="0.25">
      <c r="A3240" s="5">
        <v>26648</v>
      </c>
      <c r="B3240">
        <v>118.26000213623</v>
      </c>
    </row>
    <row r="3241" spans="1:2" x14ac:dyDescent="0.25">
      <c r="A3241" s="5">
        <v>26651</v>
      </c>
      <c r="B3241">
        <v>116.90000152587901</v>
      </c>
    </row>
    <row r="3242" spans="1:2" x14ac:dyDescent="0.25">
      <c r="A3242" s="5">
        <v>26652</v>
      </c>
      <c r="B3242">
        <v>116.33999633789099</v>
      </c>
    </row>
    <row r="3243" spans="1:2" x14ac:dyDescent="0.25">
      <c r="A3243" s="5">
        <v>26653</v>
      </c>
      <c r="B3243">
        <v>115.949996948242</v>
      </c>
    </row>
    <row r="3244" spans="1:2" x14ac:dyDescent="0.25">
      <c r="A3244" s="5">
        <v>26654</v>
      </c>
      <c r="B3244">
        <v>115.110000610352</v>
      </c>
    </row>
    <row r="3245" spans="1:2" x14ac:dyDescent="0.25">
      <c r="A3245" s="5">
        <v>26655</v>
      </c>
      <c r="B3245">
        <v>115.830001831055</v>
      </c>
    </row>
    <row r="3246" spans="1:2" x14ac:dyDescent="0.25">
      <c r="A3246" s="5">
        <v>26659</v>
      </c>
      <c r="B3246">
        <v>116.300003051758</v>
      </c>
    </row>
    <row r="3247" spans="1:2" x14ac:dyDescent="0.25">
      <c r="A3247" s="5">
        <v>26660</v>
      </c>
      <c r="B3247">
        <v>116.93000030517599</v>
      </c>
    </row>
    <row r="3248" spans="1:2" x14ac:dyDescent="0.25">
      <c r="A3248" s="5">
        <v>26662</v>
      </c>
      <c r="B3248">
        <v>118.050003051758</v>
      </c>
    </row>
    <row r="3249" spans="1:2" x14ac:dyDescent="0.25">
      <c r="A3249" s="5">
        <v>26666</v>
      </c>
      <c r="B3249">
        <v>119.09999847412099</v>
      </c>
    </row>
    <row r="3250" spans="1:2" x14ac:dyDescent="0.25">
      <c r="A3250" s="5">
        <v>26667</v>
      </c>
      <c r="B3250">
        <v>119.56999969482401</v>
      </c>
    </row>
    <row r="3251" spans="1:2" x14ac:dyDescent="0.25">
      <c r="A3251" s="5">
        <v>26668</v>
      </c>
      <c r="B3251">
        <v>119.40000152587901</v>
      </c>
    </row>
    <row r="3252" spans="1:2" x14ac:dyDescent="0.25">
      <c r="A3252" s="5">
        <v>26669</v>
      </c>
      <c r="B3252">
        <v>119.870002746582</v>
      </c>
    </row>
    <row r="3253" spans="1:2" x14ac:dyDescent="0.25">
      <c r="A3253" s="5">
        <v>26672</v>
      </c>
      <c r="B3253">
        <v>119.84999847412099</v>
      </c>
    </row>
    <row r="3254" spans="1:2" x14ac:dyDescent="0.25">
      <c r="A3254" s="5">
        <v>26673</v>
      </c>
      <c r="B3254">
        <v>119.73000335693401</v>
      </c>
    </row>
    <row r="3255" spans="1:2" x14ac:dyDescent="0.25">
      <c r="A3255" s="5">
        <v>26674</v>
      </c>
      <c r="B3255">
        <v>119.43000030517599</v>
      </c>
    </row>
    <row r="3256" spans="1:2" x14ac:dyDescent="0.25">
      <c r="A3256" s="5">
        <v>26675</v>
      </c>
      <c r="B3256">
        <v>120.23999786377</v>
      </c>
    </row>
    <row r="3257" spans="1:2" x14ac:dyDescent="0.25">
      <c r="A3257" s="5">
        <v>26676</v>
      </c>
      <c r="B3257">
        <v>119.300003051758</v>
      </c>
    </row>
    <row r="3258" spans="1:2" x14ac:dyDescent="0.25">
      <c r="A3258" s="5">
        <v>26679</v>
      </c>
      <c r="B3258">
        <v>118.44000244140599</v>
      </c>
    </row>
    <row r="3259" spans="1:2" x14ac:dyDescent="0.25">
      <c r="A3259" s="5">
        <v>26680</v>
      </c>
      <c r="B3259">
        <v>118.139999389648</v>
      </c>
    </row>
    <row r="3260" spans="1:2" x14ac:dyDescent="0.25">
      <c r="A3260" s="5">
        <v>26681</v>
      </c>
      <c r="B3260">
        <v>118.68000030517599</v>
      </c>
    </row>
    <row r="3261" spans="1:2" x14ac:dyDescent="0.25">
      <c r="A3261" s="5">
        <v>26682</v>
      </c>
      <c r="B3261">
        <v>118.84999847412099</v>
      </c>
    </row>
    <row r="3262" spans="1:2" x14ac:dyDescent="0.25">
      <c r="A3262" s="5">
        <v>26683</v>
      </c>
      <c r="B3262">
        <v>118.779998779297</v>
      </c>
    </row>
    <row r="3263" spans="1:2" x14ac:dyDescent="0.25">
      <c r="A3263" s="5">
        <v>26686</v>
      </c>
      <c r="B3263">
        <v>118.209999084473</v>
      </c>
    </row>
    <row r="3264" spans="1:2" x14ac:dyDescent="0.25">
      <c r="A3264" s="5">
        <v>26687</v>
      </c>
      <c r="B3264">
        <v>118.220001220703</v>
      </c>
    </row>
    <row r="3265" spans="1:2" x14ac:dyDescent="0.25">
      <c r="A3265" s="5">
        <v>26688</v>
      </c>
      <c r="B3265">
        <v>116.73000335693401</v>
      </c>
    </row>
    <row r="3266" spans="1:2" x14ac:dyDescent="0.25">
      <c r="A3266" s="5">
        <v>26690</v>
      </c>
      <c r="B3266">
        <v>116.449996948242</v>
      </c>
    </row>
    <row r="3267" spans="1:2" x14ac:dyDescent="0.25">
      <c r="A3267" s="5">
        <v>26693</v>
      </c>
      <c r="B3267">
        <v>116.01000213623</v>
      </c>
    </row>
    <row r="3268" spans="1:2" x14ac:dyDescent="0.25">
      <c r="A3268" s="5">
        <v>26694</v>
      </c>
      <c r="B3268">
        <v>115.830001831055</v>
      </c>
    </row>
    <row r="3269" spans="1:2" x14ac:dyDescent="0.25">
      <c r="A3269" s="5">
        <v>26695</v>
      </c>
      <c r="B3269">
        <v>116.029998779297</v>
      </c>
    </row>
    <row r="3270" spans="1:2" x14ac:dyDescent="0.25">
      <c r="A3270" s="5">
        <v>26696</v>
      </c>
      <c r="B3270">
        <v>114.76000213623</v>
      </c>
    </row>
    <row r="3271" spans="1:2" x14ac:dyDescent="0.25">
      <c r="A3271" s="5">
        <v>26697</v>
      </c>
      <c r="B3271">
        <v>114.34999847412099</v>
      </c>
    </row>
    <row r="3272" spans="1:2" x14ac:dyDescent="0.25">
      <c r="A3272" s="5">
        <v>26700</v>
      </c>
      <c r="B3272">
        <v>114.23000335693401</v>
      </c>
    </row>
    <row r="3273" spans="1:2" x14ac:dyDescent="0.25">
      <c r="A3273" s="5">
        <v>26701</v>
      </c>
      <c r="B3273">
        <v>114.449996948242</v>
      </c>
    </row>
    <row r="3274" spans="1:2" x14ac:dyDescent="0.25">
      <c r="A3274" s="5">
        <v>26702</v>
      </c>
      <c r="B3274">
        <v>113.66000366210901</v>
      </c>
    </row>
    <row r="3275" spans="1:2" x14ac:dyDescent="0.25">
      <c r="A3275" s="5">
        <v>26703</v>
      </c>
      <c r="B3275">
        <v>113.16000366210901</v>
      </c>
    </row>
    <row r="3276" spans="1:2" x14ac:dyDescent="0.25">
      <c r="A3276" s="5">
        <v>26704</v>
      </c>
      <c r="B3276">
        <v>114.68000030517599</v>
      </c>
    </row>
    <row r="3277" spans="1:2" x14ac:dyDescent="0.25">
      <c r="A3277" s="5">
        <v>26707</v>
      </c>
      <c r="B3277">
        <v>116.05999755859401</v>
      </c>
    </row>
    <row r="3278" spans="1:2" x14ac:dyDescent="0.25">
      <c r="A3278" s="5">
        <v>26708</v>
      </c>
      <c r="B3278">
        <v>116.779998779297</v>
      </c>
    </row>
    <row r="3279" spans="1:2" x14ac:dyDescent="0.25">
      <c r="A3279" s="5">
        <v>26709</v>
      </c>
      <c r="B3279">
        <v>115.09999847412099</v>
      </c>
    </row>
    <row r="3280" spans="1:2" x14ac:dyDescent="0.25">
      <c r="A3280" s="5">
        <v>26710</v>
      </c>
      <c r="B3280">
        <v>114.449996948242</v>
      </c>
    </row>
    <row r="3281" spans="1:2" x14ac:dyDescent="0.25">
      <c r="A3281" s="5">
        <v>26711</v>
      </c>
      <c r="B3281">
        <v>114.98000335693401</v>
      </c>
    </row>
    <row r="3282" spans="1:2" x14ac:dyDescent="0.25">
      <c r="A3282" s="5">
        <v>26715</v>
      </c>
      <c r="B3282">
        <v>115.40000152587901</v>
      </c>
    </row>
    <row r="3283" spans="1:2" x14ac:dyDescent="0.25">
      <c r="A3283" s="5">
        <v>26716</v>
      </c>
      <c r="B3283">
        <v>114.69000244140599</v>
      </c>
    </row>
    <row r="3284" spans="1:2" x14ac:dyDescent="0.25">
      <c r="A3284" s="5">
        <v>26717</v>
      </c>
      <c r="B3284">
        <v>114.44000244140599</v>
      </c>
    </row>
    <row r="3285" spans="1:2" x14ac:dyDescent="0.25">
      <c r="A3285" s="5">
        <v>26718</v>
      </c>
      <c r="B3285">
        <v>113.16000366210901</v>
      </c>
    </row>
    <row r="3286" spans="1:2" x14ac:dyDescent="0.25">
      <c r="A3286" s="5">
        <v>26721</v>
      </c>
      <c r="B3286">
        <v>112.19000244140599</v>
      </c>
    </row>
    <row r="3287" spans="1:2" x14ac:dyDescent="0.25">
      <c r="A3287" s="5">
        <v>26722</v>
      </c>
      <c r="B3287">
        <v>110.90000152587901</v>
      </c>
    </row>
    <row r="3288" spans="1:2" x14ac:dyDescent="0.25">
      <c r="A3288" s="5">
        <v>26723</v>
      </c>
      <c r="B3288">
        <v>111.68000030517599</v>
      </c>
    </row>
    <row r="3289" spans="1:2" x14ac:dyDescent="0.25">
      <c r="A3289" s="5">
        <v>26724</v>
      </c>
      <c r="B3289">
        <v>111.050003051758</v>
      </c>
    </row>
    <row r="3290" spans="1:2" x14ac:dyDescent="0.25">
      <c r="A3290" s="5">
        <v>26725</v>
      </c>
      <c r="B3290">
        <v>112.279998779297</v>
      </c>
    </row>
    <row r="3291" spans="1:2" x14ac:dyDescent="0.25">
      <c r="A3291" s="5">
        <v>26728</v>
      </c>
      <c r="B3291">
        <v>112.68000030517599</v>
      </c>
    </row>
    <row r="3292" spans="1:2" x14ac:dyDescent="0.25">
      <c r="A3292" s="5">
        <v>26729</v>
      </c>
      <c r="B3292">
        <v>114.09999847412099</v>
      </c>
    </row>
    <row r="3293" spans="1:2" x14ac:dyDescent="0.25">
      <c r="A3293" s="5">
        <v>26730</v>
      </c>
      <c r="B3293">
        <v>114.449996948242</v>
      </c>
    </row>
    <row r="3294" spans="1:2" x14ac:dyDescent="0.25">
      <c r="A3294" s="5">
        <v>26731</v>
      </c>
      <c r="B3294">
        <v>114.23000335693401</v>
      </c>
    </row>
    <row r="3295" spans="1:2" x14ac:dyDescent="0.25">
      <c r="A3295" s="5">
        <v>26732</v>
      </c>
      <c r="B3295">
        <v>113.790000915527</v>
      </c>
    </row>
    <row r="3296" spans="1:2" x14ac:dyDescent="0.25">
      <c r="A3296" s="5">
        <v>26735</v>
      </c>
      <c r="B3296">
        <v>113.860000610352</v>
      </c>
    </row>
    <row r="3297" spans="1:2" x14ac:dyDescent="0.25">
      <c r="A3297" s="5">
        <v>26736</v>
      </c>
      <c r="B3297">
        <v>114.48000335693401</v>
      </c>
    </row>
    <row r="3298" spans="1:2" x14ac:dyDescent="0.25">
      <c r="A3298" s="5">
        <v>26737</v>
      </c>
      <c r="B3298">
        <v>114.98000335693401</v>
      </c>
    </row>
    <row r="3299" spans="1:2" x14ac:dyDescent="0.25">
      <c r="A3299" s="5">
        <v>26738</v>
      </c>
      <c r="B3299">
        <v>114.120002746582</v>
      </c>
    </row>
    <row r="3300" spans="1:2" x14ac:dyDescent="0.25">
      <c r="A3300" s="5">
        <v>26739</v>
      </c>
      <c r="B3300">
        <v>113.540000915527</v>
      </c>
    </row>
    <row r="3301" spans="1:2" x14ac:dyDescent="0.25">
      <c r="A3301" s="5">
        <v>26742</v>
      </c>
      <c r="B3301">
        <v>112.169998168945</v>
      </c>
    </row>
    <row r="3302" spans="1:2" x14ac:dyDescent="0.25">
      <c r="A3302" s="5">
        <v>26743</v>
      </c>
      <c r="B3302">
        <v>111.949996948242</v>
      </c>
    </row>
    <row r="3303" spans="1:2" x14ac:dyDescent="0.25">
      <c r="A3303" s="5">
        <v>26744</v>
      </c>
      <c r="B3303">
        <v>110.48999786377</v>
      </c>
    </row>
    <row r="3304" spans="1:2" x14ac:dyDescent="0.25">
      <c r="A3304" s="5">
        <v>26745</v>
      </c>
      <c r="B3304">
        <v>108.83999633789099</v>
      </c>
    </row>
    <row r="3305" spans="1:2" x14ac:dyDescent="0.25">
      <c r="A3305" s="5">
        <v>26746</v>
      </c>
      <c r="B3305">
        <v>108.879997253418</v>
      </c>
    </row>
    <row r="3306" spans="1:2" x14ac:dyDescent="0.25">
      <c r="A3306" s="5">
        <v>26749</v>
      </c>
      <c r="B3306">
        <v>109.83999633789099</v>
      </c>
    </row>
    <row r="3307" spans="1:2" x14ac:dyDescent="0.25">
      <c r="A3307" s="5">
        <v>26750</v>
      </c>
      <c r="B3307">
        <v>111.55999755859401</v>
      </c>
    </row>
    <row r="3308" spans="1:2" x14ac:dyDescent="0.25">
      <c r="A3308" s="5">
        <v>26751</v>
      </c>
      <c r="B3308">
        <v>111.620002746582</v>
      </c>
    </row>
    <row r="3309" spans="1:2" x14ac:dyDescent="0.25">
      <c r="A3309" s="5">
        <v>26752</v>
      </c>
      <c r="B3309">
        <v>112.709999084473</v>
      </c>
    </row>
    <row r="3310" spans="1:2" x14ac:dyDescent="0.25">
      <c r="A3310" s="5">
        <v>26753</v>
      </c>
      <c r="B3310">
        <v>111.51999664306599</v>
      </c>
    </row>
    <row r="3311" spans="1:2" x14ac:dyDescent="0.25">
      <c r="A3311" s="5">
        <v>26756</v>
      </c>
      <c r="B3311">
        <v>110.18000030517599</v>
      </c>
    </row>
    <row r="3312" spans="1:2" x14ac:dyDescent="0.25">
      <c r="A3312" s="5">
        <v>26757</v>
      </c>
      <c r="B3312">
        <v>109.23999786377</v>
      </c>
    </row>
    <row r="3313" spans="1:2" x14ac:dyDescent="0.25">
      <c r="A3313" s="5">
        <v>26758</v>
      </c>
      <c r="B3313">
        <v>108.76999664306599</v>
      </c>
    </row>
    <row r="3314" spans="1:2" x14ac:dyDescent="0.25">
      <c r="A3314" s="5">
        <v>26759</v>
      </c>
      <c r="B3314">
        <v>108.51999664306599</v>
      </c>
    </row>
    <row r="3315" spans="1:2" x14ac:dyDescent="0.25">
      <c r="A3315" s="5">
        <v>26760</v>
      </c>
      <c r="B3315">
        <v>109.279998779297</v>
      </c>
    </row>
    <row r="3316" spans="1:2" x14ac:dyDescent="0.25">
      <c r="A3316" s="5">
        <v>26763</v>
      </c>
      <c r="B3316">
        <v>110.860000610352</v>
      </c>
    </row>
    <row r="3317" spans="1:2" x14ac:dyDescent="0.25">
      <c r="A3317" s="5">
        <v>26764</v>
      </c>
      <c r="B3317">
        <v>112.209999084473</v>
      </c>
    </row>
    <row r="3318" spans="1:2" x14ac:dyDescent="0.25">
      <c r="A3318" s="5">
        <v>26765</v>
      </c>
      <c r="B3318">
        <v>112.68000030517599</v>
      </c>
    </row>
    <row r="3319" spans="1:2" x14ac:dyDescent="0.25">
      <c r="A3319" s="5">
        <v>26766</v>
      </c>
      <c r="B3319">
        <v>112.580001831055</v>
      </c>
    </row>
    <row r="3320" spans="1:2" x14ac:dyDescent="0.25">
      <c r="A3320" s="5">
        <v>26767</v>
      </c>
      <c r="B3320">
        <v>112.080001831055</v>
      </c>
    </row>
    <row r="3321" spans="1:2" x14ac:dyDescent="0.25">
      <c r="A3321" s="5">
        <v>26770</v>
      </c>
      <c r="B3321">
        <v>111.44000244140599</v>
      </c>
    </row>
    <row r="3322" spans="1:2" x14ac:dyDescent="0.25">
      <c r="A3322" s="5">
        <v>26771</v>
      </c>
      <c r="B3322">
        <v>110.94000244140599</v>
      </c>
    </row>
    <row r="3323" spans="1:2" x14ac:dyDescent="0.25">
      <c r="A3323" s="5">
        <v>26772</v>
      </c>
      <c r="B3323">
        <v>111.540000915527</v>
      </c>
    </row>
    <row r="3324" spans="1:2" x14ac:dyDescent="0.25">
      <c r="A3324" s="5">
        <v>26773</v>
      </c>
      <c r="B3324">
        <v>112.169998168945</v>
      </c>
    </row>
    <row r="3325" spans="1:2" x14ac:dyDescent="0.25">
      <c r="A3325" s="5">
        <v>26777</v>
      </c>
      <c r="B3325">
        <v>111.56999969482401</v>
      </c>
    </row>
    <row r="3326" spans="1:2" x14ac:dyDescent="0.25">
      <c r="A3326" s="5">
        <v>26778</v>
      </c>
      <c r="B3326">
        <v>109.98999786377</v>
      </c>
    </row>
    <row r="3327" spans="1:2" x14ac:dyDescent="0.25">
      <c r="A3327" s="5">
        <v>26779</v>
      </c>
      <c r="B3327">
        <v>108.33999633789099</v>
      </c>
    </row>
    <row r="3328" spans="1:2" x14ac:dyDescent="0.25">
      <c r="A3328" s="5">
        <v>26780</v>
      </c>
      <c r="B3328">
        <v>108.889999389648</v>
      </c>
    </row>
    <row r="3329" spans="1:2" x14ac:dyDescent="0.25">
      <c r="A3329" s="5">
        <v>26781</v>
      </c>
      <c r="B3329">
        <v>107.23000335693401</v>
      </c>
    </row>
    <row r="3330" spans="1:2" x14ac:dyDescent="0.25">
      <c r="A3330" s="5">
        <v>26784</v>
      </c>
      <c r="B3330">
        <v>106.970001220703</v>
      </c>
    </row>
    <row r="3331" spans="1:2" x14ac:dyDescent="0.25">
      <c r="A3331" s="5">
        <v>26785</v>
      </c>
      <c r="B3331">
        <v>107.09999847412099</v>
      </c>
    </row>
    <row r="3332" spans="1:2" x14ac:dyDescent="0.25">
      <c r="A3332" s="5">
        <v>26786</v>
      </c>
      <c r="B3332">
        <v>108.43000030517599</v>
      </c>
    </row>
    <row r="3333" spans="1:2" x14ac:dyDescent="0.25">
      <c r="A3333" s="5">
        <v>26787</v>
      </c>
      <c r="B3333">
        <v>110.220001220703</v>
      </c>
    </row>
    <row r="3334" spans="1:2" x14ac:dyDescent="0.25">
      <c r="A3334" s="5">
        <v>26788</v>
      </c>
      <c r="B3334">
        <v>111</v>
      </c>
    </row>
    <row r="3335" spans="1:2" x14ac:dyDescent="0.25">
      <c r="A3335" s="5">
        <v>26791</v>
      </c>
      <c r="B3335">
        <v>110.529998779297</v>
      </c>
    </row>
    <row r="3336" spans="1:2" x14ac:dyDescent="0.25">
      <c r="A3336" s="5">
        <v>26792</v>
      </c>
      <c r="B3336">
        <v>111.25</v>
      </c>
    </row>
    <row r="3337" spans="1:2" x14ac:dyDescent="0.25">
      <c r="A3337" s="5">
        <v>26793</v>
      </c>
      <c r="B3337">
        <v>110.44000244140599</v>
      </c>
    </row>
    <row r="3338" spans="1:2" x14ac:dyDescent="0.25">
      <c r="A3338" s="5">
        <v>26794</v>
      </c>
      <c r="B3338">
        <v>109.540000915527</v>
      </c>
    </row>
    <row r="3339" spans="1:2" x14ac:dyDescent="0.25">
      <c r="A3339" s="5">
        <v>26795</v>
      </c>
      <c r="B3339">
        <v>108.169998168945</v>
      </c>
    </row>
    <row r="3340" spans="1:2" x14ac:dyDescent="0.25">
      <c r="A3340" s="5">
        <v>26798</v>
      </c>
      <c r="B3340">
        <v>105.90000152587901</v>
      </c>
    </row>
    <row r="3341" spans="1:2" x14ac:dyDescent="0.25">
      <c r="A3341" s="5">
        <v>26799</v>
      </c>
      <c r="B3341">
        <v>106.56999969482401</v>
      </c>
    </row>
    <row r="3342" spans="1:2" x14ac:dyDescent="0.25">
      <c r="A3342" s="5">
        <v>26800</v>
      </c>
      <c r="B3342">
        <v>106.43000030517599</v>
      </c>
    </row>
    <row r="3343" spans="1:2" x14ac:dyDescent="0.25">
      <c r="A3343" s="5">
        <v>26801</v>
      </c>
      <c r="B3343">
        <v>105.55999755859401</v>
      </c>
    </row>
    <row r="3344" spans="1:2" x14ac:dyDescent="0.25">
      <c r="A3344" s="5">
        <v>26802</v>
      </c>
      <c r="B3344">
        <v>103.860000610352</v>
      </c>
    </row>
    <row r="3345" spans="1:2" x14ac:dyDescent="0.25">
      <c r="A3345" s="5">
        <v>26805</v>
      </c>
      <c r="B3345">
        <v>102.73000335693401</v>
      </c>
    </row>
    <row r="3346" spans="1:2" x14ac:dyDescent="0.25">
      <c r="A3346" s="5">
        <v>26806</v>
      </c>
      <c r="B3346">
        <v>103.580001831055</v>
      </c>
    </row>
    <row r="3347" spans="1:2" x14ac:dyDescent="0.25">
      <c r="A3347" s="5">
        <v>26807</v>
      </c>
      <c r="B3347">
        <v>104.06999969482401</v>
      </c>
    </row>
    <row r="3348" spans="1:2" x14ac:dyDescent="0.25">
      <c r="A3348" s="5">
        <v>26808</v>
      </c>
      <c r="B3348">
        <v>107.139999389648</v>
      </c>
    </row>
    <row r="3349" spans="1:2" x14ac:dyDescent="0.25">
      <c r="A3349" s="5">
        <v>26809</v>
      </c>
      <c r="B3349">
        <v>107.94000244140599</v>
      </c>
    </row>
    <row r="3350" spans="1:2" x14ac:dyDescent="0.25">
      <c r="A3350" s="5">
        <v>26813</v>
      </c>
      <c r="B3350">
        <v>107.51000213623</v>
      </c>
    </row>
    <row r="3351" spans="1:2" x14ac:dyDescent="0.25">
      <c r="A3351" s="5">
        <v>26814</v>
      </c>
      <c r="B3351">
        <v>105.91000366210901</v>
      </c>
    </row>
    <row r="3352" spans="1:2" x14ac:dyDescent="0.25">
      <c r="A3352" s="5">
        <v>26815</v>
      </c>
      <c r="B3352">
        <v>104.949996948242</v>
      </c>
    </row>
    <row r="3353" spans="1:2" x14ac:dyDescent="0.25">
      <c r="A3353" s="5">
        <v>26816</v>
      </c>
      <c r="B3353">
        <v>103.93000030517599</v>
      </c>
    </row>
    <row r="3354" spans="1:2" x14ac:dyDescent="0.25">
      <c r="A3354" s="5">
        <v>26819</v>
      </c>
      <c r="B3354">
        <v>102.970001220703</v>
      </c>
    </row>
    <row r="3355" spans="1:2" x14ac:dyDescent="0.25">
      <c r="A3355" s="5">
        <v>26820</v>
      </c>
      <c r="B3355">
        <v>104.620002746582</v>
      </c>
    </row>
    <row r="3356" spans="1:2" x14ac:dyDescent="0.25">
      <c r="A3356" s="5">
        <v>26821</v>
      </c>
      <c r="B3356">
        <v>104.30999755859401</v>
      </c>
    </row>
    <row r="3357" spans="1:2" x14ac:dyDescent="0.25">
      <c r="A3357" s="5">
        <v>26822</v>
      </c>
      <c r="B3357">
        <v>105.83999633789099</v>
      </c>
    </row>
    <row r="3358" spans="1:2" x14ac:dyDescent="0.25">
      <c r="A3358" s="5">
        <v>26823</v>
      </c>
      <c r="B3358">
        <v>107.029998779297</v>
      </c>
    </row>
    <row r="3359" spans="1:2" x14ac:dyDescent="0.25">
      <c r="A3359" s="5">
        <v>26826</v>
      </c>
      <c r="B3359">
        <v>106.699996948242</v>
      </c>
    </row>
    <row r="3360" spans="1:2" x14ac:dyDescent="0.25">
      <c r="A3360" s="5">
        <v>26827</v>
      </c>
      <c r="B3360">
        <v>108.290000915527</v>
      </c>
    </row>
    <row r="3361" spans="1:2" x14ac:dyDescent="0.25">
      <c r="A3361" s="5">
        <v>26828</v>
      </c>
      <c r="B3361">
        <v>107.59999847412099</v>
      </c>
    </row>
    <row r="3362" spans="1:2" x14ac:dyDescent="0.25">
      <c r="A3362" s="5">
        <v>26829</v>
      </c>
      <c r="B3362">
        <v>106.40000152587901</v>
      </c>
    </row>
    <row r="3363" spans="1:2" x14ac:dyDescent="0.25">
      <c r="A3363" s="5">
        <v>26830</v>
      </c>
      <c r="B3363">
        <v>105.09999847412099</v>
      </c>
    </row>
    <row r="3364" spans="1:2" x14ac:dyDescent="0.25">
      <c r="A3364" s="5">
        <v>26833</v>
      </c>
      <c r="B3364">
        <v>103.59999847412099</v>
      </c>
    </row>
    <row r="3365" spans="1:2" x14ac:dyDescent="0.25">
      <c r="A3365" s="5">
        <v>26834</v>
      </c>
      <c r="B3365">
        <v>103.98999786377</v>
      </c>
    </row>
    <row r="3366" spans="1:2" x14ac:dyDescent="0.25">
      <c r="A3366" s="5">
        <v>26835</v>
      </c>
      <c r="B3366">
        <v>104.44000244140599</v>
      </c>
    </row>
    <row r="3367" spans="1:2" x14ac:dyDescent="0.25">
      <c r="A3367" s="5">
        <v>26836</v>
      </c>
      <c r="B3367">
        <v>103.209999084473</v>
      </c>
    </row>
    <row r="3368" spans="1:2" x14ac:dyDescent="0.25">
      <c r="A3368" s="5">
        <v>26837</v>
      </c>
      <c r="B3368">
        <v>103.699996948242</v>
      </c>
    </row>
    <row r="3369" spans="1:2" x14ac:dyDescent="0.25">
      <c r="A3369" s="5">
        <v>26840</v>
      </c>
      <c r="B3369">
        <v>102.25</v>
      </c>
    </row>
    <row r="3370" spans="1:2" x14ac:dyDescent="0.25">
      <c r="A3370" s="5">
        <v>26841</v>
      </c>
      <c r="B3370">
        <v>103.300003051758</v>
      </c>
    </row>
    <row r="3371" spans="1:2" x14ac:dyDescent="0.25">
      <c r="A3371" s="5">
        <v>26842</v>
      </c>
      <c r="B3371">
        <v>103.620002746582</v>
      </c>
    </row>
    <row r="3372" spans="1:2" x14ac:dyDescent="0.25">
      <c r="A3372" s="5">
        <v>26843</v>
      </c>
      <c r="B3372">
        <v>104.69000244140599</v>
      </c>
    </row>
    <row r="3373" spans="1:2" x14ac:dyDescent="0.25">
      <c r="A3373" s="5">
        <v>26844</v>
      </c>
      <c r="B3373">
        <v>104.26000213623</v>
      </c>
    </row>
    <row r="3374" spans="1:2" x14ac:dyDescent="0.25">
      <c r="A3374" s="5">
        <v>26847</v>
      </c>
      <c r="B3374">
        <v>102.90000152587901</v>
      </c>
    </row>
    <row r="3375" spans="1:2" x14ac:dyDescent="0.25">
      <c r="A3375" s="5">
        <v>26848</v>
      </c>
      <c r="B3375">
        <v>101.870002746582</v>
      </c>
    </row>
    <row r="3376" spans="1:2" x14ac:dyDescent="0.25">
      <c r="A3376" s="5">
        <v>26850</v>
      </c>
      <c r="B3376">
        <v>101.779998779297</v>
      </c>
    </row>
    <row r="3377" spans="1:2" x14ac:dyDescent="0.25">
      <c r="A3377" s="5">
        <v>26851</v>
      </c>
      <c r="B3377">
        <v>101.279998779297</v>
      </c>
    </row>
    <row r="3378" spans="1:2" x14ac:dyDescent="0.25">
      <c r="A3378" s="5">
        <v>26854</v>
      </c>
      <c r="B3378">
        <v>102.139999389648</v>
      </c>
    </row>
    <row r="3379" spans="1:2" x14ac:dyDescent="0.25">
      <c r="A3379" s="5">
        <v>26855</v>
      </c>
      <c r="B3379">
        <v>103.51999664306599</v>
      </c>
    </row>
    <row r="3380" spans="1:2" x14ac:dyDescent="0.25">
      <c r="A3380" s="5">
        <v>26856</v>
      </c>
      <c r="B3380">
        <v>105.800003051758</v>
      </c>
    </row>
    <row r="3381" spans="1:2" x14ac:dyDescent="0.25">
      <c r="A3381" s="5">
        <v>26857</v>
      </c>
      <c r="B3381">
        <v>105.5</v>
      </c>
    </row>
    <row r="3382" spans="1:2" x14ac:dyDescent="0.25">
      <c r="A3382" s="5">
        <v>26858</v>
      </c>
      <c r="B3382">
        <v>104.08999633789099</v>
      </c>
    </row>
    <row r="3383" spans="1:2" x14ac:dyDescent="0.25">
      <c r="A3383" s="5">
        <v>26861</v>
      </c>
      <c r="B3383">
        <v>105.669998168945</v>
      </c>
    </row>
    <row r="3384" spans="1:2" x14ac:dyDescent="0.25">
      <c r="A3384" s="5">
        <v>26862</v>
      </c>
      <c r="B3384">
        <v>105.720001220703</v>
      </c>
    </row>
    <row r="3385" spans="1:2" x14ac:dyDescent="0.25">
      <c r="A3385" s="5">
        <v>26863</v>
      </c>
      <c r="B3385">
        <v>106.34999847412099</v>
      </c>
    </row>
    <row r="3386" spans="1:2" x14ac:dyDescent="0.25">
      <c r="A3386" s="5">
        <v>26864</v>
      </c>
      <c r="B3386">
        <v>106.550003051758</v>
      </c>
    </row>
    <row r="3387" spans="1:2" x14ac:dyDescent="0.25">
      <c r="A3387" s="5">
        <v>26865</v>
      </c>
      <c r="B3387">
        <v>107.139999389648</v>
      </c>
    </row>
    <row r="3388" spans="1:2" x14ac:dyDescent="0.25">
      <c r="A3388" s="5">
        <v>26868</v>
      </c>
      <c r="B3388">
        <v>107.51999664306599</v>
      </c>
    </row>
    <row r="3389" spans="1:2" x14ac:dyDescent="0.25">
      <c r="A3389" s="5">
        <v>26869</v>
      </c>
      <c r="B3389">
        <v>108.139999389648</v>
      </c>
    </row>
    <row r="3390" spans="1:2" x14ac:dyDescent="0.25">
      <c r="A3390" s="5">
        <v>26870</v>
      </c>
      <c r="B3390">
        <v>109.639999389648</v>
      </c>
    </row>
    <row r="3391" spans="1:2" x14ac:dyDescent="0.25">
      <c r="A3391" s="5">
        <v>26871</v>
      </c>
      <c r="B3391">
        <v>109.84999847412099</v>
      </c>
    </row>
    <row r="3392" spans="1:2" x14ac:dyDescent="0.25">
      <c r="A3392" s="5">
        <v>26872</v>
      </c>
      <c r="B3392">
        <v>109.58999633789099</v>
      </c>
    </row>
    <row r="3393" spans="1:2" x14ac:dyDescent="0.25">
      <c r="A3393" s="5">
        <v>26875</v>
      </c>
      <c r="B3393">
        <v>109.25</v>
      </c>
    </row>
    <row r="3394" spans="1:2" x14ac:dyDescent="0.25">
      <c r="A3394" s="5">
        <v>26876</v>
      </c>
      <c r="B3394">
        <v>108.220001220703</v>
      </c>
    </row>
    <row r="3395" spans="1:2" x14ac:dyDescent="0.25">
      <c r="A3395" s="5">
        <v>26877</v>
      </c>
      <c r="B3395">
        <v>106.830001831055</v>
      </c>
    </row>
    <row r="3396" spans="1:2" x14ac:dyDescent="0.25">
      <c r="A3396" s="5">
        <v>26878</v>
      </c>
      <c r="B3396">
        <v>106.669998168945</v>
      </c>
    </row>
    <row r="3397" spans="1:2" x14ac:dyDescent="0.25">
      <c r="A3397" s="5">
        <v>26879</v>
      </c>
      <c r="B3397">
        <v>106.48999786377</v>
      </c>
    </row>
    <row r="3398" spans="1:2" x14ac:dyDescent="0.25">
      <c r="A3398" s="5">
        <v>26882</v>
      </c>
      <c r="B3398">
        <v>106.73000335693401</v>
      </c>
    </row>
    <row r="3399" spans="1:2" x14ac:dyDescent="0.25">
      <c r="A3399" s="5">
        <v>26883</v>
      </c>
      <c r="B3399">
        <v>106.550003051758</v>
      </c>
    </row>
    <row r="3400" spans="1:2" x14ac:dyDescent="0.25">
      <c r="A3400" s="5">
        <v>26884</v>
      </c>
      <c r="B3400">
        <v>105.550003051758</v>
      </c>
    </row>
    <row r="3401" spans="1:2" x14ac:dyDescent="0.25">
      <c r="A3401" s="5">
        <v>26885</v>
      </c>
      <c r="B3401">
        <v>105.610000610352</v>
      </c>
    </row>
    <row r="3402" spans="1:2" x14ac:dyDescent="0.25">
      <c r="A3402" s="5">
        <v>26886</v>
      </c>
      <c r="B3402">
        <v>104.76999664306599</v>
      </c>
    </row>
    <row r="3403" spans="1:2" x14ac:dyDescent="0.25">
      <c r="A3403" s="5">
        <v>26889</v>
      </c>
      <c r="B3403">
        <v>103.709999084473</v>
      </c>
    </row>
    <row r="3404" spans="1:2" x14ac:dyDescent="0.25">
      <c r="A3404" s="5">
        <v>26890</v>
      </c>
      <c r="B3404">
        <v>102.709999084473</v>
      </c>
    </row>
    <row r="3405" spans="1:2" x14ac:dyDescent="0.25">
      <c r="A3405" s="5">
        <v>26891</v>
      </c>
      <c r="B3405">
        <v>103.01000213623</v>
      </c>
    </row>
    <row r="3406" spans="1:2" x14ac:dyDescent="0.25">
      <c r="A3406" s="5">
        <v>26892</v>
      </c>
      <c r="B3406">
        <v>102.290000915527</v>
      </c>
    </row>
    <row r="3407" spans="1:2" x14ac:dyDescent="0.25">
      <c r="A3407" s="5">
        <v>26893</v>
      </c>
      <c r="B3407">
        <v>102.30999755859401</v>
      </c>
    </row>
    <row r="3408" spans="1:2" x14ac:dyDescent="0.25">
      <c r="A3408" s="5">
        <v>26896</v>
      </c>
      <c r="B3408">
        <v>101.610000610352</v>
      </c>
    </row>
    <row r="3409" spans="1:2" x14ac:dyDescent="0.25">
      <c r="A3409" s="5">
        <v>26897</v>
      </c>
      <c r="B3409">
        <v>100.889999389648</v>
      </c>
    </row>
    <row r="3410" spans="1:2" x14ac:dyDescent="0.25">
      <c r="A3410" s="5">
        <v>26898</v>
      </c>
      <c r="B3410">
        <v>100.529998779297</v>
      </c>
    </row>
    <row r="3411" spans="1:2" x14ac:dyDescent="0.25">
      <c r="A3411" s="5">
        <v>26899</v>
      </c>
      <c r="B3411">
        <v>101.91000366210901</v>
      </c>
    </row>
    <row r="3412" spans="1:2" x14ac:dyDescent="0.25">
      <c r="A3412" s="5">
        <v>26900</v>
      </c>
      <c r="B3412">
        <v>101.620002746582</v>
      </c>
    </row>
    <row r="3413" spans="1:2" x14ac:dyDescent="0.25">
      <c r="A3413" s="5">
        <v>26903</v>
      </c>
      <c r="B3413">
        <v>102.419998168945</v>
      </c>
    </row>
    <row r="3414" spans="1:2" x14ac:dyDescent="0.25">
      <c r="A3414" s="5">
        <v>26904</v>
      </c>
      <c r="B3414">
        <v>103.01999664306599</v>
      </c>
    </row>
    <row r="3415" spans="1:2" x14ac:dyDescent="0.25">
      <c r="A3415" s="5">
        <v>26905</v>
      </c>
      <c r="B3415">
        <v>104.029998779297</v>
      </c>
    </row>
    <row r="3416" spans="1:2" x14ac:dyDescent="0.25">
      <c r="A3416" s="5">
        <v>26906</v>
      </c>
      <c r="B3416">
        <v>103.879997253418</v>
      </c>
    </row>
    <row r="3417" spans="1:2" x14ac:dyDescent="0.25">
      <c r="A3417" s="5">
        <v>26907</v>
      </c>
      <c r="B3417">
        <v>104.25</v>
      </c>
    </row>
    <row r="3418" spans="1:2" x14ac:dyDescent="0.25">
      <c r="A3418" s="5">
        <v>26911</v>
      </c>
      <c r="B3418">
        <v>104.51000213623</v>
      </c>
    </row>
    <row r="3419" spans="1:2" x14ac:dyDescent="0.25">
      <c r="A3419" s="5">
        <v>26912</v>
      </c>
      <c r="B3419">
        <v>104.639999389648</v>
      </c>
    </row>
    <row r="3420" spans="1:2" x14ac:dyDescent="0.25">
      <c r="A3420" s="5">
        <v>26913</v>
      </c>
      <c r="B3420">
        <v>105.15000152587901</v>
      </c>
    </row>
    <row r="3421" spans="1:2" x14ac:dyDescent="0.25">
      <c r="A3421" s="5">
        <v>26914</v>
      </c>
      <c r="B3421">
        <v>104.76000213623</v>
      </c>
    </row>
    <row r="3422" spans="1:2" x14ac:dyDescent="0.25">
      <c r="A3422" s="5">
        <v>26917</v>
      </c>
      <c r="B3422">
        <v>103.84999847412099</v>
      </c>
    </row>
    <row r="3423" spans="1:2" x14ac:dyDescent="0.25">
      <c r="A3423" s="5">
        <v>26918</v>
      </c>
      <c r="B3423">
        <v>103.220001220703</v>
      </c>
    </row>
    <row r="3424" spans="1:2" x14ac:dyDescent="0.25">
      <c r="A3424" s="5">
        <v>26919</v>
      </c>
      <c r="B3424">
        <v>103.05999755859401</v>
      </c>
    </row>
    <row r="3425" spans="1:2" x14ac:dyDescent="0.25">
      <c r="A3425" s="5">
        <v>26920</v>
      </c>
      <c r="B3425">
        <v>103.360000610352</v>
      </c>
    </row>
    <row r="3426" spans="1:2" x14ac:dyDescent="0.25">
      <c r="A3426" s="5">
        <v>26921</v>
      </c>
      <c r="B3426">
        <v>104.44000244140599</v>
      </c>
    </row>
    <row r="3427" spans="1:2" x14ac:dyDescent="0.25">
      <c r="A3427" s="5">
        <v>26924</v>
      </c>
      <c r="B3427">
        <v>104.15000152587901</v>
      </c>
    </row>
    <row r="3428" spans="1:2" x14ac:dyDescent="0.25">
      <c r="A3428" s="5">
        <v>26925</v>
      </c>
      <c r="B3428">
        <v>103.76999664306599</v>
      </c>
    </row>
    <row r="3429" spans="1:2" x14ac:dyDescent="0.25">
      <c r="A3429" s="5">
        <v>26926</v>
      </c>
      <c r="B3429">
        <v>105.879997253418</v>
      </c>
    </row>
    <row r="3430" spans="1:2" x14ac:dyDescent="0.25">
      <c r="A3430" s="5">
        <v>26927</v>
      </c>
      <c r="B3430">
        <v>106.76000213623</v>
      </c>
    </row>
    <row r="3431" spans="1:2" x14ac:dyDescent="0.25">
      <c r="A3431" s="5">
        <v>26928</v>
      </c>
      <c r="B3431">
        <v>107.199996948242</v>
      </c>
    </row>
    <row r="3432" spans="1:2" x14ac:dyDescent="0.25">
      <c r="A3432" s="5">
        <v>26931</v>
      </c>
      <c r="B3432">
        <v>107.360000610352</v>
      </c>
    </row>
    <row r="3433" spans="1:2" x14ac:dyDescent="0.25">
      <c r="A3433" s="5">
        <v>26932</v>
      </c>
      <c r="B3433">
        <v>108.050003051758</v>
      </c>
    </row>
    <row r="3434" spans="1:2" x14ac:dyDescent="0.25">
      <c r="A3434" s="5">
        <v>26933</v>
      </c>
      <c r="B3434">
        <v>108.830001831055</v>
      </c>
    </row>
    <row r="3435" spans="1:2" x14ac:dyDescent="0.25">
      <c r="A3435" s="5">
        <v>26934</v>
      </c>
      <c r="B3435">
        <v>109.080001831055</v>
      </c>
    </row>
    <row r="3436" spans="1:2" x14ac:dyDescent="0.25">
      <c r="A3436" s="5">
        <v>26935</v>
      </c>
      <c r="B3436">
        <v>108.43000030517599</v>
      </c>
    </row>
    <row r="3437" spans="1:2" x14ac:dyDescent="0.25">
      <c r="A3437" s="5">
        <v>26938</v>
      </c>
      <c r="B3437">
        <v>108.209999084473</v>
      </c>
    </row>
    <row r="3438" spans="1:2" x14ac:dyDescent="0.25">
      <c r="A3438" s="5">
        <v>26939</v>
      </c>
      <c r="B3438">
        <v>108.790000915527</v>
      </c>
    </row>
    <row r="3439" spans="1:2" x14ac:dyDescent="0.25">
      <c r="A3439" s="5">
        <v>26940</v>
      </c>
      <c r="B3439">
        <v>108.779998779297</v>
      </c>
    </row>
    <row r="3440" spans="1:2" x14ac:dyDescent="0.25">
      <c r="A3440" s="5">
        <v>26941</v>
      </c>
      <c r="B3440">
        <v>108.41000366210901</v>
      </c>
    </row>
    <row r="3441" spans="1:2" x14ac:dyDescent="0.25">
      <c r="A3441" s="5">
        <v>26942</v>
      </c>
      <c r="B3441">
        <v>109.84999847412099</v>
      </c>
    </row>
    <row r="3442" spans="1:2" x14ac:dyDescent="0.25">
      <c r="A3442" s="5">
        <v>26945</v>
      </c>
      <c r="B3442">
        <v>110.23000335693401</v>
      </c>
    </row>
    <row r="3443" spans="1:2" x14ac:dyDescent="0.25">
      <c r="A3443" s="5">
        <v>26946</v>
      </c>
      <c r="B3443">
        <v>110.129997253418</v>
      </c>
    </row>
    <row r="3444" spans="1:2" x14ac:dyDescent="0.25">
      <c r="A3444" s="5">
        <v>26947</v>
      </c>
      <c r="B3444">
        <v>109.220001220703</v>
      </c>
    </row>
    <row r="3445" spans="1:2" x14ac:dyDescent="0.25">
      <c r="A3445" s="5">
        <v>26948</v>
      </c>
      <c r="B3445">
        <v>111.08999633789099</v>
      </c>
    </row>
    <row r="3446" spans="1:2" x14ac:dyDescent="0.25">
      <c r="A3446" s="5">
        <v>26949</v>
      </c>
      <c r="B3446">
        <v>111.44000244140599</v>
      </c>
    </row>
    <row r="3447" spans="1:2" x14ac:dyDescent="0.25">
      <c r="A3447" s="5">
        <v>26952</v>
      </c>
      <c r="B3447">
        <v>110.050003051758</v>
      </c>
    </row>
    <row r="3448" spans="1:2" x14ac:dyDescent="0.25">
      <c r="A3448" s="5">
        <v>26953</v>
      </c>
      <c r="B3448">
        <v>110.19000244140599</v>
      </c>
    </row>
    <row r="3449" spans="1:2" x14ac:dyDescent="0.25">
      <c r="A3449" s="5">
        <v>26954</v>
      </c>
      <c r="B3449">
        <v>109.970001220703</v>
      </c>
    </row>
    <row r="3450" spans="1:2" x14ac:dyDescent="0.25">
      <c r="A3450" s="5">
        <v>26955</v>
      </c>
      <c r="B3450">
        <v>110.01000213623</v>
      </c>
    </row>
    <row r="3451" spans="1:2" x14ac:dyDescent="0.25">
      <c r="A3451" s="5">
        <v>26956</v>
      </c>
      <c r="B3451">
        <v>110.220001220703</v>
      </c>
    </row>
    <row r="3452" spans="1:2" x14ac:dyDescent="0.25">
      <c r="A3452" s="5">
        <v>26959</v>
      </c>
      <c r="B3452">
        <v>109.16000366210901</v>
      </c>
    </row>
    <row r="3453" spans="1:2" x14ac:dyDescent="0.25">
      <c r="A3453" s="5">
        <v>26960</v>
      </c>
      <c r="B3453">
        <v>109.75</v>
      </c>
    </row>
    <row r="3454" spans="1:2" x14ac:dyDescent="0.25">
      <c r="A3454" s="5">
        <v>26961</v>
      </c>
      <c r="B3454">
        <v>110.26999664306599</v>
      </c>
    </row>
    <row r="3455" spans="1:2" x14ac:dyDescent="0.25">
      <c r="A3455" s="5">
        <v>26962</v>
      </c>
      <c r="B3455">
        <v>110.5</v>
      </c>
    </row>
    <row r="3456" spans="1:2" x14ac:dyDescent="0.25">
      <c r="A3456" s="5">
        <v>26963</v>
      </c>
      <c r="B3456">
        <v>111.379997253418</v>
      </c>
    </row>
    <row r="3457" spans="1:2" x14ac:dyDescent="0.25">
      <c r="A3457" s="5">
        <v>26966</v>
      </c>
      <c r="B3457">
        <v>111.15000152587901</v>
      </c>
    </row>
    <row r="3458" spans="1:2" x14ac:dyDescent="0.25">
      <c r="A3458" s="5">
        <v>26967</v>
      </c>
      <c r="B3458">
        <v>109.330001831055</v>
      </c>
    </row>
    <row r="3459" spans="1:2" x14ac:dyDescent="0.25">
      <c r="A3459" s="5">
        <v>26968</v>
      </c>
      <c r="B3459">
        <v>108.290000915527</v>
      </c>
    </row>
    <row r="3460" spans="1:2" x14ac:dyDescent="0.25">
      <c r="A3460" s="5">
        <v>26969</v>
      </c>
      <c r="B3460">
        <v>107.69000244140599</v>
      </c>
    </row>
    <row r="3461" spans="1:2" x14ac:dyDescent="0.25">
      <c r="A3461" s="5">
        <v>26970</v>
      </c>
      <c r="B3461">
        <v>107.06999969482401</v>
      </c>
    </row>
    <row r="3462" spans="1:2" x14ac:dyDescent="0.25">
      <c r="A3462" s="5">
        <v>26973</v>
      </c>
      <c r="B3462">
        <v>105.51999664306599</v>
      </c>
    </row>
    <row r="3463" spans="1:2" x14ac:dyDescent="0.25">
      <c r="A3463" s="5">
        <v>26974</v>
      </c>
      <c r="B3463">
        <v>104.959999084473</v>
      </c>
    </row>
    <row r="3464" spans="1:2" x14ac:dyDescent="0.25">
      <c r="A3464" s="5">
        <v>26975</v>
      </c>
      <c r="B3464">
        <v>105.800003051758</v>
      </c>
    </row>
    <row r="3465" spans="1:2" x14ac:dyDescent="0.25">
      <c r="A3465" s="5">
        <v>26976</v>
      </c>
      <c r="B3465">
        <v>107.01999664306599</v>
      </c>
    </row>
    <row r="3466" spans="1:2" x14ac:dyDescent="0.25">
      <c r="A3466" s="5">
        <v>26977</v>
      </c>
      <c r="B3466">
        <v>105.300003051758</v>
      </c>
    </row>
    <row r="3467" spans="1:2" x14ac:dyDescent="0.25">
      <c r="A3467" s="5">
        <v>26980</v>
      </c>
      <c r="B3467">
        <v>104.44000244140599</v>
      </c>
    </row>
    <row r="3468" spans="1:2" x14ac:dyDescent="0.25">
      <c r="A3468" s="5">
        <v>26981</v>
      </c>
      <c r="B3468">
        <v>104.360000610352</v>
      </c>
    </row>
    <row r="3469" spans="1:2" x14ac:dyDescent="0.25">
      <c r="A3469" s="5">
        <v>26982</v>
      </c>
      <c r="B3469">
        <v>102.449996948242</v>
      </c>
    </row>
    <row r="3470" spans="1:2" x14ac:dyDescent="0.25">
      <c r="A3470" s="5">
        <v>26983</v>
      </c>
      <c r="B3470">
        <v>102.43000030517599</v>
      </c>
    </row>
    <row r="3471" spans="1:2" x14ac:dyDescent="0.25">
      <c r="A3471" s="5">
        <v>26984</v>
      </c>
      <c r="B3471">
        <v>103.879997253418</v>
      </c>
    </row>
    <row r="3472" spans="1:2" x14ac:dyDescent="0.25">
      <c r="A3472" s="5">
        <v>26987</v>
      </c>
      <c r="B3472">
        <v>100.709999084473</v>
      </c>
    </row>
    <row r="3473" spans="1:2" x14ac:dyDescent="0.25">
      <c r="A3473" s="5">
        <v>26988</v>
      </c>
      <c r="B3473">
        <v>98.660003662109403</v>
      </c>
    </row>
    <row r="3474" spans="1:2" x14ac:dyDescent="0.25">
      <c r="A3474" s="5">
        <v>26989</v>
      </c>
      <c r="B3474">
        <v>99.760002136230497</v>
      </c>
    </row>
    <row r="3475" spans="1:2" x14ac:dyDescent="0.25">
      <c r="A3475" s="5">
        <v>26991</v>
      </c>
      <c r="B3475">
        <v>99.440002441406193</v>
      </c>
    </row>
    <row r="3476" spans="1:2" x14ac:dyDescent="0.25">
      <c r="A3476" s="5">
        <v>26994</v>
      </c>
      <c r="B3476">
        <v>96.580001831054702</v>
      </c>
    </row>
    <row r="3477" spans="1:2" x14ac:dyDescent="0.25">
      <c r="A3477" s="5">
        <v>26995</v>
      </c>
      <c r="B3477">
        <v>95.699996948242202</v>
      </c>
    </row>
    <row r="3478" spans="1:2" x14ac:dyDescent="0.25">
      <c r="A3478" s="5">
        <v>26996</v>
      </c>
      <c r="B3478">
        <v>97.650001525878906</v>
      </c>
    </row>
    <row r="3479" spans="1:2" x14ac:dyDescent="0.25">
      <c r="A3479" s="5">
        <v>26997</v>
      </c>
      <c r="B3479">
        <v>97.309997558593807</v>
      </c>
    </row>
    <row r="3480" spans="1:2" x14ac:dyDescent="0.25">
      <c r="A3480" s="5">
        <v>26998</v>
      </c>
      <c r="B3480">
        <v>95.959999084472699</v>
      </c>
    </row>
    <row r="3481" spans="1:2" x14ac:dyDescent="0.25">
      <c r="A3481" s="5">
        <v>27001</v>
      </c>
      <c r="B3481">
        <v>93.900001525878906</v>
      </c>
    </row>
    <row r="3482" spans="1:2" x14ac:dyDescent="0.25">
      <c r="A3482" s="5">
        <v>27002</v>
      </c>
      <c r="B3482">
        <v>93.589996337890597</v>
      </c>
    </row>
    <row r="3483" spans="1:2" x14ac:dyDescent="0.25">
      <c r="A3483" s="5">
        <v>27003</v>
      </c>
      <c r="B3483">
        <v>92.160003662109403</v>
      </c>
    </row>
    <row r="3484" spans="1:2" x14ac:dyDescent="0.25">
      <c r="A3484" s="5">
        <v>27004</v>
      </c>
      <c r="B3484">
        <v>94.419998168945298</v>
      </c>
    </row>
    <row r="3485" spans="1:2" x14ac:dyDescent="0.25">
      <c r="A3485" s="5">
        <v>27005</v>
      </c>
      <c r="B3485">
        <v>96.510002136230497</v>
      </c>
    </row>
    <row r="3486" spans="1:2" x14ac:dyDescent="0.25">
      <c r="A3486" s="5">
        <v>27008</v>
      </c>
      <c r="B3486">
        <v>97.949996948242202</v>
      </c>
    </row>
    <row r="3487" spans="1:2" x14ac:dyDescent="0.25">
      <c r="A3487" s="5">
        <v>27009</v>
      </c>
      <c r="B3487">
        <v>96.040000915527301</v>
      </c>
    </row>
    <row r="3488" spans="1:2" x14ac:dyDescent="0.25">
      <c r="A3488" s="5">
        <v>27010</v>
      </c>
      <c r="B3488">
        <v>93.569999694824205</v>
      </c>
    </row>
    <row r="3489" spans="1:2" x14ac:dyDescent="0.25">
      <c r="A3489" s="5">
        <v>27011</v>
      </c>
      <c r="B3489">
        <v>92.379997253417997</v>
      </c>
    </row>
    <row r="3490" spans="1:2" x14ac:dyDescent="0.25">
      <c r="A3490" s="5">
        <v>27012</v>
      </c>
      <c r="B3490">
        <v>93.290000915527301</v>
      </c>
    </row>
    <row r="3491" spans="1:2" x14ac:dyDescent="0.25">
      <c r="A3491" s="5">
        <v>27015</v>
      </c>
      <c r="B3491">
        <v>92.75</v>
      </c>
    </row>
    <row r="3492" spans="1:2" x14ac:dyDescent="0.25">
      <c r="A3492" s="5">
        <v>27016</v>
      </c>
      <c r="B3492">
        <v>94.739997863769503</v>
      </c>
    </row>
    <row r="3493" spans="1:2" x14ac:dyDescent="0.25">
      <c r="A3493" s="5">
        <v>27017</v>
      </c>
      <c r="B3493">
        <v>94.819999694824205</v>
      </c>
    </row>
    <row r="3494" spans="1:2" x14ac:dyDescent="0.25">
      <c r="A3494" s="5">
        <v>27018</v>
      </c>
      <c r="B3494">
        <v>94.550003051757798</v>
      </c>
    </row>
    <row r="3495" spans="1:2" x14ac:dyDescent="0.25">
      <c r="A3495" s="5">
        <v>27019</v>
      </c>
      <c r="B3495">
        <v>93.540000915527301</v>
      </c>
    </row>
    <row r="3496" spans="1:2" x14ac:dyDescent="0.25">
      <c r="A3496" s="5">
        <v>27022</v>
      </c>
      <c r="B3496">
        <v>92.900001525878906</v>
      </c>
    </row>
    <row r="3497" spans="1:2" x14ac:dyDescent="0.25">
      <c r="A3497" s="5">
        <v>27024</v>
      </c>
      <c r="B3497">
        <v>95.739997863769503</v>
      </c>
    </row>
    <row r="3498" spans="1:2" x14ac:dyDescent="0.25">
      <c r="A3498" s="5">
        <v>27025</v>
      </c>
      <c r="B3498">
        <v>97.739997863769503</v>
      </c>
    </row>
    <row r="3499" spans="1:2" x14ac:dyDescent="0.25">
      <c r="A3499" s="5">
        <v>27026</v>
      </c>
      <c r="B3499">
        <v>97.540000915527301</v>
      </c>
    </row>
    <row r="3500" spans="1:2" x14ac:dyDescent="0.25">
      <c r="A3500" s="5">
        <v>27029</v>
      </c>
      <c r="B3500">
        <v>97.550003051757798</v>
      </c>
    </row>
    <row r="3501" spans="1:2" x14ac:dyDescent="0.25">
      <c r="A3501" s="5">
        <v>27031</v>
      </c>
      <c r="B3501">
        <v>97.680000305175795</v>
      </c>
    </row>
    <row r="3502" spans="1:2" x14ac:dyDescent="0.25">
      <c r="A3502" s="5">
        <v>27032</v>
      </c>
      <c r="B3502">
        <v>99.800003051757798</v>
      </c>
    </row>
    <row r="3503" spans="1:2" x14ac:dyDescent="0.25">
      <c r="A3503" s="5">
        <v>27033</v>
      </c>
      <c r="B3503">
        <v>98.900001525878906</v>
      </c>
    </row>
    <row r="3504" spans="1:2" x14ac:dyDescent="0.25">
      <c r="A3504" s="5">
        <v>27036</v>
      </c>
      <c r="B3504">
        <v>98.069999694824205</v>
      </c>
    </row>
    <row r="3505" spans="1:2" x14ac:dyDescent="0.25">
      <c r="A3505" s="5">
        <v>27037</v>
      </c>
      <c r="B3505">
        <v>96.120002746582003</v>
      </c>
    </row>
    <row r="3506" spans="1:2" x14ac:dyDescent="0.25">
      <c r="A3506" s="5">
        <v>27038</v>
      </c>
      <c r="B3506">
        <v>93.419998168945298</v>
      </c>
    </row>
    <row r="3507" spans="1:2" x14ac:dyDescent="0.25">
      <c r="A3507" s="5">
        <v>27039</v>
      </c>
      <c r="B3507">
        <v>92.389999389648395</v>
      </c>
    </row>
    <row r="3508" spans="1:2" x14ac:dyDescent="0.25">
      <c r="A3508" s="5">
        <v>27040</v>
      </c>
      <c r="B3508">
        <v>93.660003662109403</v>
      </c>
    </row>
    <row r="3509" spans="1:2" x14ac:dyDescent="0.25">
      <c r="A3509" s="5">
        <v>27043</v>
      </c>
      <c r="B3509">
        <v>93.419998168945298</v>
      </c>
    </row>
    <row r="3510" spans="1:2" x14ac:dyDescent="0.25">
      <c r="A3510" s="5">
        <v>27044</v>
      </c>
      <c r="B3510">
        <v>94.230003356933594</v>
      </c>
    </row>
    <row r="3511" spans="1:2" x14ac:dyDescent="0.25">
      <c r="A3511" s="5">
        <v>27045</v>
      </c>
      <c r="B3511">
        <v>95.669998168945298</v>
      </c>
    </row>
    <row r="3512" spans="1:2" x14ac:dyDescent="0.25">
      <c r="A3512" s="5">
        <v>27046</v>
      </c>
      <c r="B3512">
        <v>97.300003051757798</v>
      </c>
    </row>
    <row r="3513" spans="1:2" x14ac:dyDescent="0.25">
      <c r="A3513" s="5">
        <v>27047</v>
      </c>
      <c r="B3513">
        <v>95.559997558593807</v>
      </c>
    </row>
    <row r="3514" spans="1:2" x14ac:dyDescent="0.25">
      <c r="A3514" s="5">
        <v>27050</v>
      </c>
      <c r="B3514">
        <v>95.400001525878906</v>
      </c>
    </row>
    <row r="3515" spans="1:2" x14ac:dyDescent="0.25">
      <c r="A3515" s="5">
        <v>27051</v>
      </c>
      <c r="B3515">
        <v>96.550003051757798</v>
      </c>
    </row>
    <row r="3516" spans="1:2" x14ac:dyDescent="0.25">
      <c r="A3516" s="5">
        <v>27052</v>
      </c>
      <c r="B3516">
        <v>97.069999694824205</v>
      </c>
    </row>
    <row r="3517" spans="1:2" x14ac:dyDescent="0.25">
      <c r="A3517" s="5">
        <v>27053</v>
      </c>
      <c r="B3517">
        <v>96.819999694824205</v>
      </c>
    </row>
    <row r="3518" spans="1:2" x14ac:dyDescent="0.25">
      <c r="A3518" s="5">
        <v>27054</v>
      </c>
      <c r="B3518">
        <v>96.629997253417997</v>
      </c>
    </row>
    <row r="3519" spans="1:2" x14ac:dyDescent="0.25">
      <c r="A3519" s="5">
        <v>27057</v>
      </c>
      <c r="B3519">
        <v>96.089996337890597</v>
      </c>
    </row>
    <row r="3520" spans="1:2" x14ac:dyDescent="0.25">
      <c r="A3520" s="5">
        <v>27058</v>
      </c>
      <c r="B3520">
        <v>96.010002136230497</v>
      </c>
    </row>
    <row r="3521" spans="1:2" x14ac:dyDescent="0.25">
      <c r="A3521" s="5">
        <v>27059</v>
      </c>
      <c r="B3521">
        <v>97.059997558593807</v>
      </c>
    </row>
    <row r="3522" spans="1:2" x14ac:dyDescent="0.25">
      <c r="A3522" s="5">
        <v>27060</v>
      </c>
      <c r="B3522">
        <v>96.569999694824205</v>
      </c>
    </row>
    <row r="3523" spans="1:2" x14ac:dyDescent="0.25">
      <c r="A3523" s="5">
        <v>27061</v>
      </c>
      <c r="B3523">
        <v>95.319999694824205</v>
      </c>
    </row>
    <row r="3524" spans="1:2" x14ac:dyDescent="0.25">
      <c r="A3524" s="5">
        <v>27064</v>
      </c>
      <c r="B3524">
        <v>93.290000915527301</v>
      </c>
    </row>
    <row r="3525" spans="1:2" x14ac:dyDescent="0.25">
      <c r="A3525" s="5">
        <v>27065</v>
      </c>
      <c r="B3525">
        <v>93</v>
      </c>
    </row>
    <row r="3526" spans="1:2" x14ac:dyDescent="0.25">
      <c r="A3526" s="5">
        <v>27066</v>
      </c>
      <c r="B3526">
        <v>93.260002136230497</v>
      </c>
    </row>
    <row r="3527" spans="1:2" x14ac:dyDescent="0.25">
      <c r="A3527" s="5">
        <v>27067</v>
      </c>
      <c r="B3527">
        <v>93.300003051757798</v>
      </c>
    </row>
    <row r="3528" spans="1:2" x14ac:dyDescent="0.25">
      <c r="A3528" s="5">
        <v>27068</v>
      </c>
      <c r="B3528">
        <v>92.330001831054702</v>
      </c>
    </row>
    <row r="3529" spans="1:2" x14ac:dyDescent="0.25">
      <c r="A3529" s="5">
        <v>27071</v>
      </c>
      <c r="B3529">
        <v>90.660003662109403</v>
      </c>
    </row>
    <row r="3530" spans="1:2" x14ac:dyDescent="0.25">
      <c r="A3530" s="5">
        <v>27072</v>
      </c>
      <c r="B3530">
        <v>90.940002441406193</v>
      </c>
    </row>
    <row r="3531" spans="1:2" x14ac:dyDescent="0.25">
      <c r="A3531" s="5">
        <v>27073</v>
      </c>
      <c r="B3531">
        <v>90.980003356933594</v>
      </c>
    </row>
    <row r="3532" spans="1:2" x14ac:dyDescent="0.25">
      <c r="A3532" s="5">
        <v>27074</v>
      </c>
      <c r="B3532">
        <v>90.949996948242202</v>
      </c>
    </row>
    <row r="3533" spans="1:2" x14ac:dyDescent="0.25">
      <c r="A3533" s="5">
        <v>27075</v>
      </c>
      <c r="B3533">
        <v>92.269996643066406</v>
      </c>
    </row>
    <row r="3534" spans="1:2" x14ac:dyDescent="0.25">
      <c r="A3534" s="5">
        <v>27079</v>
      </c>
      <c r="B3534">
        <v>92.120002746582003</v>
      </c>
    </row>
    <row r="3535" spans="1:2" x14ac:dyDescent="0.25">
      <c r="A3535" s="5">
        <v>27080</v>
      </c>
      <c r="B3535">
        <v>93.440002441406193</v>
      </c>
    </row>
    <row r="3536" spans="1:2" x14ac:dyDescent="0.25">
      <c r="A3536" s="5">
        <v>27081</v>
      </c>
      <c r="B3536">
        <v>94.709999084472699</v>
      </c>
    </row>
    <row r="3537" spans="1:2" x14ac:dyDescent="0.25">
      <c r="A3537" s="5">
        <v>27082</v>
      </c>
      <c r="B3537">
        <v>95.389999389648395</v>
      </c>
    </row>
    <row r="3538" spans="1:2" x14ac:dyDescent="0.25">
      <c r="A3538" s="5">
        <v>27085</v>
      </c>
      <c r="B3538">
        <v>95.029998779296903</v>
      </c>
    </row>
    <row r="3539" spans="1:2" x14ac:dyDescent="0.25">
      <c r="A3539" s="5">
        <v>27086</v>
      </c>
      <c r="B3539">
        <v>96</v>
      </c>
    </row>
    <row r="3540" spans="1:2" x14ac:dyDescent="0.25">
      <c r="A3540" s="5">
        <v>27087</v>
      </c>
      <c r="B3540">
        <v>96.400001525878906</v>
      </c>
    </row>
    <row r="3541" spans="1:2" x14ac:dyDescent="0.25">
      <c r="A3541" s="5">
        <v>27088</v>
      </c>
      <c r="B3541">
        <v>96.220001220703097</v>
      </c>
    </row>
    <row r="3542" spans="1:2" x14ac:dyDescent="0.25">
      <c r="A3542" s="5">
        <v>27089</v>
      </c>
      <c r="B3542">
        <v>95.529998779296903</v>
      </c>
    </row>
    <row r="3543" spans="1:2" x14ac:dyDescent="0.25">
      <c r="A3543" s="5">
        <v>27092</v>
      </c>
      <c r="B3543">
        <v>95.529998779296903</v>
      </c>
    </row>
    <row r="3544" spans="1:2" x14ac:dyDescent="0.25">
      <c r="A3544" s="5">
        <v>27093</v>
      </c>
      <c r="B3544">
        <v>97.319999694824205</v>
      </c>
    </row>
    <row r="3545" spans="1:2" x14ac:dyDescent="0.25">
      <c r="A3545" s="5">
        <v>27094</v>
      </c>
      <c r="B3545">
        <v>97.980003356933594</v>
      </c>
    </row>
    <row r="3546" spans="1:2" x14ac:dyDescent="0.25">
      <c r="A3546" s="5">
        <v>27095</v>
      </c>
      <c r="B3546">
        <v>96.940002441406193</v>
      </c>
    </row>
    <row r="3547" spans="1:2" x14ac:dyDescent="0.25">
      <c r="A3547" s="5">
        <v>27096</v>
      </c>
      <c r="B3547">
        <v>97.779998779296903</v>
      </c>
    </row>
    <row r="3548" spans="1:2" x14ac:dyDescent="0.25">
      <c r="A3548" s="5">
        <v>27099</v>
      </c>
      <c r="B3548">
        <v>98.879997253417997</v>
      </c>
    </row>
    <row r="3549" spans="1:2" x14ac:dyDescent="0.25">
      <c r="A3549" s="5">
        <v>27100</v>
      </c>
      <c r="B3549">
        <v>99.150001525878906</v>
      </c>
    </row>
    <row r="3550" spans="1:2" x14ac:dyDescent="0.25">
      <c r="A3550" s="5">
        <v>27101</v>
      </c>
      <c r="B3550">
        <v>99.739997863769503</v>
      </c>
    </row>
    <row r="3551" spans="1:2" x14ac:dyDescent="0.25">
      <c r="A3551" s="5">
        <v>27102</v>
      </c>
      <c r="B3551">
        <v>99.650001525878906</v>
      </c>
    </row>
    <row r="3552" spans="1:2" x14ac:dyDescent="0.25">
      <c r="A3552" s="5">
        <v>27103</v>
      </c>
      <c r="B3552">
        <v>99.279998779296903</v>
      </c>
    </row>
    <row r="3553" spans="1:2" x14ac:dyDescent="0.25">
      <c r="A3553" s="5">
        <v>27106</v>
      </c>
      <c r="B3553">
        <v>98.050003051757798</v>
      </c>
    </row>
    <row r="3554" spans="1:2" x14ac:dyDescent="0.25">
      <c r="A3554" s="5">
        <v>27107</v>
      </c>
      <c r="B3554">
        <v>97.230003356933594</v>
      </c>
    </row>
    <row r="3555" spans="1:2" x14ac:dyDescent="0.25">
      <c r="A3555" s="5">
        <v>27108</v>
      </c>
      <c r="B3555">
        <v>97.569999694824205</v>
      </c>
    </row>
    <row r="3556" spans="1:2" x14ac:dyDescent="0.25">
      <c r="A3556" s="5">
        <v>27109</v>
      </c>
      <c r="B3556">
        <v>97.339996337890597</v>
      </c>
    </row>
    <row r="3557" spans="1:2" x14ac:dyDescent="0.25">
      <c r="A3557" s="5">
        <v>27110</v>
      </c>
      <c r="B3557">
        <v>97.269996643066406</v>
      </c>
    </row>
    <row r="3558" spans="1:2" x14ac:dyDescent="0.25">
      <c r="A3558" s="5">
        <v>27113</v>
      </c>
      <c r="B3558">
        <v>97.639999389648395</v>
      </c>
    </row>
    <row r="3559" spans="1:2" x14ac:dyDescent="0.25">
      <c r="A3559" s="5">
        <v>27114</v>
      </c>
      <c r="B3559">
        <v>97.949996948242202</v>
      </c>
    </row>
    <row r="3560" spans="1:2" x14ac:dyDescent="0.25">
      <c r="A3560" s="5">
        <v>27115</v>
      </c>
      <c r="B3560">
        <v>96.589996337890597</v>
      </c>
    </row>
    <row r="3561" spans="1:2" x14ac:dyDescent="0.25">
      <c r="A3561" s="5">
        <v>27116</v>
      </c>
      <c r="B3561">
        <v>94.819999694824205</v>
      </c>
    </row>
    <row r="3562" spans="1:2" x14ac:dyDescent="0.25">
      <c r="A3562" s="5">
        <v>27117</v>
      </c>
      <c r="B3562">
        <v>93.980003356933594</v>
      </c>
    </row>
    <row r="3563" spans="1:2" x14ac:dyDescent="0.25">
      <c r="A3563" s="5">
        <v>27120</v>
      </c>
      <c r="B3563">
        <v>93.25</v>
      </c>
    </row>
    <row r="3564" spans="1:2" x14ac:dyDescent="0.25">
      <c r="A3564" s="5">
        <v>27121</v>
      </c>
      <c r="B3564">
        <v>93.349998474121094</v>
      </c>
    </row>
    <row r="3565" spans="1:2" x14ac:dyDescent="0.25">
      <c r="A3565" s="5">
        <v>27122</v>
      </c>
      <c r="B3565">
        <v>94.330001831054702</v>
      </c>
    </row>
    <row r="3566" spans="1:2" x14ac:dyDescent="0.25">
      <c r="A3566" s="5">
        <v>27123</v>
      </c>
      <c r="B3566">
        <v>94.330001831054702</v>
      </c>
    </row>
    <row r="3567" spans="1:2" x14ac:dyDescent="0.25">
      <c r="A3567" s="5">
        <v>27124</v>
      </c>
      <c r="B3567">
        <v>93.010002136230497</v>
      </c>
    </row>
    <row r="3568" spans="1:2" x14ac:dyDescent="0.25">
      <c r="A3568" s="5">
        <v>27127</v>
      </c>
      <c r="B3568">
        <v>92.029998779296903</v>
      </c>
    </row>
    <row r="3569" spans="1:2" x14ac:dyDescent="0.25">
      <c r="A3569" s="5">
        <v>27128</v>
      </c>
      <c r="B3569">
        <v>92.610000610351605</v>
      </c>
    </row>
    <row r="3570" spans="1:2" x14ac:dyDescent="0.25">
      <c r="A3570" s="5">
        <v>27129</v>
      </c>
      <c r="B3570">
        <v>92.400001525878906</v>
      </c>
    </row>
    <row r="3571" spans="1:2" x14ac:dyDescent="0.25">
      <c r="A3571" s="5">
        <v>27130</v>
      </c>
      <c r="B3571">
        <v>92.120002746582003</v>
      </c>
    </row>
    <row r="3572" spans="1:2" x14ac:dyDescent="0.25">
      <c r="A3572" s="5">
        <v>27134</v>
      </c>
      <c r="B3572">
        <v>92.050003051757798</v>
      </c>
    </row>
    <row r="3573" spans="1:2" x14ac:dyDescent="0.25">
      <c r="A3573" s="5">
        <v>27135</v>
      </c>
      <c r="B3573">
        <v>93.660003662109403</v>
      </c>
    </row>
    <row r="3574" spans="1:2" x14ac:dyDescent="0.25">
      <c r="A3574" s="5">
        <v>27136</v>
      </c>
      <c r="B3574">
        <v>94.360000610351605</v>
      </c>
    </row>
    <row r="3575" spans="1:2" x14ac:dyDescent="0.25">
      <c r="A3575" s="5">
        <v>27137</v>
      </c>
      <c r="B3575">
        <v>94.779998779296903</v>
      </c>
    </row>
    <row r="3576" spans="1:2" x14ac:dyDescent="0.25">
      <c r="A3576" s="5">
        <v>27138</v>
      </c>
      <c r="B3576">
        <v>93.75</v>
      </c>
    </row>
    <row r="3577" spans="1:2" x14ac:dyDescent="0.25">
      <c r="A3577" s="5">
        <v>27141</v>
      </c>
      <c r="B3577">
        <v>93.379997253417997</v>
      </c>
    </row>
    <row r="3578" spans="1:2" x14ac:dyDescent="0.25">
      <c r="A3578" s="5">
        <v>27142</v>
      </c>
      <c r="B3578">
        <v>91.809997558593807</v>
      </c>
    </row>
    <row r="3579" spans="1:2" x14ac:dyDescent="0.25">
      <c r="A3579" s="5">
        <v>27143</v>
      </c>
      <c r="B3579">
        <v>90.300003051757798</v>
      </c>
    </row>
    <row r="3580" spans="1:2" x14ac:dyDescent="0.25">
      <c r="A3580" s="5">
        <v>27144</v>
      </c>
      <c r="B3580">
        <v>89.569999694824205</v>
      </c>
    </row>
    <row r="3581" spans="1:2" x14ac:dyDescent="0.25">
      <c r="A3581" s="5">
        <v>27145</v>
      </c>
      <c r="B3581">
        <v>90.180000305175795</v>
      </c>
    </row>
    <row r="3582" spans="1:2" x14ac:dyDescent="0.25">
      <c r="A3582" s="5">
        <v>27148</v>
      </c>
      <c r="B3582">
        <v>90</v>
      </c>
    </row>
    <row r="3583" spans="1:2" x14ac:dyDescent="0.25">
      <c r="A3583" s="5">
        <v>27149</v>
      </c>
      <c r="B3583">
        <v>90.309997558593807</v>
      </c>
    </row>
    <row r="3584" spans="1:2" x14ac:dyDescent="0.25">
      <c r="A3584" s="5">
        <v>27150</v>
      </c>
      <c r="B3584">
        <v>92.220001220703097</v>
      </c>
    </row>
    <row r="3585" spans="1:2" x14ac:dyDescent="0.25">
      <c r="A3585" s="5">
        <v>27151</v>
      </c>
      <c r="B3585">
        <v>92.089996337890597</v>
      </c>
    </row>
    <row r="3586" spans="1:2" x14ac:dyDescent="0.25">
      <c r="A3586" s="5">
        <v>27152</v>
      </c>
      <c r="B3586">
        <v>91.290000915527301</v>
      </c>
    </row>
    <row r="3587" spans="1:2" x14ac:dyDescent="0.25">
      <c r="A3587" s="5">
        <v>27155</v>
      </c>
      <c r="B3587">
        <v>91.120002746582003</v>
      </c>
    </row>
    <row r="3588" spans="1:2" x14ac:dyDescent="0.25">
      <c r="A3588" s="5">
        <v>27156</v>
      </c>
      <c r="B3588">
        <v>91.459999084472699</v>
      </c>
    </row>
    <row r="3589" spans="1:2" x14ac:dyDescent="0.25">
      <c r="A3589" s="5">
        <v>27157</v>
      </c>
      <c r="B3589">
        <v>91.639999389648395</v>
      </c>
    </row>
    <row r="3590" spans="1:2" x14ac:dyDescent="0.25">
      <c r="A3590" s="5">
        <v>27158</v>
      </c>
      <c r="B3590">
        <v>92.959999084472699</v>
      </c>
    </row>
    <row r="3591" spans="1:2" x14ac:dyDescent="0.25">
      <c r="A3591" s="5">
        <v>27159</v>
      </c>
      <c r="B3591">
        <v>91.470001220703097</v>
      </c>
    </row>
    <row r="3592" spans="1:2" x14ac:dyDescent="0.25">
      <c r="A3592" s="5">
        <v>27162</v>
      </c>
      <c r="B3592">
        <v>90.660003662109403</v>
      </c>
    </row>
    <row r="3593" spans="1:2" x14ac:dyDescent="0.25">
      <c r="A3593" s="5">
        <v>27163</v>
      </c>
      <c r="B3593">
        <v>90.690002441406193</v>
      </c>
    </row>
    <row r="3594" spans="1:2" x14ac:dyDescent="0.25">
      <c r="A3594" s="5">
        <v>27164</v>
      </c>
      <c r="B3594">
        <v>90.449996948242202</v>
      </c>
    </row>
    <row r="3595" spans="1:2" x14ac:dyDescent="0.25">
      <c r="A3595" s="5">
        <v>27165</v>
      </c>
      <c r="B3595">
        <v>89.720001220703097</v>
      </c>
    </row>
    <row r="3596" spans="1:2" x14ac:dyDescent="0.25">
      <c r="A3596" s="5">
        <v>27166</v>
      </c>
      <c r="B3596">
        <v>88.209999084472699</v>
      </c>
    </row>
    <row r="3597" spans="1:2" x14ac:dyDescent="0.25">
      <c r="A3597" s="5">
        <v>27169</v>
      </c>
      <c r="B3597">
        <v>87.860000610351605</v>
      </c>
    </row>
    <row r="3598" spans="1:2" x14ac:dyDescent="0.25">
      <c r="A3598" s="5">
        <v>27170</v>
      </c>
      <c r="B3598">
        <v>87.910003662109403</v>
      </c>
    </row>
    <row r="3599" spans="1:2" x14ac:dyDescent="0.25">
      <c r="A3599" s="5">
        <v>27171</v>
      </c>
      <c r="B3599">
        <v>87.089996337890597</v>
      </c>
    </row>
    <row r="3600" spans="1:2" x14ac:dyDescent="0.25">
      <c r="A3600" s="5">
        <v>27172</v>
      </c>
      <c r="B3600">
        <v>87.290000915527301</v>
      </c>
    </row>
    <row r="3601" spans="1:2" x14ac:dyDescent="0.25">
      <c r="A3601" s="5">
        <v>27173</v>
      </c>
      <c r="B3601">
        <v>88.580001831054702</v>
      </c>
    </row>
    <row r="3602" spans="1:2" x14ac:dyDescent="0.25">
      <c r="A3602" s="5">
        <v>27177</v>
      </c>
      <c r="B3602">
        <v>88.370002746582003</v>
      </c>
    </row>
    <row r="3603" spans="1:2" x14ac:dyDescent="0.25">
      <c r="A3603" s="5">
        <v>27178</v>
      </c>
      <c r="B3603">
        <v>86.889999389648395</v>
      </c>
    </row>
    <row r="3604" spans="1:2" x14ac:dyDescent="0.25">
      <c r="A3604" s="5">
        <v>27179</v>
      </c>
      <c r="B3604">
        <v>87.430000305175795</v>
      </c>
    </row>
    <row r="3605" spans="1:2" x14ac:dyDescent="0.25">
      <c r="A3605" s="5">
        <v>27180</v>
      </c>
      <c r="B3605">
        <v>87.279998779296903</v>
      </c>
    </row>
    <row r="3606" spans="1:2" x14ac:dyDescent="0.25">
      <c r="A3606" s="5">
        <v>27183</v>
      </c>
      <c r="B3606">
        <v>89.099998474121094</v>
      </c>
    </row>
    <row r="3607" spans="1:2" x14ac:dyDescent="0.25">
      <c r="A3607" s="5">
        <v>27184</v>
      </c>
      <c r="B3607">
        <v>90.139999389648395</v>
      </c>
    </row>
    <row r="3608" spans="1:2" x14ac:dyDescent="0.25">
      <c r="A3608" s="5">
        <v>27185</v>
      </c>
      <c r="B3608">
        <v>90.309997558593807</v>
      </c>
    </row>
    <row r="3609" spans="1:2" x14ac:dyDescent="0.25">
      <c r="A3609" s="5">
        <v>27186</v>
      </c>
      <c r="B3609">
        <v>91.959999084472699</v>
      </c>
    </row>
    <row r="3610" spans="1:2" x14ac:dyDescent="0.25">
      <c r="A3610" s="5">
        <v>27187</v>
      </c>
      <c r="B3610">
        <v>92.550003051757798</v>
      </c>
    </row>
    <row r="3611" spans="1:2" x14ac:dyDescent="0.25">
      <c r="A3611" s="5">
        <v>27190</v>
      </c>
      <c r="B3611">
        <v>93.099998474121094</v>
      </c>
    </row>
    <row r="3612" spans="1:2" x14ac:dyDescent="0.25">
      <c r="A3612" s="5">
        <v>27191</v>
      </c>
      <c r="B3612">
        <v>92.279998779296903</v>
      </c>
    </row>
    <row r="3613" spans="1:2" x14ac:dyDescent="0.25">
      <c r="A3613" s="5">
        <v>27192</v>
      </c>
      <c r="B3613">
        <v>92.059997558593807</v>
      </c>
    </row>
    <row r="3614" spans="1:2" x14ac:dyDescent="0.25">
      <c r="A3614" s="5">
        <v>27193</v>
      </c>
      <c r="B3614">
        <v>92.339996337890597</v>
      </c>
    </row>
    <row r="3615" spans="1:2" x14ac:dyDescent="0.25">
      <c r="A3615" s="5">
        <v>27194</v>
      </c>
      <c r="B3615">
        <v>91.300003051757798</v>
      </c>
    </row>
    <row r="3616" spans="1:2" x14ac:dyDescent="0.25">
      <c r="A3616" s="5">
        <v>27197</v>
      </c>
      <c r="B3616">
        <v>90.040000915527301</v>
      </c>
    </row>
    <row r="3617" spans="1:2" x14ac:dyDescent="0.25">
      <c r="A3617" s="5">
        <v>27198</v>
      </c>
      <c r="B3617">
        <v>89.449996948242202</v>
      </c>
    </row>
    <row r="3618" spans="1:2" x14ac:dyDescent="0.25">
      <c r="A3618" s="5">
        <v>27199</v>
      </c>
      <c r="B3618">
        <v>88.839996337890597</v>
      </c>
    </row>
    <row r="3619" spans="1:2" x14ac:dyDescent="0.25">
      <c r="A3619" s="5">
        <v>27200</v>
      </c>
      <c r="B3619">
        <v>88.209999084472699</v>
      </c>
    </row>
    <row r="3620" spans="1:2" x14ac:dyDescent="0.25">
      <c r="A3620" s="5">
        <v>27201</v>
      </c>
      <c r="B3620">
        <v>87.459999084472699</v>
      </c>
    </row>
    <row r="3621" spans="1:2" x14ac:dyDescent="0.25">
      <c r="A3621" s="5">
        <v>27204</v>
      </c>
      <c r="B3621">
        <v>87.690002441406193</v>
      </c>
    </row>
    <row r="3622" spans="1:2" x14ac:dyDescent="0.25">
      <c r="A3622" s="5">
        <v>27205</v>
      </c>
      <c r="B3622">
        <v>88.980003356933594</v>
      </c>
    </row>
    <row r="3623" spans="1:2" x14ac:dyDescent="0.25">
      <c r="A3623" s="5">
        <v>27206</v>
      </c>
      <c r="B3623">
        <v>87.610000610351605</v>
      </c>
    </row>
    <row r="3624" spans="1:2" x14ac:dyDescent="0.25">
      <c r="A3624" s="5">
        <v>27207</v>
      </c>
      <c r="B3624">
        <v>86.309997558593807</v>
      </c>
    </row>
    <row r="3625" spans="1:2" x14ac:dyDescent="0.25">
      <c r="A3625" s="5">
        <v>27208</v>
      </c>
      <c r="B3625">
        <v>86</v>
      </c>
    </row>
    <row r="3626" spans="1:2" x14ac:dyDescent="0.25">
      <c r="A3626" s="5">
        <v>27211</v>
      </c>
      <c r="B3626">
        <v>86.019996643066406</v>
      </c>
    </row>
    <row r="3627" spans="1:2" x14ac:dyDescent="0.25">
      <c r="A3627" s="5">
        <v>27212</v>
      </c>
      <c r="B3627">
        <v>84.300003051757798</v>
      </c>
    </row>
    <row r="3628" spans="1:2" x14ac:dyDescent="0.25">
      <c r="A3628" s="5">
        <v>27213</v>
      </c>
      <c r="B3628">
        <v>84.25</v>
      </c>
    </row>
    <row r="3629" spans="1:2" x14ac:dyDescent="0.25">
      <c r="A3629" s="5">
        <v>27215</v>
      </c>
      <c r="B3629">
        <v>83.660003662109403</v>
      </c>
    </row>
    <row r="3630" spans="1:2" x14ac:dyDescent="0.25">
      <c r="A3630" s="5">
        <v>27218</v>
      </c>
      <c r="B3630">
        <v>81.089996337890597</v>
      </c>
    </row>
    <row r="3631" spans="1:2" x14ac:dyDescent="0.25">
      <c r="A3631" s="5">
        <v>27219</v>
      </c>
      <c r="B3631">
        <v>81.480003356933594</v>
      </c>
    </row>
    <row r="3632" spans="1:2" x14ac:dyDescent="0.25">
      <c r="A3632" s="5">
        <v>27220</v>
      </c>
      <c r="B3632">
        <v>79.989997863769503</v>
      </c>
    </row>
    <row r="3633" spans="1:2" x14ac:dyDescent="0.25">
      <c r="A3633" s="5">
        <v>27221</v>
      </c>
      <c r="B3633">
        <v>79.889999389648395</v>
      </c>
    </row>
    <row r="3634" spans="1:2" x14ac:dyDescent="0.25">
      <c r="A3634" s="5">
        <v>27222</v>
      </c>
      <c r="B3634">
        <v>83.150001525878906</v>
      </c>
    </row>
    <row r="3635" spans="1:2" x14ac:dyDescent="0.25">
      <c r="A3635" s="5">
        <v>27225</v>
      </c>
      <c r="B3635">
        <v>83.779998779296903</v>
      </c>
    </row>
    <row r="3636" spans="1:2" x14ac:dyDescent="0.25">
      <c r="A3636" s="5">
        <v>27226</v>
      </c>
      <c r="B3636">
        <v>82.809997558593807</v>
      </c>
    </row>
    <row r="3637" spans="1:2" x14ac:dyDescent="0.25">
      <c r="A3637" s="5">
        <v>27227</v>
      </c>
      <c r="B3637">
        <v>83.699996948242202</v>
      </c>
    </row>
    <row r="3638" spans="1:2" x14ac:dyDescent="0.25">
      <c r="A3638" s="5">
        <v>27228</v>
      </c>
      <c r="B3638">
        <v>83.779998779296903</v>
      </c>
    </row>
    <row r="3639" spans="1:2" x14ac:dyDescent="0.25">
      <c r="A3639" s="5">
        <v>27229</v>
      </c>
      <c r="B3639">
        <v>83.540000915527301</v>
      </c>
    </row>
    <row r="3640" spans="1:2" x14ac:dyDescent="0.25">
      <c r="A3640" s="5">
        <v>27232</v>
      </c>
      <c r="B3640">
        <v>83.809997558593807</v>
      </c>
    </row>
    <row r="3641" spans="1:2" x14ac:dyDescent="0.25">
      <c r="A3641" s="5">
        <v>27233</v>
      </c>
      <c r="B3641">
        <v>84.650001525878906</v>
      </c>
    </row>
    <row r="3642" spans="1:2" x14ac:dyDescent="0.25">
      <c r="A3642" s="5">
        <v>27234</v>
      </c>
      <c r="B3642">
        <v>84.989997863769503</v>
      </c>
    </row>
    <row r="3643" spans="1:2" x14ac:dyDescent="0.25">
      <c r="A3643" s="5">
        <v>27235</v>
      </c>
      <c r="B3643">
        <v>83.980003356933594</v>
      </c>
    </row>
    <row r="3644" spans="1:2" x14ac:dyDescent="0.25">
      <c r="A3644" s="5">
        <v>27236</v>
      </c>
      <c r="B3644">
        <v>82.400001525878906</v>
      </c>
    </row>
    <row r="3645" spans="1:2" x14ac:dyDescent="0.25">
      <c r="A3645" s="5">
        <v>27239</v>
      </c>
      <c r="B3645">
        <v>80.940002441406193</v>
      </c>
    </row>
    <row r="3646" spans="1:2" x14ac:dyDescent="0.25">
      <c r="A3646" s="5">
        <v>27240</v>
      </c>
      <c r="B3646">
        <v>80.5</v>
      </c>
    </row>
    <row r="3647" spans="1:2" x14ac:dyDescent="0.25">
      <c r="A3647" s="5">
        <v>27241</v>
      </c>
      <c r="B3647">
        <v>79.309997558593807</v>
      </c>
    </row>
    <row r="3648" spans="1:2" x14ac:dyDescent="0.25">
      <c r="A3648" s="5">
        <v>27242</v>
      </c>
      <c r="B3648">
        <v>78.75</v>
      </c>
    </row>
    <row r="3649" spans="1:2" x14ac:dyDescent="0.25">
      <c r="A3649" s="5">
        <v>27243</v>
      </c>
      <c r="B3649">
        <v>78.589996337890597</v>
      </c>
    </row>
    <row r="3650" spans="1:2" x14ac:dyDescent="0.25">
      <c r="A3650" s="5">
        <v>27246</v>
      </c>
      <c r="B3650">
        <v>79.290000915527301</v>
      </c>
    </row>
    <row r="3651" spans="1:2" x14ac:dyDescent="0.25">
      <c r="A3651" s="5">
        <v>27247</v>
      </c>
      <c r="B3651">
        <v>80.519996643066406</v>
      </c>
    </row>
    <row r="3652" spans="1:2" x14ac:dyDescent="0.25">
      <c r="A3652" s="5">
        <v>27248</v>
      </c>
      <c r="B3652">
        <v>82.650001525878906</v>
      </c>
    </row>
    <row r="3653" spans="1:2" x14ac:dyDescent="0.25">
      <c r="A3653" s="5">
        <v>27249</v>
      </c>
      <c r="B3653">
        <v>81.569999694824205</v>
      </c>
    </row>
    <row r="3654" spans="1:2" x14ac:dyDescent="0.25">
      <c r="A3654" s="5">
        <v>27250</v>
      </c>
      <c r="B3654">
        <v>80.860000610351605</v>
      </c>
    </row>
    <row r="3655" spans="1:2" x14ac:dyDescent="0.25">
      <c r="A3655" s="5">
        <v>27253</v>
      </c>
      <c r="B3655">
        <v>79.75</v>
      </c>
    </row>
    <row r="3656" spans="1:2" x14ac:dyDescent="0.25">
      <c r="A3656" s="5">
        <v>27254</v>
      </c>
      <c r="B3656">
        <v>78.489997863769503</v>
      </c>
    </row>
    <row r="3657" spans="1:2" x14ac:dyDescent="0.25">
      <c r="A3657" s="5">
        <v>27255</v>
      </c>
      <c r="B3657">
        <v>76.730003356933594</v>
      </c>
    </row>
    <row r="3658" spans="1:2" x14ac:dyDescent="0.25">
      <c r="A3658" s="5">
        <v>27256</v>
      </c>
      <c r="B3658">
        <v>76.300003051757798</v>
      </c>
    </row>
    <row r="3659" spans="1:2" x14ac:dyDescent="0.25">
      <c r="A3659" s="5">
        <v>27257</v>
      </c>
      <c r="B3659">
        <v>75.669998168945298</v>
      </c>
    </row>
    <row r="3660" spans="1:2" x14ac:dyDescent="0.25">
      <c r="A3660" s="5">
        <v>27260</v>
      </c>
      <c r="B3660">
        <v>74.569999694824205</v>
      </c>
    </row>
    <row r="3661" spans="1:2" x14ac:dyDescent="0.25">
      <c r="A3661" s="5">
        <v>27261</v>
      </c>
      <c r="B3661">
        <v>74.949996948242202</v>
      </c>
    </row>
    <row r="3662" spans="1:2" x14ac:dyDescent="0.25">
      <c r="A3662" s="5">
        <v>27262</v>
      </c>
      <c r="B3662">
        <v>73.510002136230497</v>
      </c>
    </row>
    <row r="3663" spans="1:2" x14ac:dyDescent="0.25">
      <c r="A3663" s="5">
        <v>27263</v>
      </c>
      <c r="B3663">
        <v>72.800003051757798</v>
      </c>
    </row>
    <row r="3664" spans="1:2" x14ac:dyDescent="0.25">
      <c r="A3664" s="5">
        <v>27264</v>
      </c>
      <c r="B3664">
        <v>71.550003051757798</v>
      </c>
    </row>
    <row r="3665" spans="1:2" x14ac:dyDescent="0.25">
      <c r="A3665" s="5">
        <v>27267</v>
      </c>
      <c r="B3665">
        <v>72.160003662109403</v>
      </c>
    </row>
    <row r="3666" spans="1:2" x14ac:dyDescent="0.25">
      <c r="A3666" s="5">
        <v>27268</v>
      </c>
      <c r="B3666">
        <v>70.940002441406193</v>
      </c>
    </row>
    <row r="3667" spans="1:2" x14ac:dyDescent="0.25">
      <c r="A3667" s="5">
        <v>27269</v>
      </c>
      <c r="B3667">
        <v>70.760002136230497</v>
      </c>
    </row>
    <row r="3668" spans="1:2" x14ac:dyDescent="0.25">
      <c r="A3668" s="5">
        <v>27270</v>
      </c>
      <c r="B3668">
        <v>69.989997863769503</v>
      </c>
    </row>
    <row r="3669" spans="1:2" x14ac:dyDescent="0.25">
      <c r="A3669" s="5">
        <v>27271</v>
      </c>
      <c r="B3669">
        <v>72.150001525878906</v>
      </c>
    </row>
    <row r="3670" spans="1:2" x14ac:dyDescent="0.25">
      <c r="A3670" s="5">
        <v>27275</v>
      </c>
      <c r="B3670">
        <v>70.519996643066406</v>
      </c>
    </row>
    <row r="3671" spans="1:2" x14ac:dyDescent="0.25">
      <c r="A3671" s="5">
        <v>27276</v>
      </c>
      <c r="B3671">
        <v>68.690002441406193</v>
      </c>
    </row>
    <row r="3672" spans="1:2" x14ac:dyDescent="0.25">
      <c r="A3672" s="5">
        <v>27277</v>
      </c>
      <c r="B3672">
        <v>70.870002746582003</v>
      </c>
    </row>
    <row r="3673" spans="1:2" x14ac:dyDescent="0.25">
      <c r="A3673" s="5">
        <v>27278</v>
      </c>
      <c r="B3673">
        <v>71.419998168945298</v>
      </c>
    </row>
    <row r="3674" spans="1:2" x14ac:dyDescent="0.25">
      <c r="A3674" s="5">
        <v>27281</v>
      </c>
      <c r="B3674">
        <v>69.720001220703097</v>
      </c>
    </row>
    <row r="3675" spans="1:2" x14ac:dyDescent="0.25">
      <c r="A3675" s="5">
        <v>27282</v>
      </c>
      <c r="B3675">
        <v>69.239997863769503</v>
      </c>
    </row>
    <row r="3676" spans="1:2" x14ac:dyDescent="0.25">
      <c r="A3676" s="5">
        <v>27283</v>
      </c>
      <c r="B3676">
        <v>68.550003051757798</v>
      </c>
    </row>
    <row r="3677" spans="1:2" x14ac:dyDescent="0.25">
      <c r="A3677" s="5">
        <v>27284</v>
      </c>
      <c r="B3677">
        <v>66.709999084472699</v>
      </c>
    </row>
    <row r="3678" spans="1:2" x14ac:dyDescent="0.25">
      <c r="A3678" s="5">
        <v>27285</v>
      </c>
      <c r="B3678">
        <v>65.199996948242202</v>
      </c>
    </row>
    <row r="3679" spans="1:2" x14ac:dyDescent="0.25">
      <c r="A3679" s="5">
        <v>27288</v>
      </c>
      <c r="B3679">
        <v>66.260002136230497</v>
      </c>
    </row>
    <row r="3680" spans="1:2" x14ac:dyDescent="0.25">
      <c r="A3680" s="5">
        <v>27289</v>
      </c>
      <c r="B3680">
        <v>67.379997253417997</v>
      </c>
    </row>
    <row r="3681" spans="1:2" x14ac:dyDescent="0.25">
      <c r="A3681" s="5">
        <v>27290</v>
      </c>
      <c r="B3681">
        <v>67.720001220703097</v>
      </c>
    </row>
    <row r="3682" spans="1:2" x14ac:dyDescent="0.25">
      <c r="A3682" s="5">
        <v>27291</v>
      </c>
      <c r="B3682">
        <v>70.089996337890597</v>
      </c>
    </row>
    <row r="3683" spans="1:2" x14ac:dyDescent="0.25">
      <c r="A3683" s="5">
        <v>27292</v>
      </c>
      <c r="B3683">
        <v>70.139999389648395</v>
      </c>
    </row>
    <row r="3684" spans="1:2" x14ac:dyDescent="0.25">
      <c r="A3684" s="5">
        <v>27295</v>
      </c>
      <c r="B3684">
        <v>69.419998168945298</v>
      </c>
    </row>
    <row r="3685" spans="1:2" x14ac:dyDescent="0.25">
      <c r="A3685" s="5">
        <v>27296</v>
      </c>
      <c r="B3685">
        <v>68.019996643066406</v>
      </c>
    </row>
    <row r="3686" spans="1:2" x14ac:dyDescent="0.25">
      <c r="A3686" s="5">
        <v>27297</v>
      </c>
      <c r="B3686">
        <v>67.569999694824205</v>
      </c>
    </row>
    <row r="3687" spans="1:2" x14ac:dyDescent="0.25">
      <c r="A3687" s="5">
        <v>27298</v>
      </c>
      <c r="B3687">
        <v>66.459999084472699</v>
      </c>
    </row>
    <row r="3688" spans="1:2" x14ac:dyDescent="0.25">
      <c r="A3688" s="5">
        <v>27299</v>
      </c>
      <c r="B3688">
        <v>64.940002441406193</v>
      </c>
    </row>
    <row r="3689" spans="1:2" x14ac:dyDescent="0.25">
      <c r="A3689" s="5">
        <v>27302</v>
      </c>
      <c r="B3689">
        <v>63.540000915527301</v>
      </c>
    </row>
    <row r="3690" spans="1:2" x14ac:dyDescent="0.25">
      <c r="A3690" s="5">
        <v>27303</v>
      </c>
      <c r="B3690">
        <v>63.389999389648402</v>
      </c>
    </row>
    <row r="3691" spans="1:2" x14ac:dyDescent="0.25">
      <c r="A3691" s="5">
        <v>27304</v>
      </c>
      <c r="B3691">
        <v>63.380001068115199</v>
      </c>
    </row>
    <row r="3692" spans="1:2" x14ac:dyDescent="0.25">
      <c r="A3692" s="5">
        <v>27305</v>
      </c>
      <c r="B3692">
        <v>62.279998779296903</v>
      </c>
    </row>
    <row r="3693" spans="1:2" x14ac:dyDescent="0.25">
      <c r="A3693" s="5">
        <v>27306</v>
      </c>
      <c r="B3693">
        <v>62.340000152587898</v>
      </c>
    </row>
    <row r="3694" spans="1:2" x14ac:dyDescent="0.25">
      <c r="A3694" s="5">
        <v>27309</v>
      </c>
      <c r="B3694">
        <v>64.949996948242202</v>
      </c>
    </row>
    <row r="3695" spans="1:2" x14ac:dyDescent="0.25">
      <c r="A3695" s="5">
        <v>27310</v>
      </c>
      <c r="B3695">
        <v>64.839996337890597</v>
      </c>
    </row>
    <row r="3696" spans="1:2" x14ac:dyDescent="0.25">
      <c r="A3696" s="5">
        <v>27311</v>
      </c>
      <c r="B3696">
        <v>67.819999694824205</v>
      </c>
    </row>
    <row r="3697" spans="1:2" x14ac:dyDescent="0.25">
      <c r="A3697" s="5">
        <v>27312</v>
      </c>
      <c r="B3697">
        <v>69.790000915527301</v>
      </c>
    </row>
    <row r="3698" spans="1:2" x14ac:dyDescent="0.25">
      <c r="A3698" s="5">
        <v>27313</v>
      </c>
      <c r="B3698">
        <v>71.139999389648395</v>
      </c>
    </row>
    <row r="3699" spans="1:2" x14ac:dyDescent="0.25">
      <c r="A3699" s="5">
        <v>27316</v>
      </c>
      <c r="B3699">
        <v>72.739997863769503</v>
      </c>
    </row>
    <row r="3700" spans="1:2" x14ac:dyDescent="0.25">
      <c r="A3700" s="5">
        <v>27317</v>
      </c>
      <c r="B3700">
        <v>71.440002441406193</v>
      </c>
    </row>
    <row r="3701" spans="1:2" x14ac:dyDescent="0.25">
      <c r="A3701" s="5">
        <v>27318</v>
      </c>
      <c r="B3701">
        <v>70.330001831054702</v>
      </c>
    </row>
    <row r="3702" spans="1:2" x14ac:dyDescent="0.25">
      <c r="A3702" s="5">
        <v>27319</v>
      </c>
      <c r="B3702">
        <v>71.169998168945298</v>
      </c>
    </row>
    <row r="3703" spans="1:2" x14ac:dyDescent="0.25">
      <c r="A3703" s="5">
        <v>27320</v>
      </c>
      <c r="B3703">
        <v>72.279998779296903</v>
      </c>
    </row>
    <row r="3704" spans="1:2" x14ac:dyDescent="0.25">
      <c r="A3704" s="5">
        <v>27323</v>
      </c>
      <c r="B3704">
        <v>73.5</v>
      </c>
    </row>
    <row r="3705" spans="1:2" x14ac:dyDescent="0.25">
      <c r="A3705" s="5">
        <v>27324</v>
      </c>
      <c r="B3705">
        <v>73.129997253417997</v>
      </c>
    </row>
    <row r="3706" spans="1:2" x14ac:dyDescent="0.25">
      <c r="A3706" s="5">
        <v>27325</v>
      </c>
      <c r="B3706">
        <v>71.029998779296903</v>
      </c>
    </row>
    <row r="3707" spans="1:2" x14ac:dyDescent="0.25">
      <c r="A3707" s="5">
        <v>27326</v>
      </c>
      <c r="B3707">
        <v>70.220001220703097</v>
      </c>
    </row>
    <row r="3708" spans="1:2" x14ac:dyDescent="0.25">
      <c r="A3708" s="5">
        <v>27327</v>
      </c>
      <c r="B3708">
        <v>70.120002746582003</v>
      </c>
    </row>
    <row r="3709" spans="1:2" x14ac:dyDescent="0.25">
      <c r="A3709" s="5">
        <v>27330</v>
      </c>
      <c r="B3709">
        <v>70.089996337890597</v>
      </c>
    </row>
    <row r="3710" spans="1:2" x14ac:dyDescent="0.25">
      <c r="A3710" s="5">
        <v>27331</v>
      </c>
      <c r="B3710">
        <v>72.830001831054702</v>
      </c>
    </row>
    <row r="3711" spans="1:2" x14ac:dyDescent="0.25">
      <c r="A3711" s="5">
        <v>27332</v>
      </c>
      <c r="B3711">
        <v>74.309997558593807</v>
      </c>
    </row>
    <row r="3712" spans="1:2" x14ac:dyDescent="0.25">
      <c r="A3712" s="5">
        <v>27333</v>
      </c>
      <c r="B3712">
        <v>73.900001525878906</v>
      </c>
    </row>
    <row r="3713" spans="1:2" x14ac:dyDescent="0.25">
      <c r="A3713" s="5">
        <v>27334</v>
      </c>
      <c r="B3713">
        <v>73.879997253417997</v>
      </c>
    </row>
    <row r="3714" spans="1:2" x14ac:dyDescent="0.25">
      <c r="A3714" s="5">
        <v>27337</v>
      </c>
      <c r="B3714">
        <v>73.080001831054702</v>
      </c>
    </row>
    <row r="3715" spans="1:2" x14ac:dyDescent="0.25">
      <c r="A3715" s="5">
        <v>27338</v>
      </c>
      <c r="B3715">
        <v>75.110000610351605</v>
      </c>
    </row>
    <row r="3716" spans="1:2" x14ac:dyDescent="0.25">
      <c r="A3716" s="5">
        <v>27339</v>
      </c>
      <c r="B3716">
        <v>74.75</v>
      </c>
    </row>
    <row r="3717" spans="1:2" x14ac:dyDescent="0.25">
      <c r="A3717" s="5">
        <v>27340</v>
      </c>
      <c r="B3717">
        <v>75.209999084472699</v>
      </c>
    </row>
    <row r="3718" spans="1:2" x14ac:dyDescent="0.25">
      <c r="A3718" s="5">
        <v>27341</v>
      </c>
      <c r="B3718">
        <v>74.910003662109403</v>
      </c>
    </row>
    <row r="3719" spans="1:2" x14ac:dyDescent="0.25">
      <c r="A3719" s="5">
        <v>27344</v>
      </c>
      <c r="B3719">
        <v>75.150001525878906</v>
      </c>
    </row>
    <row r="3720" spans="1:2" x14ac:dyDescent="0.25">
      <c r="A3720" s="5">
        <v>27345</v>
      </c>
      <c r="B3720">
        <v>73.669998168945298</v>
      </c>
    </row>
    <row r="3721" spans="1:2" x14ac:dyDescent="0.25">
      <c r="A3721" s="5">
        <v>27346</v>
      </c>
      <c r="B3721">
        <v>73.349998474121094</v>
      </c>
    </row>
    <row r="3722" spans="1:2" x14ac:dyDescent="0.25">
      <c r="A3722" s="5">
        <v>27347</v>
      </c>
      <c r="B3722">
        <v>73.059997558593807</v>
      </c>
    </row>
    <row r="3723" spans="1:2" x14ac:dyDescent="0.25">
      <c r="A3723" s="5">
        <v>27348</v>
      </c>
      <c r="B3723">
        <v>71.910003662109403</v>
      </c>
    </row>
    <row r="3724" spans="1:2" x14ac:dyDescent="0.25">
      <c r="A3724" s="5">
        <v>27351</v>
      </c>
      <c r="B3724">
        <v>69.269996643066406</v>
      </c>
    </row>
    <row r="3725" spans="1:2" x14ac:dyDescent="0.25">
      <c r="A3725" s="5">
        <v>27352</v>
      </c>
      <c r="B3725">
        <v>68.199996948242202</v>
      </c>
    </row>
    <row r="3726" spans="1:2" x14ac:dyDescent="0.25">
      <c r="A3726" s="5">
        <v>27353</v>
      </c>
      <c r="B3726">
        <v>67.900001525878906</v>
      </c>
    </row>
    <row r="3727" spans="1:2" x14ac:dyDescent="0.25">
      <c r="A3727" s="5">
        <v>27354</v>
      </c>
      <c r="B3727">
        <v>68.180000305175795</v>
      </c>
    </row>
    <row r="3728" spans="1:2" x14ac:dyDescent="0.25">
      <c r="A3728" s="5">
        <v>27355</v>
      </c>
      <c r="B3728">
        <v>68.900001525878906</v>
      </c>
    </row>
    <row r="3729" spans="1:2" x14ac:dyDescent="0.25">
      <c r="A3729" s="5">
        <v>27358</v>
      </c>
      <c r="B3729">
        <v>68.830001831054702</v>
      </c>
    </row>
    <row r="3730" spans="1:2" x14ac:dyDescent="0.25">
      <c r="A3730" s="5">
        <v>27359</v>
      </c>
      <c r="B3730">
        <v>69.470001220703097</v>
      </c>
    </row>
    <row r="3731" spans="1:2" x14ac:dyDescent="0.25">
      <c r="A3731" s="5">
        <v>27360</v>
      </c>
      <c r="B3731">
        <v>69.940002441406193</v>
      </c>
    </row>
    <row r="3732" spans="1:2" x14ac:dyDescent="0.25">
      <c r="A3732" s="5">
        <v>27362</v>
      </c>
      <c r="B3732">
        <v>69.970001220703097</v>
      </c>
    </row>
    <row r="3733" spans="1:2" x14ac:dyDescent="0.25">
      <c r="A3733" s="5">
        <v>27365</v>
      </c>
      <c r="B3733">
        <v>68.110000610351605</v>
      </c>
    </row>
    <row r="3734" spans="1:2" x14ac:dyDescent="0.25">
      <c r="A3734" s="5">
        <v>27366</v>
      </c>
      <c r="B3734">
        <v>67.169998168945298</v>
      </c>
    </row>
    <row r="3735" spans="1:2" x14ac:dyDescent="0.25">
      <c r="A3735" s="5">
        <v>27367</v>
      </c>
      <c r="B3735">
        <v>67.410003662109403</v>
      </c>
    </row>
    <row r="3736" spans="1:2" x14ac:dyDescent="0.25">
      <c r="A3736" s="5">
        <v>27368</v>
      </c>
      <c r="B3736">
        <v>66.129997253417997</v>
      </c>
    </row>
    <row r="3737" spans="1:2" x14ac:dyDescent="0.25">
      <c r="A3737" s="5">
        <v>27369</v>
      </c>
      <c r="B3737">
        <v>65.010002136230497</v>
      </c>
    </row>
    <row r="3738" spans="1:2" x14ac:dyDescent="0.25">
      <c r="A3738" s="5">
        <v>27372</v>
      </c>
      <c r="B3738">
        <v>65.599998474121094</v>
      </c>
    </row>
    <row r="3739" spans="1:2" x14ac:dyDescent="0.25">
      <c r="A3739" s="5">
        <v>27373</v>
      </c>
      <c r="B3739">
        <v>67.279998779296903</v>
      </c>
    </row>
    <row r="3740" spans="1:2" x14ac:dyDescent="0.25">
      <c r="A3740" s="5">
        <v>27374</v>
      </c>
      <c r="B3740">
        <v>67.669998168945298</v>
      </c>
    </row>
    <row r="3741" spans="1:2" x14ac:dyDescent="0.25">
      <c r="A3741" s="5">
        <v>27375</v>
      </c>
      <c r="B3741">
        <v>67.449996948242202</v>
      </c>
    </row>
    <row r="3742" spans="1:2" x14ac:dyDescent="0.25">
      <c r="A3742" s="5">
        <v>27376</v>
      </c>
      <c r="B3742">
        <v>67.069999694824205</v>
      </c>
    </row>
    <row r="3743" spans="1:2" x14ac:dyDescent="0.25">
      <c r="A3743" s="5">
        <v>27379</v>
      </c>
      <c r="B3743">
        <v>66.459999084472699</v>
      </c>
    </row>
    <row r="3744" spans="1:2" x14ac:dyDescent="0.25">
      <c r="A3744" s="5">
        <v>27380</v>
      </c>
      <c r="B3744">
        <v>67.580001831054702</v>
      </c>
    </row>
    <row r="3745" spans="1:2" x14ac:dyDescent="0.25">
      <c r="A3745" s="5">
        <v>27381</v>
      </c>
      <c r="B3745">
        <v>67.900001525878906</v>
      </c>
    </row>
    <row r="3746" spans="1:2" x14ac:dyDescent="0.25">
      <c r="A3746" s="5">
        <v>27382</v>
      </c>
      <c r="B3746">
        <v>67.650001525878906</v>
      </c>
    </row>
    <row r="3747" spans="1:2" x14ac:dyDescent="0.25">
      <c r="A3747" s="5">
        <v>27383</v>
      </c>
      <c r="B3747">
        <v>66.910003662109403</v>
      </c>
    </row>
    <row r="3748" spans="1:2" x14ac:dyDescent="0.25">
      <c r="A3748" s="5">
        <v>27386</v>
      </c>
      <c r="B3748">
        <v>65.959999084472699</v>
      </c>
    </row>
    <row r="3749" spans="1:2" x14ac:dyDescent="0.25">
      <c r="A3749" s="5">
        <v>27387</v>
      </c>
      <c r="B3749">
        <v>66.879997253417997</v>
      </c>
    </row>
    <row r="3750" spans="1:2" x14ac:dyDescent="0.25">
      <c r="A3750" s="5">
        <v>27389</v>
      </c>
      <c r="B3750">
        <v>67.440002441406193</v>
      </c>
    </row>
    <row r="3751" spans="1:2" x14ac:dyDescent="0.25">
      <c r="A3751" s="5">
        <v>27390</v>
      </c>
      <c r="B3751">
        <v>67.139999389648395</v>
      </c>
    </row>
    <row r="3752" spans="1:2" x14ac:dyDescent="0.25">
      <c r="A3752" s="5">
        <v>27393</v>
      </c>
      <c r="B3752">
        <v>67.160003662109403</v>
      </c>
    </row>
    <row r="3753" spans="1:2" x14ac:dyDescent="0.25">
      <c r="A3753" s="5">
        <v>27394</v>
      </c>
      <c r="B3753">
        <v>68.559997558593807</v>
      </c>
    </row>
    <row r="3754" spans="1:2" x14ac:dyDescent="0.25">
      <c r="A3754" s="5">
        <v>27396</v>
      </c>
      <c r="B3754">
        <v>70.230003356933594</v>
      </c>
    </row>
    <row r="3755" spans="1:2" x14ac:dyDescent="0.25">
      <c r="A3755" s="5">
        <v>27397</v>
      </c>
      <c r="B3755">
        <v>70.709999084472699</v>
      </c>
    </row>
    <row r="3756" spans="1:2" x14ac:dyDescent="0.25">
      <c r="A3756" s="5">
        <v>27400</v>
      </c>
      <c r="B3756">
        <v>71.069999694824205</v>
      </c>
    </row>
    <row r="3757" spans="1:2" x14ac:dyDescent="0.25">
      <c r="A3757" s="5">
        <v>27401</v>
      </c>
      <c r="B3757">
        <v>71.019996643066406</v>
      </c>
    </row>
    <row r="3758" spans="1:2" x14ac:dyDescent="0.25">
      <c r="A3758" s="5">
        <v>27402</v>
      </c>
      <c r="B3758">
        <v>70.040000915527301</v>
      </c>
    </row>
    <row r="3759" spans="1:2" x14ac:dyDescent="0.25">
      <c r="A3759" s="5">
        <v>27403</v>
      </c>
      <c r="B3759">
        <v>71.169998168945298</v>
      </c>
    </row>
    <row r="3760" spans="1:2" x14ac:dyDescent="0.25">
      <c r="A3760" s="5">
        <v>27404</v>
      </c>
      <c r="B3760">
        <v>72.610000610351605</v>
      </c>
    </row>
    <row r="3761" spans="1:2" x14ac:dyDescent="0.25">
      <c r="A3761" s="5">
        <v>27407</v>
      </c>
      <c r="B3761">
        <v>72.309997558593807</v>
      </c>
    </row>
    <row r="3762" spans="1:2" x14ac:dyDescent="0.25">
      <c r="A3762" s="5">
        <v>27408</v>
      </c>
      <c r="B3762">
        <v>71.680000305175795</v>
      </c>
    </row>
    <row r="3763" spans="1:2" x14ac:dyDescent="0.25">
      <c r="A3763" s="5">
        <v>27409</v>
      </c>
      <c r="B3763">
        <v>72.139999389648395</v>
      </c>
    </row>
    <row r="3764" spans="1:2" x14ac:dyDescent="0.25">
      <c r="A3764" s="5">
        <v>27410</v>
      </c>
      <c r="B3764">
        <v>72.050003051757798</v>
      </c>
    </row>
    <row r="3765" spans="1:2" x14ac:dyDescent="0.25">
      <c r="A3765" s="5">
        <v>27411</v>
      </c>
      <c r="B3765">
        <v>70.959999084472699</v>
      </c>
    </row>
    <row r="3766" spans="1:2" x14ac:dyDescent="0.25">
      <c r="A3766" s="5">
        <v>27414</v>
      </c>
      <c r="B3766">
        <v>71.080001831054702</v>
      </c>
    </row>
    <row r="3767" spans="1:2" x14ac:dyDescent="0.25">
      <c r="A3767" s="5">
        <v>27415</v>
      </c>
      <c r="B3767">
        <v>70.699996948242202</v>
      </c>
    </row>
    <row r="3768" spans="1:2" x14ac:dyDescent="0.25">
      <c r="A3768" s="5">
        <v>27416</v>
      </c>
      <c r="B3768">
        <v>71.739997863769503</v>
      </c>
    </row>
    <row r="3769" spans="1:2" x14ac:dyDescent="0.25">
      <c r="A3769" s="5">
        <v>27417</v>
      </c>
      <c r="B3769">
        <v>72.069999694824205</v>
      </c>
    </row>
    <row r="3770" spans="1:2" x14ac:dyDescent="0.25">
      <c r="A3770" s="5">
        <v>27418</v>
      </c>
      <c r="B3770">
        <v>72.980003356933594</v>
      </c>
    </row>
    <row r="3771" spans="1:2" x14ac:dyDescent="0.25">
      <c r="A3771" s="5">
        <v>27421</v>
      </c>
      <c r="B3771">
        <v>75.370002746582003</v>
      </c>
    </row>
    <row r="3772" spans="1:2" x14ac:dyDescent="0.25">
      <c r="A3772" s="5">
        <v>27422</v>
      </c>
      <c r="B3772">
        <v>76.029998779296903</v>
      </c>
    </row>
    <row r="3773" spans="1:2" x14ac:dyDescent="0.25">
      <c r="A3773" s="5">
        <v>27423</v>
      </c>
      <c r="B3773">
        <v>77.260002136230497</v>
      </c>
    </row>
    <row r="3774" spans="1:2" x14ac:dyDescent="0.25">
      <c r="A3774" s="5">
        <v>27424</v>
      </c>
      <c r="B3774">
        <v>76.209999084472699</v>
      </c>
    </row>
    <row r="3775" spans="1:2" x14ac:dyDescent="0.25">
      <c r="A3775" s="5">
        <v>27425</v>
      </c>
      <c r="B3775">
        <v>76.980003356933594</v>
      </c>
    </row>
    <row r="3776" spans="1:2" x14ac:dyDescent="0.25">
      <c r="A3776" s="5">
        <v>27428</v>
      </c>
      <c r="B3776">
        <v>77.819999694824205</v>
      </c>
    </row>
    <row r="3777" spans="1:2" x14ac:dyDescent="0.25">
      <c r="A3777" s="5">
        <v>27429</v>
      </c>
      <c r="B3777">
        <v>77.610000610351605</v>
      </c>
    </row>
    <row r="3778" spans="1:2" x14ac:dyDescent="0.25">
      <c r="A3778" s="5">
        <v>27430</v>
      </c>
      <c r="B3778">
        <v>78.949996948242202</v>
      </c>
    </row>
    <row r="3779" spans="1:2" x14ac:dyDescent="0.25">
      <c r="A3779" s="5">
        <v>27431</v>
      </c>
      <c r="B3779">
        <v>78.559997558593807</v>
      </c>
    </row>
    <row r="3780" spans="1:2" x14ac:dyDescent="0.25">
      <c r="A3780" s="5">
        <v>27432</v>
      </c>
      <c r="B3780">
        <v>78.629997253417997</v>
      </c>
    </row>
    <row r="3781" spans="1:2" x14ac:dyDescent="0.25">
      <c r="A3781" s="5">
        <v>27435</v>
      </c>
      <c r="B3781">
        <v>78.360000610351605</v>
      </c>
    </row>
    <row r="3782" spans="1:2" x14ac:dyDescent="0.25">
      <c r="A3782" s="5">
        <v>27436</v>
      </c>
      <c r="B3782">
        <v>78.580001831054702</v>
      </c>
    </row>
    <row r="3783" spans="1:2" x14ac:dyDescent="0.25">
      <c r="A3783" s="5">
        <v>27437</v>
      </c>
      <c r="B3783">
        <v>79.919998168945298</v>
      </c>
    </row>
    <row r="3784" spans="1:2" x14ac:dyDescent="0.25">
      <c r="A3784" s="5">
        <v>27438</v>
      </c>
      <c r="B3784">
        <v>81.010002136230497</v>
      </c>
    </row>
    <row r="3785" spans="1:2" x14ac:dyDescent="0.25">
      <c r="A3785" s="5">
        <v>27439</v>
      </c>
      <c r="B3785">
        <v>81.5</v>
      </c>
    </row>
    <row r="3786" spans="1:2" x14ac:dyDescent="0.25">
      <c r="A3786" s="5">
        <v>27443</v>
      </c>
      <c r="B3786">
        <v>80.930000305175795</v>
      </c>
    </row>
    <row r="3787" spans="1:2" x14ac:dyDescent="0.25">
      <c r="A3787" s="5">
        <v>27444</v>
      </c>
      <c r="B3787">
        <v>81.440002441406193</v>
      </c>
    </row>
    <row r="3788" spans="1:2" x14ac:dyDescent="0.25">
      <c r="A3788" s="5">
        <v>27445</v>
      </c>
      <c r="B3788">
        <v>82.209999084472699</v>
      </c>
    </row>
    <row r="3789" spans="1:2" x14ac:dyDescent="0.25">
      <c r="A3789" s="5">
        <v>27446</v>
      </c>
      <c r="B3789">
        <v>82.620002746582003</v>
      </c>
    </row>
    <row r="3790" spans="1:2" x14ac:dyDescent="0.25">
      <c r="A3790" s="5">
        <v>27449</v>
      </c>
      <c r="B3790">
        <v>81.440002441406193</v>
      </c>
    </row>
    <row r="3791" spans="1:2" x14ac:dyDescent="0.25">
      <c r="A3791" s="5">
        <v>27450</v>
      </c>
      <c r="B3791">
        <v>79.529998779296903</v>
      </c>
    </row>
    <row r="3792" spans="1:2" x14ac:dyDescent="0.25">
      <c r="A3792" s="5">
        <v>27451</v>
      </c>
      <c r="B3792">
        <v>80.370002746582003</v>
      </c>
    </row>
    <row r="3793" spans="1:2" x14ac:dyDescent="0.25">
      <c r="A3793" s="5">
        <v>27452</v>
      </c>
      <c r="B3793">
        <v>80.769996643066406</v>
      </c>
    </row>
    <row r="3794" spans="1:2" x14ac:dyDescent="0.25">
      <c r="A3794" s="5">
        <v>27453</v>
      </c>
      <c r="B3794">
        <v>81.589996337890597</v>
      </c>
    </row>
    <row r="3795" spans="1:2" x14ac:dyDescent="0.25">
      <c r="A3795" s="5">
        <v>27456</v>
      </c>
      <c r="B3795">
        <v>83.029998779296903</v>
      </c>
    </row>
    <row r="3796" spans="1:2" x14ac:dyDescent="0.25">
      <c r="A3796" s="5">
        <v>27457</v>
      </c>
      <c r="B3796">
        <v>83.559997558593807</v>
      </c>
    </row>
    <row r="3797" spans="1:2" x14ac:dyDescent="0.25">
      <c r="A3797" s="5">
        <v>27458</v>
      </c>
      <c r="B3797">
        <v>83.900001525878906</v>
      </c>
    </row>
    <row r="3798" spans="1:2" x14ac:dyDescent="0.25">
      <c r="A3798" s="5">
        <v>27459</v>
      </c>
      <c r="B3798">
        <v>83.690002441406193</v>
      </c>
    </row>
    <row r="3799" spans="1:2" x14ac:dyDescent="0.25">
      <c r="A3799" s="5">
        <v>27460</v>
      </c>
      <c r="B3799">
        <v>84.300003051757798</v>
      </c>
    </row>
    <row r="3800" spans="1:2" x14ac:dyDescent="0.25">
      <c r="A3800" s="5">
        <v>27463</v>
      </c>
      <c r="B3800">
        <v>84.949996948242202</v>
      </c>
    </row>
    <row r="3801" spans="1:2" x14ac:dyDescent="0.25">
      <c r="A3801" s="5">
        <v>27464</v>
      </c>
      <c r="B3801">
        <v>84.360000610351605</v>
      </c>
    </row>
    <row r="3802" spans="1:2" x14ac:dyDescent="0.25">
      <c r="A3802" s="5">
        <v>27465</v>
      </c>
      <c r="B3802">
        <v>83.589996337890597</v>
      </c>
    </row>
    <row r="3803" spans="1:2" x14ac:dyDescent="0.25">
      <c r="A3803" s="5">
        <v>27466</v>
      </c>
      <c r="B3803">
        <v>83.739997863769503</v>
      </c>
    </row>
    <row r="3804" spans="1:2" x14ac:dyDescent="0.25">
      <c r="A3804" s="5">
        <v>27467</v>
      </c>
      <c r="B3804">
        <v>84.760002136230497</v>
      </c>
    </row>
    <row r="3805" spans="1:2" x14ac:dyDescent="0.25">
      <c r="A3805" s="5">
        <v>27470</v>
      </c>
      <c r="B3805">
        <v>86.010002136230497</v>
      </c>
    </row>
    <row r="3806" spans="1:2" x14ac:dyDescent="0.25">
      <c r="A3806" s="5">
        <v>27471</v>
      </c>
      <c r="B3806">
        <v>85.129997253417997</v>
      </c>
    </row>
    <row r="3807" spans="1:2" x14ac:dyDescent="0.25">
      <c r="A3807" s="5">
        <v>27472</v>
      </c>
      <c r="B3807">
        <v>84.339996337890597</v>
      </c>
    </row>
    <row r="3808" spans="1:2" x14ac:dyDescent="0.25">
      <c r="A3808" s="5">
        <v>27473</v>
      </c>
      <c r="B3808">
        <v>83.610000610351605</v>
      </c>
    </row>
    <row r="3809" spans="1:2" x14ac:dyDescent="0.25">
      <c r="A3809" s="5">
        <v>27474</v>
      </c>
      <c r="B3809">
        <v>83.389999389648395</v>
      </c>
    </row>
    <row r="3810" spans="1:2" x14ac:dyDescent="0.25">
      <c r="A3810" s="5">
        <v>27477</v>
      </c>
      <c r="B3810">
        <v>81.419998168945298</v>
      </c>
    </row>
    <row r="3811" spans="1:2" x14ac:dyDescent="0.25">
      <c r="A3811" s="5">
        <v>27478</v>
      </c>
      <c r="B3811">
        <v>82.059997558593807</v>
      </c>
    </row>
    <row r="3812" spans="1:2" x14ac:dyDescent="0.25">
      <c r="A3812" s="5">
        <v>27479</v>
      </c>
      <c r="B3812">
        <v>83.589996337890597</v>
      </c>
    </row>
    <row r="3813" spans="1:2" x14ac:dyDescent="0.25">
      <c r="A3813" s="5">
        <v>27480</v>
      </c>
      <c r="B3813">
        <v>83.849998474121094</v>
      </c>
    </row>
    <row r="3814" spans="1:2" x14ac:dyDescent="0.25">
      <c r="A3814" s="5">
        <v>27484</v>
      </c>
      <c r="B3814">
        <v>83.360000610351605</v>
      </c>
    </row>
    <row r="3815" spans="1:2" x14ac:dyDescent="0.25">
      <c r="A3815" s="5">
        <v>27485</v>
      </c>
      <c r="B3815">
        <v>82.639999389648395</v>
      </c>
    </row>
    <row r="3816" spans="1:2" x14ac:dyDescent="0.25">
      <c r="A3816" s="5">
        <v>27486</v>
      </c>
      <c r="B3816">
        <v>82.430000305175795</v>
      </c>
    </row>
    <row r="3817" spans="1:2" x14ac:dyDescent="0.25">
      <c r="A3817" s="5">
        <v>27487</v>
      </c>
      <c r="B3817">
        <v>81.510002136230497</v>
      </c>
    </row>
    <row r="3818" spans="1:2" x14ac:dyDescent="0.25">
      <c r="A3818" s="5">
        <v>27488</v>
      </c>
      <c r="B3818">
        <v>80.879997253417997</v>
      </c>
    </row>
    <row r="3819" spans="1:2" x14ac:dyDescent="0.25">
      <c r="A3819" s="5">
        <v>27491</v>
      </c>
      <c r="B3819">
        <v>80.349998474121094</v>
      </c>
    </row>
    <row r="3820" spans="1:2" x14ac:dyDescent="0.25">
      <c r="A3820" s="5">
        <v>27492</v>
      </c>
      <c r="B3820">
        <v>80.989997863769503</v>
      </c>
    </row>
    <row r="3821" spans="1:2" x14ac:dyDescent="0.25">
      <c r="A3821" s="5">
        <v>27493</v>
      </c>
      <c r="B3821">
        <v>82.839996337890597</v>
      </c>
    </row>
    <row r="3822" spans="1:2" x14ac:dyDescent="0.25">
      <c r="A3822" s="5">
        <v>27494</v>
      </c>
      <c r="B3822">
        <v>83.769996643066406</v>
      </c>
    </row>
    <row r="3823" spans="1:2" x14ac:dyDescent="0.25">
      <c r="A3823" s="5">
        <v>27495</v>
      </c>
      <c r="B3823">
        <v>84.180000305175795</v>
      </c>
    </row>
    <row r="3824" spans="1:2" x14ac:dyDescent="0.25">
      <c r="A3824" s="5">
        <v>27498</v>
      </c>
      <c r="B3824">
        <v>85.599998474121094</v>
      </c>
    </row>
    <row r="3825" spans="1:2" x14ac:dyDescent="0.25">
      <c r="A3825" s="5">
        <v>27499</v>
      </c>
      <c r="B3825">
        <v>86.300003051757798</v>
      </c>
    </row>
    <row r="3826" spans="1:2" x14ac:dyDescent="0.25">
      <c r="A3826" s="5">
        <v>27500</v>
      </c>
      <c r="B3826">
        <v>86.599998474121094</v>
      </c>
    </row>
    <row r="3827" spans="1:2" x14ac:dyDescent="0.25">
      <c r="A3827" s="5">
        <v>27501</v>
      </c>
      <c r="B3827">
        <v>87.25</v>
      </c>
    </row>
    <row r="3828" spans="1:2" x14ac:dyDescent="0.25">
      <c r="A3828" s="5">
        <v>27502</v>
      </c>
      <c r="B3828">
        <v>86.300003051757798</v>
      </c>
    </row>
    <row r="3829" spans="1:2" x14ac:dyDescent="0.25">
      <c r="A3829" s="5">
        <v>27505</v>
      </c>
      <c r="B3829">
        <v>87.230003356933594</v>
      </c>
    </row>
    <row r="3830" spans="1:2" x14ac:dyDescent="0.25">
      <c r="A3830" s="5">
        <v>27506</v>
      </c>
      <c r="B3830">
        <v>87.089996337890597</v>
      </c>
    </row>
    <row r="3831" spans="1:2" x14ac:dyDescent="0.25">
      <c r="A3831" s="5">
        <v>27507</v>
      </c>
      <c r="B3831">
        <v>86.120002746582003</v>
      </c>
    </row>
    <row r="3832" spans="1:2" x14ac:dyDescent="0.25">
      <c r="A3832" s="5">
        <v>27508</v>
      </c>
      <c r="B3832">
        <v>86.040000915527301</v>
      </c>
    </row>
    <row r="3833" spans="1:2" x14ac:dyDescent="0.25">
      <c r="A3833" s="5">
        <v>27509</v>
      </c>
      <c r="B3833">
        <v>86.620002746582003</v>
      </c>
    </row>
    <row r="3834" spans="1:2" x14ac:dyDescent="0.25">
      <c r="A3834" s="5">
        <v>27512</v>
      </c>
      <c r="B3834">
        <v>86.230003356933594</v>
      </c>
    </row>
    <row r="3835" spans="1:2" x14ac:dyDescent="0.25">
      <c r="A3835" s="5">
        <v>27513</v>
      </c>
      <c r="B3835">
        <v>85.639999389648395</v>
      </c>
    </row>
    <row r="3836" spans="1:2" x14ac:dyDescent="0.25">
      <c r="A3836" s="5">
        <v>27514</v>
      </c>
      <c r="B3836">
        <v>87.300003051757798</v>
      </c>
    </row>
    <row r="3837" spans="1:2" x14ac:dyDescent="0.25">
      <c r="A3837" s="5">
        <v>27515</v>
      </c>
      <c r="B3837">
        <v>88.099998474121094</v>
      </c>
    </row>
    <row r="3838" spans="1:2" x14ac:dyDescent="0.25">
      <c r="A3838" s="5">
        <v>27516</v>
      </c>
      <c r="B3838">
        <v>89.220001220703097</v>
      </c>
    </row>
    <row r="3839" spans="1:2" x14ac:dyDescent="0.25">
      <c r="A3839" s="5">
        <v>27519</v>
      </c>
      <c r="B3839">
        <v>90.080001831054702</v>
      </c>
    </row>
    <row r="3840" spans="1:2" x14ac:dyDescent="0.25">
      <c r="A3840" s="5">
        <v>27520</v>
      </c>
      <c r="B3840">
        <v>88.639999389648395</v>
      </c>
    </row>
    <row r="3841" spans="1:2" x14ac:dyDescent="0.25">
      <c r="A3841" s="5">
        <v>27521</v>
      </c>
      <c r="B3841">
        <v>89.080001831054702</v>
      </c>
    </row>
    <row r="3842" spans="1:2" x14ac:dyDescent="0.25">
      <c r="A3842" s="5">
        <v>27522</v>
      </c>
      <c r="B3842">
        <v>89.559997558593807</v>
      </c>
    </row>
    <row r="3843" spans="1:2" x14ac:dyDescent="0.25">
      <c r="A3843" s="5">
        <v>27523</v>
      </c>
      <c r="B3843">
        <v>90.529998779296903</v>
      </c>
    </row>
    <row r="3844" spans="1:2" x14ac:dyDescent="0.25">
      <c r="A3844" s="5">
        <v>27526</v>
      </c>
      <c r="B3844">
        <v>90.610000610351605</v>
      </c>
    </row>
    <row r="3845" spans="1:2" x14ac:dyDescent="0.25">
      <c r="A3845" s="5">
        <v>27527</v>
      </c>
      <c r="B3845">
        <v>91.580001831054702</v>
      </c>
    </row>
    <row r="3846" spans="1:2" x14ac:dyDescent="0.25">
      <c r="A3846" s="5">
        <v>27528</v>
      </c>
      <c r="B3846">
        <v>92.269996643066406</v>
      </c>
    </row>
    <row r="3847" spans="1:2" x14ac:dyDescent="0.25">
      <c r="A3847" s="5">
        <v>27529</v>
      </c>
      <c r="B3847">
        <v>91.410003662109403</v>
      </c>
    </row>
    <row r="3848" spans="1:2" x14ac:dyDescent="0.25">
      <c r="A3848" s="5">
        <v>27530</v>
      </c>
      <c r="B3848">
        <v>90.430000305175795</v>
      </c>
    </row>
    <row r="3849" spans="1:2" x14ac:dyDescent="0.25">
      <c r="A3849" s="5">
        <v>27533</v>
      </c>
      <c r="B3849">
        <v>90.529998779296903</v>
      </c>
    </row>
    <row r="3850" spans="1:2" x14ac:dyDescent="0.25">
      <c r="A3850" s="5">
        <v>27534</v>
      </c>
      <c r="B3850">
        <v>90.069999694824205</v>
      </c>
    </row>
    <row r="3851" spans="1:2" x14ac:dyDescent="0.25">
      <c r="A3851" s="5">
        <v>27535</v>
      </c>
      <c r="B3851">
        <v>89.059997558593807</v>
      </c>
    </row>
    <row r="3852" spans="1:2" x14ac:dyDescent="0.25">
      <c r="A3852" s="5">
        <v>27536</v>
      </c>
      <c r="B3852">
        <v>89.389999389648395</v>
      </c>
    </row>
    <row r="3853" spans="1:2" x14ac:dyDescent="0.25">
      <c r="A3853" s="5">
        <v>27537</v>
      </c>
      <c r="B3853">
        <v>90.580001831054702</v>
      </c>
    </row>
    <row r="3854" spans="1:2" x14ac:dyDescent="0.25">
      <c r="A3854" s="5">
        <v>27541</v>
      </c>
      <c r="B3854">
        <v>90.339996337890597</v>
      </c>
    </row>
    <row r="3855" spans="1:2" x14ac:dyDescent="0.25">
      <c r="A3855" s="5">
        <v>27542</v>
      </c>
      <c r="B3855">
        <v>89.709999084472699</v>
      </c>
    </row>
    <row r="3856" spans="1:2" x14ac:dyDescent="0.25">
      <c r="A3856" s="5">
        <v>27543</v>
      </c>
      <c r="B3856">
        <v>89.680000305175795</v>
      </c>
    </row>
    <row r="3857" spans="1:2" x14ac:dyDescent="0.25">
      <c r="A3857" s="5">
        <v>27544</v>
      </c>
      <c r="B3857">
        <v>91.150001525878906</v>
      </c>
    </row>
    <row r="3858" spans="1:2" x14ac:dyDescent="0.25">
      <c r="A3858" s="5">
        <v>27547</v>
      </c>
      <c r="B3858">
        <v>92.580001831054702</v>
      </c>
    </row>
    <row r="3859" spans="1:2" x14ac:dyDescent="0.25">
      <c r="A3859" s="5">
        <v>27548</v>
      </c>
      <c r="B3859">
        <v>92.889999389648395</v>
      </c>
    </row>
    <row r="3860" spans="1:2" x14ac:dyDescent="0.25">
      <c r="A3860" s="5">
        <v>27549</v>
      </c>
      <c r="B3860">
        <v>92.599998474121094</v>
      </c>
    </row>
    <row r="3861" spans="1:2" x14ac:dyDescent="0.25">
      <c r="A3861" s="5">
        <v>27550</v>
      </c>
      <c r="B3861">
        <v>92.690002441406193</v>
      </c>
    </row>
    <row r="3862" spans="1:2" x14ac:dyDescent="0.25">
      <c r="A3862" s="5">
        <v>27551</v>
      </c>
      <c r="B3862">
        <v>92.480003356933594</v>
      </c>
    </row>
    <row r="3863" spans="1:2" x14ac:dyDescent="0.25">
      <c r="A3863" s="5">
        <v>27554</v>
      </c>
      <c r="B3863">
        <v>91.209999084472699</v>
      </c>
    </row>
    <row r="3864" spans="1:2" x14ac:dyDescent="0.25">
      <c r="A3864" s="5">
        <v>27555</v>
      </c>
      <c r="B3864">
        <v>90.440002441406193</v>
      </c>
    </row>
    <row r="3865" spans="1:2" x14ac:dyDescent="0.25">
      <c r="A3865" s="5">
        <v>27556</v>
      </c>
      <c r="B3865">
        <v>90.550003051757798</v>
      </c>
    </row>
    <row r="3866" spans="1:2" x14ac:dyDescent="0.25">
      <c r="A3866" s="5">
        <v>27557</v>
      </c>
      <c r="B3866">
        <v>90.080001831054702</v>
      </c>
    </row>
    <row r="3867" spans="1:2" x14ac:dyDescent="0.25">
      <c r="A3867" s="5">
        <v>27558</v>
      </c>
      <c r="B3867">
        <v>90.519996643066406</v>
      </c>
    </row>
    <row r="3868" spans="1:2" x14ac:dyDescent="0.25">
      <c r="A3868" s="5">
        <v>27561</v>
      </c>
      <c r="B3868">
        <v>91.459999084472699</v>
      </c>
    </row>
    <row r="3869" spans="1:2" x14ac:dyDescent="0.25">
      <c r="A3869" s="5">
        <v>27562</v>
      </c>
      <c r="B3869">
        <v>90.580001831054702</v>
      </c>
    </row>
    <row r="3870" spans="1:2" x14ac:dyDescent="0.25">
      <c r="A3870" s="5">
        <v>27563</v>
      </c>
      <c r="B3870">
        <v>90.389999389648395</v>
      </c>
    </row>
    <row r="3871" spans="1:2" x14ac:dyDescent="0.25">
      <c r="A3871" s="5">
        <v>27564</v>
      </c>
      <c r="B3871">
        <v>92.019996643066406</v>
      </c>
    </row>
    <row r="3872" spans="1:2" x14ac:dyDescent="0.25">
      <c r="A3872" s="5">
        <v>27565</v>
      </c>
      <c r="B3872">
        <v>92.610000610351605</v>
      </c>
    </row>
    <row r="3873" spans="1:2" x14ac:dyDescent="0.25">
      <c r="A3873" s="5">
        <v>27568</v>
      </c>
      <c r="B3873">
        <v>93.620002746582003</v>
      </c>
    </row>
    <row r="3874" spans="1:2" x14ac:dyDescent="0.25">
      <c r="A3874" s="5">
        <v>27569</v>
      </c>
      <c r="B3874">
        <v>94.190002441406193</v>
      </c>
    </row>
    <row r="3875" spans="1:2" x14ac:dyDescent="0.25">
      <c r="A3875" s="5">
        <v>27570</v>
      </c>
      <c r="B3875">
        <v>94.620002746582003</v>
      </c>
    </row>
    <row r="3876" spans="1:2" x14ac:dyDescent="0.25">
      <c r="A3876" s="5">
        <v>27571</v>
      </c>
      <c r="B3876">
        <v>94.809997558593807</v>
      </c>
    </row>
    <row r="3877" spans="1:2" x14ac:dyDescent="0.25">
      <c r="A3877" s="5">
        <v>27572</v>
      </c>
      <c r="B3877">
        <v>94.809997558593807</v>
      </c>
    </row>
    <row r="3878" spans="1:2" x14ac:dyDescent="0.25">
      <c r="A3878" s="5">
        <v>27575</v>
      </c>
      <c r="B3878">
        <v>95.190002441406193</v>
      </c>
    </row>
    <row r="3879" spans="1:2" x14ac:dyDescent="0.25">
      <c r="A3879" s="5">
        <v>27576</v>
      </c>
      <c r="B3879">
        <v>94.849998474121094</v>
      </c>
    </row>
    <row r="3880" spans="1:2" x14ac:dyDescent="0.25">
      <c r="A3880" s="5">
        <v>27577</v>
      </c>
      <c r="B3880">
        <v>94.180000305175795</v>
      </c>
    </row>
    <row r="3881" spans="1:2" x14ac:dyDescent="0.25">
      <c r="A3881" s="5">
        <v>27578</v>
      </c>
      <c r="B3881">
        <v>94.360000610351605</v>
      </c>
    </row>
    <row r="3882" spans="1:2" x14ac:dyDescent="0.25">
      <c r="A3882" s="5">
        <v>27582</v>
      </c>
      <c r="B3882">
        <v>93.540000915527301</v>
      </c>
    </row>
    <row r="3883" spans="1:2" x14ac:dyDescent="0.25">
      <c r="A3883" s="5">
        <v>27583</v>
      </c>
      <c r="B3883">
        <v>93.389999389648395</v>
      </c>
    </row>
    <row r="3884" spans="1:2" x14ac:dyDescent="0.25">
      <c r="A3884" s="5">
        <v>27584</v>
      </c>
      <c r="B3884">
        <v>94.800003051757798</v>
      </c>
    </row>
    <row r="3885" spans="1:2" x14ac:dyDescent="0.25">
      <c r="A3885" s="5">
        <v>27585</v>
      </c>
      <c r="B3885">
        <v>94.809997558593807</v>
      </c>
    </row>
    <row r="3886" spans="1:2" x14ac:dyDescent="0.25">
      <c r="A3886" s="5">
        <v>27586</v>
      </c>
      <c r="B3886">
        <v>94.660003662109403</v>
      </c>
    </row>
    <row r="3887" spans="1:2" x14ac:dyDescent="0.25">
      <c r="A3887" s="5">
        <v>27589</v>
      </c>
      <c r="B3887">
        <v>95.190002441406193</v>
      </c>
    </row>
    <row r="3888" spans="1:2" x14ac:dyDescent="0.25">
      <c r="A3888" s="5">
        <v>27590</v>
      </c>
      <c r="B3888">
        <v>95.610000610351605</v>
      </c>
    </row>
    <row r="3889" spans="1:2" x14ac:dyDescent="0.25">
      <c r="A3889" s="5">
        <v>27591</v>
      </c>
      <c r="B3889">
        <v>94.610000610351605</v>
      </c>
    </row>
    <row r="3890" spans="1:2" x14ac:dyDescent="0.25">
      <c r="A3890" s="5">
        <v>27592</v>
      </c>
      <c r="B3890">
        <v>93.629997253417997</v>
      </c>
    </row>
    <row r="3891" spans="1:2" x14ac:dyDescent="0.25">
      <c r="A3891" s="5">
        <v>27593</v>
      </c>
      <c r="B3891">
        <v>93.199996948242202</v>
      </c>
    </row>
    <row r="3892" spans="1:2" x14ac:dyDescent="0.25">
      <c r="A3892" s="5">
        <v>27596</v>
      </c>
      <c r="B3892">
        <v>92.440002441406193</v>
      </c>
    </row>
    <row r="3893" spans="1:2" x14ac:dyDescent="0.25">
      <c r="A3893" s="5">
        <v>27597</v>
      </c>
      <c r="B3893">
        <v>91.449996948242202</v>
      </c>
    </row>
    <row r="3894" spans="1:2" x14ac:dyDescent="0.25">
      <c r="A3894" s="5">
        <v>27598</v>
      </c>
      <c r="B3894">
        <v>90.180000305175795</v>
      </c>
    </row>
    <row r="3895" spans="1:2" x14ac:dyDescent="0.25">
      <c r="A3895" s="5">
        <v>27599</v>
      </c>
      <c r="B3895">
        <v>90.069999694824205</v>
      </c>
    </row>
    <row r="3896" spans="1:2" x14ac:dyDescent="0.25">
      <c r="A3896" s="5">
        <v>27600</v>
      </c>
      <c r="B3896">
        <v>89.290000915527301</v>
      </c>
    </row>
    <row r="3897" spans="1:2" x14ac:dyDescent="0.25">
      <c r="A3897" s="5">
        <v>27603</v>
      </c>
      <c r="B3897">
        <v>88.690002441406193</v>
      </c>
    </row>
    <row r="3898" spans="1:2" x14ac:dyDescent="0.25">
      <c r="A3898" s="5">
        <v>27604</v>
      </c>
      <c r="B3898">
        <v>88.190002441406193</v>
      </c>
    </row>
    <row r="3899" spans="1:2" x14ac:dyDescent="0.25">
      <c r="A3899" s="5">
        <v>27605</v>
      </c>
      <c r="B3899">
        <v>88.830001831054702</v>
      </c>
    </row>
    <row r="3900" spans="1:2" x14ac:dyDescent="0.25">
      <c r="A3900" s="5">
        <v>27606</v>
      </c>
      <c r="B3900">
        <v>88.75</v>
      </c>
    </row>
    <row r="3901" spans="1:2" x14ac:dyDescent="0.25">
      <c r="A3901" s="5">
        <v>27607</v>
      </c>
      <c r="B3901">
        <v>87.989997863769503</v>
      </c>
    </row>
    <row r="3902" spans="1:2" x14ac:dyDescent="0.25">
      <c r="A3902" s="5">
        <v>27610</v>
      </c>
      <c r="B3902">
        <v>87.150001525878906</v>
      </c>
    </row>
    <row r="3903" spans="1:2" x14ac:dyDescent="0.25">
      <c r="A3903" s="5">
        <v>27611</v>
      </c>
      <c r="B3903">
        <v>86.230003356933594</v>
      </c>
    </row>
    <row r="3904" spans="1:2" x14ac:dyDescent="0.25">
      <c r="A3904" s="5">
        <v>27612</v>
      </c>
      <c r="B3904">
        <v>86.25</v>
      </c>
    </row>
    <row r="3905" spans="1:2" x14ac:dyDescent="0.25">
      <c r="A3905" s="5">
        <v>27613</v>
      </c>
      <c r="B3905">
        <v>86.300003051757798</v>
      </c>
    </row>
    <row r="3906" spans="1:2" x14ac:dyDescent="0.25">
      <c r="A3906" s="5">
        <v>27614</v>
      </c>
      <c r="B3906">
        <v>86.019996643066406</v>
      </c>
    </row>
    <row r="3907" spans="1:2" x14ac:dyDescent="0.25">
      <c r="A3907" s="5">
        <v>27617</v>
      </c>
      <c r="B3907">
        <v>86.550003051757798</v>
      </c>
    </row>
    <row r="3908" spans="1:2" x14ac:dyDescent="0.25">
      <c r="A3908" s="5">
        <v>27618</v>
      </c>
      <c r="B3908">
        <v>87.120002746582003</v>
      </c>
    </row>
    <row r="3909" spans="1:2" x14ac:dyDescent="0.25">
      <c r="A3909" s="5">
        <v>27619</v>
      </c>
      <c r="B3909">
        <v>85.970001220703097</v>
      </c>
    </row>
    <row r="3910" spans="1:2" x14ac:dyDescent="0.25">
      <c r="A3910" s="5">
        <v>27620</v>
      </c>
      <c r="B3910">
        <v>85.599998474121094</v>
      </c>
    </row>
    <row r="3911" spans="1:2" x14ac:dyDescent="0.25">
      <c r="A3911" s="5">
        <v>27621</v>
      </c>
      <c r="B3911">
        <v>86.360000610351605</v>
      </c>
    </row>
    <row r="3912" spans="1:2" x14ac:dyDescent="0.25">
      <c r="A3912" s="5">
        <v>27624</v>
      </c>
      <c r="B3912">
        <v>86.199996948242202</v>
      </c>
    </row>
    <row r="3913" spans="1:2" x14ac:dyDescent="0.25">
      <c r="A3913" s="5">
        <v>27625</v>
      </c>
      <c r="B3913">
        <v>84.949996948242202</v>
      </c>
    </row>
    <row r="3914" spans="1:2" x14ac:dyDescent="0.25">
      <c r="A3914" s="5">
        <v>27626</v>
      </c>
      <c r="B3914">
        <v>83.220001220703097</v>
      </c>
    </row>
    <row r="3915" spans="1:2" x14ac:dyDescent="0.25">
      <c r="A3915" s="5">
        <v>27627</v>
      </c>
      <c r="B3915">
        <v>83.069999694824205</v>
      </c>
    </row>
    <row r="3916" spans="1:2" x14ac:dyDescent="0.25">
      <c r="A3916" s="5">
        <v>27628</v>
      </c>
      <c r="B3916">
        <v>84.279998779296903</v>
      </c>
    </row>
    <row r="3917" spans="1:2" x14ac:dyDescent="0.25">
      <c r="A3917" s="5">
        <v>27631</v>
      </c>
      <c r="B3917">
        <v>85.059997558593807</v>
      </c>
    </row>
    <row r="3918" spans="1:2" x14ac:dyDescent="0.25">
      <c r="A3918" s="5">
        <v>27632</v>
      </c>
      <c r="B3918">
        <v>83.959999084472699</v>
      </c>
    </row>
    <row r="3919" spans="1:2" x14ac:dyDescent="0.25">
      <c r="A3919" s="5">
        <v>27633</v>
      </c>
      <c r="B3919">
        <v>84.430000305175795</v>
      </c>
    </row>
    <row r="3920" spans="1:2" x14ac:dyDescent="0.25">
      <c r="A3920" s="5">
        <v>27634</v>
      </c>
      <c r="B3920">
        <v>86.400001525878906</v>
      </c>
    </row>
    <row r="3921" spans="1:2" x14ac:dyDescent="0.25">
      <c r="A3921" s="5">
        <v>27635</v>
      </c>
      <c r="B3921">
        <v>86.879997253417997</v>
      </c>
    </row>
    <row r="3922" spans="1:2" x14ac:dyDescent="0.25">
      <c r="A3922" s="5">
        <v>27639</v>
      </c>
      <c r="B3922">
        <v>85.480003356933594</v>
      </c>
    </row>
    <row r="3923" spans="1:2" x14ac:dyDescent="0.25">
      <c r="A3923" s="5">
        <v>27640</v>
      </c>
      <c r="B3923">
        <v>86.029998779296903</v>
      </c>
    </row>
    <row r="3924" spans="1:2" x14ac:dyDescent="0.25">
      <c r="A3924" s="5">
        <v>27641</v>
      </c>
      <c r="B3924">
        <v>86.199996948242202</v>
      </c>
    </row>
    <row r="3925" spans="1:2" x14ac:dyDescent="0.25">
      <c r="A3925" s="5">
        <v>27642</v>
      </c>
      <c r="B3925">
        <v>85.620002746582003</v>
      </c>
    </row>
    <row r="3926" spans="1:2" x14ac:dyDescent="0.25">
      <c r="A3926" s="5">
        <v>27645</v>
      </c>
      <c r="B3926">
        <v>85.889999389648395</v>
      </c>
    </row>
    <row r="3927" spans="1:2" x14ac:dyDescent="0.25">
      <c r="A3927" s="5">
        <v>27646</v>
      </c>
      <c r="B3927">
        <v>84.599998474121094</v>
      </c>
    </row>
    <row r="3928" spans="1:2" x14ac:dyDescent="0.25">
      <c r="A3928" s="5">
        <v>27647</v>
      </c>
      <c r="B3928">
        <v>83.790000915527301</v>
      </c>
    </row>
    <row r="3929" spans="1:2" x14ac:dyDescent="0.25">
      <c r="A3929" s="5">
        <v>27648</v>
      </c>
      <c r="B3929">
        <v>83.449996948242202</v>
      </c>
    </row>
    <row r="3930" spans="1:2" x14ac:dyDescent="0.25">
      <c r="A3930" s="5">
        <v>27649</v>
      </c>
      <c r="B3930">
        <v>83.300003051757798</v>
      </c>
    </row>
    <row r="3931" spans="1:2" x14ac:dyDescent="0.25">
      <c r="A3931" s="5">
        <v>27652</v>
      </c>
      <c r="B3931">
        <v>82.879997253417997</v>
      </c>
    </row>
    <row r="3932" spans="1:2" x14ac:dyDescent="0.25">
      <c r="A3932" s="5">
        <v>27653</v>
      </c>
      <c r="B3932">
        <v>82.089996337890597</v>
      </c>
    </row>
    <row r="3933" spans="1:2" x14ac:dyDescent="0.25">
      <c r="A3933" s="5">
        <v>27654</v>
      </c>
      <c r="B3933">
        <v>82.370002746582003</v>
      </c>
    </row>
    <row r="3934" spans="1:2" x14ac:dyDescent="0.25">
      <c r="A3934" s="5">
        <v>27655</v>
      </c>
      <c r="B3934">
        <v>84.059997558593807</v>
      </c>
    </row>
    <row r="3935" spans="1:2" x14ac:dyDescent="0.25">
      <c r="A3935" s="5">
        <v>27656</v>
      </c>
      <c r="B3935">
        <v>85.879997253417997</v>
      </c>
    </row>
    <row r="3936" spans="1:2" x14ac:dyDescent="0.25">
      <c r="A3936" s="5">
        <v>27659</v>
      </c>
      <c r="B3936">
        <v>85.069999694824205</v>
      </c>
    </row>
    <row r="3937" spans="1:2" x14ac:dyDescent="0.25">
      <c r="A3937" s="5">
        <v>27660</v>
      </c>
      <c r="B3937">
        <v>84.940002441406193</v>
      </c>
    </row>
    <row r="3938" spans="1:2" x14ac:dyDescent="0.25">
      <c r="A3938" s="5">
        <v>27661</v>
      </c>
      <c r="B3938">
        <v>85.739997863769503</v>
      </c>
    </row>
    <row r="3939" spans="1:2" x14ac:dyDescent="0.25">
      <c r="A3939" s="5">
        <v>27662</v>
      </c>
      <c r="B3939">
        <v>85.639999389648395</v>
      </c>
    </row>
    <row r="3940" spans="1:2" x14ac:dyDescent="0.25">
      <c r="A3940" s="5">
        <v>27663</v>
      </c>
      <c r="B3940">
        <v>86.190002441406193</v>
      </c>
    </row>
    <row r="3941" spans="1:2" x14ac:dyDescent="0.25">
      <c r="A3941" s="5">
        <v>27666</v>
      </c>
      <c r="B3941">
        <v>85.029998779296903</v>
      </c>
    </row>
    <row r="3942" spans="1:2" x14ac:dyDescent="0.25">
      <c r="A3942" s="5">
        <v>27667</v>
      </c>
      <c r="B3942">
        <v>83.870002746582003</v>
      </c>
    </row>
    <row r="3943" spans="1:2" x14ac:dyDescent="0.25">
      <c r="A3943" s="5">
        <v>27668</v>
      </c>
      <c r="B3943">
        <v>82.930000305175795</v>
      </c>
    </row>
    <row r="3944" spans="1:2" x14ac:dyDescent="0.25">
      <c r="A3944" s="5">
        <v>27669</v>
      </c>
      <c r="B3944">
        <v>83.819999694824205</v>
      </c>
    </row>
    <row r="3945" spans="1:2" x14ac:dyDescent="0.25">
      <c r="A3945" s="5">
        <v>27670</v>
      </c>
      <c r="B3945">
        <v>85.949996948242202</v>
      </c>
    </row>
    <row r="3946" spans="1:2" x14ac:dyDescent="0.25">
      <c r="A3946" s="5">
        <v>27673</v>
      </c>
      <c r="B3946">
        <v>86.879997253417997</v>
      </c>
    </row>
    <row r="3947" spans="1:2" x14ac:dyDescent="0.25">
      <c r="A3947" s="5">
        <v>27674</v>
      </c>
      <c r="B3947">
        <v>86.769996643066406</v>
      </c>
    </row>
    <row r="3948" spans="1:2" x14ac:dyDescent="0.25">
      <c r="A3948" s="5">
        <v>27675</v>
      </c>
      <c r="B3948">
        <v>87.940002441406193</v>
      </c>
    </row>
    <row r="3949" spans="1:2" x14ac:dyDescent="0.25">
      <c r="A3949" s="5">
        <v>27676</v>
      </c>
      <c r="B3949">
        <v>88.370002746582003</v>
      </c>
    </row>
    <row r="3950" spans="1:2" x14ac:dyDescent="0.25">
      <c r="A3950" s="5">
        <v>27677</v>
      </c>
      <c r="B3950">
        <v>88.209999084472699</v>
      </c>
    </row>
    <row r="3951" spans="1:2" x14ac:dyDescent="0.25">
      <c r="A3951" s="5">
        <v>27680</v>
      </c>
      <c r="B3951">
        <v>89.459999084472699</v>
      </c>
    </row>
    <row r="3952" spans="1:2" x14ac:dyDescent="0.25">
      <c r="A3952" s="5">
        <v>27681</v>
      </c>
      <c r="B3952">
        <v>89.279998779296903</v>
      </c>
    </row>
    <row r="3953" spans="1:2" x14ac:dyDescent="0.25">
      <c r="A3953" s="5">
        <v>27682</v>
      </c>
      <c r="B3953">
        <v>89.230003356933594</v>
      </c>
    </row>
    <row r="3954" spans="1:2" x14ac:dyDescent="0.25">
      <c r="A3954" s="5">
        <v>27683</v>
      </c>
      <c r="B3954">
        <v>89.370002746582003</v>
      </c>
    </row>
    <row r="3955" spans="1:2" x14ac:dyDescent="0.25">
      <c r="A3955" s="5">
        <v>27684</v>
      </c>
      <c r="B3955">
        <v>88.860000610351605</v>
      </c>
    </row>
    <row r="3956" spans="1:2" x14ac:dyDescent="0.25">
      <c r="A3956" s="5">
        <v>27687</v>
      </c>
      <c r="B3956">
        <v>89.819999694824205</v>
      </c>
    </row>
    <row r="3957" spans="1:2" x14ac:dyDescent="0.25">
      <c r="A3957" s="5">
        <v>27688</v>
      </c>
      <c r="B3957">
        <v>90.559997558593807</v>
      </c>
    </row>
    <row r="3958" spans="1:2" x14ac:dyDescent="0.25">
      <c r="A3958" s="5">
        <v>27689</v>
      </c>
      <c r="B3958">
        <v>90.709999084472699</v>
      </c>
    </row>
    <row r="3959" spans="1:2" x14ac:dyDescent="0.25">
      <c r="A3959" s="5">
        <v>27690</v>
      </c>
      <c r="B3959">
        <v>91.239997863769503</v>
      </c>
    </row>
    <row r="3960" spans="1:2" x14ac:dyDescent="0.25">
      <c r="A3960" s="5">
        <v>27691</v>
      </c>
      <c r="B3960">
        <v>89.830001831054702</v>
      </c>
    </row>
    <row r="3961" spans="1:2" x14ac:dyDescent="0.25">
      <c r="A3961" s="5">
        <v>27694</v>
      </c>
      <c r="B3961">
        <v>89.730003356933594</v>
      </c>
    </row>
    <row r="3962" spans="1:2" x14ac:dyDescent="0.25">
      <c r="A3962" s="5">
        <v>27695</v>
      </c>
      <c r="B3962">
        <v>90.510002136230497</v>
      </c>
    </row>
    <row r="3963" spans="1:2" x14ac:dyDescent="0.25">
      <c r="A3963" s="5">
        <v>27696</v>
      </c>
      <c r="B3963">
        <v>89.389999389648395</v>
      </c>
    </row>
    <row r="3964" spans="1:2" x14ac:dyDescent="0.25">
      <c r="A3964" s="5">
        <v>27697</v>
      </c>
      <c r="B3964">
        <v>89.309997558593807</v>
      </c>
    </row>
    <row r="3965" spans="1:2" x14ac:dyDescent="0.25">
      <c r="A3965" s="5">
        <v>27698</v>
      </c>
      <c r="B3965">
        <v>89.040000915527301</v>
      </c>
    </row>
    <row r="3966" spans="1:2" x14ac:dyDescent="0.25">
      <c r="A3966" s="5">
        <v>27701</v>
      </c>
      <c r="B3966">
        <v>88.089996337890597</v>
      </c>
    </row>
    <row r="3967" spans="1:2" x14ac:dyDescent="0.25">
      <c r="A3967" s="5">
        <v>27702</v>
      </c>
      <c r="B3967">
        <v>88.510002136230497</v>
      </c>
    </row>
    <row r="3968" spans="1:2" x14ac:dyDescent="0.25">
      <c r="A3968" s="5">
        <v>27703</v>
      </c>
      <c r="B3968">
        <v>89.150001525878906</v>
      </c>
    </row>
    <row r="3969" spans="1:2" x14ac:dyDescent="0.25">
      <c r="A3969" s="5">
        <v>27704</v>
      </c>
      <c r="B3969">
        <v>89.550003051757798</v>
      </c>
    </row>
    <row r="3970" spans="1:2" x14ac:dyDescent="0.25">
      <c r="A3970" s="5">
        <v>27705</v>
      </c>
      <c r="B3970">
        <v>89.330001831054702</v>
      </c>
    </row>
    <row r="3971" spans="1:2" x14ac:dyDescent="0.25">
      <c r="A3971" s="5">
        <v>27708</v>
      </c>
      <c r="B3971">
        <v>89.339996337890597</v>
      </c>
    </row>
    <row r="3972" spans="1:2" x14ac:dyDescent="0.25">
      <c r="A3972" s="5">
        <v>27709</v>
      </c>
      <c r="B3972">
        <v>89.870002746582003</v>
      </c>
    </row>
    <row r="3973" spans="1:2" x14ac:dyDescent="0.25">
      <c r="A3973" s="5">
        <v>27710</v>
      </c>
      <c r="B3973">
        <v>91.190002441406193</v>
      </c>
    </row>
    <row r="3974" spans="1:2" x14ac:dyDescent="0.25">
      <c r="A3974" s="5">
        <v>27711</v>
      </c>
      <c r="B3974">
        <v>91.040000915527301</v>
      </c>
    </row>
    <row r="3975" spans="1:2" x14ac:dyDescent="0.25">
      <c r="A3975" s="5">
        <v>27712</v>
      </c>
      <c r="B3975">
        <v>90.970001220703097</v>
      </c>
    </row>
    <row r="3976" spans="1:2" x14ac:dyDescent="0.25">
      <c r="A3976" s="5">
        <v>27715</v>
      </c>
      <c r="B3976">
        <v>91.459999084472699</v>
      </c>
    </row>
    <row r="3977" spans="1:2" x14ac:dyDescent="0.25">
      <c r="A3977" s="5">
        <v>27716</v>
      </c>
      <c r="B3977">
        <v>91</v>
      </c>
    </row>
    <row r="3978" spans="1:2" x14ac:dyDescent="0.25">
      <c r="A3978" s="5">
        <v>27717</v>
      </c>
      <c r="B3978">
        <v>89.980003356933594</v>
      </c>
    </row>
    <row r="3979" spans="1:2" x14ac:dyDescent="0.25">
      <c r="A3979" s="5">
        <v>27718</v>
      </c>
      <c r="B3979">
        <v>89.639999389648395</v>
      </c>
    </row>
    <row r="3980" spans="1:2" x14ac:dyDescent="0.25">
      <c r="A3980" s="5">
        <v>27719</v>
      </c>
      <c r="B3980">
        <v>89.529998779296903</v>
      </c>
    </row>
    <row r="3981" spans="1:2" x14ac:dyDescent="0.25">
      <c r="A3981" s="5">
        <v>27722</v>
      </c>
      <c r="B3981">
        <v>89.699996948242202</v>
      </c>
    </row>
    <row r="3982" spans="1:2" x14ac:dyDescent="0.25">
      <c r="A3982" s="5">
        <v>27723</v>
      </c>
      <c r="B3982">
        <v>90.709999084472699</v>
      </c>
    </row>
    <row r="3983" spans="1:2" x14ac:dyDescent="0.25">
      <c r="A3983" s="5">
        <v>27724</v>
      </c>
      <c r="B3983">
        <v>90.940002441406193</v>
      </c>
    </row>
    <row r="3984" spans="1:2" x14ac:dyDescent="0.25">
      <c r="A3984" s="5">
        <v>27726</v>
      </c>
      <c r="B3984">
        <v>91.239997863769503</v>
      </c>
    </row>
    <row r="3985" spans="1:2" x14ac:dyDescent="0.25">
      <c r="A3985" s="5">
        <v>27729</v>
      </c>
      <c r="B3985">
        <v>90.669998168945298</v>
      </c>
    </row>
    <row r="3986" spans="1:2" x14ac:dyDescent="0.25">
      <c r="A3986" s="5">
        <v>27730</v>
      </c>
      <c r="B3986">
        <v>89.330001831054702</v>
      </c>
    </row>
    <row r="3987" spans="1:2" x14ac:dyDescent="0.25">
      <c r="A3987" s="5">
        <v>27731</v>
      </c>
      <c r="B3987">
        <v>87.599998474121094</v>
      </c>
    </row>
    <row r="3988" spans="1:2" x14ac:dyDescent="0.25">
      <c r="A3988" s="5">
        <v>27732</v>
      </c>
      <c r="B3988">
        <v>87.839996337890597</v>
      </c>
    </row>
    <row r="3989" spans="1:2" x14ac:dyDescent="0.25">
      <c r="A3989" s="5">
        <v>27733</v>
      </c>
      <c r="B3989">
        <v>86.819999694824205</v>
      </c>
    </row>
    <row r="3990" spans="1:2" x14ac:dyDescent="0.25">
      <c r="A3990" s="5">
        <v>27736</v>
      </c>
      <c r="B3990">
        <v>87.069999694824205</v>
      </c>
    </row>
    <row r="3991" spans="1:2" x14ac:dyDescent="0.25">
      <c r="A3991" s="5">
        <v>27737</v>
      </c>
      <c r="B3991">
        <v>87.300003051757798</v>
      </c>
    </row>
    <row r="3992" spans="1:2" x14ac:dyDescent="0.25">
      <c r="A3992" s="5">
        <v>27738</v>
      </c>
      <c r="B3992">
        <v>88.080001831054702</v>
      </c>
    </row>
    <row r="3993" spans="1:2" x14ac:dyDescent="0.25">
      <c r="A3993" s="5">
        <v>27739</v>
      </c>
      <c r="B3993">
        <v>87.800003051757798</v>
      </c>
    </row>
    <row r="3994" spans="1:2" x14ac:dyDescent="0.25">
      <c r="A3994" s="5">
        <v>27740</v>
      </c>
      <c r="B3994">
        <v>87.830001831054702</v>
      </c>
    </row>
    <row r="3995" spans="1:2" x14ac:dyDescent="0.25">
      <c r="A3995" s="5">
        <v>27743</v>
      </c>
      <c r="B3995">
        <v>88.089996337890597</v>
      </c>
    </row>
    <row r="3996" spans="1:2" x14ac:dyDescent="0.25">
      <c r="A3996" s="5">
        <v>27744</v>
      </c>
      <c r="B3996">
        <v>88.930000305175795</v>
      </c>
    </row>
    <row r="3997" spans="1:2" x14ac:dyDescent="0.25">
      <c r="A3997" s="5">
        <v>27745</v>
      </c>
      <c r="B3997">
        <v>89.150001525878906</v>
      </c>
    </row>
    <row r="3998" spans="1:2" x14ac:dyDescent="0.25">
      <c r="A3998" s="5">
        <v>27746</v>
      </c>
      <c r="B3998">
        <v>89.430000305175795</v>
      </c>
    </row>
    <row r="3999" spans="1:2" x14ac:dyDescent="0.25">
      <c r="A3999" s="5">
        <v>27747</v>
      </c>
      <c r="B3999">
        <v>88.800003051757798</v>
      </c>
    </row>
    <row r="4000" spans="1:2" x14ac:dyDescent="0.25">
      <c r="A4000" s="5">
        <v>27750</v>
      </c>
      <c r="B4000">
        <v>88.139999389648395</v>
      </c>
    </row>
    <row r="4001" spans="1:2" x14ac:dyDescent="0.25">
      <c r="A4001" s="5">
        <v>27751</v>
      </c>
      <c r="B4001">
        <v>88.730003356933594</v>
      </c>
    </row>
    <row r="4002" spans="1:2" x14ac:dyDescent="0.25">
      <c r="A4002" s="5">
        <v>27752</v>
      </c>
      <c r="B4002">
        <v>89.459999084472699</v>
      </c>
    </row>
    <row r="4003" spans="1:2" x14ac:dyDescent="0.25">
      <c r="A4003" s="5">
        <v>27754</v>
      </c>
      <c r="B4003">
        <v>90.25</v>
      </c>
    </row>
    <row r="4004" spans="1:2" x14ac:dyDescent="0.25">
      <c r="A4004" s="5">
        <v>27757</v>
      </c>
      <c r="B4004">
        <v>90.129997253417997</v>
      </c>
    </row>
    <row r="4005" spans="1:2" x14ac:dyDescent="0.25">
      <c r="A4005" s="5">
        <v>27758</v>
      </c>
      <c r="B4005">
        <v>89.769996643066406</v>
      </c>
    </row>
    <row r="4006" spans="1:2" x14ac:dyDescent="0.25">
      <c r="A4006" s="5">
        <v>27759</v>
      </c>
      <c r="B4006">
        <v>90.190002441406193</v>
      </c>
    </row>
    <row r="4007" spans="1:2" x14ac:dyDescent="0.25">
      <c r="A4007" s="5">
        <v>27761</v>
      </c>
      <c r="B4007">
        <v>90.900001525878906</v>
      </c>
    </row>
    <row r="4008" spans="1:2" x14ac:dyDescent="0.25">
      <c r="A4008" s="5">
        <v>27764</v>
      </c>
      <c r="B4008">
        <v>92.580001831054702</v>
      </c>
    </row>
    <row r="4009" spans="1:2" x14ac:dyDescent="0.25">
      <c r="A4009" s="5">
        <v>27765</v>
      </c>
      <c r="B4009">
        <v>93.529998779296903</v>
      </c>
    </row>
    <row r="4010" spans="1:2" x14ac:dyDescent="0.25">
      <c r="A4010" s="5">
        <v>27766</v>
      </c>
      <c r="B4010">
        <v>93.949996948242202</v>
      </c>
    </row>
    <row r="4011" spans="1:2" x14ac:dyDescent="0.25">
      <c r="A4011" s="5">
        <v>27767</v>
      </c>
      <c r="B4011">
        <v>94.580001831054702</v>
      </c>
    </row>
    <row r="4012" spans="1:2" x14ac:dyDescent="0.25">
      <c r="A4012" s="5">
        <v>27768</v>
      </c>
      <c r="B4012">
        <v>94.949996948242202</v>
      </c>
    </row>
    <row r="4013" spans="1:2" x14ac:dyDescent="0.25">
      <c r="A4013" s="5">
        <v>27771</v>
      </c>
      <c r="B4013">
        <v>96.330001831054702</v>
      </c>
    </row>
    <row r="4014" spans="1:2" x14ac:dyDescent="0.25">
      <c r="A4014" s="5">
        <v>27772</v>
      </c>
      <c r="B4014">
        <v>95.569999694824205</v>
      </c>
    </row>
    <row r="4015" spans="1:2" x14ac:dyDescent="0.25">
      <c r="A4015" s="5">
        <v>27773</v>
      </c>
      <c r="B4015">
        <v>97.129997253417997</v>
      </c>
    </row>
    <row r="4016" spans="1:2" x14ac:dyDescent="0.25">
      <c r="A4016" s="5">
        <v>27774</v>
      </c>
      <c r="B4016">
        <v>96.610000610351605</v>
      </c>
    </row>
    <row r="4017" spans="1:2" x14ac:dyDescent="0.25">
      <c r="A4017" s="5">
        <v>27775</v>
      </c>
      <c r="B4017">
        <v>97</v>
      </c>
    </row>
    <row r="4018" spans="1:2" x14ac:dyDescent="0.25">
      <c r="A4018" s="5">
        <v>27778</v>
      </c>
      <c r="B4018">
        <v>98.319999694824205</v>
      </c>
    </row>
    <row r="4019" spans="1:2" x14ac:dyDescent="0.25">
      <c r="A4019" s="5">
        <v>27779</v>
      </c>
      <c r="B4019">
        <v>98.860000610351605</v>
      </c>
    </row>
    <row r="4020" spans="1:2" x14ac:dyDescent="0.25">
      <c r="A4020" s="5">
        <v>27780</v>
      </c>
      <c r="B4020">
        <v>98.239997863769503</v>
      </c>
    </row>
    <row r="4021" spans="1:2" x14ac:dyDescent="0.25">
      <c r="A4021" s="5">
        <v>27781</v>
      </c>
      <c r="B4021">
        <v>98.040000915527301</v>
      </c>
    </row>
    <row r="4022" spans="1:2" x14ac:dyDescent="0.25">
      <c r="A4022" s="5">
        <v>27782</v>
      </c>
      <c r="B4022">
        <v>99.209999084472699</v>
      </c>
    </row>
    <row r="4023" spans="1:2" x14ac:dyDescent="0.25">
      <c r="A4023" s="5">
        <v>27785</v>
      </c>
      <c r="B4023">
        <v>99.680000305175795</v>
      </c>
    </row>
    <row r="4024" spans="1:2" x14ac:dyDescent="0.25">
      <c r="A4024" s="5">
        <v>27786</v>
      </c>
      <c r="B4024">
        <v>99.069999694824205</v>
      </c>
    </row>
    <row r="4025" spans="1:2" x14ac:dyDescent="0.25">
      <c r="A4025" s="5">
        <v>27787</v>
      </c>
      <c r="B4025">
        <v>98.529998779296903</v>
      </c>
    </row>
    <row r="4026" spans="1:2" x14ac:dyDescent="0.25">
      <c r="A4026" s="5">
        <v>27788</v>
      </c>
      <c r="B4026">
        <v>100.110000610352</v>
      </c>
    </row>
    <row r="4027" spans="1:2" x14ac:dyDescent="0.25">
      <c r="A4027" s="5">
        <v>27789</v>
      </c>
      <c r="B4027">
        <v>100.860000610352</v>
      </c>
    </row>
    <row r="4028" spans="1:2" x14ac:dyDescent="0.25">
      <c r="A4028" s="5">
        <v>27792</v>
      </c>
      <c r="B4028">
        <v>100.870002746582</v>
      </c>
    </row>
    <row r="4029" spans="1:2" x14ac:dyDescent="0.25">
      <c r="A4029" s="5">
        <v>27793</v>
      </c>
      <c r="B4029">
        <v>101.18000030517599</v>
      </c>
    </row>
    <row r="4030" spans="1:2" x14ac:dyDescent="0.25">
      <c r="A4030" s="5">
        <v>27794</v>
      </c>
      <c r="B4030">
        <v>101.91000366210901</v>
      </c>
    </row>
    <row r="4031" spans="1:2" x14ac:dyDescent="0.25">
      <c r="A4031" s="5">
        <v>27795</v>
      </c>
      <c r="B4031">
        <v>100.389999389648</v>
      </c>
    </row>
    <row r="4032" spans="1:2" x14ac:dyDescent="0.25">
      <c r="A4032" s="5">
        <v>27796</v>
      </c>
      <c r="B4032">
        <v>99.459999084472699</v>
      </c>
    </row>
    <row r="4033" spans="1:2" x14ac:dyDescent="0.25">
      <c r="A4033" s="5">
        <v>27799</v>
      </c>
      <c r="B4033">
        <v>99.620002746582003</v>
      </c>
    </row>
    <row r="4034" spans="1:2" x14ac:dyDescent="0.25">
      <c r="A4034" s="5">
        <v>27800</v>
      </c>
      <c r="B4034">
        <v>100.470001220703</v>
      </c>
    </row>
    <row r="4035" spans="1:2" x14ac:dyDescent="0.25">
      <c r="A4035" s="5">
        <v>27801</v>
      </c>
      <c r="B4035">
        <v>100.76999664306599</v>
      </c>
    </row>
    <row r="4036" spans="1:2" x14ac:dyDescent="0.25">
      <c r="A4036" s="5">
        <v>27802</v>
      </c>
      <c r="B4036">
        <v>100.25</v>
      </c>
    </row>
    <row r="4037" spans="1:2" x14ac:dyDescent="0.25">
      <c r="A4037" s="5">
        <v>27803</v>
      </c>
      <c r="B4037">
        <v>99.669998168945298</v>
      </c>
    </row>
    <row r="4038" spans="1:2" x14ac:dyDescent="0.25">
      <c r="A4038" s="5">
        <v>27807</v>
      </c>
      <c r="B4038">
        <v>99.050003051757798</v>
      </c>
    </row>
    <row r="4039" spans="1:2" x14ac:dyDescent="0.25">
      <c r="A4039" s="5">
        <v>27808</v>
      </c>
      <c r="B4039">
        <v>99.849998474121094</v>
      </c>
    </row>
    <row r="4040" spans="1:2" x14ac:dyDescent="0.25">
      <c r="A4040" s="5">
        <v>27809</v>
      </c>
      <c r="B4040">
        <v>101.41000366210901</v>
      </c>
    </row>
    <row r="4041" spans="1:2" x14ac:dyDescent="0.25">
      <c r="A4041" s="5">
        <v>27810</v>
      </c>
      <c r="B4041">
        <v>102.09999847412099</v>
      </c>
    </row>
    <row r="4042" spans="1:2" x14ac:dyDescent="0.25">
      <c r="A4042" s="5">
        <v>27813</v>
      </c>
      <c r="B4042">
        <v>101.610000610352</v>
      </c>
    </row>
    <row r="4043" spans="1:2" x14ac:dyDescent="0.25">
      <c r="A4043" s="5">
        <v>27814</v>
      </c>
      <c r="B4043">
        <v>102.029998779297</v>
      </c>
    </row>
    <row r="4044" spans="1:2" x14ac:dyDescent="0.25">
      <c r="A4044" s="5">
        <v>27815</v>
      </c>
      <c r="B4044">
        <v>101.69000244140599</v>
      </c>
    </row>
    <row r="4045" spans="1:2" x14ac:dyDescent="0.25">
      <c r="A4045" s="5">
        <v>27816</v>
      </c>
      <c r="B4045">
        <v>100.110000610352</v>
      </c>
    </row>
    <row r="4046" spans="1:2" x14ac:dyDescent="0.25">
      <c r="A4046" s="5">
        <v>27817</v>
      </c>
      <c r="B4046">
        <v>99.709999084472699</v>
      </c>
    </row>
    <row r="4047" spans="1:2" x14ac:dyDescent="0.25">
      <c r="A4047" s="5">
        <v>27820</v>
      </c>
      <c r="B4047">
        <v>100.01999664306599</v>
      </c>
    </row>
    <row r="4048" spans="1:2" x14ac:dyDescent="0.25">
      <c r="A4048" s="5">
        <v>27821</v>
      </c>
      <c r="B4048">
        <v>100.580001831055</v>
      </c>
    </row>
    <row r="4049" spans="1:2" x14ac:dyDescent="0.25">
      <c r="A4049" s="5">
        <v>27822</v>
      </c>
      <c r="B4049">
        <v>99.980003356933594</v>
      </c>
    </row>
    <row r="4050" spans="1:2" x14ac:dyDescent="0.25">
      <c r="A4050" s="5">
        <v>27823</v>
      </c>
      <c r="B4050">
        <v>98.919998168945298</v>
      </c>
    </row>
    <row r="4051" spans="1:2" x14ac:dyDescent="0.25">
      <c r="A4051" s="5">
        <v>27824</v>
      </c>
      <c r="B4051">
        <v>99.110000610351605</v>
      </c>
    </row>
    <row r="4052" spans="1:2" x14ac:dyDescent="0.25">
      <c r="A4052" s="5">
        <v>27827</v>
      </c>
      <c r="B4052">
        <v>100.19000244140599</v>
      </c>
    </row>
    <row r="4053" spans="1:2" x14ac:dyDescent="0.25">
      <c r="A4053" s="5">
        <v>27828</v>
      </c>
      <c r="B4053">
        <v>100.580001831055</v>
      </c>
    </row>
    <row r="4054" spans="1:2" x14ac:dyDescent="0.25">
      <c r="A4054" s="5">
        <v>27829</v>
      </c>
      <c r="B4054">
        <v>100.94000244140599</v>
      </c>
    </row>
    <row r="4055" spans="1:2" x14ac:dyDescent="0.25">
      <c r="A4055" s="5">
        <v>27830</v>
      </c>
      <c r="B4055">
        <v>101.889999389648</v>
      </c>
    </row>
    <row r="4056" spans="1:2" x14ac:dyDescent="0.25">
      <c r="A4056" s="5">
        <v>27831</v>
      </c>
      <c r="B4056">
        <v>100.860000610352</v>
      </c>
    </row>
    <row r="4057" spans="1:2" x14ac:dyDescent="0.25">
      <c r="A4057" s="5">
        <v>27834</v>
      </c>
      <c r="B4057">
        <v>99.800003051757798</v>
      </c>
    </row>
    <row r="4058" spans="1:2" x14ac:dyDescent="0.25">
      <c r="A4058" s="5">
        <v>27835</v>
      </c>
      <c r="B4058">
        <v>100.919998168945</v>
      </c>
    </row>
    <row r="4059" spans="1:2" x14ac:dyDescent="0.25">
      <c r="A4059" s="5">
        <v>27836</v>
      </c>
      <c r="B4059">
        <v>100.860000610352</v>
      </c>
    </row>
    <row r="4060" spans="1:2" x14ac:dyDescent="0.25">
      <c r="A4060" s="5">
        <v>27837</v>
      </c>
      <c r="B4060">
        <v>100.449996948242</v>
      </c>
    </row>
    <row r="4061" spans="1:2" x14ac:dyDescent="0.25">
      <c r="A4061" s="5">
        <v>27838</v>
      </c>
      <c r="B4061">
        <v>100.580001831055</v>
      </c>
    </row>
    <row r="4062" spans="1:2" x14ac:dyDescent="0.25">
      <c r="A4062" s="5">
        <v>27841</v>
      </c>
      <c r="B4062">
        <v>100.709999084473</v>
      </c>
    </row>
    <row r="4063" spans="1:2" x14ac:dyDescent="0.25">
      <c r="A4063" s="5">
        <v>27842</v>
      </c>
      <c r="B4063">
        <v>102.23999786377</v>
      </c>
    </row>
    <row r="4064" spans="1:2" x14ac:dyDescent="0.25">
      <c r="A4064" s="5">
        <v>27843</v>
      </c>
      <c r="B4064">
        <v>103.419998168945</v>
      </c>
    </row>
    <row r="4065" spans="1:2" x14ac:dyDescent="0.25">
      <c r="A4065" s="5">
        <v>27844</v>
      </c>
      <c r="B4065">
        <v>102.84999847412099</v>
      </c>
    </row>
    <row r="4066" spans="1:2" x14ac:dyDescent="0.25">
      <c r="A4066" s="5">
        <v>27845</v>
      </c>
      <c r="B4066">
        <v>102.84999847412099</v>
      </c>
    </row>
    <row r="4067" spans="1:2" x14ac:dyDescent="0.25">
      <c r="A4067" s="5">
        <v>27848</v>
      </c>
      <c r="B4067">
        <v>102.41000366210901</v>
      </c>
    </row>
    <row r="4068" spans="1:2" x14ac:dyDescent="0.25">
      <c r="A4068" s="5">
        <v>27849</v>
      </c>
      <c r="B4068">
        <v>102.01000213623</v>
      </c>
    </row>
    <row r="4069" spans="1:2" x14ac:dyDescent="0.25">
      <c r="A4069" s="5">
        <v>27850</v>
      </c>
      <c r="B4069">
        <v>102.76999664306599</v>
      </c>
    </row>
    <row r="4070" spans="1:2" x14ac:dyDescent="0.25">
      <c r="A4070" s="5">
        <v>27851</v>
      </c>
      <c r="B4070">
        <v>102.23999786377</v>
      </c>
    </row>
    <row r="4071" spans="1:2" x14ac:dyDescent="0.25">
      <c r="A4071" s="5">
        <v>27852</v>
      </c>
      <c r="B4071">
        <v>102.25</v>
      </c>
    </row>
    <row r="4072" spans="1:2" x14ac:dyDescent="0.25">
      <c r="A4072" s="5">
        <v>27855</v>
      </c>
      <c r="B4072">
        <v>103.51000213623</v>
      </c>
    </row>
    <row r="4073" spans="1:2" x14ac:dyDescent="0.25">
      <c r="A4073" s="5">
        <v>27856</v>
      </c>
      <c r="B4073">
        <v>103.360000610352</v>
      </c>
    </row>
    <row r="4074" spans="1:2" x14ac:dyDescent="0.25">
      <c r="A4074" s="5">
        <v>27857</v>
      </c>
      <c r="B4074">
        <v>102.209999084473</v>
      </c>
    </row>
    <row r="4075" spans="1:2" x14ac:dyDescent="0.25">
      <c r="A4075" s="5">
        <v>27858</v>
      </c>
      <c r="B4075">
        <v>101.279998779297</v>
      </c>
    </row>
    <row r="4076" spans="1:2" x14ac:dyDescent="0.25">
      <c r="A4076" s="5">
        <v>27859</v>
      </c>
      <c r="B4076">
        <v>100.34999847412099</v>
      </c>
    </row>
    <row r="4077" spans="1:2" x14ac:dyDescent="0.25">
      <c r="A4077" s="5">
        <v>27862</v>
      </c>
      <c r="B4077">
        <v>100.199996948242</v>
      </c>
    </row>
    <row r="4078" spans="1:2" x14ac:dyDescent="0.25">
      <c r="A4078" s="5">
        <v>27863</v>
      </c>
      <c r="B4078">
        <v>101.050003051758</v>
      </c>
    </row>
    <row r="4079" spans="1:2" x14ac:dyDescent="0.25">
      <c r="A4079" s="5">
        <v>27864</v>
      </c>
      <c r="B4079">
        <v>100.30999755859401</v>
      </c>
    </row>
    <row r="4080" spans="1:2" x14ac:dyDescent="0.25">
      <c r="A4080" s="5">
        <v>27865</v>
      </c>
      <c r="B4080">
        <v>100.669998168945</v>
      </c>
    </row>
    <row r="4081" spans="1:2" x14ac:dyDescent="0.25">
      <c r="A4081" s="5">
        <v>27869</v>
      </c>
      <c r="B4081">
        <v>101.44000244140599</v>
      </c>
    </row>
    <row r="4082" spans="1:2" x14ac:dyDescent="0.25">
      <c r="A4082" s="5">
        <v>27870</v>
      </c>
      <c r="B4082">
        <v>102.870002746582</v>
      </c>
    </row>
    <row r="4083" spans="1:2" x14ac:dyDescent="0.25">
      <c r="A4083" s="5">
        <v>27871</v>
      </c>
      <c r="B4083">
        <v>103.31999969482401</v>
      </c>
    </row>
    <row r="4084" spans="1:2" x14ac:dyDescent="0.25">
      <c r="A4084" s="5">
        <v>27872</v>
      </c>
      <c r="B4084">
        <v>102.98000335693401</v>
      </c>
    </row>
    <row r="4085" spans="1:2" x14ac:dyDescent="0.25">
      <c r="A4085" s="5">
        <v>27873</v>
      </c>
      <c r="B4085">
        <v>102.290000915527</v>
      </c>
    </row>
    <row r="4086" spans="1:2" x14ac:dyDescent="0.25">
      <c r="A4086" s="5">
        <v>27876</v>
      </c>
      <c r="B4086">
        <v>102.43000030517599</v>
      </c>
    </row>
    <row r="4087" spans="1:2" x14ac:dyDescent="0.25">
      <c r="A4087" s="5">
        <v>27877</v>
      </c>
      <c r="B4087">
        <v>101.860000610352</v>
      </c>
    </row>
    <row r="4088" spans="1:2" x14ac:dyDescent="0.25">
      <c r="A4088" s="5">
        <v>27878</v>
      </c>
      <c r="B4088">
        <v>102.129997253418</v>
      </c>
    </row>
    <row r="4089" spans="1:2" x14ac:dyDescent="0.25">
      <c r="A4089" s="5">
        <v>27879</v>
      </c>
      <c r="B4089">
        <v>102.129997253418</v>
      </c>
    </row>
    <row r="4090" spans="1:2" x14ac:dyDescent="0.25">
      <c r="A4090" s="5">
        <v>27880</v>
      </c>
      <c r="B4090">
        <v>101.639999389648</v>
      </c>
    </row>
    <row r="4091" spans="1:2" x14ac:dyDescent="0.25">
      <c r="A4091" s="5">
        <v>27883</v>
      </c>
      <c r="B4091">
        <v>100.919998168945</v>
      </c>
    </row>
    <row r="4092" spans="1:2" x14ac:dyDescent="0.25">
      <c r="A4092" s="5">
        <v>27884</v>
      </c>
      <c r="B4092">
        <v>101.459999084473</v>
      </c>
    </row>
    <row r="4093" spans="1:2" x14ac:dyDescent="0.25">
      <c r="A4093" s="5">
        <v>27885</v>
      </c>
      <c r="B4093">
        <v>100.879997253418</v>
      </c>
    </row>
    <row r="4094" spans="1:2" x14ac:dyDescent="0.25">
      <c r="A4094" s="5">
        <v>27886</v>
      </c>
      <c r="B4094">
        <v>101.16000366210901</v>
      </c>
    </row>
    <row r="4095" spans="1:2" x14ac:dyDescent="0.25">
      <c r="A4095" s="5">
        <v>27887</v>
      </c>
      <c r="B4095">
        <v>101.879997253418</v>
      </c>
    </row>
    <row r="4096" spans="1:2" x14ac:dyDescent="0.25">
      <c r="A4096" s="5">
        <v>27890</v>
      </c>
      <c r="B4096">
        <v>103.09999847412099</v>
      </c>
    </row>
    <row r="4097" spans="1:2" x14ac:dyDescent="0.25">
      <c r="A4097" s="5">
        <v>27891</v>
      </c>
      <c r="B4097">
        <v>102.949996948242</v>
      </c>
    </row>
    <row r="4098" spans="1:2" x14ac:dyDescent="0.25">
      <c r="A4098" s="5">
        <v>27892</v>
      </c>
      <c r="B4098">
        <v>102.76999664306599</v>
      </c>
    </row>
    <row r="4099" spans="1:2" x14ac:dyDescent="0.25">
      <c r="A4099" s="5">
        <v>27893</v>
      </c>
      <c r="B4099">
        <v>102.16000366210901</v>
      </c>
    </row>
    <row r="4100" spans="1:2" x14ac:dyDescent="0.25">
      <c r="A4100" s="5">
        <v>27894</v>
      </c>
      <c r="B4100">
        <v>101.33999633789099</v>
      </c>
    </row>
    <row r="4101" spans="1:2" x14ac:dyDescent="0.25">
      <c r="A4101" s="5">
        <v>27897</v>
      </c>
      <c r="B4101">
        <v>101.08999633789099</v>
      </c>
    </row>
    <row r="4102" spans="1:2" x14ac:dyDescent="0.25">
      <c r="A4102" s="5">
        <v>27898</v>
      </c>
      <c r="B4102">
        <v>101.26000213623</v>
      </c>
    </row>
    <row r="4103" spans="1:2" x14ac:dyDescent="0.25">
      <c r="A4103" s="5">
        <v>27899</v>
      </c>
      <c r="B4103">
        <v>101.18000030517599</v>
      </c>
    </row>
    <row r="4104" spans="1:2" x14ac:dyDescent="0.25">
      <c r="A4104" s="5">
        <v>27900</v>
      </c>
      <c r="B4104">
        <v>102</v>
      </c>
    </row>
    <row r="4105" spans="1:2" x14ac:dyDescent="0.25">
      <c r="A4105" s="5">
        <v>27901</v>
      </c>
      <c r="B4105">
        <v>101.26000213623</v>
      </c>
    </row>
    <row r="4106" spans="1:2" x14ac:dyDescent="0.25">
      <c r="A4106" s="5">
        <v>27904</v>
      </c>
      <c r="B4106">
        <v>99.440002441406193</v>
      </c>
    </row>
    <row r="4107" spans="1:2" x14ac:dyDescent="0.25">
      <c r="A4107" s="5">
        <v>27905</v>
      </c>
      <c r="B4107">
        <v>99.489997863769503</v>
      </c>
    </row>
    <row r="4108" spans="1:2" x14ac:dyDescent="0.25">
      <c r="A4108" s="5">
        <v>27906</v>
      </c>
      <c r="B4108">
        <v>99.339996337890597</v>
      </c>
    </row>
    <row r="4109" spans="1:2" x14ac:dyDescent="0.25">
      <c r="A4109" s="5">
        <v>27907</v>
      </c>
      <c r="B4109">
        <v>99.379997253417997</v>
      </c>
    </row>
    <row r="4110" spans="1:2" x14ac:dyDescent="0.25">
      <c r="A4110" s="5">
        <v>27908</v>
      </c>
      <c r="B4110">
        <v>100.18000030517599</v>
      </c>
    </row>
    <row r="4111" spans="1:2" x14ac:dyDescent="0.25">
      <c r="A4111" s="5">
        <v>27912</v>
      </c>
      <c r="B4111">
        <v>99.849998474121094</v>
      </c>
    </row>
    <row r="4112" spans="1:2" x14ac:dyDescent="0.25">
      <c r="A4112" s="5">
        <v>27913</v>
      </c>
      <c r="B4112">
        <v>100.220001220703</v>
      </c>
    </row>
    <row r="4113" spans="1:2" x14ac:dyDescent="0.25">
      <c r="A4113" s="5">
        <v>27914</v>
      </c>
      <c r="B4113">
        <v>100.129997253418</v>
      </c>
    </row>
    <row r="4114" spans="1:2" x14ac:dyDescent="0.25">
      <c r="A4114" s="5">
        <v>27915</v>
      </c>
      <c r="B4114">
        <v>99.150001525878906</v>
      </c>
    </row>
    <row r="4115" spans="1:2" x14ac:dyDescent="0.25">
      <c r="A4115" s="5">
        <v>27918</v>
      </c>
      <c r="B4115">
        <v>98.629997253417997</v>
      </c>
    </row>
    <row r="4116" spans="1:2" x14ac:dyDescent="0.25">
      <c r="A4116" s="5">
        <v>27919</v>
      </c>
      <c r="B4116">
        <v>98.800003051757798</v>
      </c>
    </row>
    <row r="4117" spans="1:2" x14ac:dyDescent="0.25">
      <c r="A4117" s="5">
        <v>27920</v>
      </c>
      <c r="B4117">
        <v>98.739997863769503</v>
      </c>
    </row>
    <row r="4118" spans="1:2" x14ac:dyDescent="0.25">
      <c r="A4118" s="5">
        <v>27921</v>
      </c>
      <c r="B4118">
        <v>99.559997558593807</v>
      </c>
    </row>
    <row r="4119" spans="1:2" x14ac:dyDescent="0.25">
      <c r="A4119" s="5">
        <v>27922</v>
      </c>
      <c r="B4119">
        <v>100.919998168945</v>
      </c>
    </row>
    <row r="4120" spans="1:2" x14ac:dyDescent="0.25">
      <c r="A4120" s="5">
        <v>27925</v>
      </c>
      <c r="B4120">
        <v>101.949996948242</v>
      </c>
    </row>
    <row r="4121" spans="1:2" x14ac:dyDescent="0.25">
      <c r="A4121" s="5">
        <v>27926</v>
      </c>
      <c r="B4121">
        <v>101.459999084473</v>
      </c>
    </row>
    <row r="4122" spans="1:2" x14ac:dyDescent="0.25">
      <c r="A4122" s="5">
        <v>27927</v>
      </c>
      <c r="B4122">
        <v>102.01000213623</v>
      </c>
    </row>
    <row r="4123" spans="1:2" x14ac:dyDescent="0.25">
      <c r="A4123" s="5">
        <v>27928</v>
      </c>
      <c r="B4123">
        <v>103.610000610352</v>
      </c>
    </row>
    <row r="4124" spans="1:2" x14ac:dyDescent="0.25">
      <c r="A4124" s="5">
        <v>27929</v>
      </c>
      <c r="B4124">
        <v>103.76000213623</v>
      </c>
    </row>
    <row r="4125" spans="1:2" x14ac:dyDescent="0.25">
      <c r="A4125" s="5">
        <v>27932</v>
      </c>
      <c r="B4125">
        <v>104.279998779297</v>
      </c>
    </row>
    <row r="4126" spans="1:2" x14ac:dyDescent="0.25">
      <c r="A4126" s="5">
        <v>27933</v>
      </c>
      <c r="B4126">
        <v>103.470001220703</v>
      </c>
    </row>
    <row r="4127" spans="1:2" x14ac:dyDescent="0.25">
      <c r="A4127" s="5">
        <v>27934</v>
      </c>
      <c r="B4127">
        <v>103.25</v>
      </c>
    </row>
    <row r="4128" spans="1:2" x14ac:dyDescent="0.25">
      <c r="A4128" s="5">
        <v>27935</v>
      </c>
      <c r="B4128">
        <v>103.790000915527</v>
      </c>
    </row>
    <row r="4129" spans="1:2" x14ac:dyDescent="0.25">
      <c r="A4129" s="5">
        <v>27936</v>
      </c>
      <c r="B4129">
        <v>103.720001220703</v>
      </c>
    </row>
    <row r="4130" spans="1:2" x14ac:dyDescent="0.25">
      <c r="A4130" s="5">
        <v>27939</v>
      </c>
      <c r="B4130">
        <v>103.43000030517599</v>
      </c>
    </row>
    <row r="4131" spans="1:2" x14ac:dyDescent="0.25">
      <c r="A4131" s="5">
        <v>27940</v>
      </c>
      <c r="B4131">
        <v>103.860000610352</v>
      </c>
    </row>
    <row r="4132" spans="1:2" x14ac:dyDescent="0.25">
      <c r="A4132" s="5">
        <v>27941</v>
      </c>
      <c r="B4132">
        <v>104.279998779297</v>
      </c>
    </row>
    <row r="4133" spans="1:2" x14ac:dyDescent="0.25">
      <c r="A4133" s="5">
        <v>27942</v>
      </c>
      <c r="B4133">
        <v>103.58999633789099</v>
      </c>
    </row>
    <row r="4134" spans="1:2" x14ac:dyDescent="0.25">
      <c r="A4134" s="5">
        <v>27943</v>
      </c>
      <c r="B4134">
        <v>104.110000610352</v>
      </c>
    </row>
    <row r="4135" spans="1:2" x14ac:dyDescent="0.25">
      <c r="A4135" s="5">
        <v>27947</v>
      </c>
      <c r="B4135">
        <v>103.540000915527</v>
      </c>
    </row>
    <row r="4136" spans="1:2" x14ac:dyDescent="0.25">
      <c r="A4136" s="5">
        <v>27948</v>
      </c>
      <c r="B4136">
        <v>103.830001831055</v>
      </c>
    </row>
    <row r="4137" spans="1:2" x14ac:dyDescent="0.25">
      <c r="A4137" s="5">
        <v>27949</v>
      </c>
      <c r="B4137">
        <v>103.98000335693401</v>
      </c>
    </row>
    <row r="4138" spans="1:2" x14ac:dyDescent="0.25">
      <c r="A4138" s="5">
        <v>27950</v>
      </c>
      <c r="B4138">
        <v>104.98000335693401</v>
      </c>
    </row>
    <row r="4139" spans="1:2" x14ac:dyDescent="0.25">
      <c r="A4139" s="5">
        <v>27953</v>
      </c>
      <c r="B4139">
        <v>105.90000152587901</v>
      </c>
    </row>
    <row r="4140" spans="1:2" x14ac:dyDescent="0.25">
      <c r="A4140" s="5">
        <v>27954</v>
      </c>
      <c r="B4140">
        <v>105.669998168945</v>
      </c>
    </row>
    <row r="4141" spans="1:2" x14ac:dyDescent="0.25">
      <c r="A4141" s="5">
        <v>27955</v>
      </c>
      <c r="B4141">
        <v>105.949996948242</v>
      </c>
    </row>
    <row r="4142" spans="1:2" x14ac:dyDescent="0.25">
      <c r="A4142" s="5">
        <v>27956</v>
      </c>
      <c r="B4142">
        <v>105.199996948242</v>
      </c>
    </row>
    <row r="4143" spans="1:2" x14ac:dyDescent="0.25">
      <c r="A4143" s="5">
        <v>27957</v>
      </c>
      <c r="B4143">
        <v>104.68000030517599</v>
      </c>
    </row>
    <row r="4144" spans="1:2" x14ac:dyDescent="0.25">
      <c r="A4144" s="5">
        <v>27960</v>
      </c>
      <c r="B4144">
        <v>104.290000915527</v>
      </c>
    </row>
    <row r="4145" spans="1:2" x14ac:dyDescent="0.25">
      <c r="A4145" s="5">
        <v>27961</v>
      </c>
      <c r="B4145">
        <v>103.720001220703</v>
      </c>
    </row>
    <row r="4146" spans="1:2" x14ac:dyDescent="0.25">
      <c r="A4146" s="5">
        <v>27962</v>
      </c>
      <c r="B4146">
        <v>103.81999969482401</v>
      </c>
    </row>
    <row r="4147" spans="1:2" x14ac:dyDescent="0.25">
      <c r="A4147" s="5">
        <v>27963</v>
      </c>
      <c r="B4147">
        <v>103.93000030517599</v>
      </c>
    </row>
    <row r="4148" spans="1:2" x14ac:dyDescent="0.25">
      <c r="A4148" s="5">
        <v>27964</v>
      </c>
      <c r="B4148">
        <v>104.05999755859401</v>
      </c>
    </row>
    <row r="4149" spans="1:2" x14ac:dyDescent="0.25">
      <c r="A4149" s="5">
        <v>27967</v>
      </c>
      <c r="B4149">
        <v>104.06999969482401</v>
      </c>
    </row>
    <row r="4150" spans="1:2" x14ac:dyDescent="0.25">
      <c r="A4150" s="5">
        <v>27968</v>
      </c>
      <c r="B4150">
        <v>103.48000335693401</v>
      </c>
    </row>
    <row r="4151" spans="1:2" x14ac:dyDescent="0.25">
      <c r="A4151" s="5">
        <v>27969</v>
      </c>
      <c r="B4151">
        <v>103.050003051758</v>
      </c>
    </row>
    <row r="4152" spans="1:2" x14ac:dyDescent="0.25">
      <c r="A4152" s="5">
        <v>27970</v>
      </c>
      <c r="B4152">
        <v>102.93000030517599</v>
      </c>
    </row>
    <row r="4153" spans="1:2" x14ac:dyDescent="0.25">
      <c r="A4153" s="5">
        <v>27971</v>
      </c>
      <c r="B4153">
        <v>103.44000244140599</v>
      </c>
    </row>
    <row r="4154" spans="1:2" x14ac:dyDescent="0.25">
      <c r="A4154" s="5">
        <v>27974</v>
      </c>
      <c r="B4154">
        <v>103.19000244140599</v>
      </c>
    </row>
    <row r="4155" spans="1:2" x14ac:dyDescent="0.25">
      <c r="A4155" s="5">
        <v>27975</v>
      </c>
      <c r="B4155">
        <v>104.139999389648</v>
      </c>
    </row>
    <row r="4156" spans="1:2" x14ac:dyDescent="0.25">
      <c r="A4156" s="5">
        <v>27976</v>
      </c>
      <c r="B4156">
        <v>104.43000030517599</v>
      </c>
    </row>
    <row r="4157" spans="1:2" x14ac:dyDescent="0.25">
      <c r="A4157" s="5">
        <v>27977</v>
      </c>
      <c r="B4157">
        <v>103.84999847412099</v>
      </c>
    </row>
    <row r="4158" spans="1:2" x14ac:dyDescent="0.25">
      <c r="A4158" s="5">
        <v>27978</v>
      </c>
      <c r="B4158">
        <v>103.790000915527</v>
      </c>
    </row>
    <row r="4159" spans="1:2" x14ac:dyDescent="0.25">
      <c r="A4159" s="5">
        <v>27981</v>
      </c>
      <c r="B4159">
        <v>103.48999786377</v>
      </c>
    </row>
    <row r="4160" spans="1:2" x14ac:dyDescent="0.25">
      <c r="A4160" s="5">
        <v>27982</v>
      </c>
      <c r="B4160">
        <v>104.41000366210901</v>
      </c>
    </row>
    <row r="4161" spans="1:2" x14ac:dyDescent="0.25">
      <c r="A4161" s="5">
        <v>27983</v>
      </c>
      <c r="B4161">
        <v>104.05999755859401</v>
      </c>
    </row>
    <row r="4162" spans="1:2" x14ac:dyDescent="0.25">
      <c r="A4162" s="5">
        <v>27984</v>
      </c>
      <c r="B4162">
        <v>104.220001220703</v>
      </c>
    </row>
    <row r="4163" spans="1:2" x14ac:dyDescent="0.25">
      <c r="A4163" s="5">
        <v>27985</v>
      </c>
      <c r="B4163">
        <v>104.25</v>
      </c>
    </row>
    <row r="4164" spans="1:2" x14ac:dyDescent="0.25">
      <c r="A4164" s="5">
        <v>27988</v>
      </c>
      <c r="B4164">
        <v>104.43000030517599</v>
      </c>
    </row>
    <row r="4165" spans="1:2" x14ac:dyDescent="0.25">
      <c r="A4165" s="5">
        <v>27989</v>
      </c>
      <c r="B4165">
        <v>104.800003051758</v>
      </c>
    </row>
    <row r="4166" spans="1:2" x14ac:dyDescent="0.25">
      <c r="A4166" s="5">
        <v>27990</v>
      </c>
      <c r="B4166">
        <v>104.55999755859401</v>
      </c>
    </row>
    <row r="4167" spans="1:2" x14ac:dyDescent="0.25">
      <c r="A4167" s="5">
        <v>27991</v>
      </c>
      <c r="B4167">
        <v>103.389999389648</v>
      </c>
    </row>
    <row r="4168" spans="1:2" x14ac:dyDescent="0.25">
      <c r="A4168" s="5">
        <v>27992</v>
      </c>
      <c r="B4168">
        <v>102.370002746582</v>
      </c>
    </row>
    <row r="4169" spans="1:2" x14ac:dyDescent="0.25">
      <c r="A4169" s="5">
        <v>27995</v>
      </c>
      <c r="B4169">
        <v>101.959999084473</v>
      </c>
    </row>
    <row r="4170" spans="1:2" x14ac:dyDescent="0.25">
      <c r="A4170" s="5">
        <v>27996</v>
      </c>
      <c r="B4170">
        <v>101.26999664306599</v>
      </c>
    </row>
    <row r="4171" spans="1:2" x14ac:dyDescent="0.25">
      <c r="A4171" s="5">
        <v>27997</v>
      </c>
      <c r="B4171">
        <v>102.029998779297</v>
      </c>
    </row>
    <row r="4172" spans="1:2" x14ac:dyDescent="0.25">
      <c r="A4172" s="5">
        <v>27998</v>
      </c>
      <c r="B4172">
        <v>101.31999969482401</v>
      </c>
    </row>
    <row r="4173" spans="1:2" x14ac:dyDescent="0.25">
      <c r="A4173" s="5">
        <v>27999</v>
      </c>
      <c r="B4173">
        <v>101.48000335693401</v>
      </c>
    </row>
    <row r="4174" spans="1:2" x14ac:dyDescent="0.25">
      <c r="A4174" s="5">
        <v>28002</v>
      </c>
      <c r="B4174">
        <v>102.06999969482401</v>
      </c>
    </row>
    <row r="4175" spans="1:2" x14ac:dyDescent="0.25">
      <c r="A4175" s="5">
        <v>28003</v>
      </c>
      <c r="B4175">
        <v>102.91000366210901</v>
      </c>
    </row>
    <row r="4176" spans="1:2" x14ac:dyDescent="0.25">
      <c r="A4176" s="5">
        <v>28004</v>
      </c>
      <c r="B4176">
        <v>104.05999755859401</v>
      </c>
    </row>
    <row r="4177" spans="1:2" x14ac:dyDescent="0.25">
      <c r="A4177" s="5">
        <v>28005</v>
      </c>
      <c r="B4177">
        <v>103.919998168945</v>
      </c>
    </row>
    <row r="4178" spans="1:2" x14ac:dyDescent="0.25">
      <c r="A4178" s="5">
        <v>28006</v>
      </c>
      <c r="B4178">
        <v>104.300003051758</v>
      </c>
    </row>
    <row r="4179" spans="1:2" x14ac:dyDescent="0.25">
      <c r="A4179" s="5">
        <v>28010</v>
      </c>
      <c r="B4179">
        <v>105.029998779297</v>
      </c>
    </row>
    <row r="4180" spans="1:2" x14ac:dyDescent="0.25">
      <c r="A4180" s="5">
        <v>28011</v>
      </c>
      <c r="B4180">
        <v>104.94000244140599</v>
      </c>
    </row>
    <row r="4181" spans="1:2" x14ac:dyDescent="0.25">
      <c r="A4181" s="5">
        <v>28012</v>
      </c>
      <c r="B4181">
        <v>104.40000152587901</v>
      </c>
    </row>
    <row r="4182" spans="1:2" x14ac:dyDescent="0.25">
      <c r="A4182" s="5">
        <v>28013</v>
      </c>
      <c r="B4182">
        <v>104.65000152587901</v>
      </c>
    </row>
    <row r="4183" spans="1:2" x14ac:dyDescent="0.25">
      <c r="A4183" s="5">
        <v>28016</v>
      </c>
      <c r="B4183">
        <v>104.290000915527</v>
      </c>
    </row>
    <row r="4184" spans="1:2" x14ac:dyDescent="0.25">
      <c r="A4184" s="5">
        <v>28017</v>
      </c>
      <c r="B4184">
        <v>103.94000244140599</v>
      </c>
    </row>
    <row r="4185" spans="1:2" x14ac:dyDescent="0.25">
      <c r="A4185" s="5">
        <v>28018</v>
      </c>
      <c r="B4185">
        <v>104.25</v>
      </c>
    </row>
    <row r="4186" spans="1:2" x14ac:dyDescent="0.25">
      <c r="A4186" s="5">
        <v>28019</v>
      </c>
      <c r="B4186">
        <v>105.33999633789099</v>
      </c>
    </row>
    <row r="4187" spans="1:2" x14ac:dyDescent="0.25">
      <c r="A4187" s="5">
        <v>28020</v>
      </c>
      <c r="B4187">
        <v>106.26999664306599</v>
      </c>
    </row>
    <row r="4188" spans="1:2" x14ac:dyDescent="0.25">
      <c r="A4188" s="5">
        <v>28023</v>
      </c>
      <c r="B4188">
        <v>106.31999969482401</v>
      </c>
    </row>
    <row r="4189" spans="1:2" x14ac:dyDescent="0.25">
      <c r="A4189" s="5">
        <v>28024</v>
      </c>
      <c r="B4189">
        <v>107.830001831055</v>
      </c>
    </row>
    <row r="4190" spans="1:2" x14ac:dyDescent="0.25">
      <c r="A4190" s="5">
        <v>28025</v>
      </c>
      <c r="B4190">
        <v>107.459999084473</v>
      </c>
    </row>
    <row r="4191" spans="1:2" x14ac:dyDescent="0.25">
      <c r="A4191" s="5">
        <v>28026</v>
      </c>
      <c r="B4191">
        <v>106.919998168945</v>
      </c>
    </row>
    <row r="4192" spans="1:2" x14ac:dyDescent="0.25">
      <c r="A4192" s="5">
        <v>28027</v>
      </c>
      <c r="B4192">
        <v>106.800003051758</v>
      </c>
    </row>
    <row r="4193" spans="1:2" x14ac:dyDescent="0.25">
      <c r="A4193" s="5">
        <v>28030</v>
      </c>
      <c r="B4193">
        <v>107.26999664306599</v>
      </c>
    </row>
    <row r="4194" spans="1:2" x14ac:dyDescent="0.25">
      <c r="A4194" s="5">
        <v>28031</v>
      </c>
      <c r="B4194">
        <v>105.919998168945</v>
      </c>
    </row>
    <row r="4195" spans="1:2" x14ac:dyDescent="0.25">
      <c r="A4195" s="5">
        <v>28032</v>
      </c>
      <c r="B4195">
        <v>105.370002746582</v>
      </c>
    </row>
    <row r="4196" spans="1:2" x14ac:dyDescent="0.25">
      <c r="A4196" s="5">
        <v>28033</v>
      </c>
      <c r="B4196">
        <v>105.23999786377</v>
      </c>
    </row>
    <row r="4197" spans="1:2" x14ac:dyDescent="0.25">
      <c r="A4197" s="5">
        <v>28034</v>
      </c>
      <c r="B4197">
        <v>104.169998168945</v>
      </c>
    </row>
    <row r="4198" spans="1:2" x14ac:dyDescent="0.25">
      <c r="A4198" s="5">
        <v>28037</v>
      </c>
      <c r="B4198">
        <v>104.029998779297</v>
      </c>
    </row>
    <row r="4199" spans="1:2" x14ac:dyDescent="0.25">
      <c r="A4199" s="5">
        <v>28038</v>
      </c>
      <c r="B4199">
        <v>103.23000335693401</v>
      </c>
    </row>
    <row r="4200" spans="1:2" x14ac:dyDescent="0.25">
      <c r="A4200" s="5">
        <v>28039</v>
      </c>
      <c r="B4200">
        <v>102.970001220703</v>
      </c>
    </row>
    <row r="4201" spans="1:2" x14ac:dyDescent="0.25">
      <c r="A4201" s="5">
        <v>28040</v>
      </c>
      <c r="B4201">
        <v>103.540000915527</v>
      </c>
    </row>
    <row r="4202" spans="1:2" x14ac:dyDescent="0.25">
      <c r="A4202" s="5">
        <v>28041</v>
      </c>
      <c r="B4202">
        <v>102.55999755859401</v>
      </c>
    </row>
    <row r="4203" spans="1:2" x14ac:dyDescent="0.25">
      <c r="A4203" s="5">
        <v>28044</v>
      </c>
      <c r="B4203">
        <v>101.639999389648</v>
      </c>
    </row>
    <row r="4204" spans="1:2" x14ac:dyDescent="0.25">
      <c r="A4204" s="5">
        <v>28045</v>
      </c>
      <c r="B4204">
        <v>100.80999755859401</v>
      </c>
    </row>
    <row r="4205" spans="1:2" x14ac:dyDescent="0.25">
      <c r="A4205" s="5">
        <v>28046</v>
      </c>
      <c r="B4205">
        <v>102.120002746582</v>
      </c>
    </row>
    <row r="4206" spans="1:2" x14ac:dyDescent="0.25">
      <c r="A4206" s="5">
        <v>28047</v>
      </c>
      <c r="B4206">
        <v>100.84999847412099</v>
      </c>
    </row>
    <row r="4207" spans="1:2" x14ac:dyDescent="0.25">
      <c r="A4207" s="5">
        <v>28048</v>
      </c>
      <c r="B4207">
        <v>100.879997253418</v>
      </c>
    </row>
    <row r="4208" spans="1:2" x14ac:dyDescent="0.25">
      <c r="A4208" s="5">
        <v>28051</v>
      </c>
      <c r="B4208">
        <v>101.470001220703</v>
      </c>
    </row>
    <row r="4209" spans="1:2" x14ac:dyDescent="0.25">
      <c r="A4209" s="5">
        <v>28052</v>
      </c>
      <c r="B4209">
        <v>101.449996948242</v>
      </c>
    </row>
    <row r="4210" spans="1:2" x14ac:dyDescent="0.25">
      <c r="A4210" s="5">
        <v>28053</v>
      </c>
      <c r="B4210">
        <v>101.73999786377</v>
      </c>
    </row>
    <row r="4211" spans="1:2" x14ac:dyDescent="0.25">
      <c r="A4211" s="5">
        <v>28054</v>
      </c>
      <c r="B4211">
        <v>100.76999664306599</v>
      </c>
    </row>
    <row r="4212" spans="1:2" x14ac:dyDescent="0.25">
      <c r="A4212" s="5">
        <v>28055</v>
      </c>
      <c r="B4212">
        <v>99.959999084472699</v>
      </c>
    </row>
    <row r="4213" spans="1:2" x14ac:dyDescent="0.25">
      <c r="A4213" s="5">
        <v>28058</v>
      </c>
      <c r="B4213">
        <v>100.06999969482401</v>
      </c>
    </row>
    <row r="4214" spans="1:2" x14ac:dyDescent="0.25">
      <c r="A4214" s="5">
        <v>28059</v>
      </c>
      <c r="B4214">
        <v>101.05999755859401</v>
      </c>
    </row>
    <row r="4215" spans="1:2" x14ac:dyDescent="0.25">
      <c r="A4215" s="5">
        <v>28060</v>
      </c>
      <c r="B4215">
        <v>101.76000213623</v>
      </c>
    </row>
    <row r="4216" spans="1:2" x14ac:dyDescent="0.25">
      <c r="A4216" s="5">
        <v>28061</v>
      </c>
      <c r="B4216">
        <v>101.610000610352</v>
      </c>
    </row>
    <row r="4217" spans="1:2" x14ac:dyDescent="0.25">
      <c r="A4217" s="5">
        <v>28062</v>
      </c>
      <c r="B4217">
        <v>102.90000152587901</v>
      </c>
    </row>
    <row r="4218" spans="1:2" x14ac:dyDescent="0.25">
      <c r="A4218" s="5">
        <v>28065</v>
      </c>
      <c r="B4218">
        <v>103.09999847412099</v>
      </c>
    </row>
    <row r="4219" spans="1:2" x14ac:dyDescent="0.25">
      <c r="A4219" s="5">
        <v>28067</v>
      </c>
      <c r="B4219">
        <v>101.919998168945</v>
      </c>
    </row>
    <row r="4220" spans="1:2" x14ac:dyDescent="0.25">
      <c r="A4220" s="5">
        <v>28068</v>
      </c>
      <c r="B4220">
        <v>102.41000366210901</v>
      </c>
    </row>
    <row r="4221" spans="1:2" x14ac:dyDescent="0.25">
      <c r="A4221" s="5">
        <v>28069</v>
      </c>
      <c r="B4221">
        <v>100.81999969482401</v>
      </c>
    </row>
    <row r="4222" spans="1:2" x14ac:dyDescent="0.25">
      <c r="A4222" s="5">
        <v>28072</v>
      </c>
      <c r="B4222">
        <v>99.599998474121094</v>
      </c>
    </row>
    <row r="4223" spans="1:2" x14ac:dyDescent="0.25">
      <c r="A4223" s="5">
        <v>28073</v>
      </c>
      <c r="B4223">
        <v>99.319999694824205</v>
      </c>
    </row>
    <row r="4224" spans="1:2" x14ac:dyDescent="0.25">
      <c r="A4224" s="5">
        <v>28074</v>
      </c>
      <c r="B4224">
        <v>98.809997558593807</v>
      </c>
    </row>
    <row r="4225" spans="1:2" x14ac:dyDescent="0.25">
      <c r="A4225" s="5">
        <v>28075</v>
      </c>
      <c r="B4225">
        <v>99.639999389648395</v>
      </c>
    </row>
    <row r="4226" spans="1:2" x14ac:dyDescent="0.25">
      <c r="A4226" s="5">
        <v>28076</v>
      </c>
      <c r="B4226">
        <v>99.239997863769503</v>
      </c>
    </row>
    <row r="4227" spans="1:2" x14ac:dyDescent="0.25">
      <c r="A4227" s="5">
        <v>28079</v>
      </c>
      <c r="B4227">
        <v>99.900001525878906</v>
      </c>
    </row>
    <row r="4228" spans="1:2" x14ac:dyDescent="0.25">
      <c r="A4228" s="5">
        <v>28080</v>
      </c>
      <c r="B4228">
        <v>100.040000915527</v>
      </c>
    </row>
    <row r="4229" spans="1:2" x14ac:dyDescent="0.25">
      <c r="A4229" s="5">
        <v>28081</v>
      </c>
      <c r="B4229">
        <v>100.610000610352</v>
      </c>
    </row>
    <row r="4230" spans="1:2" x14ac:dyDescent="0.25">
      <c r="A4230" s="5">
        <v>28082</v>
      </c>
      <c r="B4230">
        <v>101.889999389648</v>
      </c>
    </row>
    <row r="4231" spans="1:2" x14ac:dyDescent="0.25">
      <c r="A4231" s="5">
        <v>28083</v>
      </c>
      <c r="B4231">
        <v>101.919998168945</v>
      </c>
    </row>
    <row r="4232" spans="1:2" x14ac:dyDescent="0.25">
      <c r="A4232" s="5">
        <v>28086</v>
      </c>
      <c r="B4232">
        <v>102.58999633789099</v>
      </c>
    </row>
    <row r="4233" spans="1:2" x14ac:dyDescent="0.25">
      <c r="A4233" s="5">
        <v>28087</v>
      </c>
      <c r="B4233">
        <v>101.959999084473</v>
      </c>
    </row>
    <row r="4234" spans="1:2" x14ac:dyDescent="0.25">
      <c r="A4234" s="5">
        <v>28088</v>
      </c>
      <c r="B4234">
        <v>102.41000366210901</v>
      </c>
    </row>
    <row r="4235" spans="1:2" x14ac:dyDescent="0.25">
      <c r="A4235" s="5">
        <v>28090</v>
      </c>
      <c r="B4235">
        <v>103.15000152587901</v>
      </c>
    </row>
    <row r="4236" spans="1:2" x14ac:dyDescent="0.25">
      <c r="A4236" s="5">
        <v>28093</v>
      </c>
      <c r="B4236">
        <v>102.44000244140599</v>
      </c>
    </row>
    <row r="4237" spans="1:2" x14ac:dyDescent="0.25">
      <c r="A4237" s="5">
        <v>28094</v>
      </c>
      <c r="B4237">
        <v>102.09999847412099</v>
      </c>
    </row>
    <row r="4238" spans="1:2" x14ac:dyDescent="0.25">
      <c r="A4238" s="5">
        <v>28095</v>
      </c>
      <c r="B4238">
        <v>102.48999786377</v>
      </c>
    </row>
    <row r="4239" spans="1:2" x14ac:dyDescent="0.25">
      <c r="A4239" s="5">
        <v>28096</v>
      </c>
      <c r="B4239">
        <v>102.120002746582</v>
      </c>
    </row>
    <row r="4240" spans="1:2" x14ac:dyDescent="0.25">
      <c r="A4240" s="5">
        <v>28097</v>
      </c>
      <c r="B4240">
        <v>102.76000213623</v>
      </c>
    </row>
    <row r="4241" spans="1:2" x14ac:dyDescent="0.25">
      <c r="A4241" s="5">
        <v>28100</v>
      </c>
      <c r="B4241">
        <v>103.55999755859401</v>
      </c>
    </row>
    <row r="4242" spans="1:2" x14ac:dyDescent="0.25">
      <c r="A4242" s="5">
        <v>28101</v>
      </c>
      <c r="B4242">
        <v>103.48999786377</v>
      </c>
    </row>
    <row r="4243" spans="1:2" x14ac:dyDescent="0.25">
      <c r="A4243" s="5">
        <v>28102</v>
      </c>
      <c r="B4243">
        <v>104.080001831055</v>
      </c>
    </row>
    <row r="4244" spans="1:2" x14ac:dyDescent="0.25">
      <c r="A4244" s="5">
        <v>28103</v>
      </c>
      <c r="B4244">
        <v>104.51000213623</v>
      </c>
    </row>
    <row r="4245" spans="1:2" x14ac:dyDescent="0.25">
      <c r="A4245" s="5">
        <v>28104</v>
      </c>
      <c r="B4245">
        <v>104.699996948242</v>
      </c>
    </row>
    <row r="4246" spans="1:2" x14ac:dyDescent="0.25">
      <c r="A4246" s="5">
        <v>28107</v>
      </c>
      <c r="B4246">
        <v>104.629997253418</v>
      </c>
    </row>
    <row r="4247" spans="1:2" x14ac:dyDescent="0.25">
      <c r="A4247" s="5">
        <v>28108</v>
      </c>
      <c r="B4247">
        <v>105.06999969482401</v>
      </c>
    </row>
    <row r="4248" spans="1:2" x14ac:dyDescent="0.25">
      <c r="A4248" s="5">
        <v>28109</v>
      </c>
      <c r="B4248">
        <v>105.139999389648</v>
      </c>
    </row>
    <row r="4249" spans="1:2" x14ac:dyDescent="0.25">
      <c r="A4249" s="5">
        <v>28110</v>
      </c>
      <c r="B4249">
        <v>104.800003051758</v>
      </c>
    </row>
    <row r="4250" spans="1:2" x14ac:dyDescent="0.25">
      <c r="A4250" s="5">
        <v>28111</v>
      </c>
      <c r="B4250">
        <v>104.26000213623</v>
      </c>
    </row>
    <row r="4251" spans="1:2" x14ac:dyDescent="0.25">
      <c r="A4251" s="5">
        <v>28114</v>
      </c>
      <c r="B4251">
        <v>103.65000152587901</v>
      </c>
    </row>
    <row r="4252" spans="1:2" x14ac:dyDescent="0.25">
      <c r="A4252" s="5">
        <v>28115</v>
      </c>
      <c r="B4252">
        <v>104.220001220703</v>
      </c>
    </row>
    <row r="4253" spans="1:2" x14ac:dyDescent="0.25">
      <c r="A4253" s="5">
        <v>28116</v>
      </c>
      <c r="B4253">
        <v>104.709999084473</v>
      </c>
    </row>
    <row r="4254" spans="1:2" x14ac:dyDescent="0.25">
      <c r="A4254" s="5">
        <v>28117</v>
      </c>
      <c r="B4254">
        <v>104.83999633789099</v>
      </c>
    </row>
    <row r="4255" spans="1:2" x14ac:dyDescent="0.25">
      <c r="A4255" s="5">
        <v>28121</v>
      </c>
      <c r="B4255">
        <v>106.05999755859401</v>
      </c>
    </row>
    <row r="4256" spans="1:2" x14ac:dyDescent="0.25">
      <c r="A4256" s="5">
        <v>28122</v>
      </c>
      <c r="B4256">
        <v>106.76999664306599</v>
      </c>
    </row>
    <row r="4257" spans="1:2" x14ac:dyDescent="0.25">
      <c r="A4257" s="5">
        <v>28123</v>
      </c>
      <c r="B4257">
        <v>106.33999633789099</v>
      </c>
    </row>
    <row r="4258" spans="1:2" x14ac:dyDescent="0.25">
      <c r="A4258" s="5">
        <v>28124</v>
      </c>
      <c r="B4258">
        <v>106.879997253418</v>
      </c>
    </row>
    <row r="4259" spans="1:2" x14ac:dyDescent="0.25">
      <c r="A4259" s="5">
        <v>28125</v>
      </c>
      <c r="B4259">
        <v>107.459999084473</v>
      </c>
    </row>
    <row r="4260" spans="1:2" x14ac:dyDescent="0.25">
      <c r="A4260" s="5">
        <v>28128</v>
      </c>
      <c r="B4260">
        <v>107</v>
      </c>
    </row>
    <row r="4261" spans="1:2" x14ac:dyDescent="0.25">
      <c r="A4261" s="5">
        <v>28129</v>
      </c>
      <c r="B4261">
        <v>105.699996948242</v>
      </c>
    </row>
    <row r="4262" spans="1:2" x14ac:dyDescent="0.25">
      <c r="A4262" s="5">
        <v>28130</v>
      </c>
      <c r="B4262">
        <v>104.76000213623</v>
      </c>
    </row>
    <row r="4263" spans="1:2" x14ac:dyDescent="0.25">
      <c r="A4263" s="5">
        <v>28131</v>
      </c>
      <c r="B4263">
        <v>105.01999664306599</v>
      </c>
    </row>
    <row r="4264" spans="1:2" x14ac:dyDescent="0.25">
      <c r="A4264" s="5">
        <v>28132</v>
      </c>
      <c r="B4264">
        <v>105.01000213623</v>
      </c>
    </row>
    <row r="4265" spans="1:2" x14ac:dyDescent="0.25">
      <c r="A4265" s="5">
        <v>28135</v>
      </c>
      <c r="B4265">
        <v>105.199996948242</v>
      </c>
    </row>
    <row r="4266" spans="1:2" x14ac:dyDescent="0.25">
      <c r="A4266" s="5">
        <v>28136</v>
      </c>
      <c r="B4266">
        <v>104.120002746582</v>
      </c>
    </row>
    <row r="4267" spans="1:2" x14ac:dyDescent="0.25">
      <c r="A4267" s="5">
        <v>28137</v>
      </c>
      <c r="B4267">
        <v>103.40000152587901</v>
      </c>
    </row>
    <row r="4268" spans="1:2" x14ac:dyDescent="0.25">
      <c r="A4268" s="5">
        <v>28138</v>
      </c>
      <c r="B4268">
        <v>104.199996948242</v>
      </c>
    </row>
    <row r="4269" spans="1:2" x14ac:dyDescent="0.25">
      <c r="A4269" s="5">
        <v>28139</v>
      </c>
      <c r="B4269">
        <v>104.01000213623</v>
      </c>
    </row>
    <row r="4270" spans="1:2" x14ac:dyDescent="0.25">
      <c r="A4270" s="5">
        <v>28142</v>
      </c>
      <c r="B4270">
        <v>103.73000335693401</v>
      </c>
    </row>
    <row r="4271" spans="1:2" x14ac:dyDescent="0.25">
      <c r="A4271" s="5">
        <v>28143</v>
      </c>
      <c r="B4271">
        <v>103.31999969482401</v>
      </c>
    </row>
    <row r="4272" spans="1:2" x14ac:dyDescent="0.25">
      <c r="A4272" s="5">
        <v>28144</v>
      </c>
      <c r="B4272">
        <v>103.84999847412099</v>
      </c>
    </row>
    <row r="4273" spans="1:2" x14ac:dyDescent="0.25">
      <c r="A4273" s="5">
        <v>28145</v>
      </c>
      <c r="B4273">
        <v>102.970001220703</v>
      </c>
    </row>
    <row r="4274" spans="1:2" x14ac:dyDescent="0.25">
      <c r="A4274" s="5">
        <v>28146</v>
      </c>
      <c r="B4274">
        <v>103.31999969482401</v>
      </c>
    </row>
    <row r="4275" spans="1:2" x14ac:dyDescent="0.25">
      <c r="A4275" s="5">
        <v>28149</v>
      </c>
      <c r="B4275">
        <v>103.25</v>
      </c>
    </row>
    <row r="4276" spans="1:2" x14ac:dyDescent="0.25">
      <c r="A4276" s="5">
        <v>28150</v>
      </c>
      <c r="B4276">
        <v>103.129997253418</v>
      </c>
    </row>
    <row r="4277" spans="1:2" x14ac:dyDescent="0.25">
      <c r="A4277" s="5">
        <v>28151</v>
      </c>
      <c r="B4277">
        <v>102.33999633789099</v>
      </c>
    </row>
    <row r="4278" spans="1:2" x14ac:dyDescent="0.25">
      <c r="A4278" s="5">
        <v>28152</v>
      </c>
      <c r="B4278">
        <v>101.790000915527</v>
      </c>
    </row>
    <row r="4279" spans="1:2" x14ac:dyDescent="0.25">
      <c r="A4279" s="5">
        <v>28153</v>
      </c>
      <c r="B4279">
        <v>101.93000030517599</v>
      </c>
    </row>
    <row r="4280" spans="1:2" x14ac:dyDescent="0.25">
      <c r="A4280" s="5">
        <v>28156</v>
      </c>
      <c r="B4280">
        <v>102.029998779297</v>
      </c>
    </row>
    <row r="4281" spans="1:2" x14ac:dyDescent="0.25">
      <c r="A4281" s="5">
        <v>28157</v>
      </c>
      <c r="B4281">
        <v>102.540000915527</v>
      </c>
    </row>
    <row r="4282" spans="1:2" x14ac:dyDescent="0.25">
      <c r="A4282" s="5">
        <v>28158</v>
      </c>
      <c r="B4282">
        <v>102.360000610352</v>
      </c>
    </row>
    <row r="4283" spans="1:2" x14ac:dyDescent="0.25">
      <c r="A4283" s="5">
        <v>28159</v>
      </c>
      <c r="B4283">
        <v>101.84999847412099</v>
      </c>
    </row>
    <row r="4284" spans="1:2" x14ac:dyDescent="0.25">
      <c r="A4284" s="5">
        <v>28160</v>
      </c>
      <c r="B4284">
        <v>101.879997253418</v>
      </c>
    </row>
    <row r="4285" spans="1:2" x14ac:dyDescent="0.25">
      <c r="A4285" s="5">
        <v>28163</v>
      </c>
      <c r="B4285">
        <v>101.889999389648</v>
      </c>
    </row>
    <row r="4286" spans="1:2" x14ac:dyDescent="0.25">
      <c r="A4286" s="5">
        <v>28164</v>
      </c>
      <c r="B4286">
        <v>101.59999847412099</v>
      </c>
    </row>
    <row r="4287" spans="1:2" x14ac:dyDescent="0.25">
      <c r="A4287" s="5">
        <v>28165</v>
      </c>
      <c r="B4287">
        <v>100.73000335693401</v>
      </c>
    </row>
    <row r="4288" spans="1:2" x14ac:dyDescent="0.25">
      <c r="A4288" s="5">
        <v>28166</v>
      </c>
      <c r="B4288">
        <v>100.81999969482401</v>
      </c>
    </row>
    <row r="4289" spans="1:2" x14ac:dyDescent="0.25">
      <c r="A4289" s="5">
        <v>28167</v>
      </c>
      <c r="B4289">
        <v>100.220001220703</v>
      </c>
    </row>
    <row r="4290" spans="1:2" x14ac:dyDescent="0.25">
      <c r="A4290" s="5">
        <v>28170</v>
      </c>
      <c r="B4290">
        <v>100.73999786377</v>
      </c>
    </row>
    <row r="4291" spans="1:2" x14ac:dyDescent="0.25">
      <c r="A4291" s="5">
        <v>28171</v>
      </c>
      <c r="B4291">
        <v>101.040000915527</v>
      </c>
    </row>
    <row r="4292" spans="1:2" x14ac:dyDescent="0.25">
      <c r="A4292" s="5">
        <v>28172</v>
      </c>
      <c r="B4292">
        <v>101.5</v>
      </c>
    </row>
    <row r="4293" spans="1:2" x14ac:dyDescent="0.25">
      <c r="A4293" s="5">
        <v>28173</v>
      </c>
      <c r="B4293">
        <v>100.919998168945</v>
      </c>
    </row>
    <row r="4294" spans="1:2" x14ac:dyDescent="0.25">
      <c r="A4294" s="5">
        <v>28174</v>
      </c>
      <c r="B4294">
        <v>100.48999786377</v>
      </c>
    </row>
    <row r="4295" spans="1:2" x14ac:dyDescent="0.25">
      <c r="A4295" s="5">
        <v>28178</v>
      </c>
      <c r="B4295">
        <v>100.48999786377</v>
      </c>
    </row>
    <row r="4296" spans="1:2" x14ac:dyDescent="0.25">
      <c r="A4296" s="5">
        <v>28179</v>
      </c>
      <c r="B4296">
        <v>100.19000244140599</v>
      </c>
    </row>
    <row r="4297" spans="1:2" x14ac:dyDescent="0.25">
      <c r="A4297" s="5">
        <v>28180</v>
      </c>
      <c r="B4297">
        <v>99.599998474121094</v>
      </c>
    </row>
    <row r="4298" spans="1:2" x14ac:dyDescent="0.25">
      <c r="A4298" s="5">
        <v>28181</v>
      </c>
      <c r="B4298">
        <v>99.480003356933594</v>
      </c>
    </row>
    <row r="4299" spans="1:2" x14ac:dyDescent="0.25">
      <c r="A4299" s="5">
        <v>28184</v>
      </c>
      <c r="B4299">
        <v>99.819999694824205</v>
      </c>
    </row>
    <row r="4300" spans="1:2" x14ac:dyDescent="0.25">
      <c r="A4300" s="5">
        <v>28185</v>
      </c>
      <c r="B4300">
        <v>100.66000366210901</v>
      </c>
    </row>
    <row r="4301" spans="1:2" x14ac:dyDescent="0.25">
      <c r="A4301" s="5">
        <v>28186</v>
      </c>
      <c r="B4301">
        <v>100.389999389648</v>
      </c>
    </row>
    <row r="4302" spans="1:2" x14ac:dyDescent="0.25">
      <c r="A4302" s="5">
        <v>28187</v>
      </c>
      <c r="B4302">
        <v>100.879997253418</v>
      </c>
    </row>
    <row r="4303" spans="1:2" x14ac:dyDescent="0.25">
      <c r="A4303" s="5">
        <v>28188</v>
      </c>
      <c r="B4303">
        <v>101.199996948242</v>
      </c>
    </row>
    <row r="4304" spans="1:2" x14ac:dyDescent="0.25">
      <c r="A4304" s="5">
        <v>28191</v>
      </c>
      <c r="B4304">
        <v>101.25</v>
      </c>
    </row>
    <row r="4305" spans="1:2" x14ac:dyDescent="0.25">
      <c r="A4305" s="5">
        <v>28192</v>
      </c>
      <c r="B4305">
        <v>100.870002746582</v>
      </c>
    </row>
    <row r="4306" spans="1:2" x14ac:dyDescent="0.25">
      <c r="A4306" s="5">
        <v>28193</v>
      </c>
      <c r="B4306">
        <v>100.09999847412099</v>
      </c>
    </row>
    <row r="4307" spans="1:2" x14ac:dyDescent="0.25">
      <c r="A4307" s="5">
        <v>28194</v>
      </c>
      <c r="B4307">
        <v>100.669998168945</v>
      </c>
    </row>
    <row r="4308" spans="1:2" x14ac:dyDescent="0.25">
      <c r="A4308" s="5">
        <v>28195</v>
      </c>
      <c r="B4308">
        <v>100.65000152587901</v>
      </c>
    </row>
    <row r="4309" spans="1:2" x14ac:dyDescent="0.25">
      <c r="A4309" s="5">
        <v>28198</v>
      </c>
      <c r="B4309">
        <v>101.419998168945</v>
      </c>
    </row>
    <row r="4310" spans="1:2" x14ac:dyDescent="0.25">
      <c r="A4310" s="5">
        <v>28199</v>
      </c>
      <c r="B4310">
        <v>101.98000335693401</v>
      </c>
    </row>
    <row r="4311" spans="1:2" x14ac:dyDescent="0.25">
      <c r="A4311" s="5">
        <v>28200</v>
      </c>
      <c r="B4311">
        <v>102.169998168945</v>
      </c>
    </row>
    <row r="4312" spans="1:2" x14ac:dyDescent="0.25">
      <c r="A4312" s="5">
        <v>28201</v>
      </c>
      <c r="B4312">
        <v>102.080001831055</v>
      </c>
    </row>
    <row r="4313" spans="1:2" x14ac:dyDescent="0.25">
      <c r="A4313" s="5">
        <v>28202</v>
      </c>
      <c r="B4313">
        <v>101.860000610352</v>
      </c>
    </row>
    <row r="4314" spans="1:2" x14ac:dyDescent="0.25">
      <c r="A4314" s="5">
        <v>28205</v>
      </c>
      <c r="B4314">
        <v>101.30999755859401</v>
      </c>
    </row>
    <row r="4315" spans="1:2" x14ac:dyDescent="0.25">
      <c r="A4315" s="5">
        <v>28206</v>
      </c>
      <c r="B4315">
        <v>101</v>
      </c>
    </row>
    <row r="4316" spans="1:2" x14ac:dyDescent="0.25">
      <c r="A4316" s="5">
        <v>28207</v>
      </c>
      <c r="B4316">
        <v>100.199996948242</v>
      </c>
    </row>
    <row r="4317" spans="1:2" x14ac:dyDescent="0.25">
      <c r="A4317" s="5">
        <v>28208</v>
      </c>
      <c r="B4317">
        <v>99.699996948242202</v>
      </c>
    </row>
    <row r="4318" spans="1:2" x14ac:dyDescent="0.25">
      <c r="A4318" s="5">
        <v>28209</v>
      </c>
      <c r="B4318">
        <v>99.059997558593807</v>
      </c>
    </row>
    <row r="4319" spans="1:2" x14ac:dyDescent="0.25">
      <c r="A4319" s="5">
        <v>28212</v>
      </c>
      <c r="B4319">
        <v>99</v>
      </c>
    </row>
    <row r="4320" spans="1:2" x14ac:dyDescent="0.25">
      <c r="A4320" s="5">
        <v>28213</v>
      </c>
      <c r="B4320">
        <v>99.690002441406193</v>
      </c>
    </row>
    <row r="4321" spans="1:2" x14ac:dyDescent="0.25">
      <c r="A4321" s="5">
        <v>28214</v>
      </c>
      <c r="B4321">
        <v>98.540000915527301</v>
      </c>
    </row>
    <row r="4322" spans="1:2" x14ac:dyDescent="0.25">
      <c r="A4322" s="5">
        <v>28215</v>
      </c>
      <c r="B4322">
        <v>98.419998168945298</v>
      </c>
    </row>
    <row r="4323" spans="1:2" x14ac:dyDescent="0.25">
      <c r="A4323" s="5">
        <v>28216</v>
      </c>
      <c r="B4323">
        <v>99.209999084472699</v>
      </c>
    </row>
    <row r="4324" spans="1:2" x14ac:dyDescent="0.25">
      <c r="A4324" s="5">
        <v>28219</v>
      </c>
      <c r="B4324">
        <v>98.230003356933594</v>
      </c>
    </row>
    <row r="4325" spans="1:2" x14ac:dyDescent="0.25">
      <c r="A4325" s="5">
        <v>28220</v>
      </c>
      <c r="B4325">
        <v>98.010002136230497</v>
      </c>
    </row>
    <row r="4326" spans="1:2" x14ac:dyDescent="0.25">
      <c r="A4326" s="5">
        <v>28221</v>
      </c>
      <c r="B4326">
        <v>97.910003662109403</v>
      </c>
    </row>
    <row r="4327" spans="1:2" x14ac:dyDescent="0.25">
      <c r="A4327" s="5">
        <v>28222</v>
      </c>
      <c r="B4327">
        <v>98.349998474121094</v>
      </c>
    </row>
    <row r="4328" spans="1:2" x14ac:dyDescent="0.25">
      <c r="A4328" s="5">
        <v>28226</v>
      </c>
      <c r="B4328">
        <v>98.879997253417997</v>
      </c>
    </row>
    <row r="4329" spans="1:2" x14ac:dyDescent="0.25">
      <c r="A4329" s="5">
        <v>28227</v>
      </c>
      <c r="B4329">
        <v>100.15000152587901</v>
      </c>
    </row>
    <row r="4330" spans="1:2" x14ac:dyDescent="0.25">
      <c r="A4330" s="5">
        <v>28228</v>
      </c>
      <c r="B4330">
        <v>100.16000366210901</v>
      </c>
    </row>
    <row r="4331" spans="1:2" x14ac:dyDescent="0.25">
      <c r="A4331" s="5">
        <v>28229</v>
      </c>
      <c r="B4331">
        <v>101</v>
      </c>
    </row>
    <row r="4332" spans="1:2" x14ac:dyDescent="0.25">
      <c r="A4332" s="5">
        <v>28230</v>
      </c>
      <c r="B4332">
        <v>101.040000915527</v>
      </c>
    </row>
    <row r="4333" spans="1:2" x14ac:dyDescent="0.25">
      <c r="A4333" s="5">
        <v>28233</v>
      </c>
      <c r="B4333">
        <v>100.540000915527</v>
      </c>
    </row>
    <row r="4334" spans="1:2" x14ac:dyDescent="0.25">
      <c r="A4334" s="5">
        <v>28234</v>
      </c>
      <c r="B4334">
        <v>100.06999969482401</v>
      </c>
    </row>
    <row r="4335" spans="1:2" x14ac:dyDescent="0.25">
      <c r="A4335" s="5">
        <v>28235</v>
      </c>
      <c r="B4335">
        <v>100.40000152587901</v>
      </c>
    </row>
    <row r="4336" spans="1:2" x14ac:dyDescent="0.25">
      <c r="A4336" s="5">
        <v>28236</v>
      </c>
      <c r="B4336">
        <v>99.75</v>
      </c>
    </row>
    <row r="4337" spans="1:2" x14ac:dyDescent="0.25">
      <c r="A4337" s="5">
        <v>28237</v>
      </c>
      <c r="B4337">
        <v>98.440002441406193</v>
      </c>
    </row>
    <row r="4338" spans="1:2" x14ac:dyDescent="0.25">
      <c r="A4338" s="5">
        <v>28240</v>
      </c>
      <c r="B4338">
        <v>97.150001525878906</v>
      </c>
    </row>
    <row r="4339" spans="1:2" x14ac:dyDescent="0.25">
      <c r="A4339" s="5">
        <v>28241</v>
      </c>
      <c r="B4339">
        <v>97.110000610351605</v>
      </c>
    </row>
    <row r="4340" spans="1:2" x14ac:dyDescent="0.25">
      <c r="A4340" s="5">
        <v>28242</v>
      </c>
      <c r="B4340">
        <v>97.959999084472699</v>
      </c>
    </row>
    <row r="4341" spans="1:2" x14ac:dyDescent="0.25">
      <c r="A4341" s="5">
        <v>28243</v>
      </c>
      <c r="B4341">
        <v>98.199996948242202</v>
      </c>
    </row>
    <row r="4342" spans="1:2" x14ac:dyDescent="0.25">
      <c r="A4342" s="5">
        <v>28244</v>
      </c>
      <c r="B4342">
        <v>98.440002441406193</v>
      </c>
    </row>
    <row r="4343" spans="1:2" x14ac:dyDescent="0.25">
      <c r="A4343" s="5">
        <v>28247</v>
      </c>
      <c r="B4343">
        <v>98.930000305175795</v>
      </c>
    </row>
    <row r="4344" spans="1:2" x14ac:dyDescent="0.25">
      <c r="A4344" s="5">
        <v>28248</v>
      </c>
      <c r="B4344">
        <v>99.430000305175795</v>
      </c>
    </row>
    <row r="4345" spans="1:2" x14ac:dyDescent="0.25">
      <c r="A4345" s="5">
        <v>28249</v>
      </c>
      <c r="B4345">
        <v>99.959999084472699</v>
      </c>
    </row>
    <row r="4346" spans="1:2" x14ac:dyDescent="0.25">
      <c r="A4346" s="5">
        <v>28250</v>
      </c>
      <c r="B4346">
        <v>100.110000610352</v>
      </c>
    </row>
    <row r="4347" spans="1:2" x14ac:dyDescent="0.25">
      <c r="A4347" s="5">
        <v>28251</v>
      </c>
      <c r="B4347">
        <v>99.489997863769503</v>
      </c>
    </row>
    <row r="4348" spans="1:2" x14ac:dyDescent="0.25">
      <c r="A4348" s="5">
        <v>28254</v>
      </c>
      <c r="B4348">
        <v>99.180000305175795</v>
      </c>
    </row>
    <row r="4349" spans="1:2" x14ac:dyDescent="0.25">
      <c r="A4349" s="5">
        <v>28255</v>
      </c>
      <c r="B4349">
        <v>99.470001220703097</v>
      </c>
    </row>
    <row r="4350" spans="1:2" x14ac:dyDescent="0.25">
      <c r="A4350" s="5">
        <v>28256</v>
      </c>
      <c r="B4350">
        <v>98.779998779296903</v>
      </c>
    </row>
    <row r="4351" spans="1:2" x14ac:dyDescent="0.25">
      <c r="A4351" s="5">
        <v>28257</v>
      </c>
      <c r="B4351">
        <v>98.730003356933594</v>
      </c>
    </row>
    <row r="4352" spans="1:2" x14ac:dyDescent="0.25">
      <c r="A4352" s="5">
        <v>28258</v>
      </c>
      <c r="B4352">
        <v>99.029998779296903</v>
      </c>
    </row>
    <row r="4353" spans="1:2" x14ac:dyDescent="0.25">
      <c r="A4353" s="5">
        <v>28261</v>
      </c>
      <c r="B4353">
        <v>99.470001220703097</v>
      </c>
    </row>
    <row r="4354" spans="1:2" x14ac:dyDescent="0.25">
      <c r="A4354" s="5">
        <v>28262</v>
      </c>
      <c r="B4354">
        <v>99.769996643066406</v>
      </c>
    </row>
    <row r="4355" spans="1:2" x14ac:dyDescent="0.25">
      <c r="A4355" s="5">
        <v>28263</v>
      </c>
      <c r="B4355">
        <v>100.300003051758</v>
      </c>
    </row>
    <row r="4356" spans="1:2" x14ac:dyDescent="0.25">
      <c r="A4356" s="5">
        <v>28264</v>
      </c>
      <c r="B4356">
        <v>99.879997253417997</v>
      </c>
    </row>
    <row r="4357" spans="1:2" x14ac:dyDescent="0.25">
      <c r="A4357" s="5">
        <v>28265</v>
      </c>
      <c r="B4357">
        <v>99.449996948242202</v>
      </c>
    </row>
    <row r="4358" spans="1:2" x14ac:dyDescent="0.25">
      <c r="A4358" s="5">
        <v>28268</v>
      </c>
      <c r="B4358">
        <v>98.150001525878906</v>
      </c>
    </row>
    <row r="4359" spans="1:2" x14ac:dyDescent="0.25">
      <c r="A4359" s="5">
        <v>28269</v>
      </c>
      <c r="B4359">
        <v>97.669998168945298</v>
      </c>
    </row>
    <row r="4360" spans="1:2" x14ac:dyDescent="0.25">
      <c r="A4360" s="5">
        <v>28270</v>
      </c>
      <c r="B4360">
        <v>96.769996643066406</v>
      </c>
    </row>
    <row r="4361" spans="1:2" x14ac:dyDescent="0.25">
      <c r="A4361" s="5">
        <v>28271</v>
      </c>
      <c r="B4361">
        <v>97.010002136230497</v>
      </c>
    </row>
    <row r="4362" spans="1:2" x14ac:dyDescent="0.25">
      <c r="A4362" s="5">
        <v>28272</v>
      </c>
      <c r="B4362">
        <v>96.269996643066406</v>
      </c>
    </row>
    <row r="4363" spans="1:2" x14ac:dyDescent="0.25">
      <c r="A4363" s="5">
        <v>28276</v>
      </c>
      <c r="B4363">
        <v>96.120002746582003</v>
      </c>
    </row>
    <row r="4364" spans="1:2" x14ac:dyDescent="0.25">
      <c r="A4364" s="5">
        <v>28277</v>
      </c>
      <c r="B4364">
        <v>96.930000305175795</v>
      </c>
    </row>
    <row r="4365" spans="1:2" x14ac:dyDescent="0.25">
      <c r="A4365" s="5">
        <v>28278</v>
      </c>
      <c r="B4365">
        <v>96.739997863769503</v>
      </c>
    </row>
    <row r="4366" spans="1:2" x14ac:dyDescent="0.25">
      <c r="A4366" s="5">
        <v>28279</v>
      </c>
      <c r="B4366">
        <v>97.690002441406193</v>
      </c>
    </row>
    <row r="4367" spans="1:2" x14ac:dyDescent="0.25">
      <c r="A4367" s="5">
        <v>28282</v>
      </c>
      <c r="B4367">
        <v>97.230003356933594</v>
      </c>
    </row>
    <row r="4368" spans="1:2" x14ac:dyDescent="0.25">
      <c r="A4368" s="5">
        <v>28283</v>
      </c>
      <c r="B4368">
        <v>97.730003356933594</v>
      </c>
    </row>
    <row r="4369" spans="1:2" x14ac:dyDescent="0.25">
      <c r="A4369" s="5">
        <v>28284</v>
      </c>
      <c r="B4369">
        <v>98.199996948242202</v>
      </c>
    </row>
    <row r="4370" spans="1:2" x14ac:dyDescent="0.25">
      <c r="A4370" s="5">
        <v>28285</v>
      </c>
      <c r="B4370">
        <v>98.139999389648395</v>
      </c>
    </row>
    <row r="4371" spans="1:2" x14ac:dyDescent="0.25">
      <c r="A4371" s="5">
        <v>28286</v>
      </c>
      <c r="B4371">
        <v>98.459999084472699</v>
      </c>
    </row>
    <row r="4372" spans="1:2" x14ac:dyDescent="0.25">
      <c r="A4372" s="5">
        <v>28289</v>
      </c>
      <c r="B4372">
        <v>98.739997863769503</v>
      </c>
    </row>
    <row r="4373" spans="1:2" x14ac:dyDescent="0.25">
      <c r="A4373" s="5">
        <v>28290</v>
      </c>
      <c r="B4373">
        <v>99.860000610351605</v>
      </c>
    </row>
    <row r="4374" spans="1:2" x14ac:dyDescent="0.25">
      <c r="A4374" s="5">
        <v>28291</v>
      </c>
      <c r="B4374">
        <v>99.610000610351605</v>
      </c>
    </row>
    <row r="4375" spans="1:2" x14ac:dyDescent="0.25">
      <c r="A4375" s="5">
        <v>28292</v>
      </c>
      <c r="B4375">
        <v>99.849998474121094</v>
      </c>
    </row>
    <row r="4376" spans="1:2" x14ac:dyDescent="0.25">
      <c r="A4376" s="5">
        <v>28293</v>
      </c>
      <c r="B4376">
        <v>99.970001220703097</v>
      </c>
    </row>
    <row r="4377" spans="1:2" x14ac:dyDescent="0.25">
      <c r="A4377" s="5">
        <v>28296</v>
      </c>
      <c r="B4377">
        <v>100.419998168945</v>
      </c>
    </row>
    <row r="4378" spans="1:2" x14ac:dyDescent="0.25">
      <c r="A4378" s="5">
        <v>28297</v>
      </c>
      <c r="B4378">
        <v>100.73999786377</v>
      </c>
    </row>
    <row r="4379" spans="1:2" x14ac:dyDescent="0.25">
      <c r="A4379" s="5">
        <v>28298</v>
      </c>
      <c r="B4379">
        <v>100.459999084473</v>
      </c>
    </row>
    <row r="4380" spans="1:2" x14ac:dyDescent="0.25">
      <c r="A4380" s="5">
        <v>28299</v>
      </c>
      <c r="B4380">
        <v>100.620002746582</v>
      </c>
    </row>
    <row r="4381" spans="1:2" x14ac:dyDescent="0.25">
      <c r="A4381" s="5">
        <v>28300</v>
      </c>
      <c r="B4381">
        <v>101.19000244140599</v>
      </c>
    </row>
    <row r="4382" spans="1:2" x14ac:dyDescent="0.25">
      <c r="A4382" s="5">
        <v>28303</v>
      </c>
      <c r="B4382">
        <v>100.98000335693401</v>
      </c>
    </row>
    <row r="4383" spans="1:2" x14ac:dyDescent="0.25">
      <c r="A4383" s="5">
        <v>28304</v>
      </c>
      <c r="B4383">
        <v>100.139999389648</v>
      </c>
    </row>
    <row r="4384" spans="1:2" x14ac:dyDescent="0.25">
      <c r="A4384" s="5">
        <v>28305</v>
      </c>
      <c r="B4384">
        <v>100.110000610352</v>
      </c>
    </row>
    <row r="4385" spans="1:2" x14ac:dyDescent="0.25">
      <c r="A4385" s="5">
        <v>28306</v>
      </c>
      <c r="B4385">
        <v>100.48000335693401</v>
      </c>
    </row>
    <row r="4386" spans="1:2" x14ac:dyDescent="0.25">
      <c r="A4386" s="5">
        <v>28307</v>
      </c>
      <c r="B4386">
        <v>100.09999847412099</v>
      </c>
    </row>
    <row r="4387" spans="1:2" x14ac:dyDescent="0.25">
      <c r="A4387" s="5">
        <v>28311</v>
      </c>
      <c r="B4387">
        <v>100.08999633789099</v>
      </c>
    </row>
    <row r="4388" spans="1:2" x14ac:dyDescent="0.25">
      <c r="A4388" s="5">
        <v>28312</v>
      </c>
      <c r="B4388">
        <v>99.580001831054702</v>
      </c>
    </row>
    <row r="4389" spans="1:2" x14ac:dyDescent="0.25">
      <c r="A4389" s="5">
        <v>28313</v>
      </c>
      <c r="B4389">
        <v>99.930000305175795</v>
      </c>
    </row>
    <row r="4390" spans="1:2" x14ac:dyDescent="0.25">
      <c r="A4390" s="5">
        <v>28314</v>
      </c>
      <c r="B4390">
        <v>99.790000915527301</v>
      </c>
    </row>
    <row r="4391" spans="1:2" x14ac:dyDescent="0.25">
      <c r="A4391" s="5">
        <v>28317</v>
      </c>
      <c r="B4391">
        <v>99.550003051757798</v>
      </c>
    </row>
    <row r="4392" spans="1:2" x14ac:dyDescent="0.25">
      <c r="A4392" s="5">
        <v>28318</v>
      </c>
      <c r="B4392">
        <v>99.449996948242202</v>
      </c>
    </row>
    <row r="4393" spans="1:2" x14ac:dyDescent="0.25">
      <c r="A4393" s="5">
        <v>28319</v>
      </c>
      <c r="B4393">
        <v>99.589996337890597</v>
      </c>
    </row>
    <row r="4394" spans="1:2" x14ac:dyDescent="0.25">
      <c r="A4394" s="5">
        <v>28321</v>
      </c>
      <c r="B4394">
        <v>100.18000030517599</v>
      </c>
    </row>
    <row r="4395" spans="1:2" x14ac:dyDescent="0.25">
      <c r="A4395" s="5">
        <v>28324</v>
      </c>
      <c r="B4395">
        <v>100.949996948242</v>
      </c>
    </row>
    <row r="4396" spans="1:2" x14ac:dyDescent="0.25">
      <c r="A4396" s="5">
        <v>28325</v>
      </c>
      <c r="B4396">
        <v>101.790000915527</v>
      </c>
    </row>
    <row r="4397" spans="1:2" x14ac:dyDescent="0.25">
      <c r="A4397" s="5">
        <v>28326</v>
      </c>
      <c r="B4397">
        <v>101.73000335693401</v>
      </c>
    </row>
    <row r="4398" spans="1:2" x14ac:dyDescent="0.25">
      <c r="A4398" s="5">
        <v>28327</v>
      </c>
      <c r="B4398">
        <v>101.58999633789099</v>
      </c>
    </row>
    <row r="4399" spans="1:2" x14ac:dyDescent="0.25">
      <c r="A4399" s="5">
        <v>28328</v>
      </c>
      <c r="B4399">
        <v>101.669998168945</v>
      </c>
    </row>
    <row r="4400" spans="1:2" x14ac:dyDescent="0.25">
      <c r="A4400" s="5">
        <v>28331</v>
      </c>
      <c r="B4400">
        <v>100.84999847412099</v>
      </c>
    </row>
    <row r="4401" spans="1:2" x14ac:dyDescent="0.25">
      <c r="A4401" s="5">
        <v>28332</v>
      </c>
      <c r="B4401">
        <v>100.26999664306599</v>
      </c>
    </row>
    <row r="4402" spans="1:2" x14ac:dyDescent="0.25">
      <c r="A4402" s="5">
        <v>28333</v>
      </c>
      <c r="B4402">
        <v>98.639999389648395</v>
      </c>
    </row>
    <row r="4403" spans="1:2" x14ac:dyDescent="0.25">
      <c r="A4403" s="5">
        <v>28334</v>
      </c>
      <c r="B4403">
        <v>98.790000915527301</v>
      </c>
    </row>
    <row r="4404" spans="1:2" x14ac:dyDescent="0.25">
      <c r="A4404" s="5">
        <v>28335</v>
      </c>
      <c r="B4404">
        <v>98.849998474121094</v>
      </c>
    </row>
    <row r="4405" spans="1:2" x14ac:dyDescent="0.25">
      <c r="A4405" s="5">
        <v>28338</v>
      </c>
      <c r="B4405">
        <v>99.120002746582003</v>
      </c>
    </row>
    <row r="4406" spans="1:2" x14ac:dyDescent="0.25">
      <c r="A4406" s="5">
        <v>28339</v>
      </c>
      <c r="B4406">
        <v>98.5</v>
      </c>
    </row>
    <row r="4407" spans="1:2" x14ac:dyDescent="0.25">
      <c r="A4407" s="5">
        <v>28340</v>
      </c>
      <c r="B4407">
        <v>98.370002746582003</v>
      </c>
    </row>
    <row r="4408" spans="1:2" x14ac:dyDescent="0.25">
      <c r="A4408" s="5">
        <v>28341</v>
      </c>
      <c r="B4408">
        <v>98.739997863769503</v>
      </c>
    </row>
    <row r="4409" spans="1:2" x14ac:dyDescent="0.25">
      <c r="A4409" s="5">
        <v>28342</v>
      </c>
      <c r="B4409">
        <v>98.760002136230497</v>
      </c>
    </row>
    <row r="4410" spans="1:2" x14ac:dyDescent="0.25">
      <c r="A4410" s="5">
        <v>28345</v>
      </c>
      <c r="B4410">
        <v>97.989997863769503</v>
      </c>
    </row>
    <row r="4411" spans="1:2" x14ac:dyDescent="0.25">
      <c r="A4411" s="5">
        <v>28346</v>
      </c>
      <c r="B4411">
        <v>98.050003051757798</v>
      </c>
    </row>
    <row r="4412" spans="1:2" x14ac:dyDescent="0.25">
      <c r="A4412" s="5">
        <v>28347</v>
      </c>
      <c r="B4412">
        <v>98.919998168945298</v>
      </c>
    </row>
    <row r="4413" spans="1:2" x14ac:dyDescent="0.25">
      <c r="A4413" s="5">
        <v>28348</v>
      </c>
      <c r="B4413">
        <v>98.160003662109403</v>
      </c>
    </row>
    <row r="4414" spans="1:2" x14ac:dyDescent="0.25">
      <c r="A4414" s="5">
        <v>28349</v>
      </c>
      <c r="B4414">
        <v>97.879997253417997</v>
      </c>
    </row>
    <row r="4415" spans="1:2" x14ac:dyDescent="0.25">
      <c r="A4415" s="5">
        <v>28352</v>
      </c>
      <c r="B4415">
        <v>98.180000305175795</v>
      </c>
    </row>
    <row r="4416" spans="1:2" x14ac:dyDescent="0.25">
      <c r="A4416" s="5">
        <v>28353</v>
      </c>
      <c r="B4416">
        <v>97.730003356933594</v>
      </c>
    </row>
    <row r="4417" spans="1:2" x14ac:dyDescent="0.25">
      <c r="A4417" s="5">
        <v>28354</v>
      </c>
      <c r="B4417">
        <v>97.739997863769503</v>
      </c>
    </row>
    <row r="4418" spans="1:2" x14ac:dyDescent="0.25">
      <c r="A4418" s="5">
        <v>28355</v>
      </c>
      <c r="B4418">
        <v>97.680000305175795</v>
      </c>
    </row>
    <row r="4419" spans="1:2" x14ac:dyDescent="0.25">
      <c r="A4419" s="5">
        <v>28356</v>
      </c>
      <c r="B4419">
        <v>97.510002136230497</v>
      </c>
    </row>
    <row r="4420" spans="1:2" x14ac:dyDescent="0.25">
      <c r="A4420" s="5">
        <v>28359</v>
      </c>
      <c r="B4420">
        <v>97.790000915527301</v>
      </c>
    </row>
    <row r="4421" spans="1:2" x14ac:dyDescent="0.25">
      <c r="A4421" s="5">
        <v>28360</v>
      </c>
      <c r="B4421">
        <v>97.620002746582003</v>
      </c>
    </row>
    <row r="4422" spans="1:2" x14ac:dyDescent="0.25">
      <c r="A4422" s="5">
        <v>28361</v>
      </c>
      <c r="B4422">
        <v>97.230003356933594</v>
      </c>
    </row>
    <row r="4423" spans="1:2" x14ac:dyDescent="0.25">
      <c r="A4423" s="5">
        <v>28362</v>
      </c>
      <c r="B4423">
        <v>96.150001525878906</v>
      </c>
    </row>
    <row r="4424" spans="1:2" x14ac:dyDescent="0.25">
      <c r="A4424" s="5">
        <v>28363</v>
      </c>
      <c r="B4424">
        <v>96.059997558593807</v>
      </c>
    </row>
    <row r="4425" spans="1:2" x14ac:dyDescent="0.25">
      <c r="A4425" s="5">
        <v>28366</v>
      </c>
      <c r="B4425">
        <v>96.919998168945298</v>
      </c>
    </row>
    <row r="4426" spans="1:2" x14ac:dyDescent="0.25">
      <c r="A4426" s="5">
        <v>28367</v>
      </c>
      <c r="B4426">
        <v>96.379997253417997</v>
      </c>
    </row>
    <row r="4427" spans="1:2" x14ac:dyDescent="0.25">
      <c r="A4427" s="5">
        <v>28368</v>
      </c>
      <c r="B4427">
        <v>96.769996643066406</v>
      </c>
    </row>
    <row r="4428" spans="1:2" x14ac:dyDescent="0.25">
      <c r="A4428" s="5">
        <v>28369</v>
      </c>
      <c r="B4428">
        <v>96.830001831054702</v>
      </c>
    </row>
    <row r="4429" spans="1:2" x14ac:dyDescent="0.25">
      <c r="A4429" s="5">
        <v>28370</v>
      </c>
      <c r="B4429">
        <v>97.449996948242202</v>
      </c>
    </row>
    <row r="4430" spans="1:2" x14ac:dyDescent="0.25">
      <c r="A4430" s="5">
        <v>28374</v>
      </c>
      <c r="B4430">
        <v>97.709999084472699</v>
      </c>
    </row>
    <row r="4431" spans="1:2" x14ac:dyDescent="0.25">
      <c r="A4431" s="5">
        <v>28375</v>
      </c>
      <c r="B4431">
        <v>98.010002136230497</v>
      </c>
    </row>
    <row r="4432" spans="1:2" x14ac:dyDescent="0.25">
      <c r="A4432" s="5">
        <v>28376</v>
      </c>
      <c r="B4432">
        <v>97.279998779296903</v>
      </c>
    </row>
    <row r="4433" spans="1:2" x14ac:dyDescent="0.25">
      <c r="A4433" s="5">
        <v>28377</v>
      </c>
      <c r="B4433">
        <v>96.370002746582003</v>
      </c>
    </row>
    <row r="4434" spans="1:2" x14ac:dyDescent="0.25">
      <c r="A4434" s="5">
        <v>28380</v>
      </c>
      <c r="B4434">
        <v>96.029998779296903</v>
      </c>
    </row>
    <row r="4435" spans="1:2" x14ac:dyDescent="0.25">
      <c r="A4435" s="5">
        <v>28381</v>
      </c>
      <c r="B4435">
        <v>96.089996337890597</v>
      </c>
    </row>
    <row r="4436" spans="1:2" x14ac:dyDescent="0.25">
      <c r="A4436" s="5">
        <v>28382</v>
      </c>
      <c r="B4436">
        <v>96.550003051757798</v>
      </c>
    </row>
    <row r="4437" spans="1:2" x14ac:dyDescent="0.25">
      <c r="A4437" s="5">
        <v>28383</v>
      </c>
      <c r="B4437">
        <v>96.800003051757798</v>
      </c>
    </row>
    <row r="4438" spans="1:2" x14ac:dyDescent="0.25">
      <c r="A4438" s="5">
        <v>28384</v>
      </c>
      <c r="B4438">
        <v>96.480003356933594</v>
      </c>
    </row>
    <row r="4439" spans="1:2" x14ac:dyDescent="0.25">
      <c r="A4439" s="5">
        <v>28387</v>
      </c>
      <c r="B4439">
        <v>95.849998474121094</v>
      </c>
    </row>
    <row r="4440" spans="1:2" x14ac:dyDescent="0.25">
      <c r="A4440" s="5">
        <v>28388</v>
      </c>
      <c r="B4440">
        <v>95.889999389648395</v>
      </c>
    </row>
    <row r="4441" spans="1:2" x14ac:dyDescent="0.25">
      <c r="A4441" s="5">
        <v>28389</v>
      </c>
      <c r="B4441">
        <v>95.099998474121094</v>
      </c>
    </row>
    <row r="4442" spans="1:2" x14ac:dyDescent="0.25">
      <c r="A4442" s="5">
        <v>28390</v>
      </c>
      <c r="B4442">
        <v>95.089996337890597</v>
      </c>
    </row>
    <row r="4443" spans="1:2" x14ac:dyDescent="0.25">
      <c r="A4443" s="5">
        <v>28391</v>
      </c>
      <c r="B4443">
        <v>95.040000915527301</v>
      </c>
    </row>
    <row r="4444" spans="1:2" x14ac:dyDescent="0.25">
      <c r="A4444" s="5">
        <v>28394</v>
      </c>
      <c r="B4444">
        <v>95.379997253417997</v>
      </c>
    </row>
    <row r="4445" spans="1:2" x14ac:dyDescent="0.25">
      <c r="A4445" s="5">
        <v>28395</v>
      </c>
      <c r="B4445">
        <v>95.239997863769503</v>
      </c>
    </row>
    <row r="4446" spans="1:2" x14ac:dyDescent="0.25">
      <c r="A4446" s="5">
        <v>28396</v>
      </c>
      <c r="B4446">
        <v>95.309997558593807</v>
      </c>
    </row>
    <row r="4447" spans="1:2" x14ac:dyDescent="0.25">
      <c r="A4447" s="5">
        <v>28397</v>
      </c>
      <c r="B4447">
        <v>95.849998474121094</v>
      </c>
    </row>
    <row r="4448" spans="1:2" x14ac:dyDescent="0.25">
      <c r="A4448" s="5">
        <v>28398</v>
      </c>
      <c r="B4448">
        <v>96.529998779296903</v>
      </c>
    </row>
    <row r="4449" spans="1:2" x14ac:dyDescent="0.25">
      <c r="A4449" s="5">
        <v>28401</v>
      </c>
      <c r="B4449">
        <v>96.739997863769503</v>
      </c>
    </row>
    <row r="4450" spans="1:2" x14ac:dyDescent="0.25">
      <c r="A4450" s="5">
        <v>28402</v>
      </c>
      <c r="B4450">
        <v>96.029998779296903</v>
      </c>
    </row>
    <row r="4451" spans="1:2" x14ac:dyDescent="0.25">
      <c r="A4451" s="5">
        <v>28403</v>
      </c>
      <c r="B4451">
        <v>95.680000305175795</v>
      </c>
    </row>
    <row r="4452" spans="1:2" x14ac:dyDescent="0.25">
      <c r="A4452" s="5">
        <v>28404</v>
      </c>
      <c r="B4452">
        <v>96.050003051757798</v>
      </c>
    </row>
    <row r="4453" spans="1:2" x14ac:dyDescent="0.25">
      <c r="A4453" s="5">
        <v>28405</v>
      </c>
      <c r="B4453">
        <v>95.970001220703097</v>
      </c>
    </row>
    <row r="4454" spans="1:2" x14ac:dyDescent="0.25">
      <c r="A4454" s="5">
        <v>28408</v>
      </c>
      <c r="B4454">
        <v>95.75</v>
      </c>
    </row>
    <row r="4455" spans="1:2" x14ac:dyDescent="0.25">
      <c r="A4455" s="5">
        <v>28409</v>
      </c>
      <c r="B4455">
        <v>94.930000305175795</v>
      </c>
    </row>
    <row r="4456" spans="1:2" x14ac:dyDescent="0.25">
      <c r="A4456" s="5">
        <v>28410</v>
      </c>
      <c r="B4456">
        <v>94.040000915527301</v>
      </c>
    </row>
    <row r="4457" spans="1:2" x14ac:dyDescent="0.25">
      <c r="A4457" s="5">
        <v>28411</v>
      </c>
      <c r="B4457">
        <v>93.459999084472699</v>
      </c>
    </row>
    <row r="4458" spans="1:2" x14ac:dyDescent="0.25">
      <c r="A4458" s="5">
        <v>28412</v>
      </c>
      <c r="B4458">
        <v>93.559997558593807</v>
      </c>
    </row>
    <row r="4459" spans="1:2" x14ac:dyDescent="0.25">
      <c r="A4459" s="5">
        <v>28415</v>
      </c>
      <c r="B4459">
        <v>93.470001220703097</v>
      </c>
    </row>
    <row r="4460" spans="1:2" x14ac:dyDescent="0.25">
      <c r="A4460" s="5">
        <v>28416</v>
      </c>
      <c r="B4460">
        <v>93.459999084472699</v>
      </c>
    </row>
    <row r="4461" spans="1:2" x14ac:dyDescent="0.25">
      <c r="A4461" s="5">
        <v>28417</v>
      </c>
      <c r="B4461">
        <v>92.379997253417997</v>
      </c>
    </row>
    <row r="4462" spans="1:2" x14ac:dyDescent="0.25">
      <c r="A4462" s="5">
        <v>28418</v>
      </c>
      <c r="B4462">
        <v>92.669998168945298</v>
      </c>
    </row>
    <row r="4463" spans="1:2" x14ac:dyDescent="0.25">
      <c r="A4463" s="5">
        <v>28419</v>
      </c>
      <c r="B4463">
        <v>92.319999694824205</v>
      </c>
    </row>
    <row r="4464" spans="1:2" x14ac:dyDescent="0.25">
      <c r="A4464" s="5">
        <v>28422</v>
      </c>
      <c r="B4464">
        <v>91.629997253417997</v>
      </c>
    </row>
    <row r="4465" spans="1:2" x14ac:dyDescent="0.25">
      <c r="A4465" s="5">
        <v>28423</v>
      </c>
      <c r="B4465">
        <v>91</v>
      </c>
    </row>
    <row r="4466" spans="1:2" x14ac:dyDescent="0.25">
      <c r="A4466" s="5">
        <v>28424</v>
      </c>
      <c r="B4466">
        <v>92.099998474121094</v>
      </c>
    </row>
    <row r="4467" spans="1:2" x14ac:dyDescent="0.25">
      <c r="A4467" s="5">
        <v>28425</v>
      </c>
      <c r="B4467">
        <v>92.339996337890597</v>
      </c>
    </row>
    <row r="4468" spans="1:2" x14ac:dyDescent="0.25">
      <c r="A4468" s="5">
        <v>28426</v>
      </c>
      <c r="B4468">
        <v>92.610000610351605</v>
      </c>
    </row>
    <row r="4469" spans="1:2" x14ac:dyDescent="0.25">
      <c r="A4469" s="5">
        <v>28429</v>
      </c>
      <c r="B4469">
        <v>92.339996337890597</v>
      </c>
    </row>
    <row r="4470" spans="1:2" x14ac:dyDescent="0.25">
      <c r="A4470" s="5">
        <v>28430</v>
      </c>
      <c r="B4470">
        <v>91.349998474121094</v>
      </c>
    </row>
    <row r="4471" spans="1:2" x14ac:dyDescent="0.25">
      <c r="A4471" s="5">
        <v>28431</v>
      </c>
      <c r="B4471">
        <v>90.709999084472699</v>
      </c>
    </row>
    <row r="4472" spans="1:2" x14ac:dyDescent="0.25">
      <c r="A4472" s="5">
        <v>28432</v>
      </c>
      <c r="B4472">
        <v>90.760002136230497</v>
      </c>
    </row>
    <row r="4473" spans="1:2" x14ac:dyDescent="0.25">
      <c r="A4473" s="5">
        <v>28433</v>
      </c>
      <c r="B4473">
        <v>91.580001831054702</v>
      </c>
    </row>
    <row r="4474" spans="1:2" x14ac:dyDescent="0.25">
      <c r="A4474" s="5">
        <v>28436</v>
      </c>
      <c r="B4474">
        <v>92.290000915527301</v>
      </c>
    </row>
    <row r="4475" spans="1:2" x14ac:dyDescent="0.25">
      <c r="A4475" s="5">
        <v>28437</v>
      </c>
      <c r="B4475">
        <v>92.459999084472699</v>
      </c>
    </row>
    <row r="4476" spans="1:2" x14ac:dyDescent="0.25">
      <c r="A4476" s="5">
        <v>28438</v>
      </c>
      <c r="B4476">
        <v>92.980003356933594</v>
      </c>
    </row>
    <row r="4477" spans="1:2" x14ac:dyDescent="0.25">
      <c r="A4477" s="5">
        <v>28439</v>
      </c>
      <c r="B4477">
        <v>94.709999084472699</v>
      </c>
    </row>
    <row r="4478" spans="1:2" x14ac:dyDescent="0.25">
      <c r="A4478" s="5">
        <v>28440</v>
      </c>
      <c r="B4478">
        <v>95.980003356933594</v>
      </c>
    </row>
    <row r="4479" spans="1:2" x14ac:dyDescent="0.25">
      <c r="A4479" s="5">
        <v>28443</v>
      </c>
      <c r="B4479">
        <v>95.319999694824205</v>
      </c>
    </row>
    <row r="4480" spans="1:2" x14ac:dyDescent="0.25">
      <c r="A4480" s="5">
        <v>28444</v>
      </c>
      <c r="B4480">
        <v>95.930000305175795</v>
      </c>
    </row>
    <row r="4481" spans="1:2" x14ac:dyDescent="0.25">
      <c r="A4481" s="5">
        <v>28445</v>
      </c>
      <c r="B4481">
        <v>95.449996948242202</v>
      </c>
    </row>
    <row r="4482" spans="1:2" x14ac:dyDescent="0.25">
      <c r="A4482" s="5">
        <v>28446</v>
      </c>
      <c r="B4482">
        <v>95.160003662109403</v>
      </c>
    </row>
    <row r="4483" spans="1:2" x14ac:dyDescent="0.25">
      <c r="A4483" s="5">
        <v>28447</v>
      </c>
      <c r="B4483">
        <v>95.330001831054702</v>
      </c>
    </row>
    <row r="4484" spans="1:2" x14ac:dyDescent="0.25">
      <c r="A4484" s="5">
        <v>28450</v>
      </c>
      <c r="B4484">
        <v>95.25</v>
      </c>
    </row>
    <row r="4485" spans="1:2" x14ac:dyDescent="0.25">
      <c r="A4485" s="5">
        <v>28451</v>
      </c>
      <c r="B4485">
        <v>96.089996337890597</v>
      </c>
    </row>
    <row r="4486" spans="1:2" x14ac:dyDescent="0.25">
      <c r="A4486" s="5">
        <v>28452</v>
      </c>
      <c r="B4486">
        <v>96.489997863769503</v>
      </c>
    </row>
    <row r="4487" spans="1:2" x14ac:dyDescent="0.25">
      <c r="A4487" s="5">
        <v>28454</v>
      </c>
      <c r="B4487">
        <v>96.690002441406193</v>
      </c>
    </row>
    <row r="4488" spans="1:2" x14ac:dyDescent="0.25">
      <c r="A4488" s="5">
        <v>28457</v>
      </c>
      <c r="B4488">
        <v>96.040000915527301</v>
      </c>
    </row>
    <row r="4489" spans="1:2" x14ac:dyDescent="0.25">
      <c r="A4489" s="5">
        <v>28458</v>
      </c>
      <c r="B4489">
        <v>94.550003051757798</v>
      </c>
    </row>
    <row r="4490" spans="1:2" x14ac:dyDescent="0.25">
      <c r="A4490" s="5">
        <v>28459</v>
      </c>
      <c r="B4490">
        <v>94.830001831054702</v>
      </c>
    </row>
    <row r="4491" spans="1:2" x14ac:dyDescent="0.25">
      <c r="A4491" s="5">
        <v>28460</v>
      </c>
      <c r="B4491">
        <v>94.690002441406193</v>
      </c>
    </row>
    <row r="4492" spans="1:2" x14ac:dyDescent="0.25">
      <c r="A4492" s="5">
        <v>28461</v>
      </c>
      <c r="B4492">
        <v>94.669998168945298</v>
      </c>
    </row>
    <row r="4493" spans="1:2" x14ac:dyDescent="0.25">
      <c r="A4493" s="5">
        <v>28464</v>
      </c>
      <c r="B4493">
        <v>94.269996643066406</v>
      </c>
    </row>
    <row r="4494" spans="1:2" x14ac:dyDescent="0.25">
      <c r="A4494" s="5">
        <v>28465</v>
      </c>
      <c r="B4494">
        <v>92.830001831054702</v>
      </c>
    </row>
    <row r="4495" spans="1:2" x14ac:dyDescent="0.25">
      <c r="A4495" s="5">
        <v>28466</v>
      </c>
      <c r="B4495">
        <v>92.779998779296903</v>
      </c>
    </row>
    <row r="4496" spans="1:2" x14ac:dyDescent="0.25">
      <c r="A4496" s="5">
        <v>28467</v>
      </c>
      <c r="B4496">
        <v>92.959999084472699</v>
      </c>
    </row>
    <row r="4497" spans="1:2" x14ac:dyDescent="0.25">
      <c r="A4497" s="5">
        <v>28468</v>
      </c>
      <c r="B4497">
        <v>93.650001525878906</v>
      </c>
    </row>
    <row r="4498" spans="1:2" x14ac:dyDescent="0.25">
      <c r="A4498" s="5">
        <v>28471</v>
      </c>
      <c r="B4498">
        <v>93.629997253417997</v>
      </c>
    </row>
    <row r="4499" spans="1:2" x14ac:dyDescent="0.25">
      <c r="A4499" s="5">
        <v>28472</v>
      </c>
      <c r="B4499">
        <v>93.559997558593807</v>
      </c>
    </row>
    <row r="4500" spans="1:2" x14ac:dyDescent="0.25">
      <c r="A4500" s="5">
        <v>28473</v>
      </c>
      <c r="B4500">
        <v>94.029998779296903</v>
      </c>
    </row>
    <row r="4501" spans="1:2" x14ac:dyDescent="0.25">
      <c r="A4501" s="5">
        <v>28474</v>
      </c>
      <c r="B4501">
        <v>93.550003051757798</v>
      </c>
    </row>
    <row r="4502" spans="1:2" x14ac:dyDescent="0.25">
      <c r="A4502" s="5">
        <v>28475</v>
      </c>
      <c r="B4502">
        <v>93.400001525878906</v>
      </c>
    </row>
    <row r="4503" spans="1:2" x14ac:dyDescent="0.25">
      <c r="A4503" s="5">
        <v>28478</v>
      </c>
      <c r="B4503">
        <v>92.690002441406193</v>
      </c>
    </row>
    <row r="4504" spans="1:2" x14ac:dyDescent="0.25">
      <c r="A4504" s="5">
        <v>28479</v>
      </c>
      <c r="B4504">
        <v>92.5</v>
      </c>
    </row>
    <row r="4505" spans="1:2" x14ac:dyDescent="0.25">
      <c r="A4505" s="5">
        <v>28480</v>
      </c>
      <c r="B4505">
        <v>93.050003051757798</v>
      </c>
    </row>
    <row r="4506" spans="1:2" x14ac:dyDescent="0.25">
      <c r="A4506" s="5">
        <v>28481</v>
      </c>
      <c r="B4506">
        <v>93.800003051757798</v>
      </c>
    </row>
    <row r="4507" spans="1:2" x14ac:dyDescent="0.25">
      <c r="A4507" s="5">
        <v>28482</v>
      </c>
      <c r="B4507">
        <v>94.690002441406193</v>
      </c>
    </row>
    <row r="4508" spans="1:2" x14ac:dyDescent="0.25">
      <c r="A4508" s="5">
        <v>28486</v>
      </c>
      <c r="B4508">
        <v>94.690002441406193</v>
      </c>
    </row>
    <row r="4509" spans="1:2" x14ac:dyDescent="0.25">
      <c r="A4509" s="5">
        <v>28487</v>
      </c>
      <c r="B4509">
        <v>94.75</v>
      </c>
    </row>
    <row r="4510" spans="1:2" x14ac:dyDescent="0.25">
      <c r="A4510" s="5">
        <v>28488</v>
      </c>
      <c r="B4510">
        <v>94.940002441406193</v>
      </c>
    </row>
    <row r="4511" spans="1:2" x14ac:dyDescent="0.25">
      <c r="A4511" s="5">
        <v>28489</v>
      </c>
      <c r="B4511">
        <v>95.099998474121094</v>
      </c>
    </row>
    <row r="4512" spans="1:2" x14ac:dyDescent="0.25">
      <c r="A4512" s="5">
        <v>28493</v>
      </c>
      <c r="B4512">
        <v>93.819999694824205</v>
      </c>
    </row>
    <row r="4513" spans="1:2" x14ac:dyDescent="0.25">
      <c r="A4513" s="5">
        <v>28494</v>
      </c>
      <c r="B4513">
        <v>93.519996643066406</v>
      </c>
    </row>
    <row r="4514" spans="1:2" x14ac:dyDescent="0.25">
      <c r="A4514" s="5">
        <v>28495</v>
      </c>
      <c r="B4514">
        <v>92.739997863769503</v>
      </c>
    </row>
    <row r="4515" spans="1:2" x14ac:dyDescent="0.25">
      <c r="A4515" s="5">
        <v>28496</v>
      </c>
      <c r="B4515">
        <v>91.620002746582003</v>
      </c>
    </row>
    <row r="4516" spans="1:2" x14ac:dyDescent="0.25">
      <c r="A4516" s="5">
        <v>28499</v>
      </c>
      <c r="B4516">
        <v>90.639999389648395</v>
      </c>
    </row>
    <row r="4517" spans="1:2" x14ac:dyDescent="0.25">
      <c r="A4517" s="5">
        <v>28500</v>
      </c>
      <c r="B4517">
        <v>90.169998168945298</v>
      </c>
    </row>
    <row r="4518" spans="1:2" x14ac:dyDescent="0.25">
      <c r="A4518" s="5">
        <v>28501</v>
      </c>
      <c r="B4518">
        <v>89.739997863769503</v>
      </c>
    </row>
    <row r="4519" spans="1:2" x14ac:dyDescent="0.25">
      <c r="A4519" s="5">
        <v>28502</v>
      </c>
      <c r="B4519">
        <v>89.819999694824205</v>
      </c>
    </row>
    <row r="4520" spans="1:2" x14ac:dyDescent="0.25">
      <c r="A4520" s="5">
        <v>28503</v>
      </c>
      <c r="B4520">
        <v>89.690002441406193</v>
      </c>
    </row>
    <row r="4521" spans="1:2" x14ac:dyDescent="0.25">
      <c r="A4521" s="5">
        <v>28506</v>
      </c>
      <c r="B4521">
        <v>89.430000305175795</v>
      </c>
    </row>
    <row r="4522" spans="1:2" x14ac:dyDescent="0.25">
      <c r="A4522" s="5">
        <v>28507</v>
      </c>
      <c r="B4522">
        <v>89.879997253417997</v>
      </c>
    </row>
    <row r="4523" spans="1:2" x14ac:dyDescent="0.25">
      <c r="A4523" s="5">
        <v>28508</v>
      </c>
      <c r="B4523">
        <v>90.559997558593807</v>
      </c>
    </row>
    <row r="4524" spans="1:2" x14ac:dyDescent="0.25">
      <c r="A4524" s="5">
        <v>28509</v>
      </c>
      <c r="B4524">
        <v>90.089996337890597</v>
      </c>
    </row>
    <row r="4525" spans="1:2" x14ac:dyDescent="0.25">
      <c r="A4525" s="5">
        <v>28510</v>
      </c>
      <c r="B4525">
        <v>89.889999389648395</v>
      </c>
    </row>
    <row r="4526" spans="1:2" x14ac:dyDescent="0.25">
      <c r="A4526" s="5">
        <v>28513</v>
      </c>
      <c r="B4526">
        <v>89.239997863769503</v>
      </c>
    </row>
    <row r="4527" spans="1:2" x14ac:dyDescent="0.25">
      <c r="A4527" s="5">
        <v>28514</v>
      </c>
      <c r="B4527">
        <v>89.25</v>
      </c>
    </row>
    <row r="4528" spans="1:2" x14ac:dyDescent="0.25">
      <c r="A4528" s="5">
        <v>28515</v>
      </c>
      <c r="B4528">
        <v>89.389999389648395</v>
      </c>
    </row>
    <row r="4529" spans="1:2" x14ac:dyDescent="0.25">
      <c r="A4529" s="5">
        <v>28516</v>
      </c>
      <c r="B4529">
        <v>88.580001831054702</v>
      </c>
    </row>
    <row r="4530" spans="1:2" x14ac:dyDescent="0.25">
      <c r="A4530" s="5">
        <v>28517</v>
      </c>
      <c r="B4530">
        <v>88.580001831054702</v>
      </c>
    </row>
    <row r="4531" spans="1:2" x14ac:dyDescent="0.25">
      <c r="A4531" s="5">
        <v>28520</v>
      </c>
      <c r="B4531">
        <v>89.339996337890597</v>
      </c>
    </row>
    <row r="4532" spans="1:2" x14ac:dyDescent="0.25">
      <c r="A4532" s="5">
        <v>28521</v>
      </c>
      <c r="B4532">
        <v>89.25</v>
      </c>
    </row>
    <row r="4533" spans="1:2" x14ac:dyDescent="0.25">
      <c r="A4533" s="5">
        <v>28522</v>
      </c>
      <c r="B4533">
        <v>89.930000305175795</v>
      </c>
    </row>
    <row r="4534" spans="1:2" x14ac:dyDescent="0.25">
      <c r="A4534" s="5">
        <v>28523</v>
      </c>
      <c r="B4534">
        <v>90.129997253417997</v>
      </c>
    </row>
    <row r="4535" spans="1:2" x14ac:dyDescent="0.25">
      <c r="A4535" s="5">
        <v>28524</v>
      </c>
      <c r="B4535">
        <v>89.620002746582003</v>
      </c>
    </row>
    <row r="4536" spans="1:2" x14ac:dyDescent="0.25">
      <c r="A4536" s="5">
        <v>28527</v>
      </c>
      <c r="B4536">
        <v>89.5</v>
      </c>
    </row>
    <row r="4537" spans="1:2" x14ac:dyDescent="0.25">
      <c r="A4537" s="5">
        <v>28528</v>
      </c>
      <c r="B4537">
        <v>90.330001831054702</v>
      </c>
    </row>
    <row r="4538" spans="1:2" x14ac:dyDescent="0.25">
      <c r="A4538" s="5">
        <v>28529</v>
      </c>
      <c r="B4538">
        <v>90.830001831054702</v>
      </c>
    </row>
    <row r="4539" spans="1:2" x14ac:dyDescent="0.25">
      <c r="A4539" s="5">
        <v>28530</v>
      </c>
      <c r="B4539">
        <v>90.300003051757798</v>
      </c>
    </row>
    <row r="4540" spans="1:2" x14ac:dyDescent="0.25">
      <c r="A4540" s="5">
        <v>28531</v>
      </c>
      <c r="B4540">
        <v>90.080001831054702</v>
      </c>
    </row>
    <row r="4541" spans="1:2" x14ac:dyDescent="0.25">
      <c r="A4541" s="5">
        <v>28534</v>
      </c>
      <c r="B4541">
        <v>89.860000610351605</v>
      </c>
    </row>
    <row r="4542" spans="1:2" x14ac:dyDescent="0.25">
      <c r="A4542" s="5">
        <v>28535</v>
      </c>
      <c r="B4542">
        <v>89.040000915527301</v>
      </c>
    </row>
    <row r="4543" spans="1:2" x14ac:dyDescent="0.25">
      <c r="A4543" s="5">
        <v>28536</v>
      </c>
      <c r="B4543">
        <v>88.830001831054702</v>
      </c>
    </row>
    <row r="4544" spans="1:2" x14ac:dyDescent="0.25">
      <c r="A4544" s="5">
        <v>28537</v>
      </c>
      <c r="B4544">
        <v>88.080001831054702</v>
      </c>
    </row>
    <row r="4545" spans="1:2" x14ac:dyDescent="0.25">
      <c r="A4545" s="5">
        <v>28538</v>
      </c>
      <c r="B4545">
        <v>87.959999084472699</v>
      </c>
    </row>
    <row r="4546" spans="1:2" x14ac:dyDescent="0.25">
      <c r="A4546" s="5">
        <v>28542</v>
      </c>
      <c r="B4546">
        <v>87.589996337890597</v>
      </c>
    </row>
    <row r="4547" spans="1:2" x14ac:dyDescent="0.25">
      <c r="A4547" s="5">
        <v>28543</v>
      </c>
      <c r="B4547">
        <v>87.559997558593807</v>
      </c>
    </row>
    <row r="4548" spans="1:2" x14ac:dyDescent="0.25">
      <c r="A4548" s="5">
        <v>28544</v>
      </c>
      <c r="B4548">
        <v>87.639999389648395</v>
      </c>
    </row>
    <row r="4549" spans="1:2" x14ac:dyDescent="0.25">
      <c r="A4549" s="5">
        <v>28545</v>
      </c>
      <c r="B4549">
        <v>88.489997863769503</v>
      </c>
    </row>
    <row r="4550" spans="1:2" x14ac:dyDescent="0.25">
      <c r="A4550" s="5">
        <v>28548</v>
      </c>
      <c r="B4550">
        <v>87.720001220703097</v>
      </c>
    </row>
    <row r="4551" spans="1:2" x14ac:dyDescent="0.25">
      <c r="A4551" s="5">
        <v>28549</v>
      </c>
      <c r="B4551">
        <v>87.040000915527301</v>
      </c>
    </row>
    <row r="4552" spans="1:2" x14ac:dyDescent="0.25">
      <c r="A4552" s="5">
        <v>28550</v>
      </c>
      <c r="B4552">
        <v>87.190002441406193</v>
      </c>
    </row>
    <row r="4553" spans="1:2" x14ac:dyDescent="0.25">
      <c r="A4553" s="5">
        <v>28551</v>
      </c>
      <c r="B4553">
        <v>87.319999694824205</v>
      </c>
    </row>
    <row r="4554" spans="1:2" x14ac:dyDescent="0.25">
      <c r="A4554" s="5">
        <v>28552</v>
      </c>
      <c r="B4554">
        <v>87.449996948242202</v>
      </c>
    </row>
    <row r="4555" spans="1:2" x14ac:dyDescent="0.25">
      <c r="A4555" s="5">
        <v>28555</v>
      </c>
      <c r="B4555">
        <v>86.900001525878906</v>
      </c>
    </row>
    <row r="4556" spans="1:2" x14ac:dyDescent="0.25">
      <c r="A4556" s="5">
        <v>28556</v>
      </c>
      <c r="B4556">
        <v>87.360000610351605</v>
      </c>
    </row>
    <row r="4557" spans="1:2" x14ac:dyDescent="0.25">
      <c r="A4557" s="5">
        <v>28557</v>
      </c>
      <c r="B4557">
        <v>87.839996337890597</v>
      </c>
    </row>
    <row r="4558" spans="1:2" x14ac:dyDescent="0.25">
      <c r="A4558" s="5">
        <v>28558</v>
      </c>
      <c r="B4558">
        <v>87.889999389648395</v>
      </c>
    </row>
    <row r="4559" spans="1:2" x14ac:dyDescent="0.25">
      <c r="A4559" s="5">
        <v>28559</v>
      </c>
      <c r="B4559">
        <v>88.879997253417997</v>
      </c>
    </row>
    <row r="4560" spans="1:2" x14ac:dyDescent="0.25">
      <c r="A4560" s="5">
        <v>28562</v>
      </c>
      <c r="B4560">
        <v>88.949996948242202</v>
      </c>
    </row>
    <row r="4561" spans="1:2" x14ac:dyDescent="0.25">
      <c r="A4561" s="5">
        <v>28563</v>
      </c>
      <c r="B4561">
        <v>89.349998474121094</v>
      </c>
    </row>
    <row r="4562" spans="1:2" x14ac:dyDescent="0.25">
      <c r="A4562" s="5">
        <v>28564</v>
      </c>
      <c r="B4562">
        <v>89.120002746582003</v>
      </c>
    </row>
    <row r="4563" spans="1:2" x14ac:dyDescent="0.25">
      <c r="A4563" s="5">
        <v>28565</v>
      </c>
      <c r="B4563">
        <v>89.510002136230497</v>
      </c>
    </row>
    <row r="4564" spans="1:2" x14ac:dyDescent="0.25">
      <c r="A4564" s="5">
        <v>28566</v>
      </c>
      <c r="B4564">
        <v>90.199996948242202</v>
      </c>
    </row>
    <row r="4565" spans="1:2" x14ac:dyDescent="0.25">
      <c r="A4565" s="5">
        <v>28569</v>
      </c>
      <c r="B4565">
        <v>90.819999694824205</v>
      </c>
    </row>
    <row r="4566" spans="1:2" x14ac:dyDescent="0.25">
      <c r="A4566" s="5">
        <v>28570</v>
      </c>
      <c r="B4566">
        <v>89.790000915527301</v>
      </c>
    </row>
    <row r="4567" spans="1:2" x14ac:dyDescent="0.25">
      <c r="A4567" s="5">
        <v>28571</v>
      </c>
      <c r="B4567">
        <v>89.470001220703097</v>
      </c>
    </row>
    <row r="4568" spans="1:2" x14ac:dyDescent="0.25">
      <c r="A4568" s="5">
        <v>28572</v>
      </c>
      <c r="B4568">
        <v>89.360000610351605</v>
      </c>
    </row>
    <row r="4569" spans="1:2" x14ac:dyDescent="0.25">
      <c r="A4569" s="5">
        <v>28576</v>
      </c>
      <c r="B4569">
        <v>88.870002746582003</v>
      </c>
    </row>
    <row r="4570" spans="1:2" x14ac:dyDescent="0.25">
      <c r="A4570" s="5">
        <v>28577</v>
      </c>
      <c r="B4570">
        <v>89.5</v>
      </c>
    </row>
    <row r="4571" spans="1:2" x14ac:dyDescent="0.25">
      <c r="A4571" s="5">
        <v>28578</v>
      </c>
      <c r="B4571">
        <v>89.639999389648395</v>
      </c>
    </row>
    <row r="4572" spans="1:2" x14ac:dyDescent="0.25">
      <c r="A4572" s="5">
        <v>28579</v>
      </c>
      <c r="B4572">
        <v>89.410003662109403</v>
      </c>
    </row>
    <row r="4573" spans="1:2" x14ac:dyDescent="0.25">
      <c r="A4573" s="5">
        <v>28580</v>
      </c>
      <c r="B4573">
        <v>89.209999084472699</v>
      </c>
    </row>
    <row r="4574" spans="1:2" x14ac:dyDescent="0.25">
      <c r="A4574" s="5">
        <v>28583</v>
      </c>
      <c r="B4574">
        <v>88.459999084472699</v>
      </c>
    </row>
    <row r="4575" spans="1:2" x14ac:dyDescent="0.25">
      <c r="A4575" s="5">
        <v>28584</v>
      </c>
      <c r="B4575">
        <v>88.860000610351605</v>
      </c>
    </row>
    <row r="4576" spans="1:2" x14ac:dyDescent="0.25">
      <c r="A4576" s="5">
        <v>28585</v>
      </c>
      <c r="B4576">
        <v>89.639999389648395</v>
      </c>
    </row>
    <row r="4577" spans="1:2" x14ac:dyDescent="0.25">
      <c r="A4577" s="5">
        <v>28586</v>
      </c>
      <c r="B4577">
        <v>89.790000915527301</v>
      </c>
    </row>
    <row r="4578" spans="1:2" x14ac:dyDescent="0.25">
      <c r="A4578" s="5">
        <v>28587</v>
      </c>
      <c r="B4578">
        <v>90.169998168945298</v>
      </c>
    </row>
    <row r="4579" spans="1:2" x14ac:dyDescent="0.25">
      <c r="A4579" s="5">
        <v>28590</v>
      </c>
      <c r="B4579">
        <v>90.489997863769503</v>
      </c>
    </row>
    <row r="4580" spans="1:2" x14ac:dyDescent="0.25">
      <c r="A4580" s="5">
        <v>28591</v>
      </c>
      <c r="B4580">
        <v>90.25</v>
      </c>
    </row>
    <row r="4581" spans="1:2" x14ac:dyDescent="0.25">
      <c r="A4581" s="5">
        <v>28592</v>
      </c>
      <c r="B4581">
        <v>90.110000610351605</v>
      </c>
    </row>
    <row r="4582" spans="1:2" x14ac:dyDescent="0.25">
      <c r="A4582" s="5">
        <v>28593</v>
      </c>
      <c r="B4582">
        <v>90.980003356933594</v>
      </c>
    </row>
    <row r="4583" spans="1:2" x14ac:dyDescent="0.25">
      <c r="A4583" s="5">
        <v>28594</v>
      </c>
      <c r="B4583">
        <v>92.919998168945298</v>
      </c>
    </row>
    <row r="4584" spans="1:2" x14ac:dyDescent="0.25">
      <c r="A4584" s="5">
        <v>28597</v>
      </c>
      <c r="B4584">
        <v>94.449996948242202</v>
      </c>
    </row>
    <row r="4585" spans="1:2" x14ac:dyDescent="0.25">
      <c r="A4585" s="5">
        <v>28598</v>
      </c>
      <c r="B4585">
        <v>93.430000305175795</v>
      </c>
    </row>
    <row r="4586" spans="1:2" x14ac:dyDescent="0.25">
      <c r="A4586" s="5">
        <v>28599</v>
      </c>
      <c r="B4586">
        <v>93.860000610351605</v>
      </c>
    </row>
    <row r="4587" spans="1:2" x14ac:dyDescent="0.25">
      <c r="A4587" s="5">
        <v>28600</v>
      </c>
      <c r="B4587">
        <v>94.540000915527301</v>
      </c>
    </row>
    <row r="4588" spans="1:2" x14ac:dyDescent="0.25">
      <c r="A4588" s="5">
        <v>28601</v>
      </c>
      <c r="B4588">
        <v>94.339996337890597</v>
      </c>
    </row>
    <row r="4589" spans="1:2" x14ac:dyDescent="0.25">
      <c r="A4589" s="5">
        <v>28604</v>
      </c>
      <c r="B4589">
        <v>95.769996643066406</v>
      </c>
    </row>
    <row r="4590" spans="1:2" x14ac:dyDescent="0.25">
      <c r="A4590" s="5">
        <v>28605</v>
      </c>
      <c r="B4590">
        <v>96.639999389648395</v>
      </c>
    </row>
    <row r="4591" spans="1:2" x14ac:dyDescent="0.25">
      <c r="A4591" s="5">
        <v>28606</v>
      </c>
      <c r="B4591">
        <v>96.819999694824205</v>
      </c>
    </row>
    <row r="4592" spans="1:2" x14ac:dyDescent="0.25">
      <c r="A4592" s="5">
        <v>28607</v>
      </c>
      <c r="B4592">
        <v>95.860000610351605</v>
      </c>
    </row>
    <row r="4593" spans="1:2" x14ac:dyDescent="0.25">
      <c r="A4593" s="5">
        <v>28608</v>
      </c>
      <c r="B4593">
        <v>96.830001831054702</v>
      </c>
    </row>
    <row r="4594" spans="1:2" x14ac:dyDescent="0.25">
      <c r="A4594" s="5">
        <v>28611</v>
      </c>
      <c r="B4594">
        <v>97.669998168945298</v>
      </c>
    </row>
    <row r="4595" spans="1:2" x14ac:dyDescent="0.25">
      <c r="A4595" s="5">
        <v>28612</v>
      </c>
      <c r="B4595">
        <v>97.25</v>
      </c>
    </row>
    <row r="4596" spans="1:2" x14ac:dyDescent="0.25">
      <c r="A4596" s="5">
        <v>28613</v>
      </c>
      <c r="B4596">
        <v>96.260002136230497</v>
      </c>
    </row>
    <row r="4597" spans="1:2" x14ac:dyDescent="0.25">
      <c r="A4597" s="5">
        <v>28614</v>
      </c>
      <c r="B4597">
        <v>95.930000305175795</v>
      </c>
    </row>
    <row r="4598" spans="1:2" x14ac:dyDescent="0.25">
      <c r="A4598" s="5">
        <v>28615</v>
      </c>
      <c r="B4598">
        <v>96.529998779296903</v>
      </c>
    </row>
    <row r="4599" spans="1:2" x14ac:dyDescent="0.25">
      <c r="A4599" s="5">
        <v>28618</v>
      </c>
      <c r="B4599">
        <v>96.190002441406193</v>
      </c>
    </row>
    <row r="4600" spans="1:2" x14ac:dyDescent="0.25">
      <c r="A4600" s="5">
        <v>28619</v>
      </c>
      <c r="B4600">
        <v>95.900001525878906</v>
      </c>
    </row>
    <row r="4601" spans="1:2" x14ac:dyDescent="0.25">
      <c r="A4601" s="5">
        <v>28620</v>
      </c>
      <c r="B4601">
        <v>95.919998168945298</v>
      </c>
    </row>
    <row r="4602" spans="1:2" x14ac:dyDescent="0.25">
      <c r="A4602" s="5">
        <v>28621</v>
      </c>
      <c r="B4602">
        <v>97.199996948242202</v>
      </c>
    </row>
    <row r="4603" spans="1:2" x14ac:dyDescent="0.25">
      <c r="A4603" s="5">
        <v>28622</v>
      </c>
      <c r="B4603">
        <v>98.069999694824205</v>
      </c>
    </row>
    <row r="4604" spans="1:2" x14ac:dyDescent="0.25">
      <c r="A4604" s="5">
        <v>28625</v>
      </c>
      <c r="B4604">
        <v>98.760002136230497</v>
      </c>
    </row>
    <row r="4605" spans="1:2" x14ac:dyDescent="0.25">
      <c r="A4605" s="5">
        <v>28626</v>
      </c>
      <c r="B4605">
        <v>99.349998474121094</v>
      </c>
    </row>
    <row r="4606" spans="1:2" x14ac:dyDescent="0.25">
      <c r="A4606" s="5">
        <v>28627</v>
      </c>
      <c r="B4606">
        <v>99.599998474121094</v>
      </c>
    </row>
    <row r="4607" spans="1:2" x14ac:dyDescent="0.25">
      <c r="A4607" s="5">
        <v>28628</v>
      </c>
      <c r="B4607">
        <v>98.620002746582003</v>
      </c>
    </row>
    <row r="4608" spans="1:2" x14ac:dyDescent="0.25">
      <c r="A4608" s="5">
        <v>28629</v>
      </c>
      <c r="B4608">
        <v>98.120002746582003</v>
      </c>
    </row>
    <row r="4609" spans="1:2" x14ac:dyDescent="0.25">
      <c r="A4609" s="5">
        <v>28632</v>
      </c>
      <c r="B4609">
        <v>99.089996337890597</v>
      </c>
    </row>
    <row r="4610" spans="1:2" x14ac:dyDescent="0.25">
      <c r="A4610" s="5">
        <v>28633</v>
      </c>
      <c r="B4610">
        <v>98.050003051757798</v>
      </c>
    </row>
    <row r="4611" spans="1:2" x14ac:dyDescent="0.25">
      <c r="A4611" s="5">
        <v>28634</v>
      </c>
      <c r="B4611">
        <v>97.080001831054702</v>
      </c>
    </row>
    <row r="4612" spans="1:2" x14ac:dyDescent="0.25">
      <c r="A4612" s="5">
        <v>28635</v>
      </c>
      <c r="B4612">
        <v>96.800003051757798</v>
      </c>
    </row>
    <row r="4613" spans="1:2" x14ac:dyDescent="0.25">
      <c r="A4613" s="5">
        <v>28636</v>
      </c>
      <c r="B4613">
        <v>96.580001831054702</v>
      </c>
    </row>
    <row r="4614" spans="1:2" x14ac:dyDescent="0.25">
      <c r="A4614" s="5">
        <v>28640</v>
      </c>
      <c r="B4614">
        <v>96.860000610351605</v>
      </c>
    </row>
    <row r="4615" spans="1:2" x14ac:dyDescent="0.25">
      <c r="A4615" s="5">
        <v>28641</v>
      </c>
      <c r="B4615">
        <v>97.239997863769503</v>
      </c>
    </row>
    <row r="4616" spans="1:2" x14ac:dyDescent="0.25">
      <c r="A4616" s="5">
        <v>28642</v>
      </c>
      <c r="B4616">
        <v>97.349998474121094</v>
      </c>
    </row>
    <row r="4617" spans="1:2" x14ac:dyDescent="0.25">
      <c r="A4617" s="5">
        <v>28643</v>
      </c>
      <c r="B4617">
        <v>98.139999389648395</v>
      </c>
    </row>
    <row r="4618" spans="1:2" x14ac:dyDescent="0.25">
      <c r="A4618" s="5">
        <v>28646</v>
      </c>
      <c r="B4618">
        <v>99.949996948242202</v>
      </c>
    </row>
    <row r="4619" spans="1:2" x14ac:dyDescent="0.25">
      <c r="A4619" s="5">
        <v>28647</v>
      </c>
      <c r="B4619">
        <v>100.31999969482401</v>
      </c>
    </row>
    <row r="4620" spans="1:2" x14ac:dyDescent="0.25">
      <c r="A4620" s="5">
        <v>28648</v>
      </c>
      <c r="B4620">
        <v>100.120002746582</v>
      </c>
    </row>
    <row r="4621" spans="1:2" x14ac:dyDescent="0.25">
      <c r="A4621" s="5">
        <v>28649</v>
      </c>
      <c r="B4621">
        <v>100.209999084473</v>
      </c>
    </row>
    <row r="4622" spans="1:2" x14ac:dyDescent="0.25">
      <c r="A4622" s="5">
        <v>28650</v>
      </c>
      <c r="B4622">
        <v>99.930000305175795</v>
      </c>
    </row>
    <row r="4623" spans="1:2" x14ac:dyDescent="0.25">
      <c r="A4623" s="5">
        <v>28653</v>
      </c>
      <c r="B4623">
        <v>99.550003051757798</v>
      </c>
    </row>
    <row r="4624" spans="1:2" x14ac:dyDescent="0.25">
      <c r="A4624" s="5">
        <v>28654</v>
      </c>
      <c r="B4624">
        <v>99.569999694824205</v>
      </c>
    </row>
    <row r="4625" spans="1:2" x14ac:dyDescent="0.25">
      <c r="A4625" s="5">
        <v>28655</v>
      </c>
      <c r="B4625">
        <v>99.480003356933594</v>
      </c>
    </row>
    <row r="4626" spans="1:2" x14ac:dyDescent="0.25">
      <c r="A4626" s="5">
        <v>28656</v>
      </c>
      <c r="B4626">
        <v>98.339996337890597</v>
      </c>
    </row>
    <row r="4627" spans="1:2" x14ac:dyDescent="0.25">
      <c r="A4627" s="5">
        <v>28657</v>
      </c>
      <c r="B4627">
        <v>97.419998168945298</v>
      </c>
    </row>
    <row r="4628" spans="1:2" x14ac:dyDescent="0.25">
      <c r="A4628" s="5">
        <v>28660</v>
      </c>
      <c r="B4628">
        <v>97.489997863769503</v>
      </c>
    </row>
    <row r="4629" spans="1:2" x14ac:dyDescent="0.25">
      <c r="A4629" s="5">
        <v>28661</v>
      </c>
      <c r="B4629">
        <v>96.510002136230497</v>
      </c>
    </row>
    <row r="4630" spans="1:2" x14ac:dyDescent="0.25">
      <c r="A4630" s="5">
        <v>28662</v>
      </c>
      <c r="B4630">
        <v>96.010002136230497</v>
      </c>
    </row>
    <row r="4631" spans="1:2" x14ac:dyDescent="0.25">
      <c r="A4631" s="5">
        <v>28663</v>
      </c>
      <c r="B4631">
        <v>96.239997863769503</v>
      </c>
    </row>
    <row r="4632" spans="1:2" x14ac:dyDescent="0.25">
      <c r="A4632" s="5">
        <v>28664</v>
      </c>
      <c r="B4632">
        <v>95.849998474121094</v>
      </c>
    </row>
    <row r="4633" spans="1:2" x14ac:dyDescent="0.25">
      <c r="A4633" s="5">
        <v>28667</v>
      </c>
      <c r="B4633">
        <v>94.599998474121094</v>
      </c>
    </row>
    <row r="4634" spans="1:2" x14ac:dyDescent="0.25">
      <c r="A4634" s="5">
        <v>28668</v>
      </c>
      <c r="B4634">
        <v>94.980003356933594</v>
      </c>
    </row>
    <row r="4635" spans="1:2" x14ac:dyDescent="0.25">
      <c r="A4635" s="5">
        <v>28669</v>
      </c>
      <c r="B4635">
        <v>95.400001525878906</v>
      </c>
    </row>
    <row r="4636" spans="1:2" x14ac:dyDescent="0.25">
      <c r="A4636" s="5">
        <v>28670</v>
      </c>
      <c r="B4636">
        <v>95.569999694824205</v>
      </c>
    </row>
    <row r="4637" spans="1:2" x14ac:dyDescent="0.25">
      <c r="A4637" s="5">
        <v>28671</v>
      </c>
      <c r="B4637">
        <v>95.529998779296903</v>
      </c>
    </row>
    <row r="4638" spans="1:2" x14ac:dyDescent="0.25">
      <c r="A4638" s="5">
        <v>28674</v>
      </c>
      <c r="B4638">
        <v>95.089996337890597</v>
      </c>
    </row>
    <row r="4639" spans="1:2" x14ac:dyDescent="0.25">
      <c r="A4639" s="5">
        <v>28676</v>
      </c>
      <c r="B4639">
        <v>94.269996643066406</v>
      </c>
    </row>
    <row r="4640" spans="1:2" x14ac:dyDescent="0.25">
      <c r="A4640" s="5">
        <v>28677</v>
      </c>
      <c r="B4640">
        <v>94.319999694824205</v>
      </c>
    </row>
    <row r="4641" spans="1:2" x14ac:dyDescent="0.25">
      <c r="A4641" s="5">
        <v>28678</v>
      </c>
      <c r="B4641">
        <v>94.889999389648395</v>
      </c>
    </row>
    <row r="4642" spans="1:2" x14ac:dyDescent="0.25">
      <c r="A4642" s="5">
        <v>28681</v>
      </c>
      <c r="B4642">
        <v>95.269996643066406</v>
      </c>
    </row>
    <row r="4643" spans="1:2" x14ac:dyDescent="0.25">
      <c r="A4643" s="5">
        <v>28682</v>
      </c>
      <c r="B4643">
        <v>95.930000305175795</v>
      </c>
    </row>
    <row r="4644" spans="1:2" x14ac:dyDescent="0.25">
      <c r="A4644" s="5">
        <v>28683</v>
      </c>
      <c r="B4644">
        <v>96.239997863769503</v>
      </c>
    </row>
    <row r="4645" spans="1:2" x14ac:dyDescent="0.25">
      <c r="A4645" s="5">
        <v>28684</v>
      </c>
      <c r="B4645">
        <v>96.25</v>
      </c>
    </row>
    <row r="4646" spans="1:2" x14ac:dyDescent="0.25">
      <c r="A4646" s="5">
        <v>28685</v>
      </c>
      <c r="B4646">
        <v>97.580001831054702</v>
      </c>
    </row>
    <row r="4647" spans="1:2" x14ac:dyDescent="0.25">
      <c r="A4647" s="5">
        <v>28688</v>
      </c>
      <c r="B4647">
        <v>97.779998779296903</v>
      </c>
    </row>
    <row r="4648" spans="1:2" x14ac:dyDescent="0.25">
      <c r="A4648" s="5">
        <v>28689</v>
      </c>
      <c r="B4648">
        <v>96.870002746582003</v>
      </c>
    </row>
    <row r="4649" spans="1:2" x14ac:dyDescent="0.25">
      <c r="A4649" s="5">
        <v>28690</v>
      </c>
      <c r="B4649">
        <v>98.120002746582003</v>
      </c>
    </row>
    <row r="4650" spans="1:2" x14ac:dyDescent="0.25">
      <c r="A4650" s="5">
        <v>28691</v>
      </c>
      <c r="B4650">
        <v>98.029998779296903</v>
      </c>
    </row>
    <row r="4651" spans="1:2" x14ac:dyDescent="0.25">
      <c r="A4651" s="5">
        <v>28692</v>
      </c>
      <c r="B4651">
        <v>97.75</v>
      </c>
    </row>
    <row r="4652" spans="1:2" x14ac:dyDescent="0.25">
      <c r="A4652" s="5">
        <v>28695</v>
      </c>
      <c r="B4652">
        <v>97.720001220703097</v>
      </c>
    </row>
    <row r="4653" spans="1:2" x14ac:dyDescent="0.25">
      <c r="A4653" s="5">
        <v>28696</v>
      </c>
      <c r="B4653">
        <v>98.440002441406193</v>
      </c>
    </row>
    <row r="4654" spans="1:2" x14ac:dyDescent="0.25">
      <c r="A4654" s="5">
        <v>28697</v>
      </c>
      <c r="B4654">
        <v>99.080001831054702</v>
      </c>
    </row>
    <row r="4655" spans="1:2" x14ac:dyDescent="0.25">
      <c r="A4655" s="5">
        <v>28698</v>
      </c>
      <c r="B4655">
        <v>99.540000915527301</v>
      </c>
    </row>
    <row r="4656" spans="1:2" x14ac:dyDescent="0.25">
      <c r="A4656" s="5">
        <v>28699</v>
      </c>
      <c r="B4656">
        <v>100</v>
      </c>
    </row>
    <row r="4657" spans="1:2" x14ac:dyDescent="0.25">
      <c r="A4657" s="5">
        <v>28702</v>
      </c>
      <c r="B4657">
        <v>100.68000030517599</v>
      </c>
    </row>
    <row r="4658" spans="1:2" x14ac:dyDescent="0.25">
      <c r="A4658" s="5">
        <v>28703</v>
      </c>
      <c r="B4658">
        <v>100.66000366210901</v>
      </c>
    </row>
    <row r="4659" spans="1:2" x14ac:dyDescent="0.25">
      <c r="A4659" s="5">
        <v>28704</v>
      </c>
      <c r="B4659">
        <v>102.919998168945</v>
      </c>
    </row>
    <row r="4660" spans="1:2" x14ac:dyDescent="0.25">
      <c r="A4660" s="5">
        <v>28705</v>
      </c>
      <c r="B4660">
        <v>103.51000213623</v>
      </c>
    </row>
    <row r="4661" spans="1:2" x14ac:dyDescent="0.25">
      <c r="A4661" s="5">
        <v>28706</v>
      </c>
      <c r="B4661">
        <v>103.919998168945</v>
      </c>
    </row>
    <row r="4662" spans="1:2" x14ac:dyDescent="0.25">
      <c r="A4662" s="5">
        <v>28709</v>
      </c>
      <c r="B4662">
        <v>103.550003051758</v>
      </c>
    </row>
    <row r="4663" spans="1:2" x14ac:dyDescent="0.25">
      <c r="A4663" s="5">
        <v>28710</v>
      </c>
      <c r="B4663">
        <v>104.01000213623</v>
      </c>
    </row>
    <row r="4664" spans="1:2" x14ac:dyDescent="0.25">
      <c r="A4664" s="5">
        <v>28711</v>
      </c>
      <c r="B4664">
        <v>104.5</v>
      </c>
    </row>
    <row r="4665" spans="1:2" x14ac:dyDescent="0.25">
      <c r="A4665" s="5">
        <v>28712</v>
      </c>
      <c r="B4665">
        <v>103.66000366210901</v>
      </c>
    </row>
    <row r="4666" spans="1:2" x14ac:dyDescent="0.25">
      <c r="A4666" s="5">
        <v>28713</v>
      </c>
      <c r="B4666">
        <v>103.959999084473</v>
      </c>
    </row>
    <row r="4667" spans="1:2" x14ac:dyDescent="0.25">
      <c r="A4667" s="5">
        <v>28716</v>
      </c>
      <c r="B4667">
        <v>103.970001220703</v>
      </c>
    </row>
    <row r="4668" spans="1:2" x14ac:dyDescent="0.25">
      <c r="A4668" s="5">
        <v>28717</v>
      </c>
      <c r="B4668">
        <v>103.84999847412099</v>
      </c>
    </row>
    <row r="4669" spans="1:2" x14ac:dyDescent="0.25">
      <c r="A4669" s="5">
        <v>28718</v>
      </c>
      <c r="B4669">
        <v>104.65000152587901</v>
      </c>
    </row>
    <row r="4670" spans="1:2" x14ac:dyDescent="0.25">
      <c r="A4670" s="5">
        <v>28719</v>
      </c>
      <c r="B4670">
        <v>105.080001831055</v>
      </c>
    </row>
    <row r="4671" spans="1:2" x14ac:dyDescent="0.25">
      <c r="A4671" s="5">
        <v>28720</v>
      </c>
      <c r="B4671">
        <v>104.73000335693401</v>
      </c>
    </row>
    <row r="4672" spans="1:2" x14ac:dyDescent="0.25">
      <c r="A4672" s="5">
        <v>28723</v>
      </c>
      <c r="B4672">
        <v>103.889999389648</v>
      </c>
    </row>
    <row r="4673" spans="1:2" x14ac:dyDescent="0.25">
      <c r="A4673" s="5">
        <v>28724</v>
      </c>
      <c r="B4673">
        <v>104.30999755859401</v>
      </c>
    </row>
    <row r="4674" spans="1:2" x14ac:dyDescent="0.25">
      <c r="A4674" s="5">
        <v>28725</v>
      </c>
      <c r="B4674">
        <v>104.91000366210901</v>
      </c>
    </row>
    <row r="4675" spans="1:2" x14ac:dyDescent="0.25">
      <c r="A4675" s="5">
        <v>28726</v>
      </c>
      <c r="B4675">
        <v>105.080001831055</v>
      </c>
    </row>
    <row r="4676" spans="1:2" x14ac:dyDescent="0.25">
      <c r="A4676" s="5">
        <v>28727</v>
      </c>
      <c r="B4676">
        <v>104.90000152587901</v>
      </c>
    </row>
    <row r="4677" spans="1:2" x14ac:dyDescent="0.25">
      <c r="A4677" s="5">
        <v>28730</v>
      </c>
      <c r="B4677">
        <v>103.959999084473</v>
      </c>
    </row>
    <row r="4678" spans="1:2" x14ac:dyDescent="0.25">
      <c r="A4678" s="5">
        <v>28731</v>
      </c>
      <c r="B4678">
        <v>103.389999389648</v>
      </c>
    </row>
    <row r="4679" spans="1:2" x14ac:dyDescent="0.25">
      <c r="A4679" s="5">
        <v>28732</v>
      </c>
      <c r="B4679">
        <v>103.5</v>
      </c>
    </row>
    <row r="4680" spans="1:2" x14ac:dyDescent="0.25">
      <c r="A4680" s="5">
        <v>28733</v>
      </c>
      <c r="B4680">
        <v>103.290000915527</v>
      </c>
    </row>
    <row r="4681" spans="1:2" x14ac:dyDescent="0.25">
      <c r="A4681" s="5">
        <v>28734</v>
      </c>
      <c r="B4681">
        <v>103.68000030517599</v>
      </c>
    </row>
    <row r="4682" spans="1:2" x14ac:dyDescent="0.25">
      <c r="A4682" s="5">
        <v>28738</v>
      </c>
      <c r="B4682">
        <v>104.48999786377</v>
      </c>
    </row>
    <row r="4683" spans="1:2" x14ac:dyDescent="0.25">
      <c r="A4683" s="5">
        <v>28739</v>
      </c>
      <c r="B4683">
        <v>105.379997253418</v>
      </c>
    </row>
    <row r="4684" spans="1:2" x14ac:dyDescent="0.25">
      <c r="A4684" s="5">
        <v>28740</v>
      </c>
      <c r="B4684">
        <v>105.419998168945</v>
      </c>
    </row>
    <row r="4685" spans="1:2" x14ac:dyDescent="0.25">
      <c r="A4685" s="5">
        <v>28741</v>
      </c>
      <c r="B4685">
        <v>106.790000915527</v>
      </c>
    </row>
    <row r="4686" spans="1:2" x14ac:dyDescent="0.25">
      <c r="A4686" s="5">
        <v>28744</v>
      </c>
      <c r="B4686">
        <v>106.98000335693401</v>
      </c>
    </row>
    <row r="4687" spans="1:2" x14ac:dyDescent="0.25">
      <c r="A4687" s="5">
        <v>28745</v>
      </c>
      <c r="B4687">
        <v>106.98999786377</v>
      </c>
    </row>
    <row r="4688" spans="1:2" x14ac:dyDescent="0.25">
      <c r="A4688" s="5">
        <v>28746</v>
      </c>
      <c r="B4688">
        <v>106.33999633789099</v>
      </c>
    </row>
    <row r="4689" spans="1:2" x14ac:dyDescent="0.25">
      <c r="A4689" s="5">
        <v>28747</v>
      </c>
      <c r="B4689">
        <v>105.09999847412099</v>
      </c>
    </row>
    <row r="4690" spans="1:2" x14ac:dyDescent="0.25">
      <c r="A4690" s="5">
        <v>28748</v>
      </c>
      <c r="B4690">
        <v>104.120002746582</v>
      </c>
    </row>
    <row r="4691" spans="1:2" x14ac:dyDescent="0.25">
      <c r="A4691" s="5">
        <v>28751</v>
      </c>
      <c r="B4691">
        <v>103.209999084473</v>
      </c>
    </row>
    <row r="4692" spans="1:2" x14ac:dyDescent="0.25">
      <c r="A4692" s="5">
        <v>28752</v>
      </c>
      <c r="B4692">
        <v>102.529998779297</v>
      </c>
    </row>
    <row r="4693" spans="1:2" x14ac:dyDescent="0.25">
      <c r="A4693" s="5">
        <v>28753</v>
      </c>
      <c r="B4693">
        <v>101.73000335693401</v>
      </c>
    </row>
    <row r="4694" spans="1:2" x14ac:dyDescent="0.25">
      <c r="A4694" s="5">
        <v>28754</v>
      </c>
      <c r="B4694">
        <v>101.90000152587901</v>
      </c>
    </row>
    <row r="4695" spans="1:2" x14ac:dyDescent="0.25">
      <c r="A4695" s="5">
        <v>28755</v>
      </c>
      <c r="B4695">
        <v>101.83999633789099</v>
      </c>
    </row>
    <row r="4696" spans="1:2" x14ac:dyDescent="0.25">
      <c r="A4696" s="5">
        <v>28758</v>
      </c>
      <c r="B4696">
        <v>101.860000610352</v>
      </c>
    </row>
    <row r="4697" spans="1:2" x14ac:dyDescent="0.25">
      <c r="A4697" s="5">
        <v>28759</v>
      </c>
      <c r="B4697">
        <v>102.620002746582</v>
      </c>
    </row>
    <row r="4698" spans="1:2" x14ac:dyDescent="0.25">
      <c r="A4698" s="5">
        <v>28760</v>
      </c>
      <c r="B4698">
        <v>101.66000366210901</v>
      </c>
    </row>
    <row r="4699" spans="1:2" x14ac:dyDescent="0.25">
      <c r="A4699" s="5">
        <v>28761</v>
      </c>
      <c r="B4699">
        <v>101.959999084473</v>
      </c>
    </row>
    <row r="4700" spans="1:2" x14ac:dyDescent="0.25">
      <c r="A4700" s="5">
        <v>28762</v>
      </c>
      <c r="B4700">
        <v>102.540000915527</v>
      </c>
    </row>
    <row r="4701" spans="1:2" x14ac:dyDescent="0.25">
      <c r="A4701" s="5">
        <v>28765</v>
      </c>
      <c r="B4701">
        <v>102.959999084473</v>
      </c>
    </row>
    <row r="4702" spans="1:2" x14ac:dyDescent="0.25">
      <c r="A4702" s="5">
        <v>28766</v>
      </c>
      <c r="B4702">
        <v>102.59999847412099</v>
      </c>
    </row>
    <row r="4703" spans="1:2" x14ac:dyDescent="0.25">
      <c r="A4703" s="5">
        <v>28767</v>
      </c>
      <c r="B4703">
        <v>103.05999755859401</v>
      </c>
    </row>
    <row r="4704" spans="1:2" x14ac:dyDescent="0.25">
      <c r="A4704" s="5">
        <v>28768</v>
      </c>
      <c r="B4704">
        <v>103.26999664306599</v>
      </c>
    </row>
    <row r="4705" spans="1:2" x14ac:dyDescent="0.25">
      <c r="A4705" s="5">
        <v>28769</v>
      </c>
      <c r="B4705">
        <v>103.51999664306599</v>
      </c>
    </row>
    <row r="4706" spans="1:2" x14ac:dyDescent="0.25">
      <c r="A4706" s="5">
        <v>28772</v>
      </c>
      <c r="B4706">
        <v>104.58999633789099</v>
      </c>
    </row>
    <row r="4707" spans="1:2" x14ac:dyDescent="0.25">
      <c r="A4707" s="5">
        <v>28773</v>
      </c>
      <c r="B4707">
        <v>104.459999084473</v>
      </c>
    </row>
    <row r="4708" spans="1:2" x14ac:dyDescent="0.25">
      <c r="A4708" s="5">
        <v>28774</v>
      </c>
      <c r="B4708">
        <v>105.389999389648</v>
      </c>
    </row>
    <row r="4709" spans="1:2" x14ac:dyDescent="0.25">
      <c r="A4709" s="5">
        <v>28775</v>
      </c>
      <c r="B4709">
        <v>104.879997253418</v>
      </c>
    </row>
    <row r="4710" spans="1:2" x14ac:dyDescent="0.25">
      <c r="A4710" s="5">
        <v>28776</v>
      </c>
      <c r="B4710">
        <v>104.66000366210901</v>
      </c>
    </row>
    <row r="4711" spans="1:2" x14ac:dyDescent="0.25">
      <c r="A4711" s="5">
        <v>28779</v>
      </c>
      <c r="B4711">
        <v>102.610000610352</v>
      </c>
    </row>
    <row r="4712" spans="1:2" x14ac:dyDescent="0.25">
      <c r="A4712" s="5">
        <v>28780</v>
      </c>
      <c r="B4712">
        <v>101.26000213623</v>
      </c>
    </row>
    <row r="4713" spans="1:2" x14ac:dyDescent="0.25">
      <c r="A4713" s="5">
        <v>28781</v>
      </c>
      <c r="B4713">
        <v>100.48999786377</v>
      </c>
    </row>
    <row r="4714" spans="1:2" x14ac:dyDescent="0.25">
      <c r="A4714" s="5">
        <v>28782</v>
      </c>
      <c r="B4714">
        <v>99.330001831054702</v>
      </c>
    </row>
    <row r="4715" spans="1:2" x14ac:dyDescent="0.25">
      <c r="A4715" s="5">
        <v>28783</v>
      </c>
      <c r="B4715">
        <v>97.949996948242202</v>
      </c>
    </row>
    <row r="4716" spans="1:2" x14ac:dyDescent="0.25">
      <c r="A4716" s="5">
        <v>28786</v>
      </c>
      <c r="B4716">
        <v>98.180000305175795</v>
      </c>
    </row>
    <row r="4717" spans="1:2" x14ac:dyDescent="0.25">
      <c r="A4717" s="5">
        <v>28787</v>
      </c>
      <c r="B4717">
        <v>97.489997863769503</v>
      </c>
    </row>
    <row r="4718" spans="1:2" x14ac:dyDescent="0.25">
      <c r="A4718" s="5">
        <v>28788</v>
      </c>
      <c r="B4718">
        <v>97.309997558593807</v>
      </c>
    </row>
    <row r="4719" spans="1:2" x14ac:dyDescent="0.25">
      <c r="A4719" s="5">
        <v>28789</v>
      </c>
      <c r="B4719">
        <v>96.029998779296903</v>
      </c>
    </row>
    <row r="4720" spans="1:2" x14ac:dyDescent="0.25">
      <c r="A4720" s="5">
        <v>28790</v>
      </c>
      <c r="B4720">
        <v>94.589996337890597</v>
      </c>
    </row>
    <row r="4721" spans="1:2" x14ac:dyDescent="0.25">
      <c r="A4721" s="5">
        <v>28793</v>
      </c>
      <c r="B4721">
        <v>95.059997558593807</v>
      </c>
    </row>
    <row r="4722" spans="1:2" x14ac:dyDescent="0.25">
      <c r="A4722" s="5">
        <v>28794</v>
      </c>
      <c r="B4722">
        <v>93.150001525878906</v>
      </c>
    </row>
    <row r="4723" spans="1:2" x14ac:dyDescent="0.25">
      <c r="A4723" s="5">
        <v>28795</v>
      </c>
      <c r="B4723">
        <v>96.849998474121094</v>
      </c>
    </row>
    <row r="4724" spans="1:2" x14ac:dyDescent="0.25">
      <c r="A4724" s="5">
        <v>28796</v>
      </c>
      <c r="B4724">
        <v>95.610000610351605</v>
      </c>
    </row>
    <row r="4725" spans="1:2" x14ac:dyDescent="0.25">
      <c r="A4725" s="5">
        <v>28797</v>
      </c>
      <c r="B4725">
        <v>96.180000305175795</v>
      </c>
    </row>
    <row r="4726" spans="1:2" x14ac:dyDescent="0.25">
      <c r="A4726" s="5">
        <v>28800</v>
      </c>
      <c r="B4726">
        <v>95.190002441406193</v>
      </c>
    </row>
    <row r="4727" spans="1:2" x14ac:dyDescent="0.25">
      <c r="A4727" s="5">
        <v>28801</v>
      </c>
      <c r="B4727">
        <v>93.849998474121094</v>
      </c>
    </row>
    <row r="4728" spans="1:2" x14ac:dyDescent="0.25">
      <c r="A4728" s="5">
        <v>28802</v>
      </c>
      <c r="B4728">
        <v>94.449996948242202</v>
      </c>
    </row>
    <row r="4729" spans="1:2" x14ac:dyDescent="0.25">
      <c r="A4729" s="5">
        <v>28803</v>
      </c>
      <c r="B4729">
        <v>94.419998168945298</v>
      </c>
    </row>
    <row r="4730" spans="1:2" x14ac:dyDescent="0.25">
      <c r="A4730" s="5">
        <v>28804</v>
      </c>
      <c r="B4730">
        <v>94.769996643066406</v>
      </c>
    </row>
    <row r="4731" spans="1:2" x14ac:dyDescent="0.25">
      <c r="A4731" s="5">
        <v>28807</v>
      </c>
      <c r="B4731">
        <v>93.129997253417997</v>
      </c>
    </row>
    <row r="4732" spans="1:2" x14ac:dyDescent="0.25">
      <c r="A4732" s="5">
        <v>28808</v>
      </c>
      <c r="B4732">
        <v>92.489997863769503</v>
      </c>
    </row>
    <row r="4733" spans="1:2" x14ac:dyDescent="0.25">
      <c r="A4733" s="5">
        <v>28809</v>
      </c>
      <c r="B4733">
        <v>92.709999084472699</v>
      </c>
    </row>
    <row r="4734" spans="1:2" x14ac:dyDescent="0.25">
      <c r="A4734" s="5">
        <v>28810</v>
      </c>
      <c r="B4734">
        <v>93.709999084472699</v>
      </c>
    </row>
    <row r="4735" spans="1:2" x14ac:dyDescent="0.25">
      <c r="A4735" s="5">
        <v>28811</v>
      </c>
      <c r="B4735">
        <v>94.419998168945298</v>
      </c>
    </row>
    <row r="4736" spans="1:2" x14ac:dyDescent="0.25">
      <c r="A4736" s="5">
        <v>28814</v>
      </c>
      <c r="B4736">
        <v>95.25</v>
      </c>
    </row>
    <row r="4737" spans="1:2" x14ac:dyDescent="0.25">
      <c r="A4737" s="5">
        <v>28815</v>
      </c>
      <c r="B4737">
        <v>95.010002136230497</v>
      </c>
    </row>
    <row r="4738" spans="1:2" x14ac:dyDescent="0.25">
      <c r="A4738" s="5">
        <v>28816</v>
      </c>
      <c r="B4738">
        <v>95.480003356933594</v>
      </c>
    </row>
    <row r="4739" spans="1:2" x14ac:dyDescent="0.25">
      <c r="A4739" s="5">
        <v>28818</v>
      </c>
      <c r="B4739">
        <v>95.790000915527301</v>
      </c>
    </row>
    <row r="4740" spans="1:2" x14ac:dyDescent="0.25">
      <c r="A4740" s="5">
        <v>28821</v>
      </c>
      <c r="B4740">
        <v>95.989997863769503</v>
      </c>
    </row>
    <row r="4741" spans="1:2" x14ac:dyDescent="0.25">
      <c r="A4741" s="5">
        <v>28822</v>
      </c>
      <c r="B4741">
        <v>95.150001525878906</v>
      </c>
    </row>
    <row r="4742" spans="1:2" x14ac:dyDescent="0.25">
      <c r="A4742" s="5">
        <v>28823</v>
      </c>
      <c r="B4742">
        <v>93.75</v>
      </c>
    </row>
    <row r="4743" spans="1:2" x14ac:dyDescent="0.25">
      <c r="A4743" s="5">
        <v>28824</v>
      </c>
      <c r="B4743">
        <v>94.699996948242202</v>
      </c>
    </row>
    <row r="4744" spans="1:2" x14ac:dyDescent="0.25">
      <c r="A4744" s="5">
        <v>28825</v>
      </c>
      <c r="B4744">
        <v>96.279998779296903</v>
      </c>
    </row>
    <row r="4745" spans="1:2" x14ac:dyDescent="0.25">
      <c r="A4745" s="5">
        <v>28828</v>
      </c>
      <c r="B4745">
        <v>96.150001525878906</v>
      </c>
    </row>
    <row r="4746" spans="1:2" x14ac:dyDescent="0.25">
      <c r="A4746" s="5">
        <v>28829</v>
      </c>
      <c r="B4746">
        <v>97.440002441406193</v>
      </c>
    </row>
    <row r="4747" spans="1:2" x14ac:dyDescent="0.25">
      <c r="A4747" s="5">
        <v>28830</v>
      </c>
      <c r="B4747">
        <v>97.489997863769503</v>
      </c>
    </row>
    <row r="4748" spans="1:2" x14ac:dyDescent="0.25">
      <c r="A4748" s="5">
        <v>28831</v>
      </c>
      <c r="B4748">
        <v>97.080001831054702</v>
      </c>
    </row>
    <row r="4749" spans="1:2" x14ac:dyDescent="0.25">
      <c r="A4749" s="5">
        <v>28832</v>
      </c>
      <c r="B4749">
        <v>96.629997253417997</v>
      </c>
    </row>
    <row r="4750" spans="1:2" x14ac:dyDescent="0.25">
      <c r="A4750" s="5">
        <v>28835</v>
      </c>
      <c r="B4750">
        <v>97.110000610351605</v>
      </c>
    </row>
    <row r="4751" spans="1:2" x14ac:dyDescent="0.25">
      <c r="A4751" s="5">
        <v>28836</v>
      </c>
      <c r="B4751">
        <v>96.589996337890597</v>
      </c>
    </row>
    <row r="4752" spans="1:2" x14ac:dyDescent="0.25">
      <c r="A4752" s="5">
        <v>28837</v>
      </c>
      <c r="B4752">
        <v>96.059997558593807</v>
      </c>
    </row>
    <row r="4753" spans="1:2" x14ac:dyDescent="0.25">
      <c r="A4753" s="5">
        <v>28838</v>
      </c>
      <c r="B4753">
        <v>96.040000915527301</v>
      </c>
    </row>
    <row r="4754" spans="1:2" x14ac:dyDescent="0.25">
      <c r="A4754" s="5">
        <v>28839</v>
      </c>
      <c r="B4754">
        <v>95.330001831054702</v>
      </c>
    </row>
    <row r="4755" spans="1:2" x14ac:dyDescent="0.25">
      <c r="A4755" s="5">
        <v>28842</v>
      </c>
      <c r="B4755">
        <v>93.440002441406193</v>
      </c>
    </row>
    <row r="4756" spans="1:2" x14ac:dyDescent="0.25">
      <c r="A4756" s="5">
        <v>28843</v>
      </c>
      <c r="B4756">
        <v>94.239997863769503</v>
      </c>
    </row>
    <row r="4757" spans="1:2" x14ac:dyDescent="0.25">
      <c r="A4757" s="5">
        <v>28844</v>
      </c>
      <c r="B4757">
        <v>94.680000305175795</v>
      </c>
    </row>
    <row r="4758" spans="1:2" x14ac:dyDescent="0.25">
      <c r="A4758" s="5">
        <v>28845</v>
      </c>
      <c r="B4758">
        <v>94.709999084472699</v>
      </c>
    </row>
    <row r="4759" spans="1:2" x14ac:dyDescent="0.25">
      <c r="A4759" s="5">
        <v>28846</v>
      </c>
      <c r="B4759">
        <v>96.309997558593807</v>
      </c>
    </row>
    <row r="4760" spans="1:2" x14ac:dyDescent="0.25">
      <c r="A4760" s="5">
        <v>28850</v>
      </c>
      <c r="B4760">
        <v>97.519996643066406</v>
      </c>
    </row>
    <row r="4761" spans="1:2" x14ac:dyDescent="0.25">
      <c r="A4761" s="5">
        <v>28851</v>
      </c>
      <c r="B4761">
        <v>96.660003662109403</v>
      </c>
    </row>
    <row r="4762" spans="1:2" x14ac:dyDescent="0.25">
      <c r="A4762" s="5">
        <v>28852</v>
      </c>
      <c r="B4762">
        <v>96.279998779296903</v>
      </c>
    </row>
    <row r="4763" spans="1:2" x14ac:dyDescent="0.25">
      <c r="A4763" s="5">
        <v>28853</v>
      </c>
      <c r="B4763">
        <v>96.110000610351605</v>
      </c>
    </row>
    <row r="4764" spans="1:2" x14ac:dyDescent="0.25">
      <c r="A4764" s="5">
        <v>28857</v>
      </c>
      <c r="B4764">
        <v>96.730003356933594</v>
      </c>
    </row>
    <row r="4765" spans="1:2" x14ac:dyDescent="0.25">
      <c r="A4765" s="5">
        <v>28858</v>
      </c>
      <c r="B4765">
        <v>97.800003051757798</v>
      </c>
    </row>
    <row r="4766" spans="1:2" x14ac:dyDescent="0.25">
      <c r="A4766" s="5">
        <v>28859</v>
      </c>
      <c r="B4766">
        <v>98.580001831054702</v>
      </c>
    </row>
    <row r="4767" spans="1:2" x14ac:dyDescent="0.25">
      <c r="A4767" s="5">
        <v>28860</v>
      </c>
      <c r="B4767">
        <v>99.129997253417997</v>
      </c>
    </row>
    <row r="4768" spans="1:2" x14ac:dyDescent="0.25">
      <c r="A4768" s="5">
        <v>28863</v>
      </c>
      <c r="B4768">
        <v>98.800003051757798</v>
      </c>
    </row>
    <row r="4769" spans="1:2" x14ac:dyDescent="0.25">
      <c r="A4769" s="5">
        <v>28864</v>
      </c>
      <c r="B4769">
        <v>99.330001831054702</v>
      </c>
    </row>
    <row r="4770" spans="1:2" x14ac:dyDescent="0.25">
      <c r="A4770" s="5">
        <v>28865</v>
      </c>
      <c r="B4770">
        <v>98.769996643066406</v>
      </c>
    </row>
    <row r="4771" spans="1:2" x14ac:dyDescent="0.25">
      <c r="A4771" s="5">
        <v>28866</v>
      </c>
      <c r="B4771">
        <v>99.099998474121094</v>
      </c>
    </row>
    <row r="4772" spans="1:2" x14ac:dyDescent="0.25">
      <c r="A4772" s="5">
        <v>28867</v>
      </c>
      <c r="B4772">
        <v>99.930000305175795</v>
      </c>
    </row>
    <row r="4773" spans="1:2" x14ac:dyDescent="0.25">
      <c r="A4773" s="5">
        <v>28870</v>
      </c>
      <c r="B4773">
        <v>100.69000244140599</v>
      </c>
    </row>
    <row r="4774" spans="1:2" x14ac:dyDescent="0.25">
      <c r="A4774" s="5">
        <v>28871</v>
      </c>
      <c r="B4774">
        <v>99.459999084472699</v>
      </c>
    </row>
    <row r="4775" spans="1:2" x14ac:dyDescent="0.25">
      <c r="A4775" s="5">
        <v>28872</v>
      </c>
      <c r="B4775">
        <v>99.480003356933594</v>
      </c>
    </row>
    <row r="4776" spans="1:2" x14ac:dyDescent="0.25">
      <c r="A4776" s="5">
        <v>28873</v>
      </c>
      <c r="B4776">
        <v>99.720001220703097</v>
      </c>
    </row>
    <row r="4777" spans="1:2" x14ac:dyDescent="0.25">
      <c r="A4777" s="5">
        <v>28874</v>
      </c>
      <c r="B4777">
        <v>99.75</v>
      </c>
    </row>
    <row r="4778" spans="1:2" x14ac:dyDescent="0.25">
      <c r="A4778" s="5">
        <v>28877</v>
      </c>
      <c r="B4778">
        <v>99.900001525878906</v>
      </c>
    </row>
    <row r="4779" spans="1:2" x14ac:dyDescent="0.25">
      <c r="A4779" s="5">
        <v>28878</v>
      </c>
      <c r="B4779">
        <v>100.59999847412099</v>
      </c>
    </row>
    <row r="4780" spans="1:2" x14ac:dyDescent="0.25">
      <c r="A4780" s="5">
        <v>28879</v>
      </c>
      <c r="B4780">
        <v>100.16000366210901</v>
      </c>
    </row>
    <row r="4781" spans="1:2" x14ac:dyDescent="0.25">
      <c r="A4781" s="5">
        <v>28880</v>
      </c>
      <c r="B4781">
        <v>101.19000244140599</v>
      </c>
    </row>
    <row r="4782" spans="1:2" x14ac:dyDescent="0.25">
      <c r="A4782" s="5">
        <v>28881</v>
      </c>
      <c r="B4782">
        <v>101.860000610352</v>
      </c>
    </row>
    <row r="4783" spans="1:2" x14ac:dyDescent="0.25">
      <c r="A4783" s="5">
        <v>28884</v>
      </c>
      <c r="B4783">
        <v>101.550003051758</v>
      </c>
    </row>
    <row r="4784" spans="1:2" x14ac:dyDescent="0.25">
      <c r="A4784" s="5">
        <v>28885</v>
      </c>
      <c r="B4784">
        <v>101.050003051758</v>
      </c>
    </row>
    <row r="4785" spans="1:2" x14ac:dyDescent="0.25">
      <c r="A4785" s="5">
        <v>28886</v>
      </c>
      <c r="B4785">
        <v>99.930000305175795</v>
      </c>
    </row>
    <row r="4786" spans="1:2" x14ac:dyDescent="0.25">
      <c r="A4786" s="5">
        <v>28887</v>
      </c>
      <c r="B4786">
        <v>99.959999084472699</v>
      </c>
    </row>
    <row r="4787" spans="1:2" x14ac:dyDescent="0.25">
      <c r="A4787" s="5">
        <v>28888</v>
      </c>
      <c r="B4787">
        <v>99.5</v>
      </c>
    </row>
    <row r="4788" spans="1:2" x14ac:dyDescent="0.25">
      <c r="A4788" s="5">
        <v>28891</v>
      </c>
      <c r="B4788">
        <v>98.089996337890597</v>
      </c>
    </row>
    <row r="4789" spans="1:2" x14ac:dyDescent="0.25">
      <c r="A4789" s="5">
        <v>28892</v>
      </c>
      <c r="B4789">
        <v>98.050003051757798</v>
      </c>
    </row>
    <row r="4790" spans="1:2" x14ac:dyDescent="0.25">
      <c r="A4790" s="5">
        <v>28893</v>
      </c>
      <c r="B4790">
        <v>97.160003662109403</v>
      </c>
    </row>
    <row r="4791" spans="1:2" x14ac:dyDescent="0.25">
      <c r="A4791" s="5">
        <v>28894</v>
      </c>
      <c r="B4791">
        <v>97.650001525878906</v>
      </c>
    </row>
    <row r="4792" spans="1:2" x14ac:dyDescent="0.25">
      <c r="A4792" s="5">
        <v>28895</v>
      </c>
      <c r="B4792">
        <v>97.870002746582003</v>
      </c>
    </row>
    <row r="4793" spans="1:2" x14ac:dyDescent="0.25">
      <c r="A4793" s="5">
        <v>28898</v>
      </c>
      <c r="B4793">
        <v>98.199996948242202</v>
      </c>
    </row>
    <row r="4794" spans="1:2" x14ac:dyDescent="0.25">
      <c r="A4794" s="5">
        <v>28899</v>
      </c>
      <c r="B4794">
        <v>98.930000305175795</v>
      </c>
    </row>
    <row r="4795" spans="1:2" x14ac:dyDescent="0.25">
      <c r="A4795" s="5">
        <v>28900</v>
      </c>
      <c r="B4795">
        <v>98.870002746582003</v>
      </c>
    </row>
    <row r="4796" spans="1:2" x14ac:dyDescent="0.25">
      <c r="A4796" s="5">
        <v>28901</v>
      </c>
      <c r="B4796">
        <v>98.730003356933594</v>
      </c>
    </row>
    <row r="4797" spans="1:2" x14ac:dyDescent="0.25">
      <c r="A4797" s="5">
        <v>28902</v>
      </c>
      <c r="B4797">
        <v>98.669998168945298</v>
      </c>
    </row>
    <row r="4798" spans="1:2" x14ac:dyDescent="0.25">
      <c r="A4798" s="5">
        <v>28906</v>
      </c>
      <c r="B4798">
        <v>99.419998168945298</v>
      </c>
    </row>
    <row r="4799" spans="1:2" x14ac:dyDescent="0.25">
      <c r="A4799" s="5">
        <v>28907</v>
      </c>
      <c r="B4799">
        <v>99.069999694824205</v>
      </c>
    </row>
    <row r="4800" spans="1:2" x14ac:dyDescent="0.25">
      <c r="A4800" s="5">
        <v>28908</v>
      </c>
      <c r="B4800">
        <v>98.330001831054702</v>
      </c>
    </row>
    <row r="4801" spans="1:2" x14ac:dyDescent="0.25">
      <c r="A4801" s="5">
        <v>28909</v>
      </c>
      <c r="B4801">
        <v>97.779998779296903</v>
      </c>
    </row>
    <row r="4802" spans="1:2" x14ac:dyDescent="0.25">
      <c r="A4802" s="5">
        <v>28912</v>
      </c>
      <c r="B4802">
        <v>97.669998168945298</v>
      </c>
    </row>
    <row r="4803" spans="1:2" x14ac:dyDescent="0.25">
      <c r="A4803" s="5">
        <v>28913</v>
      </c>
      <c r="B4803">
        <v>96.129997253417997</v>
      </c>
    </row>
    <row r="4804" spans="1:2" x14ac:dyDescent="0.25">
      <c r="A4804" s="5">
        <v>28914</v>
      </c>
      <c r="B4804">
        <v>96.279998779296903</v>
      </c>
    </row>
    <row r="4805" spans="1:2" x14ac:dyDescent="0.25">
      <c r="A4805" s="5">
        <v>28915</v>
      </c>
      <c r="B4805">
        <v>96.900001525878906</v>
      </c>
    </row>
    <row r="4806" spans="1:2" x14ac:dyDescent="0.25">
      <c r="A4806" s="5">
        <v>28916</v>
      </c>
      <c r="B4806">
        <v>96.970001220703097</v>
      </c>
    </row>
    <row r="4807" spans="1:2" x14ac:dyDescent="0.25">
      <c r="A4807" s="5">
        <v>28919</v>
      </c>
      <c r="B4807">
        <v>98.059997558593807</v>
      </c>
    </row>
    <row r="4808" spans="1:2" x14ac:dyDescent="0.25">
      <c r="A4808" s="5">
        <v>28920</v>
      </c>
      <c r="B4808">
        <v>97.870002746582003</v>
      </c>
    </row>
    <row r="4809" spans="1:2" x14ac:dyDescent="0.25">
      <c r="A4809" s="5">
        <v>28921</v>
      </c>
      <c r="B4809">
        <v>98.440002441406193</v>
      </c>
    </row>
    <row r="4810" spans="1:2" x14ac:dyDescent="0.25">
      <c r="A4810" s="5">
        <v>28922</v>
      </c>
      <c r="B4810">
        <v>99.580001831054702</v>
      </c>
    </row>
    <row r="4811" spans="1:2" x14ac:dyDescent="0.25">
      <c r="A4811" s="5">
        <v>28923</v>
      </c>
      <c r="B4811">
        <v>99.540000915527301</v>
      </c>
    </row>
    <row r="4812" spans="1:2" x14ac:dyDescent="0.25">
      <c r="A4812" s="5">
        <v>28926</v>
      </c>
      <c r="B4812">
        <v>99.669998168945298</v>
      </c>
    </row>
    <row r="4813" spans="1:2" x14ac:dyDescent="0.25">
      <c r="A4813" s="5">
        <v>28927</v>
      </c>
      <c r="B4813">
        <v>99.839996337890597</v>
      </c>
    </row>
    <row r="4814" spans="1:2" x14ac:dyDescent="0.25">
      <c r="A4814" s="5">
        <v>28928</v>
      </c>
      <c r="B4814">
        <v>99.709999084472699</v>
      </c>
    </row>
    <row r="4815" spans="1:2" x14ac:dyDescent="0.25">
      <c r="A4815" s="5">
        <v>28929</v>
      </c>
      <c r="B4815">
        <v>99.860000610351605</v>
      </c>
    </row>
    <row r="4816" spans="1:2" x14ac:dyDescent="0.25">
      <c r="A4816" s="5">
        <v>28930</v>
      </c>
      <c r="B4816">
        <v>100.69000244140599</v>
      </c>
    </row>
    <row r="4817" spans="1:2" x14ac:dyDescent="0.25">
      <c r="A4817" s="5">
        <v>28933</v>
      </c>
      <c r="B4817">
        <v>101.05999755859401</v>
      </c>
    </row>
    <row r="4818" spans="1:2" x14ac:dyDescent="0.25">
      <c r="A4818" s="5">
        <v>28934</v>
      </c>
      <c r="B4818">
        <v>100.5</v>
      </c>
    </row>
    <row r="4819" spans="1:2" x14ac:dyDescent="0.25">
      <c r="A4819" s="5">
        <v>28935</v>
      </c>
      <c r="B4819">
        <v>101.25</v>
      </c>
    </row>
    <row r="4820" spans="1:2" x14ac:dyDescent="0.25">
      <c r="A4820" s="5">
        <v>28936</v>
      </c>
      <c r="B4820">
        <v>101.669998168945</v>
      </c>
    </row>
    <row r="4821" spans="1:2" x14ac:dyDescent="0.25">
      <c r="A4821" s="5">
        <v>28937</v>
      </c>
      <c r="B4821">
        <v>101.59999847412099</v>
      </c>
    </row>
    <row r="4822" spans="1:2" x14ac:dyDescent="0.25">
      <c r="A4822" s="5">
        <v>28940</v>
      </c>
      <c r="B4822">
        <v>101.040000915527</v>
      </c>
    </row>
    <row r="4823" spans="1:2" x14ac:dyDescent="0.25">
      <c r="A4823" s="5">
        <v>28941</v>
      </c>
      <c r="B4823">
        <v>102.48000335693401</v>
      </c>
    </row>
    <row r="4824" spans="1:2" x14ac:dyDescent="0.25">
      <c r="A4824" s="5">
        <v>28942</v>
      </c>
      <c r="B4824">
        <v>102.120002746582</v>
      </c>
    </row>
    <row r="4825" spans="1:2" x14ac:dyDescent="0.25">
      <c r="A4825" s="5">
        <v>28943</v>
      </c>
      <c r="B4825">
        <v>102.029998779297</v>
      </c>
    </row>
    <row r="4826" spans="1:2" x14ac:dyDescent="0.25">
      <c r="A4826" s="5">
        <v>28944</v>
      </c>
      <c r="B4826">
        <v>101.58999633789099</v>
      </c>
    </row>
    <row r="4827" spans="1:2" x14ac:dyDescent="0.25">
      <c r="A4827" s="5">
        <v>28947</v>
      </c>
      <c r="B4827">
        <v>100.90000152587901</v>
      </c>
    </row>
    <row r="4828" spans="1:2" x14ac:dyDescent="0.25">
      <c r="A4828" s="5">
        <v>28948</v>
      </c>
      <c r="B4828">
        <v>102.40000152587901</v>
      </c>
    </row>
    <row r="4829" spans="1:2" x14ac:dyDescent="0.25">
      <c r="A4829" s="5">
        <v>28949</v>
      </c>
      <c r="B4829">
        <v>102.65000152587901</v>
      </c>
    </row>
    <row r="4830" spans="1:2" x14ac:dyDescent="0.25">
      <c r="A4830" s="5">
        <v>28950</v>
      </c>
      <c r="B4830">
        <v>103.26000213623</v>
      </c>
    </row>
    <row r="4831" spans="1:2" x14ac:dyDescent="0.25">
      <c r="A4831" s="5">
        <v>28951</v>
      </c>
      <c r="B4831">
        <v>103.18000030517599</v>
      </c>
    </row>
    <row r="4832" spans="1:2" x14ac:dyDescent="0.25">
      <c r="A4832" s="5">
        <v>28954</v>
      </c>
      <c r="B4832">
        <v>102.870002746582</v>
      </c>
    </row>
    <row r="4833" spans="1:2" x14ac:dyDescent="0.25">
      <c r="A4833" s="5">
        <v>28955</v>
      </c>
      <c r="B4833">
        <v>103.33999633789099</v>
      </c>
    </row>
    <row r="4834" spans="1:2" x14ac:dyDescent="0.25">
      <c r="A4834" s="5">
        <v>28956</v>
      </c>
      <c r="B4834">
        <v>102.30999755859401</v>
      </c>
    </row>
    <row r="4835" spans="1:2" x14ac:dyDescent="0.25">
      <c r="A4835" s="5">
        <v>28957</v>
      </c>
      <c r="B4835">
        <v>102</v>
      </c>
    </row>
    <row r="4836" spans="1:2" x14ac:dyDescent="0.25">
      <c r="A4836" s="5">
        <v>28961</v>
      </c>
      <c r="B4836">
        <v>101.120002746582</v>
      </c>
    </row>
    <row r="4837" spans="1:2" x14ac:dyDescent="0.25">
      <c r="A4837" s="5">
        <v>28962</v>
      </c>
      <c r="B4837">
        <v>101.23999786377</v>
      </c>
    </row>
    <row r="4838" spans="1:2" x14ac:dyDescent="0.25">
      <c r="A4838" s="5">
        <v>28963</v>
      </c>
      <c r="B4838">
        <v>101.699996948242</v>
      </c>
    </row>
    <row r="4839" spans="1:2" x14ac:dyDescent="0.25">
      <c r="A4839" s="5">
        <v>28964</v>
      </c>
      <c r="B4839">
        <v>101.279998779297</v>
      </c>
    </row>
    <row r="4840" spans="1:2" x14ac:dyDescent="0.25">
      <c r="A4840" s="5">
        <v>28965</v>
      </c>
      <c r="B4840">
        <v>101.23000335693401</v>
      </c>
    </row>
    <row r="4841" spans="1:2" x14ac:dyDescent="0.25">
      <c r="A4841" s="5">
        <v>28968</v>
      </c>
      <c r="B4841">
        <v>101.56999969482401</v>
      </c>
    </row>
    <row r="4842" spans="1:2" x14ac:dyDescent="0.25">
      <c r="A4842" s="5">
        <v>28969</v>
      </c>
      <c r="B4842">
        <v>102.199996948242</v>
      </c>
    </row>
    <row r="4843" spans="1:2" x14ac:dyDescent="0.25">
      <c r="A4843" s="5">
        <v>28970</v>
      </c>
      <c r="B4843">
        <v>102.5</v>
      </c>
    </row>
    <row r="4844" spans="1:2" x14ac:dyDescent="0.25">
      <c r="A4844" s="5">
        <v>28971</v>
      </c>
      <c r="B4844">
        <v>102.01000213623</v>
      </c>
    </row>
    <row r="4845" spans="1:2" x14ac:dyDescent="0.25">
      <c r="A4845" s="5">
        <v>28972</v>
      </c>
      <c r="B4845">
        <v>101.800003051758</v>
      </c>
    </row>
    <row r="4846" spans="1:2" x14ac:dyDescent="0.25">
      <c r="A4846" s="5">
        <v>28975</v>
      </c>
      <c r="B4846">
        <v>101.76000213623</v>
      </c>
    </row>
    <row r="4847" spans="1:2" x14ac:dyDescent="0.25">
      <c r="A4847" s="5">
        <v>28976</v>
      </c>
      <c r="B4847">
        <v>101.68000030517599</v>
      </c>
    </row>
    <row r="4848" spans="1:2" x14ac:dyDescent="0.25">
      <c r="A4848" s="5">
        <v>28977</v>
      </c>
      <c r="B4848">
        <v>101.720001220703</v>
      </c>
    </row>
    <row r="4849" spans="1:2" x14ac:dyDescent="0.25">
      <c r="A4849" s="5">
        <v>28978</v>
      </c>
      <c r="B4849">
        <v>101.80999755859401</v>
      </c>
    </row>
    <row r="4850" spans="1:2" x14ac:dyDescent="0.25">
      <c r="A4850" s="5">
        <v>28979</v>
      </c>
      <c r="B4850">
        <v>100.69000244140599</v>
      </c>
    </row>
    <row r="4851" spans="1:2" x14ac:dyDescent="0.25">
      <c r="A4851" s="5">
        <v>28982</v>
      </c>
      <c r="B4851">
        <v>99.019996643066406</v>
      </c>
    </row>
    <row r="4852" spans="1:2" x14ac:dyDescent="0.25">
      <c r="A4852" s="5">
        <v>28983</v>
      </c>
      <c r="B4852">
        <v>99.169998168945298</v>
      </c>
    </row>
    <row r="4853" spans="1:2" x14ac:dyDescent="0.25">
      <c r="A4853" s="5">
        <v>28984</v>
      </c>
      <c r="B4853">
        <v>99.459999084472699</v>
      </c>
    </row>
    <row r="4854" spans="1:2" x14ac:dyDescent="0.25">
      <c r="A4854" s="5">
        <v>28985</v>
      </c>
      <c r="B4854">
        <v>98.519996643066406</v>
      </c>
    </row>
    <row r="4855" spans="1:2" x14ac:dyDescent="0.25">
      <c r="A4855" s="5">
        <v>28986</v>
      </c>
      <c r="B4855">
        <v>98.519996643066406</v>
      </c>
    </row>
    <row r="4856" spans="1:2" x14ac:dyDescent="0.25">
      <c r="A4856" s="5">
        <v>28989</v>
      </c>
      <c r="B4856">
        <v>98.059997558593807</v>
      </c>
    </row>
    <row r="4857" spans="1:2" x14ac:dyDescent="0.25">
      <c r="A4857" s="5">
        <v>28990</v>
      </c>
      <c r="B4857">
        <v>98.139999389648395</v>
      </c>
    </row>
    <row r="4858" spans="1:2" x14ac:dyDescent="0.25">
      <c r="A4858" s="5">
        <v>28991</v>
      </c>
      <c r="B4858">
        <v>98.419998168945298</v>
      </c>
    </row>
    <row r="4859" spans="1:2" x14ac:dyDescent="0.25">
      <c r="A4859" s="5">
        <v>28992</v>
      </c>
      <c r="B4859">
        <v>99.940002441406193</v>
      </c>
    </row>
    <row r="4860" spans="1:2" x14ac:dyDescent="0.25">
      <c r="A4860" s="5">
        <v>28993</v>
      </c>
      <c r="B4860">
        <v>99.930000305175795</v>
      </c>
    </row>
    <row r="4861" spans="1:2" x14ac:dyDescent="0.25">
      <c r="A4861" s="5">
        <v>28996</v>
      </c>
      <c r="B4861">
        <v>100.139999389648</v>
      </c>
    </row>
    <row r="4862" spans="1:2" x14ac:dyDescent="0.25">
      <c r="A4862" s="5">
        <v>28997</v>
      </c>
      <c r="B4862">
        <v>100.51000213623</v>
      </c>
    </row>
    <row r="4863" spans="1:2" x14ac:dyDescent="0.25">
      <c r="A4863" s="5">
        <v>28998</v>
      </c>
      <c r="B4863">
        <v>99.889999389648395</v>
      </c>
    </row>
    <row r="4864" spans="1:2" x14ac:dyDescent="0.25">
      <c r="A4864" s="5">
        <v>28999</v>
      </c>
      <c r="B4864">
        <v>99.930000305175795</v>
      </c>
    </row>
    <row r="4865" spans="1:2" x14ac:dyDescent="0.25">
      <c r="A4865" s="5">
        <v>29000</v>
      </c>
      <c r="B4865">
        <v>100.220001220703</v>
      </c>
    </row>
    <row r="4866" spans="1:2" x14ac:dyDescent="0.25">
      <c r="A4866" s="5">
        <v>29004</v>
      </c>
      <c r="B4866">
        <v>100.050003051758</v>
      </c>
    </row>
    <row r="4867" spans="1:2" x14ac:dyDescent="0.25">
      <c r="A4867" s="5">
        <v>29005</v>
      </c>
      <c r="B4867">
        <v>99.110000610351605</v>
      </c>
    </row>
    <row r="4868" spans="1:2" x14ac:dyDescent="0.25">
      <c r="A4868" s="5">
        <v>29006</v>
      </c>
      <c r="B4868">
        <v>99.080001831054702</v>
      </c>
    </row>
    <row r="4869" spans="1:2" x14ac:dyDescent="0.25">
      <c r="A4869" s="5">
        <v>29007</v>
      </c>
      <c r="B4869">
        <v>99.169998168945298</v>
      </c>
    </row>
    <row r="4870" spans="1:2" x14ac:dyDescent="0.25">
      <c r="A4870" s="5">
        <v>29010</v>
      </c>
      <c r="B4870">
        <v>99.319999694824205</v>
      </c>
    </row>
    <row r="4871" spans="1:2" x14ac:dyDescent="0.25">
      <c r="A4871" s="5">
        <v>29011</v>
      </c>
      <c r="B4871">
        <v>100.620002746582</v>
      </c>
    </row>
    <row r="4872" spans="1:2" x14ac:dyDescent="0.25">
      <c r="A4872" s="5">
        <v>29012</v>
      </c>
      <c r="B4872">
        <v>101.300003051758</v>
      </c>
    </row>
    <row r="4873" spans="1:2" x14ac:dyDescent="0.25">
      <c r="A4873" s="5">
        <v>29013</v>
      </c>
      <c r="B4873">
        <v>101.790000915527</v>
      </c>
    </row>
    <row r="4874" spans="1:2" x14ac:dyDescent="0.25">
      <c r="A4874" s="5">
        <v>29014</v>
      </c>
      <c r="B4874">
        <v>101.48999786377</v>
      </c>
    </row>
    <row r="4875" spans="1:2" x14ac:dyDescent="0.25">
      <c r="A4875" s="5">
        <v>29017</v>
      </c>
      <c r="B4875">
        <v>101.91000366210901</v>
      </c>
    </row>
    <row r="4876" spans="1:2" x14ac:dyDescent="0.25">
      <c r="A4876" s="5">
        <v>29018</v>
      </c>
      <c r="B4876">
        <v>102.84999847412099</v>
      </c>
    </row>
    <row r="4877" spans="1:2" x14ac:dyDescent="0.25">
      <c r="A4877" s="5">
        <v>29019</v>
      </c>
      <c r="B4877">
        <v>102.30999755859401</v>
      </c>
    </row>
    <row r="4878" spans="1:2" x14ac:dyDescent="0.25">
      <c r="A4878" s="5">
        <v>29020</v>
      </c>
      <c r="B4878">
        <v>102.199996948242</v>
      </c>
    </row>
    <row r="4879" spans="1:2" x14ac:dyDescent="0.25">
      <c r="A4879" s="5">
        <v>29021</v>
      </c>
      <c r="B4879">
        <v>102.08999633789099</v>
      </c>
    </row>
    <row r="4880" spans="1:2" x14ac:dyDescent="0.25">
      <c r="A4880" s="5">
        <v>29024</v>
      </c>
      <c r="B4880">
        <v>101.55999755859401</v>
      </c>
    </row>
    <row r="4881" spans="1:2" x14ac:dyDescent="0.25">
      <c r="A4881" s="5">
        <v>29025</v>
      </c>
      <c r="B4881">
        <v>101.580001831055</v>
      </c>
    </row>
    <row r="4882" spans="1:2" x14ac:dyDescent="0.25">
      <c r="A4882" s="5">
        <v>29026</v>
      </c>
      <c r="B4882">
        <v>101.629997253418</v>
      </c>
    </row>
    <row r="4883" spans="1:2" x14ac:dyDescent="0.25">
      <c r="A4883" s="5">
        <v>29027</v>
      </c>
      <c r="B4883">
        <v>102.08999633789099</v>
      </c>
    </row>
    <row r="4884" spans="1:2" x14ac:dyDescent="0.25">
      <c r="A4884" s="5">
        <v>29028</v>
      </c>
      <c r="B4884">
        <v>102.639999389648</v>
      </c>
    </row>
    <row r="4885" spans="1:2" x14ac:dyDescent="0.25">
      <c r="A4885" s="5">
        <v>29031</v>
      </c>
      <c r="B4885">
        <v>102.08999633789099</v>
      </c>
    </row>
    <row r="4886" spans="1:2" x14ac:dyDescent="0.25">
      <c r="A4886" s="5">
        <v>29032</v>
      </c>
      <c r="B4886">
        <v>101.66000366210901</v>
      </c>
    </row>
    <row r="4887" spans="1:2" x14ac:dyDescent="0.25">
      <c r="A4887" s="5">
        <v>29033</v>
      </c>
      <c r="B4887">
        <v>102.26999664306599</v>
      </c>
    </row>
    <row r="4888" spans="1:2" x14ac:dyDescent="0.25">
      <c r="A4888" s="5">
        <v>29034</v>
      </c>
      <c r="B4888">
        <v>102.800003051758</v>
      </c>
    </row>
    <row r="4889" spans="1:2" x14ac:dyDescent="0.25">
      <c r="A4889" s="5">
        <v>29035</v>
      </c>
      <c r="B4889">
        <v>102.91000366210901</v>
      </c>
    </row>
    <row r="4890" spans="1:2" x14ac:dyDescent="0.25">
      <c r="A4890" s="5">
        <v>29038</v>
      </c>
      <c r="B4890">
        <v>101.98999786377</v>
      </c>
    </row>
    <row r="4891" spans="1:2" x14ac:dyDescent="0.25">
      <c r="A4891" s="5">
        <v>29039</v>
      </c>
      <c r="B4891">
        <v>102.08999633789099</v>
      </c>
    </row>
    <row r="4892" spans="1:2" x14ac:dyDescent="0.25">
      <c r="A4892" s="5">
        <v>29041</v>
      </c>
      <c r="B4892">
        <v>102.43000030517599</v>
      </c>
    </row>
    <row r="4893" spans="1:2" x14ac:dyDescent="0.25">
      <c r="A4893" s="5">
        <v>29042</v>
      </c>
      <c r="B4893">
        <v>103.620002746582</v>
      </c>
    </row>
    <row r="4894" spans="1:2" x14ac:dyDescent="0.25">
      <c r="A4894" s="5">
        <v>29045</v>
      </c>
      <c r="B4894">
        <v>104.470001220703</v>
      </c>
    </row>
    <row r="4895" spans="1:2" x14ac:dyDescent="0.25">
      <c r="A4895" s="5">
        <v>29046</v>
      </c>
      <c r="B4895">
        <v>104.199996948242</v>
      </c>
    </row>
    <row r="4896" spans="1:2" x14ac:dyDescent="0.25">
      <c r="A4896" s="5">
        <v>29047</v>
      </c>
      <c r="B4896">
        <v>103.639999389648</v>
      </c>
    </row>
    <row r="4897" spans="1:2" x14ac:dyDescent="0.25">
      <c r="A4897" s="5">
        <v>29048</v>
      </c>
      <c r="B4897">
        <v>102.69000244140599</v>
      </c>
    </row>
    <row r="4898" spans="1:2" x14ac:dyDescent="0.25">
      <c r="A4898" s="5">
        <v>29049</v>
      </c>
      <c r="B4898">
        <v>102.31999969482401</v>
      </c>
    </row>
    <row r="4899" spans="1:2" x14ac:dyDescent="0.25">
      <c r="A4899" s="5">
        <v>29052</v>
      </c>
      <c r="B4899">
        <v>102.73999786377</v>
      </c>
    </row>
    <row r="4900" spans="1:2" x14ac:dyDescent="0.25">
      <c r="A4900" s="5">
        <v>29053</v>
      </c>
      <c r="B4900">
        <v>101.830001831055</v>
      </c>
    </row>
    <row r="4901" spans="1:2" x14ac:dyDescent="0.25">
      <c r="A4901" s="5">
        <v>29054</v>
      </c>
      <c r="B4901">
        <v>101.69000244140599</v>
      </c>
    </row>
    <row r="4902" spans="1:2" x14ac:dyDescent="0.25">
      <c r="A4902" s="5">
        <v>29055</v>
      </c>
      <c r="B4902">
        <v>101.610000610352</v>
      </c>
    </row>
    <row r="4903" spans="1:2" x14ac:dyDescent="0.25">
      <c r="A4903" s="5">
        <v>29056</v>
      </c>
      <c r="B4903">
        <v>101.81999969482401</v>
      </c>
    </row>
    <row r="4904" spans="1:2" x14ac:dyDescent="0.25">
      <c r="A4904" s="5">
        <v>29059</v>
      </c>
      <c r="B4904">
        <v>101.58999633789099</v>
      </c>
    </row>
    <row r="4905" spans="1:2" x14ac:dyDescent="0.25">
      <c r="A4905" s="5">
        <v>29060</v>
      </c>
      <c r="B4905">
        <v>101.970001220703</v>
      </c>
    </row>
    <row r="4906" spans="1:2" x14ac:dyDescent="0.25">
      <c r="A4906" s="5">
        <v>29061</v>
      </c>
      <c r="B4906">
        <v>103.080001831055</v>
      </c>
    </row>
    <row r="4907" spans="1:2" x14ac:dyDescent="0.25">
      <c r="A4907" s="5">
        <v>29062</v>
      </c>
      <c r="B4907">
        <v>103.09999847412099</v>
      </c>
    </row>
    <row r="4908" spans="1:2" x14ac:dyDescent="0.25">
      <c r="A4908" s="5">
        <v>29063</v>
      </c>
      <c r="B4908">
        <v>103.09999847412099</v>
      </c>
    </row>
    <row r="4909" spans="1:2" x14ac:dyDescent="0.25">
      <c r="A4909" s="5">
        <v>29066</v>
      </c>
      <c r="B4909">
        <v>103.15000152587901</v>
      </c>
    </row>
    <row r="4910" spans="1:2" x14ac:dyDescent="0.25">
      <c r="A4910" s="5">
        <v>29067</v>
      </c>
      <c r="B4910">
        <v>103.80999755859401</v>
      </c>
    </row>
    <row r="4911" spans="1:2" x14ac:dyDescent="0.25">
      <c r="A4911" s="5">
        <v>29068</v>
      </c>
      <c r="B4911">
        <v>104.169998168945</v>
      </c>
    </row>
    <row r="4912" spans="1:2" x14ac:dyDescent="0.25">
      <c r="A4912" s="5">
        <v>29069</v>
      </c>
      <c r="B4912">
        <v>104.09999847412099</v>
      </c>
    </row>
    <row r="4913" spans="1:2" x14ac:dyDescent="0.25">
      <c r="A4913" s="5">
        <v>29070</v>
      </c>
      <c r="B4913">
        <v>104.040000915527</v>
      </c>
    </row>
    <row r="4914" spans="1:2" x14ac:dyDescent="0.25">
      <c r="A4914" s="5">
        <v>29073</v>
      </c>
      <c r="B4914">
        <v>104.300003051758</v>
      </c>
    </row>
    <row r="4915" spans="1:2" x14ac:dyDescent="0.25">
      <c r="A4915" s="5">
        <v>29074</v>
      </c>
      <c r="B4915">
        <v>105.65000152587901</v>
      </c>
    </row>
    <row r="4916" spans="1:2" x14ac:dyDescent="0.25">
      <c r="A4916" s="5">
        <v>29075</v>
      </c>
      <c r="B4916">
        <v>105.98000335693401</v>
      </c>
    </row>
    <row r="4917" spans="1:2" x14ac:dyDescent="0.25">
      <c r="A4917" s="5">
        <v>29076</v>
      </c>
      <c r="B4917">
        <v>105.48999786377</v>
      </c>
    </row>
    <row r="4918" spans="1:2" x14ac:dyDescent="0.25">
      <c r="A4918" s="5">
        <v>29077</v>
      </c>
      <c r="B4918">
        <v>106.40000152587901</v>
      </c>
    </row>
    <row r="4919" spans="1:2" x14ac:dyDescent="0.25">
      <c r="A4919" s="5">
        <v>29080</v>
      </c>
      <c r="B4919">
        <v>107.419998168945</v>
      </c>
    </row>
    <row r="4920" spans="1:2" x14ac:dyDescent="0.25">
      <c r="A4920" s="5">
        <v>29081</v>
      </c>
      <c r="B4920">
        <v>107.51999664306599</v>
      </c>
    </row>
    <row r="4921" spans="1:2" x14ac:dyDescent="0.25">
      <c r="A4921" s="5">
        <v>29082</v>
      </c>
      <c r="B4921">
        <v>108.25</v>
      </c>
    </row>
    <row r="4922" spans="1:2" x14ac:dyDescent="0.25">
      <c r="A4922" s="5">
        <v>29083</v>
      </c>
      <c r="B4922">
        <v>108.08999633789099</v>
      </c>
    </row>
    <row r="4923" spans="1:2" x14ac:dyDescent="0.25">
      <c r="A4923" s="5">
        <v>29084</v>
      </c>
      <c r="B4923">
        <v>108.300003051758</v>
      </c>
    </row>
    <row r="4924" spans="1:2" x14ac:dyDescent="0.25">
      <c r="A4924" s="5">
        <v>29087</v>
      </c>
      <c r="B4924">
        <v>108.830001831055</v>
      </c>
    </row>
    <row r="4925" spans="1:2" x14ac:dyDescent="0.25">
      <c r="A4925" s="5">
        <v>29088</v>
      </c>
      <c r="B4925">
        <v>108.91000366210901</v>
      </c>
    </row>
    <row r="4926" spans="1:2" x14ac:dyDescent="0.25">
      <c r="A4926" s="5">
        <v>29089</v>
      </c>
      <c r="B4926">
        <v>108.98999786377</v>
      </c>
    </row>
    <row r="4927" spans="1:2" x14ac:dyDescent="0.25">
      <c r="A4927" s="5">
        <v>29090</v>
      </c>
      <c r="B4927">
        <v>108.629997253418</v>
      </c>
    </row>
    <row r="4928" spans="1:2" x14ac:dyDescent="0.25">
      <c r="A4928" s="5">
        <v>29091</v>
      </c>
      <c r="B4928">
        <v>108.59999847412099</v>
      </c>
    </row>
    <row r="4929" spans="1:2" x14ac:dyDescent="0.25">
      <c r="A4929" s="5">
        <v>29094</v>
      </c>
      <c r="B4929">
        <v>109.139999389648</v>
      </c>
    </row>
    <row r="4930" spans="1:2" x14ac:dyDescent="0.25">
      <c r="A4930" s="5">
        <v>29095</v>
      </c>
      <c r="B4930">
        <v>109.01999664306599</v>
      </c>
    </row>
    <row r="4931" spans="1:2" x14ac:dyDescent="0.25">
      <c r="A4931" s="5">
        <v>29096</v>
      </c>
      <c r="B4931">
        <v>109.01999664306599</v>
      </c>
    </row>
    <row r="4932" spans="1:2" x14ac:dyDescent="0.25">
      <c r="A4932" s="5">
        <v>29097</v>
      </c>
      <c r="B4932">
        <v>109.01999664306599</v>
      </c>
    </row>
    <row r="4933" spans="1:2" x14ac:dyDescent="0.25">
      <c r="A4933" s="5">
        <v>29098</v>
      </c>
      <c r="B4933">
        <v>109.31999969482401</v>
      </c>
    </row>
    <row r="4934" spans="1:2" x14ac:dyDescent="0.25">
      <c r="A4934" s="5">
        <v>29102</v>
      </c>
      <c r="B4934">
        <v>107.44000244140599</v>
      </c>
    </row>
    <row r="4935" spans="1:2" x14ac:dyDescent="0.25">
      <c r="A4935" s="5">
        <v>29103</v>
      </c>
      <c r="B4935">
        <v>106.40000152587901</v>
      </c>
    </row>
    <row r="4936" spans="1:2" x14ac:dyDescent="0.25">
      <c r="A4936" s="5">
        <v>29104</v>
      </c>
      <c r="B4936">
        <v>106.84999847412099</v>
      </c>
    </row>
    <row r="4937" spans="1:2" x14ac:dyDescent="0.25">
      <c r="A4937" s="5">
        <v>29105</v>
      </c>
      <c r="B4937">
        <v>107.66000366210901</v>
      </c>
    </row>
    <row r="4938" spans="1:2" x14ac:dyDescent="0.25">
      <c r="A4938" s="5">
        <v>29108</v>
      </c>
      <c r="B4938">
        <v>108.169998168945</v>
      </c>
    </row>
    <row r="4939" spans="1:2" x14ac:dyDescent="0.25">
      <c r="A4939" s="5">
        <v>29109</v>
      </c>
      <c r="B4939">
        <v>107.51000213623</v>
      </c>
    </row>
    <row r="4940" spans="1:2" x14ac:dyDescent="0.25">
      <c r="A4940" s="5">
        <v>29110</v>
      </c>
      <c r="B4940">
        <v>107.81999969482401</v>
      </c>
    </row>
    <row r="4941" spans="1:2" x14ac:dyDescent="0.25">
      <c r="A4941" s="5">
        <v>29111</v>
      </c>
      <c r="B4941">
        <v>107.84999847412099</v>
      </c>
    </row>
    <row r="4942" spans="1:2" x14ac:dyDescent="0.25">
      <c r="A4942" s="5">
        <v>29112</v>
      </c>
      <c r="B4942">
        <v>108.76000213623</v>
      </c>
    </row>
    <row r="4943" spans="1:2" x14ac:dyDescent="0.25">
      <c r="A4943" s="5">
        <v>29115</v>
      </c>
      <c r="B4943">
        <v>108.83999633789099</v>
      </c>
    </row>
    <row r="4944" spans="1:2" x14ac:dyDescent="0.25">
      <c r="A4944" s="5">
        <v>29116</v>
      </c>
      <c r="B4944">
        <v>108</v>
      </c>
    </row>
    <row r="4945" spans="1:2" x14ac:dyDescent="0.25">
      <c r="A4945" s="5">
        <v>29117</v>
      </c>
      <c r="B4945">
        <v>108.279998779297</v>
      </c>
    </row>
    <row r="4946" spans="1:2" x14ac:dyDescent="0.25">
      <c r="A4946" s="5">
        <v>29118</v>
      </c>
      <c r="B4946">
        <v>110.51000213623</v>
      </c>
    </row>
    <row r="4947" spans="1:2" x14ac:dyDescent="0.25">
      <c r="A4947" s="5">
        <v>29119</v>
      </c>
      <c r="B4947">
        <v>110.470001220703</v>
      </c>
    </row>
    <row r="4948" spans="1:2" x14ac:dyDescent="0.25">
      <c r="A4948" s="5">
        <v>29122</v>
      </c>
      <c r="B4948">
        <v>109.610000610352</v>
      </c>
    </row>
    <row r="4949" spans="1:2" x14ac:dyDescent="0.25">
      <c r="A4949" s="5">
        <v>29123</v>
      </c>
      <c r="B4949">
        <v>109.68000030517599</v>
      </c>
    </row>
    <row r="4950" spans="1:2" x14ac:dyDescent="0.25">
      <c r="A4950" s="5">
        <v>29124</v>
      </c>
      <c r="B4950">
        <v>109.959999084473</v>
      </c>
    </row>
    <row r="4951" spans="1:2" x14ac:dyDescent="0.25">
      <c r="A4951" s="5">
        <v>29125</v>
      </c>
      <c r="B4951">
        <v>110.209999084473</v>
      </c>
    </row>
    <row r="4952" spans="1:2" x14ac:dyDescent="0.25">
      <c r="A4952" s="5">
        <v>29126</v>
      </c>
      <c r="B4952">
        <v>109.31999969482401</v>
      </c>
    </row>
    <row r="4953" spans="1:2" x14ac:dyDescent="0.25">
      <c r="A4953" s="5">
        <v>29129</v>
      </c>
      <c r="B4953">
        <v>108.55999755859401</v>
      </c>
    </row>
    <row r="4954" spans="1:2" x14ac:dyDescent="0.25">
      <c r="A4954" s="5">
        <v>29130</v>
      </c>
      <c r="B4954">
        <v>109.58999633789099</v>
      </c>
    </row>
    <row r="4955" spans="1:2" x14ac:dyDescent="0.25">
      <c r="A4955" s="5">
        <v>29131</v>
      </c>
      <c r="B4955">
        <v>109.58999633789099</v>
      </c>
    </row>
    <row r="4956" spans="1:2" x14ac:dyDescent="0.25">
      <c r="A4956" s="5">
        <v>29132</v>
      </c>
      <c r="B4956">
        <v>110.169998168945</v>
      </c>
    </row>
    <row r="4957" spans="1:2" x14ac:dyDescent="0.25">
      <c r="A4957" s="5">
        <v>29133</v>
      </c>
      <c r="B4957">
        <v>111.26999664306599</v>
      </c>
    </row>
    <row r="4958" spans="1:2" x14ac:dyDescent="0.25">
      <c r="A4958" s="5">
        <v>29136</v>
      </c>
      <c r="B4958">
        <v>109.879997253418</v>
      </c>
    </row>
    <row r="4959" spans="1:2" x14ac:dyDescent="0.25">
      <c r="A4959" s="5">
        <v>29137</v>
      </c>
      <c r="B4959">
        <v>106.629997253418</v>
      </c>
    </row>
    <row r="4960" spans="1:2" x14ac:dyDescent="0.25">
      <c r="A4960" s="5">
        <v>29138</v>
      </c>
      <c r="B4960">
        <v>105.300003051758</v>
      </c>
    </row>
    <row r="4961" spans="1:2" x14ac:dyDescent="0.25">
      <c r="A4961" s="5">
        <v>29139</v>
      </c>
      <c r="B4961">
        <v>105.050003051758</v>
      </c>
    </row>
    <row r="4962" spans="1:2" x14ac:dyDescent="0.25">
      <c r="A4962" s="5">
        <v>29140</v>
      </c>
      <c r="B4962">
        <v>104.48999786377</v>
      </c>
    </row>
    <row r="4963" spans="1:2" x14ac:dyDescent="0.25">
      <c r="A4963" s="5">
        <v>29143</v>
      </c>
      <c r="B4963">
        <v>103.360000610352</v>
      </c>
    </row>
    <row r="4964" spans="1:2" x14ac:dyDescent="0.25">
      <c r="A4964" s="5">
        <v>29144</v>
      </c>
      <c r="B4964">
        <v>103.19000244140599</v>
      </c>
    </row>
    <row r="4965" spans="1:2" x14ac:dyDescent="0.25">
      <c r="A4965" s="5">
        <v>29145</v>
      </c>
      <c r="B4965">
        <v>103.389999389648</v>
      </c>
    </row>
    <row r="4966" spans="1:2" x14ac:dyDescent="0.25">
      <c r="A4966" s="5">
        <v>29146</v>
      </c>
      <c r="B4966">
        <v>103.610000610352</v>
      </c>
    </row>
    <row r="4967" spans="1:2" x14ac:dyDescent="0.25">
      <c r="A4967" s="5">
        <v>29147</v>
      </c>
      <c r="B4967">
        <v>101.59999847412099</v>
      </c>
    </row>
    <row r="4968" spans="1:2" x14ac:dyDescent="0.25">
      <c r="A4968" s="5">
        <v>29150</v>
      </c>
      <c r="B4968">
        <v>100.709999084473</v>
      </c>
    </row>
    <row r="4969" spans="1:2" x14ac:dyDescent="0.25">
      <c r="A4969" s="5">
        <v>29151</v>
      </c>
      <c r="B4969">
        <v>100.279998779297</v>
      </c>
    </row>
    <row r="4970" spans="1:2" x14ac:dyDescent="0.25">
      <c r="A4970" s="5">
        <v>29152</v>
      </c>
      <c r="B4970">
        <v>100.44000244140599</v>
      </c>
    </row>
    <row r="4971" spans="1:2" x14ac:dyDescent="0.25">
      <c r="A4971" s="5">
        <v>29153</v>
      </c>
      <c r="B4971">
        <v>100</v>
      </c>
    </row>
    <row r="4972" spans="1:2" x14ac:dyDescent="0.25">
      <c r="A4972" s="5">
        <v>29154</v>
      </c>
      <c r="B4972">
        <v>100.56999969482401</v>
      </c>
    </row>
    <row r="4973" spans="1:2" x14ac:dyDescent="0.25">
      <c r="A4973" s="5">
        <v>29157</v>
      </c>
      <c r="B4973">
        <v>100.709999084473</v>
      </c>
    </row>
    <row r="4974" spans="1:2" x14ac:dyDescent="0.25">
      <c r="A4974" s="5">
        <v>29158</v>
      </c>
      <c r="B4974">
        <v>102.669998168945</v>
      </c>
    </row>
    <row r="4975" spans="1:2" x14ac:dyDescent="0.25">
      <c r="A4975" s="5">
        <v>29159</v>
      </c>
      <c r="B4975">
        <v>101.81999969482401</v>
      </c>
    </row>
    <row r="4976" spans="1:2" x14ac:dyDescent="0.25">
      <c r="A4976" s="5">
        <v>29160</v>
      </c>
      <c r="B4976">
        <v>102.56999969482401</v>
      </c>
    </row>
    <row r="4977" spans="1:2" x14ac:dyDescent="0.25">
      <c r="A4977" s="5">
        <v>29161</v>
      </c>
      <c r="B4977">
        <v>102.51000213623</v>
      </c>
    </row>
    <row r="4978" spans="1:2" x14ac:dyDescent="0.25">
      <c r="A4978" s="5">
        <v>29164</v>
      </c>
      <c r="B4978">
        <v>101.81999969482401</v>
      </c>
    </row>
    <row r="4979" spans="1:2" x14ac:dyDescent="0.25">
      <c r="A4979" s="5">
        <v>29165</v>
      </c>
      <c r="B4979">
        <v>101.199996948242</v>
      </c>
    </row>
    <row r="4980" spans="1:2" x14ac:dyDescent="0.25">
      <c r="A4980" s="5">
        <v>29166</v>
      </c>
      <c r="B4980">
        <v>99.870002746582003</v>
      </c>
    </row>
    <row r="4981" spans="1:2" x14ac:dyDescent="0.25">
      <c r="A4981" s="5">
        <v>29167</v>
      </c>
      <c r="B4981">
        <v>100.300003051758</v>
      </c>
    </row>
    <row r="4982" spans="1:2" x14ac:dyDescent="0.25">
      <c r="A4982" s="5">
        <v>29168</v>
      </c>
      <c r="B4982">
        <v>101.51000213623</v>
      </c>
    </row>
    <row r="4983" spans="1:2" x14ac:dyDescent="0.25">
      <c r="A4983" s="5">
        <v>29171</v>
      </c>
      <c r="B4983">
        <v>103.51000213623</v>
      </c>
    </row>
    <row r="4984" spans="1:2" x14ac:dyDescent="0.25">
      <c r="A4984" s="5">
        <v>29172</v>
      </c>
      <c r="B4984">
        <v>102.94000244140599</v>
      </c>
    </row>
    <row r="4985" spans="1:2" x14ac:dyDescent="0.25">
      <c r="A4985" s="5">
        <v>29173</v>
      </c>
      <c r="B4985">
        <v>103.389999389648</v>
      </c>
    </row>
    <row r="4986" spans="1:2" x14ac:dyDescent="0.25">
      <c r="A4986" s="5">
        <v>29174</v>
      </c>
      <c r="B4986">
        <v>104.129997253418</v>
      </c>
    </row>
    <row r="4987" spans="1:2" x14ac:dyDescent="0.25">
      <c r="A4987" s="5">
        <v>29175</v>
      </c>
      <c r="B4987">
        <v>103.790000915527</v>
      </c>
    </row>
    <row r="4988" spans="1:2" x14ac:dyDescent="0.25">
      <c r="A4988" s="5">
        <v>29178</v>
      </c>
      <c r="B4988">
        <v>104.23000335693401</v>
      </c>
    </row>
    <row r="4989" spans="1:2" x14ac:dyDescent="0.25">
      <c r="A4989" s="5">
        <v>29179</v>
      </c>
      <c r="B4989">
        <v>103.69000244140599</v>
      </c>
    </row>
    <row r="4990" spans="1:2" x14ac:dyDescent="0.25">
      <c r="A4990" s="5">
        <v>29180</v>
      </c>
      <c r="B4990">
        <v>103.889999389648</v>
      </c>
    </row>
    <row r="4991" spans="1:2" x14ac:dyDescent="0.25">
      <c r="A4991" s="5">
        <v>29182</v>
      </c>
      <c r="B4991">
        <v>104.669998168945</v>
      </c>
    </row>
    <row r="4992" spans="1:2" x14ac:dyDescent="0.25">
      <c r="A4992" s="5">
        <v>29185</v>
      </c>
      <c r="B4992">
        <v>106.800003051758</v>
      </c>
    </row>
    <row r="4993" spans="1:2" x14ac:dyDescent="0.25">
      <c r="A4993" s="5">
        <v>29186</v>
      </c>
      <c r="B4993">
        <v>106.379997253418</v>
      </c>
    </row>
    <row r="4994" spans="1:2" x14ac:dyDescent="0.25">
      <c r="A4994" s="5">
        <v>29187</v>
      </c>
      <c r="B4994">
        <v>106.76999664306599</v>
      </c>
    </row>
    <row r="4995" spans="1:2" x14ac:dyDescent="0.25">
      <c r="A4995" s="5">
        <v>29188</v>
      </c>
      <c r="B4995">
        <v>106.80999755859401</v>
      </c>
    </row>
    <row r="4996" spans="1:2" x14ac:dyDescent="0.25">
      <c r="A4996" s="5">
        <v>29189</v>
      </c>
      <c r="B4996">
        <v>106.16000366210901</v>
      </c>
    </row>
    <row r="4997" spans="1:2" x14ac:dyDescent="0.25">
      <c r="A4997" s="5">
        <v>29192</v>
      </c>
      <c r="B4997">
        <v>105.830001831055</v>
      </c>
    </row>
    <row r="4998" spans="1:2" x14ac:dyDescent="0.25">
      <c r="A4998" s="5">
        <v>29193</v>
      </c>
      <c r="B4998">
        <v>106.790000915527</v>
      </c>
    </row>
    <row r="4999" spans="1:2" x14ac:dyDescent="0.25">
      <c r="A4999" s="5">
        <v>29194</v>
      </c>
      <c r="B4999">
        <v>107.25</v>
      </c>
    </row>
    <row r="5000" spans="1:2" x14ac:dyDescent="0.25">
      <c r="A5000" s="5">
        <v>29195</v>
      </c>
      <c r="B5000">
        <v>108</v>
      </c>
    </row>
    <row r="5001" spans="1:2" x14ac:dyDescent="0.25">
      <c r="A5001" s="5">
        <v>29196</v>
      </c>
      <c r="B5001">
        <v>107.51999664306599</v>
      </c>
    </row>
    <row r="5002" spans="1:2" x14ac:dyDescent="0.25">
      <c r="A5002" s="5">
        <v>29199</v>
      </c>
      <c r="B5002">
        <v>107.669998168945</v>
      </c>
    </row>
    <row r="5003" spans="1:2" x14ac:dyDescent="0.25">
      <c r="A5003" s="5">
        <v>29200</v>
      </c>
      <c r="B5003">
        <v>107.48999786377</v>
      </c>
    </row>
    <row r="5004" spans="1:2" x14ac:dyDescent="0.25">
      <c r="A5004" s="5">
        <v>29201</v>
      </c>
      <c r="B5004">
        <v>107.51999664306599</v>
      </c>
    </row>
    <row r="5005" spans="1:2" x14ac:dyDescent="0.25">
      <c r="A5005" s="5">
        <v>29202</v>
      </c>
      <c r="B5005">
        <v>107.669998168945</v>
      </c>
    </row>
    <row r="5006" spans="1:2" x14ac:dyDescent="0.25">
      <c r="A5006" s="5">
        <v>29203</v>
      </c>
      <c r="B5006">
        <v>108.919998168945</v>
      </c>
    </row>
    <row r="5007" spans="1:2" x14ac:dyDescent="0.25">
      <c r="A5007" s="5">
        <v>29206</v>
      </c>
      <c r="B5007">
        <v>109.330001831055</v>
      </c>
    </row>
    <row r="5008" spans="1:2" x14ac:dyDescent="0.25">
      <c r="A5008" s="5">
        <v>29207</v>
      </c>
      <c r="B5008">
        <v>108.300003051758</v>
      </c>
    </row>
    <row r="5009" spans="1:2" x14ac:dyDescent="0.25">
      <c r="A5009" s="5">
        <v>29208</v>
      </c>
      <c r="B5009">
        <v>108.199996948242</v>
      </c>
    </row>
    <row r="5010" spans="1:2" x14ac:dyDescent="0.25">
      <c r="A5010" s="5">
        <v>29209</v>
      </c>
      <c r="B5010">
        <v>108.26000213623</v>
      </c>
    </row>
    <row r="5011" spans="1:2" x14ac:dyDescent="0.25">
      <c r="A5011" s="5">
        <v>29210</v>
      </c>
      <c r="B5011">
        <v>107.58999633789099</v>
      </c>
    </row>
    <row r="5012" spans="1:2" x14ac:dyDescent="0.25">
      <c r="A5012" s="5">
        <v>29213</v>
      </c>
      <c r="B5012">
        <v>107.66000366210901</v>
      </c>
    </row>
    <row r="5013" spans="1:2" x14ac:dyDescent="0.25">
      <c r="A5013" s="5">
        <v>29215</v>
      </c>
      <c r="B5013">
        <v>107.779998779297</v>
      </c>
    </row>
    <row r="5014" spans="1:2" x14ac:dyDescent="0.25">
      <c r="A5014" s="5">
        <v>29216</v>
      </c>
      <c r="B5014">
        <v>107.959999084473</v>
      </c>
    </row>
    <row r="5015" spans="1:2" x14ac:dyDescent="0.25">
      <c r="A5015" s="5">
        <v>29217</v>
      </c>
      <c r="B5015">
        <v>107.83999633789099</v>
      </c>
    </row>
    <row r="5016" spans="1:2" x14ac:dyDescent="0.25">
      <c r="A5016" s="5">
        <v>29220</v>
      </c>
      <c r="B5016">
        <v>107.94000244140599</v>
      </c>
    </row>
    <row r="5017" spans="1:2" x14ac:dyDescent="0.25">
      <c r="A5017" s="5">
        <v>29222</v>
      </c>
      <c r="B5017">
        <v>105.76000213623</v>
      </c>
    </row>
    <row r="5018" spans="1:2" x14ac:dyDescent="0.25">
      <c r="A5018" s="5">
        <v>29223</v>
      </c>
      <c r="B5018">
        <v>105.220001220703</v>
      </c>
    </row>
    <row r="5019" spans="1:2" x14ac:dyDescent="0.25">
      <c r="A5019" s="5">
        <v>29224</v>
      </c>
      <c r="B5019">
        <v>106.51999664306599</v>
      </c>
    </row>
    <row r="5020" spans="1:2" x14ac:dyDescent="0.25">
      <c r="A5020" s="5">
        <v>29227</v>
      </c>
      <c r="B5020">
        <v>106.80999755859401</v>
      </c>
    </row>
    <row r="5021" spans="1:2" x14ac:dyDescent="0.25">
      <c r="A5021" s="5">
        <v>29228</v>
      </c>
      <c r="B5021">
        <v>108.949996948242</v>
      </c>
    </row>
    <row r="5022" spans="1:2" x14ac:dyDescent="0.25">
      <c r="A5022" s="5">
        <v>29229</v>
      </c>
      <c r="B5022">
        <v>109.050003051758</v>
      </c>
    </row>
    <row r="5023" spans="1:2" x14ac:dyDescent="0.25">
      <c r="A5023" s="5">
        <v>29230</v>
      </c>
      <c r="B5023">
        <v>109.889999389648</v>
      </c>
    </row>
    <row r="5024" spans="1:2" x14ac:dyDescent="0.25">
      <c r="A5024" s="5">
        <v>29231</v>
      </c>
      <c r="B5024">
        <v>109.919998168945</v>
      </c>
    </row>
    <row r="5025" spans="1:2" x14ac:dyDescent="0.25">
      <c r="A5025" s="5">
        <v>29234</v>
      </c>
      <c r="B5025">
        <v>110.379997253418</v>
      </c>
    </row>
    <row r="5026" spans="1:2" x14ac:dyDescent="0.25">
      <c r="A5026" s="5">
        <v>29235</v>
      </c>
      <c r="B5026">
        <v>111.139999389648</v>
      </c>
    </row>
    <row r="5027" spans="1:2" x14ac:dyDescent="0.25">
      <c r="A5027" s="5">
        <v>29236</v>
      </c>
      <c r="B5027">
        <v>111.050003051758</v>
      </c>
    </row>
    <row r="5028" spans="1:2" x14ac:dyDescent="0.25">
      <c r="A5028" s="5">
        <v>29237</v>
      </c>
      <c r="B5028">
        <v>110.699996948242</v>
      </c>
    </row>
    <row r="5029" spans="1:2" x14ac:dyDescent="0.25">
      <c r="A5029" s="5">
        <v>29238</v>
      </c>
      <c r="B5029">
        <v>111.06999969482401</v>
      </c>
    </row>
    <row r="5030" spans="1:2" x14ac:dyDescent="0.25">
      <c r="A5030" s="5">
        <v>29241</v>
      </c>
      <c r="B5030">
        <v>112.09999847412099</v>
      </c>
    </row>
    <row r="5031" spans="1:2" x14ac:dyDescent="0.25">
      <c r="A5031" s="5">
        <v>29242</v>
      </c>
      <c r="B5031">
        <v>111.51000213623</v>
      </c>
    </row>
    <row r="5032" spans="1:2" x14ac:dyDescent="0.25">
      <c r="A5032" s="5">
        <v>29243</v>
      </c>
      <c r="B5032">
        <v>113.44000244140599</v>
      </c>
    </row>
    <row r="5033" spans="1:2" x14ac:dyDescent="0.25">
      <c r="A5033" s="5">
        <v>29244</v>
      </c>
      <c r="B5033">
        <v>113.699996948242</v>
      </c>
    </row>
    <row r="5034" spans="1:2" x14ac:dyDescent="0.25">
      <c r="A5034" s="5">
        <v>29245</v>
      </c>
      <c r="B5034">
        <v>113.610000610352</v>
      </c>
    </row>
    <row r="5035" spans="1:2" x14ac:dyDescent="0.25">
      <c r="A5035" s="5">
        <v>29248</v>
      </c>
      <c r="B5035">
        <v>114.84999847412099</v>
      </c>
    </row>
    <row r="5036" spans="1:2" x14ac:dyDescent="0.25">
      <c r="A5036" s="5">
        <v>29249</v>
      </c>
      <c r="B5036">
        <v>114.06999969482401</v>
      </c>
    </row>
    <row r="5037" spans="1:2" x14ac:dyDescent="0.25">
      <c r="A5037" s="5">
        <v>29250</v>
      </c>
      <c r="B5037">
        <v>115.199996948242</v>
      </c>
    </row>
    <row r="5038" spans="1:2" x14ac:dyDescent="0.25">
      <c r="A5038" s="5">
        <v>29251</v>
      </c>
      <c r="B5038">
        <v>114.16000366210901</v>
      </c>
    </row>
    <row r="5039" spans="1:2" x14ac:dyDescent="0.25">
      <c r="A5039" s="5">
        <v>29252</v>
      </c>
      <c r="B5039">
        <v>115.120002746582</v>
      </c>
    </row>
    <row r="5040" spans="1:2" x14ac:dyDescent="0.25">
      <c r="A5040" s="5">
        <v>29255</v>
      </c>
      <c r="B5040">
        <v>114.370002746582</v>
      </c>
    </row>
    <row r="5041" spans="1:2" x14ac:dyDescent="0.25">
      <c r="A5041" s="5">
        <v>29256</v>
      </c>
      <c r="B5041">
        <v>114.66000366210901</v>
      </c>
    </row>
    <row r="5042" spans="1:2" x14ac:dyDescent="0.25">
      <c r="A5042" s="5">
        <v>29257</v>
      </c>
      <c r="B5042">
        <v>115.720001220703</v>
      </c>
    </row>
    <row r="5043" spans="1:2" x14ac:dyDescent="0.25">
      <c r="A5043" s="5">
        <v>29258</v>
      </c>
      <c r="B5043">
        <v>116.279998779297</v>
      </c>
    </row>
    <row r="5044" spans="1:2" x14ac:dyDescent="0.25">
      <c r="A5044" s="5">
        <v>29259</v>
      </c>
      <c r="B5044">
        <v>117.949996948242</v>
      </c>
    </row>
    <row r="5045" spans="1:2" x14ac:dyDescent="0.25">
      <c r="A5045" s="5">
        <v>29262</v>
      </c>
      <c r="B5045">
        <v>117.120002746582</v>
      </c>
    </row>
    <row r="5046" spans="1:2" x14ac:dyDescent="0.25">
      <c r="A5046" s="5">
        <v>29263</v>
      </c>
      <c r="B5046">
        <v>117.90000152587901</v>
      </c>
    </row>
    <row r="5047" spans="1:2" x14ac:dyDescent="0.25">
      <c r="A5047" s="5">
        <v>29264</v>
      </c>
      <c r="B5047">
        <v>118.44000244140599</v>
      </c>
    </row>
    <row r="5048" spans="1:2" x14ac:dyDescent="0.25">
      <c r="A5048" s="5">
        <v>29265</v>
      </c>
      <c r="B5048">
        <v>116.720001220703</v>
      </c>
    </row>
    <row r="5049" spans="1:2" x14ac:dyDescent="0.25">
      <c r="A5049" s="5">
        <v>29266</v>
      </c>
      <c r="B5049">
        <v>115.41000366210901</v>
      </c>
    </row>
    <row r="5050" spans="1:2" x14ac:dyDescent="0.25">
      <c r="A5050" s="5">
        <v>29270</v>
      </c>
      <c r="B5050">
        <v>114.59999847412099</v>
      </c>
    </row>
    <row r="5051" spans="1:2" x14ac:dyDescent="0.25">
      <c r="A5051" s="5">
        <v>29271</v>
      </c>
      <c r="B5051">
        <v>116.470001220703</v>
      </c>
    </row>
    <row r="5052" spans="1:2" x14ac:dyDescent="0.25">
      <c r="A5052" s="5">
        <v>29272</v>
      </c>
      <c r="B5052">
        <v>115.279998779297</v>
      </c>
    </row>
    <row r="5053" spans="1:2" x14ac:dyDescent="0.25">
      <c r="A5053" s="5">
        <v>29273</v>
      </c>
      <c r="B5053">
        <v>115.040000915527</v>
      </c>
    </row>
    <row r="5054" spans="1:2" x14ac:dyDescent="0.25">
      <c r="A5054" s="5">
        <v>29276</v>
      </c>
      <c r="B5054">
        <v>113.330001831055</v>
      </c>
    </row>
    <row r="5055" spans="1:2" x14ac:dyDescent="0.25">
      <c r="A5055" s="5">
        <v>29277</v>
      </c>
      <c r="B5055">
        <v>113.98000335693401</v>
      </c>
    </row>
    <row r="5056" spans="1:2" x14ac:dyDescent="0.25">
      <c r="A5056" s="5">
        <v>29278</v>
      </c>
      <c r="B5056">
        <v>112.379997253418</v>
      </c>
    </row>
    <row r="5057" spans="1:2" x14ac:dyDescent="0.25">
      <c r="A5057" s="5">
        <v>29279</v>
      </c>
      <c r="B5057">
        <v>112.34999847412099</v>
      </c>
    </row>
    <row r="5058" spans="1:2" x14ac:dyDescent="0.25">
      <c r="A5058" s="5">
        <v>29280</v>
      </c>
      <c r="B5058">
        <v>113.66000366210901</v>
      </c>
    </row>
    <row r="5059" spans="1:2" x14ac:dyDescent="0.25">
      <c r="A5059" s="5">
        <v>29283</v>
      </c>
      <c r="B5059">
        <v>112.5</v>
      </c>
    </row>
    <row r="5060" spans="1:2" x14ac:dyDescent="0.25">
      <c r="A5060" s="5">
        <v>29284</v>
      </c>
      <c r="B5060">
        <v>112.779998779297</v>
      </c>
    </row>
    <row r="5061" spans="1:2" x14ac:dyDescent="0.25">
      <c r="A5061" s="5">
        <v>29285</v>
      </c>
      <c r="B5061">
        <v>111.129997253418</v>
      </c>
    </row>
    <row r="5062" spans="1:2" x14ac:dyDescent="0.25">
      <c r="A5062" s="5">
        <v>29286</v>
      </c>
      <c r="B5062">
        <v>108.65000152587901</v>
      </c>
    </row>
    <row r="5063" spans="1:2" x14ac:dyDescent="0.25">
      <c r="A5063" s="5">
        <v>29287</v>
      </c>
      <c r="B5063">
        <v>106.90000152587901</v>
      </c>
    </row>
    <row r="5064" spans="1:2" x14ac:dyDescent="0.25">
      <c r="A5064" s="5">
        <v>29290</v>
      </c>
      <c r="B5064">
        <v>106.51000213623</v>
      </c>
    </row>
    <row r="5065" spans="1:2" x14ac:dyDescent="0.25">
      <c r="A5065" s="5">
        <v>29291</v>
      </c>
      <c r="B5065">
        <v>107.779998779297</v>
      </c>
    </row>
    <row r="5066" spans="1:2" x14ac:dyDescent="0.25">
      <c r="A5066" s="5">
        <v>29292</v>
      </c>
      <c r="B5066">
        <v>106.870002746582</v>
      </c>
    </row>
    <row r="5067" spans="1:2" x14ac:dyDescent="0.25">
      <c r="A5067" s="5">
        <v>29293</v>
      </c>
      <c r="B5067">
        <v>105.620002746582</v>
      </c>
    </row>
    <row r="5068" spans="1:2" x14ac:dyDescent="0.25">
      <c r="A5068" s="5">
        <v>29294</v>
      </c>
      <c r="B5068">
        <v>105.43000030517599</v>
      </c>
    </row>
    <row r="5069" spans="1:2" x14ac:dyDescent="0.25">
      <c r="A5069" s="5">
        <v>29297</v>
      </c>
      <c r="B5069">
        <v>102.26000213623</v>
      </c>
    </row>
    <row r="5070" spans="1:2" x14ac:dyDescent="0.25">
      <c r="A5070" s="5">
        <v>29298</v>
      </c>
      <c r="B5070">
        <v>104.09999847412099</v>
      </c>
    </row>
    <row r="5071" spans="1:2" x14ac:dyDescent="0.25">
      <c r="A5071" s="5">
        <v>29299</v>
      </c>
      <c r="B5071">
        <v>104.30999755859401</v>
      </c>
    </row>
    <row r="5072" spans="1:2" x14ac:dyDescent="0.25">
      <c r="A5072" s="5">
        <v>29300</v>
      </c>
      <c r="B5072">
        <v>103.120002746582</v>
      </c>
    </row>
    <row r="5073" spans="1:2" x14ac:dyDescent="0.25">
      <c r="A5073" s="5">
        <v>29301</v>
      </c>
      <c r="B5073">
        <v>102.30999755859401</v>
      </c>
    </row>
    <row r="5074" spans="1:2" x14ac:dyDescent="0.25">
      <c r="A5074" s="5">
        <v>29304</v>
      </c>
      <c r="B5074">
        <v>99.279998779296903</v>
      </c>
    </row>
    <row r="5075" spans="1:2" x14ac:dyDescent="0.25">
      <c r="A5075" s="5">
        <v>29305</v>
      </c>
      <c r="B5075">
        <v>99.190002441406193</v>
      </c>
    </row>
    <row r="5076" spans="1:2" x14ac:dyDescent="0.25">
      <c r="A5076" s="5">
        <v>29306</v>
      </c>
      <c r="B5076">
        <v>98.680000305175795</v>
      </c>
    </row>
    <row r="5077" spans="1:2" x14ac:dyDescent="0.25">
      <c r="A5077" s="5">
        <v>29307</v>
      </c>
      <c r="B5077">
        <v>98.220001220703097</v>
      </c>
    </row>
    <row r="5078" spans="1:2" x14ac:dyDescent="0.25">
      <c r="A5078" s="5">
        <v>29308</v>
      </c>
      <c r="B5078">
        <v>100.68000030517599</v>
      </c>
    </row>
    <row r="5079" spans="1:2" x14ac:dyDescent="0.25">
      <c r="A5079" s="5">
        <v>29311</v>
      </c>
      <c r="B5079">
        <v>102.08999633789099</v>
      </c>
    </row>
    <row r="5080" spans="1:2" x14ac:dyDescent="0.25">
      <c r="A5080" s="5">
        <v>29312</v>
      </c>
      <c r="B5080">
        <v>102.18000030517599</v>
      </c>
    </row>
    <row r="5081" spans="1:2" x14ac:dyDescent="0.25">
      <c r="A5081" s="5">
        <v>29313</v>
      </c>
      <c r="B5081">
        <v>102.68000030517599</v>
      </c>
    </row>
    <row r="5082" spans="1:2" x14ac:dyDescent="0.25">
      <c r="A5082" s="5">
        <v>29314</v>
      </c>
      <c r="B5082">
        <v>102.15000152587901</v>
      </c>
    </row>
    <row r="5083" spans="1:2" x14ac:dyDescent="0.25">
      <c r="A5083" s="5">
        <v>29318</v>
      </c>
      <c r="B5083">
        <v>100.19000244140599</v>
      </c>
    </row>
    <row r="5084" spans="1:2" x14ac:dyDescent="0.25">
      <c r="A5084" s="5">
        <v>29319</v>
      </c>
      <c r="B5084">
        <v>101.199996948242</v>
      </c>
    </row>
    <row r="5085" spans="1:2" x14ac:dyDescent="0.25">
      <c r="A5085" s="5">
        <v>29320</v>
      </c>
      <c r="B5085">
        <v>103.110000610352</v>
      </c>
    </row>
    <row r="5086" spans="1:2" x14ac:dyDescent="0.25">
      <c r="A5086" s="5">
        <v>29321</v>
      </c>
      <c r="B5086">
        <v>104.080001831055</v>
      </c>
    </row>
    <row r="5087" spans="1:2" x14ac:dyDescent="0.25">
      <c r="A5087" s="5">
        <v>29322</v>
      </c>
      <c r="B5087">
        <v>103.790000915527</v>
      </c>
    </row>
    <row r="5088" spans="1:2" x14ac:dyDescent="0.25">
      <c r="A5088" s="5">
        <v>29325</v>
      </c>
      <c r="B5088">
        <v>102.83999633789099</v>
      </c>
    </row>
    <row r="5089" spans="1:2" x14ac:dyDescent="0.25">
      <c r="A5089" s="5">
        <v>29326</v>
      </c>
      <c r="B5089">
        <v>102.629997253418</v>
      </c>
    </row>
    <row r="5090" spans="1:2" x14ac:dyDescent="0.25">
      <c r="A5090" s="5">
        <v>29327</v>
      </c>
      <c r="B5090">
        <v>101.540000915527</v>
      </c>
    </row>
    <row r="5091" spans="1:2" x14ac:dyDescent="0.25">
      <c r="A5091" s="5">
        <v>29328</v>
      </c>
      <c r="B5091">
        <v>101.050003051758</v>
      </c>
    </row>
    <row r="5092" spans="1:2" x14ac:dyDescent="0.25">
      <c r="A5092" s="5">
        <v>29329</v>
      </c>
      <c r="B5092">
        <v>100.550003051758</v>
      </c>
    </row>
    <row r="5093" spans="1:2" x14ac:dyDescent="0.25">
      <c r="A5093" s="5">
        <v>29332</v>
      </c>
      <c r="B5093">
        <v>99.800003051757798</v>
      </c>
    </row>
    <row r="5094" spans="1:2" x14ac:dyDescent="0.25">
      <c r="A5094" s="5">
        <v>29333</v>
      </c>
      <c r="B5094">
        <v>103.43000030517599</v>
      </c>
    </row>
    <row r="5095" spans="1:2" x14ac:dyDescent="0.25">
      <c r="A5095" s="5">
        <v>29334</v>
      </c>
      <c r="B5095">
        <v>103.73000335693401</v>
      </c>
    </row>
    <row r="5096" spans="1:2" x14ac:dyDescent="0.25">
      <c r="A5096" s="5">
        <v>29335</v>
      </c>
      <c r="B5096">
        <v>104.40000152587901</v>
      </c>
    </row>
    <row r="5097" spans="1:2" x14ac:dyDescent="0.25">
      <c r="A5097" s="5">
        <v>29336</v>
      </c>
      <c r="B5097">
        <v>105.16000366210901</v>
      </c>
    </row>
    <row r="5098" spans="1:2" x14ac:dyDescent="0.25">
      <c r="A5098" s="5">
        <v>29339</v>
      </c>
      <c r="B5098">
        <v>105.639999389648</v>
      </c>
    </row>
    <row r="5099" spans="1:2" x14ac:dyDescent="0.25">
      <c r="A5099" s="5">
        <v>29340</v>
      </c>
      <c r="B5099">
        <v>105.860000610352</v>
      </c>
    </row>
    <row r="5100" spans="1:2" x14ac:dyDescent="0.25">
      <c r="A5100" s="5">
        <v>29341</v>
      </c>
      <c r="B5100">
        <v>106.290000915527</v>
      </c>
    </row>
    <row r="5101" spans="1:2" x14ac:dyDescent="0.25">
      <c r="A5101" s="5">
        <v>29342</v>
      </c>
      <c r="B5101">
        <v>105.459999084473</v>
      </c>
    </row>
    <row r="5102" spans="1:2" x14ac:dyDescent="0.25">
      <c r="A5102" s="5">
        <v>29343</v>
      </c>
      <c r="B5102">
        <v>105.580001831055</v>
      </c>
    </row>
    <row r="5103" spans="1:2" x14ac:dyDescent="0.25">
      <c r="A5103" s="5">
        <v>29346</v>
      </c>
      <c r="B5103">
        <v>106.379997253418</v>
      </c>
    </row>
    <row r="5104" spans="1:2" x14ac:dyDescent="0.25">
      <c r="A5104" s="5">
        <v>29347</v>
      </c>
      <c r="B5104">
        <v>106.25</v>
      </c>
    </row>
    <row r="5105" spans="1:2" x14ac:dyDescent="0.25">
      <c r="A5105" s="5">
        <v>29348</v>
      </c>
      <c r="B5105">
        <v>107.18000030517599</v>
      </c>
    </row>
    <row r="5106" spans="1:2" x14ac:dyDescent="0.25">
      <c r="A5106" s="5">
        <v>29349</v>
      </c>
      <c r="B5106">
        <v>106.129997253418</v>
      </c>
    </row>
    <row r="5107" spans="1:2" x14ac:dyDescent="0.25">
      <c r="A5107" s="5">
        <v>29350</v>
      </c>
      <c r="B5107">
        <v>104.720001220703</v>
      </c>
    </row>
    <row r="5108" spans="1:2" x14ac:dyDescent="0.25">
      <c r="A5108" s="5">
        <v>29353</v>
      </c>
      <c r="B5108">
        <v>104.779998779297</v>
      </c>
    </row>
    <row r="5109" spans="1:2" x14ac:dyDescent="0.25">
      <c r="A5109" s="5">
        <v>29354</v>
      </c>
      <c r="B5109">
        <v>106.300003051758</v>
      </c>
    </row>
    <row r="5110" spans="1:2" x14ac:dyDescent="0.25">
      <c r="A5110" s="5">
        <v>29355</v>
      </c>
      <c r="B5110">
        <v>106.84999847412099</v>
      </c>
    </row>
    <row r="5111" spans="1:2" x14ac:dyDescent="0.25">
      <c r="A5111" s="5">
        <v>29356</v>
      </c>
      <c r="B5111">
        <v>106.98999786377</v>
      </c>
    </row>
    <row r="5112" spans="1:2" x14ac:dyDescent="0.25">
      <c r="A5112" s="5">
        <v>29357</v>
      </c>
      <c r="B5112">
        <v>107.34999847412099</v>
      </c>
    </row>
    <row r="5113" spans="1:2" x14ac:dyDescent="0.25">
      <c r="A5113" s="5">
        <v>29360</v>
      </c>
      <c r="B5113">
        <v>107.669998168945</v>
      </c>
    </row>
    <row r="5114" spans="1:2" x14ac:dyDescent="0.25">
      <c r="A5114" s="5">
        <v>29361</v>
      </c>
      <c r="B5114">
        <v>107.620002746582</v>
      </c>
    </row>
    <row r="5115" spans="1:2" x14ac:dyDescent="0.25">
      <c r="A5115" s="5">
        <v>29362</v>
      </c>
      <c r="B5115">
        <v>107.720001220703</v>
      </c>
    </row>
    <row r="5116" spans="1:2" x14ac:dyDescent="0.25">
      <c r="A5116" s="5">
        <v>29363</v>
      </c>
      <c r="B5116">
        <v>109.01000213623</v>
      </c>
    </row>
    <row r="5117" spans="1:2" x14ac:dyDescent="0.25">
      <c r="A5117" s="5">
        <v>29364</v>
      </c>
      <c r="B5117">
        <v>110.620002746582</v>
      </c>
    </row>
    <row r="5118" spans="1:2" x14ac:dyDescent="0.25">
      <c r="A5118" s="5">
        <v>29368</v>
      </c>
      <c r="B5118">
        <v>111.40000152587901</v>
      </c>
    </row>
    <row r="5119" spans="1:2" x14ac:dyDescent="0.25">
      <c r="A5119" s="5">
        <v>29369</v>
      </c>
      <c r="B5119">
        <v>112.05999755859401</v>
      </c>
    </row>
    <row r="5120" spans="1:2" x14ac:dyDescent="0.25">
      <c r="A5120" s="5">
        <v>29370</v>
      </c>
      <c r="B5120">
        <v>110.26999664306599</v>
      </c>
    </row>
    <row r="5121" spans="1:2" x14ac:dyDescent="0.25">
      <c r="A5121" s="5">
        <v>29371</v>
      </c>
      <c r="B5121">
        <v>111.23999786377</v>
      </c>
    </row>
    <row r="5122" spans="1:2" x14ac:dyDescent="0.25">
      <c r="A5122" s="5">
        <v>29374</v>
      </c>
      <c r="B5122">
        <v>110.76000213623</v>
      </c>
    </row>
    <row r="5123" spans="1:2" x14ac:dyDescent="0.25">
      <c r="A5123" s="5">
        <v>29375</v>
      </c>
      <c r="B5123">
        <v>110.51000213623</v>
      </c>
    </row>
    <row r="5124" spans="1:2" x14ac:dyDescent="0.25">
      <c r="A5124" s="5">
        <v>29376</v>
      </c>
      <c r="B5124">
        <v>112.610000610352</v>
      </c>
    </row>
    <row r="5125" spans="1:2" x14ac:dyDescent="0.25">
      <c r="A5125" s="5">
        <v>29377</v>
      </c>
      <c r="B5125">
        <v>112.779998779297</v>
      </c>
    </row>
    <row r="5126" spans="1:2" x14ac:dyDescent="0.25">
      <c r="A5126" s="5">
        <v>29378</v>
      </c>
      <c r="B5126">
        <v>113.199996948242</v>
      </c>
    </row>
    <row r="5127" spans="1:2" x14ac:dyDescent="0.25">
      <c r="A5127" s="5">
        <v>29381</v>
      </c>
      <c r="B5127">
        <v>113.709999084473</v>
      </c>
    </row>
    <row r="5128" spans="1:2" x14ac:dyDescent="0.25">
      <c r="A5128" s="5">
        <v>29382</v>
      </c>
      <c r="B5128">
        <v>114.66000366210901</v>
      </c>
    </row>
    <row r="5129" spans="1:2" x14ac:dyDescent="0.25">
      <c r="A5129" s="5">
        <v>29383</v>
      </c>
      <c r="B5129">
        <v>116.01999664306599</v>
      </c>
    </row>
    <row r="5130" spans="1:2" x14ac:dyDescent="0.25">
      <c r="A5130" s="5">
        <v>29384</v>
      </c>
      <c r="B5130">
        <v>115.51999664306599</v>
      </c>
    </row>
    <row r="5131" spans="1:2" x14ac:dyDescent="0.25">
      <c r="A5131" s="5">
        <v>29385</v>
      </c>
      <c r="B5131">
        <v>115.80999755859401</v>
      </c>
    </row>
    <row r="5132" spans="1:2" x14ac:dyDescent="0.25">
      <c r="A5132" s="5">
        <v>29388</v>
      </c>
      <c r="B5132">
        <v>116.08999633789099</v>
      </c>
    </row>
    <row r="5133" spans="1:2" x14ac:dyDescent="0.25">
      <c r="A5133" s="5">
        <v>29389</v>
      </c>
      <c r="B5133">
        <v>116.029998779297</v>
      </c>
    </row>
    <row r="5134" spans="1:2" x14ac:dyDescent="0.25">
      <c r="A5134" s="5">
        <v>29390</v>
      </c>
      <c r="B5134">
        <v>116.26000213623</v>
      </c>
    </row>
    <row r="5135" spans="1:2" x14ac:dyDescent="0.25">
      <c r="A5135" s="5">
        <v>29391</v>
      </c>
      <c r="B5135">
        <v>114.66000366210901</v>
      </c>
    </row>
    <row r="5136" spans="1:2" x14ac:dyDescent="0.25">
      <c r="A5136" s="5">
        <v>29392</v>
      </c>
      <c r="B5136">
        <v>114.05999755859401</v>
      </c>
    </row>
    <row r="5137" spans="1:2" x14ac:dyDescent="0.25">
      <c r="A5137" s="5">
        <v>29395</v>
      </c>
      <c r="B5137">
        <v>114.51000213623</v>
      </c>
    </row>
    <row r="5138" spans="1:2" x14ac:dyDescent="0.25">
      <c r="A5138" s="5">
        <v>29396</v>
      </c>
      <c r="B5138">
        <v>115.139999389648</v>
      </c>
    </row>
    <row r="5139" spans="1:2" x14ac:dyDescent="0.25">
      <c r="A5139" s="5">
        <v>29397</v>
      </c>
      <c r="B5139">
        <v>116.720001220703</v>
      </c>
    </row>
    <row r="5140" spans="1:2" x14ac:dyDescent="0.25">
      <c r="A5140" s="5">
        <v>29398</v>
      </c>
      <c r="B5140">
        <v>116.19000244140599</v>
      </c>
    </row>
    <row r="5141" spans="1:2" x14ac:dyDescent="0.25">
      <c r="A5141" s="5">
        <v>29399</v>
      </c>
      <c r="B5141">
        <v>116</v>
      </c>
    </row>
    <row r="5142" spans="1:2" x14ac:dyDescent="0.25">
      <c r="A5142" s="5">
        <v>29402</v>
      </c>
      <c r="B5142">
        <v>114.23999786377</v>
      </c>
    </row>
    <row r="5143" spans="1:2" x14ac:dyDescent="0.25">
      <c r="A5143" s="5">
        <v>29403</v>
      </c>
      <c r="B5143">
        <v>114.93000030517599</v>
      </c>
    </row>
    <row r="5144" spans="1:2" x14ac:dyDescent="0.25">
      <c r="A5144" s="5">
        <v>29404</v>
      </c>
      <c r="B5144">
        <v>115.68000030517599</v>
      </c>
    </row>
    <row r="5145" spans="1:2" x14ac:dyDescent="0.25">
      <c r="A5145" s="5">
        <v>29405</v>
      </c>
      <c r="B5145">
        <v>117.459999084473</v>
      </c>
    </row>
    <row r="5146" spans="1:2" x14ac:dyDescent="0.25">
      <c r="A5146" s="5">
        <v>29409</v>
      </c>
      <c r="B5146">
        <v>118.290000915527</v>
      </c>
    </row>
    <row r="5147" spans="1:2" x14ac:dyDescent="0.25">
      <c r="A5147" s="5">
        <v>29410</v>
      </c>
      <c r="B5147">
        <v>117.83999633789099</v>
      </c>
    </row>
    <row r="5148" spans="1:2" x14ac:dyDescent="0.25">
      <c r="A5148" s="5">
        <v>29411</v>
      </c>
      <c r="B5148">
        <v>117.98000335693401</v>
      </c>
    </row>
    <row r="5149" spans="1:2" x14ac:dyDescent="0.25">
      <c r="A5149" s="5">
        <v>29412</v>
      </c>
      <c r="B5149">
        <v>116.949996948242</v>
      </c>
    </row>
    <row r="5150" spans="1:2" x14ac:dyDescent="0.25">
      <c r="A5150" s="5">
        <v>29413</v>
      </c>
      <c r="B5150">
        <v>117.83999633789099</v>
      </c>
    </row>
    <row r="5151" spans="1:2" x14ac:dyDescent="0.25">
      <c r="A5151" s="5">
        <v>29416</v>
      </c>
      <c r="B5151">
        <v>120.01000213623</v>
      </c>
    </row>
    <row r="5152" spans="1:2" x14ac:dyDescent="0.25">
      <c r="A5152" s="5">
        <v>29417</v>
      </c>
      <c r="B5152">
        <v>119.300003051758</v>
      </c>
    </row>
    <row r="5153" spans="1:2" x14ac:dyDescent="0.25">
      <c r="A5153" s="5">
        <v>29418</v>
      </c>
      <c r="B5153">
        <v>119.629997253418</v>
      </c>
    </row>
    <row r="5154" spans="1:2" x14ac:dyDescent="0.25">
      <c r="A5154" s="5">
        <v>29419</v>
      </c>
      <c r="B5154">
        <v>121.44000244140599</v>
      </c>
    </row>
    <row r="5155" spans="1:2" x14ac:dyDescent="0.25">
      <c r="A5155" s="5">
        <v>29420</v>
      </c>
      <c r="B5155">
        <v>122.040000915527</v>
      </c>
    </row>
    <row r="5156" spans="1:2" x14ac:dyDescent="0.25">
      <c r="A5156" s="5">
        <v>29423</v>
      </c>
      <c r="B5156">
        <v>122.51000213623</v>
      </c>
    </row>
    <row r="5157" spans="1:2" x14ac:dyDescent="0.25">
      <c r="A5157" s="5">
        <v>29424</v>
      </c>
      <c r="B5157">
        <v>122.19000244140599</v>
      </c>
    </row>
    <row r="5158" spans="1:2" x14ac:dyDescent="0.25">
      <c r="A5158" s="5">
        <v>29425</v>
      </c>
      <c r="B5158">
        <v>121.93000030517599</v>
      </c>
    </row>
    <row r="5159" spans="1:2" x14ac:dyDescent="0.25">
      <c r="A5159" s="5">
        <v>29426</v>
      </c>
      <c r="B5159">
        <v>121.790000915527</v>
      </c>
    </row>
    <row r="5160" spans="1:2" x14ac:dyDescent="0.25">
      <c r="A5160" s="5">
        <v>29427</v>
      </c>
      <c r="B5160">
        <v>120.779998779297</v>
      </c>
    </row>
    <row r="5161" spans="1:2" x14ac:dyDescent="0.25">
      <c r="A5161" s="5">
        <v>29430</v>
      </c>
      <c r="B5161">
        <v>121.43000030517599</v>
      </c>
    </row>
    <row r="5162" spans="1:2" x14ac:dyDescent="0.25">
      <c r="A5162" s="5">
        <v>29431</v>
      </c>
      <c r="B5162">
        <v>122.40000152587901</v>
      </c>
    </row>
    <row r="5163" spans="1:2" x14ac:dyDescent="0.25">
      <c r="A5163" s="5">
        <v>29432</v>
      </c>
      <c r="B5163">
        <v>122.23000335693401</v>
      </c>
    </row>
    <row r="5164" spans="1:2" x14ac:dyDescent="0.25">
      <c r="A5164" s="5">
        <v>29433</v>
      </c>
      <c r="B5164">
        <v>121.669998168945</v>
      </c>
    </row>
    <row r="5165" spans="1:2" x14ac:dyDescent="0.25">
      <c r="A5165" s="5">
        <v>29434</v>
      </c>
      <c r="B5165">
        <v>121.209999084473</v>
      </c>
    </row>
    <row r="5166" spans="1:2" x14ac:dyDescent="0.25">
      <c r="A5166" s="5">
        <v>29437</v>
      </c>
      <c r="B5166">
        <v>120.98000335693401</v>
      </c>
    </row>
    <row r="5167" spans="1:2" x14ac:dyDescent="0.25">
      <c r="A5167" s="5">
        <v>29438</v>
      </c>
      <c r="B5167">
        <v>120.73999786377</v>
      </c>
    </row>
    <row r="5168" spans="1:2" x14ac:dyDescent="0.25">
      <c r="A5168" s="5">
        <v>29439</v>
      </c>
      <c r="B5168">
        <v>121.550003051758</v>
      </c>
    </row>
    <row r="5169" spans="1:2" x14ac:dyDescent="0.25">
      <c r="A5169" s="5">
        <v>29440</v>
      </c>
      <c r="B5169">
        <v>123.300003051758</v>
      </c>
    </row>
    <row r="5170" spans="1:2" x14ac:dyDescent="0.25">
      <c r="A5170" s="5">
        <v>29441</v>
      </c>
      <c r="B5170">
        <v>123.610000610352</v>
      </c>
    </row>
    <row r="5171" spans="1:2" x14ac:dyDescent="0.25">
      <c r="A5171" s="5">
        <v>29444</v>
      </c>
      <c r="B5171">
        <v>124.779998779297</v>
      </c>
    </row>
    <row r="5172" spans="1:2" x14ac:dyDescent="0.25">
      <c r="A5172" s="5">
        <v>29445</v>
      </c>
      <c r="B5172">
        <v>123.790000915527</v>
      </c>
    </row>
    <row r="5173" spans="1:2" x14ac:dyDescent="0.25">
      <c r="A5173" s="5">
        <v>29446</v>
      </c>
      <c r="B5173">
        <v>123.279998779297</v>
      </c>
    </row>
    <row r="5174" spans="1:2" x14ac:dyDescent="0.25">
      <c r="A5174" s="5">
        <v>29447</v>
      </c>
      <c r="B5174">
        <v>125.25</v>
      </c>
    </row>
    <row r="5175" spans="1:2" x14ac:dyDescent="0.25">
      <c r="A5175" s="5">
        <v>29448</v>
      </c>
      <c r="B5175">
        <v>125.720001220703</v>
      </c>
    </row>
    <row r="5176" spans="1:2" x14ac:dyDescent="0.25">
      <c r="A5176" s="5">
        <v>29451</v>
      </c>
      <c r="B5176">
        <v>123.389999389648</v>
      </c>
    </row>
    <row r="5177" spans="1:2" x14ac:dyDescent="0.25">
      <c r="A5177" s="5">
        <v>29452</v>
      </c>
      <c r="B5177">
        <v>122.59999847412099</v>
      </c>
    </row>
    <row r="5178" spans="1:2" x14ac:dyDescent="0.25">
      <c r="A5178" s="5">
        <v>29453</v>
      </c>
      <c r="B5178">
        <v>123.76999664306599</v>
      </c>
    </row>
    <row r="5179" spans="1:2" x14ac:dyDescent="0.25">
      <c r="A5179" s="5">
        <v>29454</v>
      </c>
      <c r="B5179">
        <v>125.459999084473</v>
      </c>
    </row>
    <row r="5180" spans="1:2" x14ac:dyDescent="0.25">
      <c r="A5180" s="5">
        <v>29455</v>
      </c>
      <c r="B5180">
        <v>126.01999664306599</v>
      </c>
    </row>
    <row r="5181" spans="1:2" x14ac:dyDescent="0.25">
      <c r="A5181" s="5">
        <v>29458</v>
      </c>
      <c r="B5181">
        <v>125.16000366210901</v>
      </c>
    </row>
    <row r="5182" spans="1:2" x14ac:dyDescent="0.25">
      <c r="A5182" s="5">
        <v>29459</v>
      </c>
      <c r="B5182">
        <v>124.83999633789099</v>
      </c>
    </row>
    <row r="5183" spans="1:2" x14ac:dyDescent="0.25">
      <c r="A5183" s="5">
        <v>29460</v>
      </c>
      <c r="B5183">
        <v>123.51999664306599</v>
      </c>
    </row>
    <row r="5184" spans="1:2" x14ac:dyDescent="0.25">
      <c r="A5184" s="5">
        <v>29461</v>
      </c>
      <c r="B5184">
        <v>122.080001831055</v>
      </c>
    </row>
    <row r="5185" spans="1:2" x14ac:dyDescent="0.25">
      <c r="A5185" s="5">
        <v>29462</v>
      </c>
      <c r="B5185">
        <v>122.379997253418</v>
      </c>
    </row>
    <row r="5186" spans="1:2" x14ac:dyDescent="0.25">
      <c r="A5186" s="5">
        <v>29466</v>
      </c>
      <c r="B5186">
        <v>123.73999786377</v>
      </c>
    </row>
    <row r="5187" spans="1:2" x14ac:dyDescent="0.25">
      <c r="A5187" s="5">
        <v>29467</v>
      </c>
      <c r="B5187">
        <v>126.120002746582</v>
      </c>
    </row>
    <row r="5188" spans="1:2" x14ac:dyDescent="0.25">
      <c r="A5188" s="5">
        <v>29468</v>
      </c>
      <c r="B5188">
        <v>125.419998168945</v>
      </c>
    </row>
    <row r="5189" spans="1:2" x14ac:dyDescent="0.25">
      <c r="A5189" s="5">
        <v>29469</v>
      </c>
      <c r="B5189">
        <v>124.879997253418</v>
      </c>
    </row>
    <row r="5190" spans="1:2" x14ac:dyDescent="0.25">
      <c r="A5190" s="5">
        <v>29472</v>
      </c>
      <c r="B5190">
        <v>123.30999755859401</v>
      </c>
    </row>
    <row r="5191" spans="1:2" x14ac:dyDescent="0.25">
      <c r="A5191" s="5">
        <v>29473</v>
      </c>
      <c r="B5191">
        <v>124.06999969482401</v>
      </c>
    </row>
    <row r="5192" spans="1:2" x14ac:dyDescent="0.25">
      <c r="A5192" s="5">
        <v>29474</v>
      </c>
      <c r="B5192">
        <v>124.80999755859401</v>
      </c>
    </row>
    <row r="5193" spans="1:2" x14ac:dyDescent="0.25">
      <c r="A5193" s="5">
        <v>29475</v>
      </c>
      <c r="B5193">
        <v>125.66000366210901</v>
      </c>
    </row>
    <row r="5194" spans="1:2" x14ac:dyDescent="0.25">
      <c r="A5194" s="5">
        <v>29476</v>
      </c>
      <c r="B5194">
        <v>125.540000915527</v>
      </c>
    </row>
    <row r="5195" spans="1:2" x14ac:dyDescent="0.25">
      <c r="A5195" s="5">
        <v>29479</v>
      </c>
      <c r="B5195">
        <v>125.669998168945</v>
      </c>
    </row>
    <row r="5196" spans="1:2" x14ac:dyDescent="0.25">
      <c r="A5196" s="5">
        <v>29480</v>
      </c>
      <c r="B5196">
        <v>126.73999786377</v>
      </c>
    </row>
    <row r="5197" spans="1:2" x14ac:dyDescent="0.25">
      <c r="A5197" s="5">
        <v>29481</v>
      </c>
      <c r="B5197">
        <v>128.86999511718801</v>
      </c>
    </row>
    <row r="5198" spans="1:2" x14ac:dyDescent="0.25">
      <c r="A5198" s="5">
        <v>29482</v>
      </c>
      <c r="B5198">
        <v>128.39999389648401</v>
      </c>
    </row>
    <row r="5199" spans="1:2" x14ac:dyDescent="0.25">
      <c r="A5199" s="5">
        <v>29483</v>
      </c>
      <c r="B5199">
        <v>129.25</v>
      </c>
    </row>
    <row r="5200" spans="1:2" x14ac:dyDescent="0.25">
      <c r="A5200" s="5">
        <v>29486</v>
      </c>
      <c r="B5200">
        <v>130.39999389648401</v>
      </c>
    </row>
    <row r="5201" spans="1:2" x14ac:dyDescent="0.25">
      <c r="A5201" s="5">
        <v>29487</v>
      </c>
      <c r="B5201">
        <v>129.42999267578099</v>
      </c>
    </row>
    <row r="5202" spans="1:2" x14ac:dyDescent="0.25">
      <c r="A5202" s="5">
        <v>29488</v>
      </c>
      <c r="B5202">
        <v>130.36999511718801</v>
      </c>
    </row>
    <row r="5203" spans="1:2" x14ac:dyDescent="0.25">
      <c r="A5203" s="5">
        <v>29489</v>
      </c>
      <c r="B5203">
        <v>128.72000122070301</v>
      </c>
    </row>
    <row r="5204" spans="1:2" x14ac:dyDescent="0.25">
      <c r="A5204" s="5">
        <v>29490</v>
      </c>
      <c r="B5204">
        <v>126.34999847412099</v>
      </c>
    </row>
    <row r="5205" spans="1:2" x14ac:dyDescent="0.25">
      <c r="A5205" s="5">
        <v>29493</v>
      </c>
      <c r="B5205">
        <v>123.540000915527</v>
      </c>
    </row>
    <row r="5206" spans="1:2" x14ac:dyDescent="0.25">
      <c r="A5206" s="5">
        <v>29494</v>
      </c>
      <c r="B5206">
        <v>125.459999084473</v>
      </c>
    </row>
    <row r="5207" spans="1:2" x14ac:dyDescent="0.25">
      <c r="A5207" s="5">
        <v>29495</v>
      </c>
      <c r="B5207">
        <v>127.129997253418</v>
      </c>
    </row>
    <row r="5208" spans="1:2" x14ac:dyDescent="0.25">
      <c r="A5208" s="5">
        <v>29496</v>
      </c>
      <c r="B5208">
        <v>128.08999633789099</v>
      </c>
    </row>
    <row r="5209" spans="1:2" x14ac:dyDescent="0.25">
      <c r="A5209" s="5">
        <v>29497</v>
      </c>
      <c r="B5209">
        <v>129.330001831055</v>
      </c>
    </row>
    <row r="5210" spans="1:2" x14ac:dyDescent="0.25">
      <c r="A5210" s="5">
        <v>29500</v>
      </c>
      <c r="B5210">
        <v>131.72999572753901</v>
      </c>
    </row>
    <row r="5211" spans="1:2" x14ac:dyDescent="0.25">
      <c r="A5211" s="5">
        <v>29501</v>
      </c>
      <c r="B5211">
        <v>131</v>
      </c>
    </row>
    <row r="5212" spans="1:2" x14ac:dyDescent="0.25">
      <c r="A5212" s="5">
        <v>29502</v>
      </c>
      <c r="B5212">
        <v>131.64999389648401</v>
      </c>
    </row>
    <row r="5213" spans="1:2" x14ac:dyDescent="0.25">
      <c r="A5213" s="5">
        <v>29503</v>
      </c>
      <c r="B5213">
        <v>131.03999328613301</v>
      </c>
    </row>
    <row r="5214" spans="1:2" x14ac:dyDescent="0.25">
      <c r="A5214" s="5">
        <v>29504</v>
      </c>
      <c r="B5214">
        <v>130.28999328613301</v>
      </c>
    </row>
    <row r="5215" spans="1:2" x14ac:dyDescent="0.25">
      <c r="A5215" s="5">
        <v>29507</v>
      </c>
      <c r="B5215">
        <v>132.02999877929699</v>
      </c>
    </row>
    <row r="5216" spans="1:2" x14ac:dyDescent="0.25">
      <c r="A5216" s="5">
        <v>29508</v>
      </c>
      <c r="B5216">
        <v>132.02000427246099</v>
      </c>
    </row>
    <row r="5217" spans="1:2" x14ac:dyDescent="0.25">
      <c r="A5217" s="5">
        <v>29509</v>
      </c>
      <c r="B5217">
        <v>133.69999694824199</v>
      </c>
    </row>
    <row r="5218" spans="1:2" x14ac:dyDescent="0.25">
      <c r="A5218" s="5">
        <v>29510</v>
      </c>
      <c r="B5218">
        <v>132.22000122070301</v>
      </c>
    </row>
    <row r="5219" spans="1:2" x14ac:dyDescent="0.25">
      <c r="A5219" s="5">
        <v>29511</v>
      </c>
      <c r="B5219">
        <v>131.52000427246099</v>
      </c>
    </row>
    <row r="5220" spans="1:2" x14ac:dyDescent="0.25">
      <c r="A5220" s="5">
        <v>29514</v>
      </c>
      <c r="B5220">
        <v>132.61000061035199</v>
      </c>
    </row>
    <row r="5221" spans="1:2" x14ac:dyDescent="0.25">
      <c r="A5221" s="5">
        <v>29515</v>
      </c>
      <c r="B5221">
        <v>131.83999633789099</v>
      </c>
    </row>
    <row r="5222" spans="1:2" x14ac:dyDescent="0.25">
      <c r="A5222" s="5">
        <v>29516</v>
      </c>
      <c r="B5222">
        <v>131.919998168945</v>
      </c>
    </row>
    <row r="5223" spans="1:2" x14ac:dyDescent="0.25">
      <c r="A5223" s="5">
        <v>29517</v>
      </c>
      <c r="B5223">
        <v>129.52999877929699</v>
      </c>
    </row>
    <row r="5224" spans="1:2" x14ac:dyDescent="0.25">
      <c r="A5224" s="5">
        <v>29518</v>
      </c>
      <c r="B5224">
        <v>129.85000610351599</v>
      </c>
    </row>
    <row r="5225" spans="1:2" x14ac:dyDescent="0.25">
      <c r="A5225" s="5">
        <v>29521</v>
      </c>
      <c r="B5225">
        <v>127.879997253418</v>
      </c>
    </row>
    <row r="5226" spans="1:2" x14ac:dyDescent="0.25">
      <c r="A5226" s="5">
        <v>29522</v>
      </c>
      <c r="B5226">
        <v>128.05000305175801</v>
      </c>
    </row>
    <row r="5227" spans="1:2" x14ac:dyDescent="0.25">
      <c r="A5227" s="5">
        <v>29523</v>
      </c>
      <c r="B5227">
        <v>127.91000366210901</v>
      </c>
    </row>
    <row r="5228" spans="1:2" x14ac:dyDescent="0.25">
      <c r="A5228" s="5">
        <v>29524</v>
      </c>
      <c r="B5228">
        <v>126.290000915527</v>
      </c>
    </row>
    <row r="5229" spans="1:2" x14ac:dyDescent="0.25">
      <c r="A5229" s="5">
        <v>29525</v>
      </c>
      <c r="B5229">
        <v>127.470001220703</v>
      </c>
    </row>
    <row r="5230" spans="1:2" x14ac:dyDescent="0.25">
      <c r="A5230" s="5">
        <v>29528</v>
      </c>
      <c r="B5230">
        <v>129.03999328613301</v>
      </c>
    </row>
    <row r="5231" spans="1:2" x14ac:dyDescent="0.25">
      <c r="A5231" s="5">
        <v>29530</v>
      </c>
      <c r="B5231">
        <v>131.330001831055</v>
      </c>
    </row>
    <row r="5232" spans="1:2" x14ac:dyDescent="0.25">
      <c r="A5232" s="5">
        <v>29531</v>
      </c>
      <c r="B5232">
        <v>128.91000366210901</v>
      </c>
    </row>
    <row r="5233" spans="1:2" x14ac:dyDescent="0.25">
      <c r="A5233" s="5">
        <v>29532</v>
      </c>
      <c r="B5233">
        <v>129.17999267578099</v>
      </c>
    </row>
    <row r="5234" spans="1:2" x14ac:dyDescent="0.25">
      <c r="A5234" s="5">
        <v>29535</v>
      </c>
      <c r="B5234">
        <v>129.47999572753901</v>
      </c>
    </row>
    <row r="5235" spans="1:2" x14ac:dyDescent="0.25">
      <c r="A5235" s="5">
        <v>29536</v>
      </c>
      <c r="B5235">
        <v>131.25999450683599</v>
      </c>
    </row>
    <row r="5236" spans="1:2" x14ac:dyDescent="0.25">
      <c r="A5236" s="5">
        <v>29537</v>
      </c>
      <c r="B5236">
        <v>134.58999633789099</v>
      </c>
    </row>
    <row r="5237" spans="1:2" x14ac:dyDescent="0.25">
      <c r="A5237" s="5">
        <v>29538</v>
      </c>
      <c r="B5237">
        <v>136.49000549316401</v>
      </c>
    </row>
    <row r="5238" spans="1:2" x14ac:dyDescent="0.25">
      <c r="A5238" s="5">
        <v>29539</v>
      </c>
      <c r="B5238">
        <v>137.14999389648401</v>
      </c>
    </row>
    <row r="5239" spans="1:2" x14ac:dyDescent="0.25">
      <c r="A5239" s="5">
        <v>29542</v>
      </c>
      <c r="B5239">
        <v>137.75</v>
      </c>
    </row>
    <row r="5240" spans="1:2" x14ac:dyDescent="0.25">
      <c r="A5240" s="5">
        <v>29543</v>
      </c>
      <c r="B5240">
        <v>139.69999694824199</v>
      </c>
    </row>
    <row r="5241" spans="1:2" x14ac:dyDescent="0.25">
      <c r="A5241" s="5">
        <v>29544</v>
      </c>
      <c r="B5241">
        <v>139.05999755859401</v>
      </c>
    </row>
    <row r="5242" spans="1:2" x14ac:dyDescent="0.25">
      <c r="A5242" s="5">
        <v>29545</v>
      </c>
      <c r="B5242">
        <v>140.39999389648401</v>
      </c>
    </row>
    <row r="5243" spans="1:2" x14ac:dyDescent="0.25">
      <c r="A5243" s="5">
        <v>29546</v>
      </c>
      <c r="B5243">
        <v>139.11000061035199</v>
      </c>
    </row>
    <row r="5244" spans="1:2" x14ac:dyDescent="0.25">
      <c r="A5244" s="5">
        <v>29549</v>
      </c>
      <c r="B5244">
        <v>138.30999755859401</v>
      </c>
    </row>
    <row r="5245" spans="1:2" x14ac:dyDescent="0.25">
      <c r="A5245" s="5">
        <v>29550</v>
      </c>
      <c r="B5245">
        <v>139.330001831055</v>
      </c>
    </row>
    <row r="5246" spans="1:2" x14ac:dyDescent="0.25">
      <c r="A5246" s="5">
        <v>29551</v>
      </c>
      <c r="B5246">
        <v>140.169998168945</v>
      </c>
    </row>
    <row r="5247" spans="1:2" x14ac:dyDescent="0.25">
      <c r="A5247" s="5">
        <v>29553</v>
      </c>
      <c r="B5247">
        <v>140.52000427246099</v>
      </c>
    </row>
    <row r="5248" spans="1:2" x14ac:dyDescent="0.25">
      <c r="A5248" s="5">
        <v>29556</v>
      </c>
      <c r="B5248">
        <v>137.21000671386699</v>
      </c>
    </row>
    <row r="5249" spans="1:2" x14ac:dyDescent="0.25">
      <c r="A5249" s="5">
        <v>29557</v>
      </c>
      <c r="B5249">
        <v>136.97000122070301</v>
      </c>
    </row>
    <row r="5250" spans="1:2" x14ac:dyDescent="0.25">
      <c r="A5250" s="5">
        <v>29558</v>
      </c>
      <c r="B5250">
        <v>136.71000671386699</v>
      </c>
    </row>
    <row r="5251" spans="1:2" x14ac:dyDescent="0.25">
      <c r="A5251" s="5">
        <v>29559</v>
      </c>
      <c r="B5251">
        <v>136.47999572753901</v>
      </c>
    </row>
    <row r="5252" spans="1:2" x14ac:dyDescent="0.25">
      <c r="A5252" s="5">
        <v>29560</v>
      </c>
      <c r="B5252">
        <v>134.02999877929699</v>
      </c>
    </row>
    <row r="5253" spans="1:2" x14ac:dyDescent="0.25">
      <c r="A5253" s="5">
        <v>29563</v>
      </c>
      <c r="B5253">
        <v>130.61000061035199</v>
      </c>
    </row>
    <row r="5254" spans="1:2" x14ac:dyDescent="0.25">
      <c r="A5254" s="5">
        <v>29564</v>
      </c>
      <c r="B5254">
        <v>130.47999572753901</v>
      </c>
    </row>
    <row r="5255" spans="1:2" x14ac:dyDescent="0.25">
      <c r="A5255" s="5">
        <v>29565</v>
      </c>
      <c r="B5255">
        <v>128.25999450683599</v>
      </c>
    </row>
    <row r="5256" spans="1:2" x14ac:dyDescent="0.25">
      <c r="A5256" s="5">
        <v>29566</v>
      </c>
      <c r="B5256">
        <v>127.360000610352</v>
      </c>
    </row>
    <row r="5257" spans="1:2" x14ac:dyDescent="0.25">
      <c r="A5257" s="5">
        <v>29567</v>
      </c>
      <c r="B5257">
        <v>129.22999572753901</v>
      </c>
    </row>
    <row r="5258" spans="1:2" x14ac:dyDescent="0.25">
      <c r="A5258" s="5">
        <v>29570</v>
      </c>
      <c r="B5258">
        <v>129.44999694824199</v>
      </c>
    </row>
    <row r="5259" spans="1:2" x14ac:dyDescent="0.25">
      <c r="A5259" s="5">
        <v>29571</v>
      </c>
      <c r="B5259">
        <v>130.60000610351599</v>
      </c>
    </row>
    <row r="5260" spans="1:2" x14ac:dyDescent="0.25">
      <c r="A5260" s="5">
        <v>29572</v>
      </c>
      <c r="B5260">
        <v>132.88999938964801</v>
      </c>
    </row>
    <row r="5261" spans="1:2" x14ac:dyDescent="0.25">
      <c r="A5261" s="5">
        <v>29573</v>
      </c>
      <c r="B5261">
        <v>133</v>
      </c>
    </row>
    <row r="5262" spans="1:2" x14ac:dyDescent="0.25">
      <c r="A5262" s="5">
        <v>29574</v>
      </c>
      <c r="B5262">
        <v>133.69999694824199</v>
      </c>
    </row>
    <row r="5263" spans="1:2" x14ac:dyDescent="0.25">
      <c r="A5263" s="5">
        <v>29577</v>
      </c>
      <c r="B5263">
        <v>135.77999877929699</v>
      </c>
    </row>
    <row r="5264" spans="1:2" x14ac:dyDescent="0.25">
      <c r="A5264" s="5">
        <v>29578</v>
      </c>
      <c r="B5264">
        <v>135.30000305175801</v>
      </c>
    </row>
    <row r="5265" spans="1:2" x14ac:dyDescent="0.25">
      <c r="A5265" s="5">
        <v>29579</v>
      </c>
      <c r="B5265">
        <v>135.88000488281199</v>
      </c>
    </row>
    <row r="5266" spans="1:2" x14ac:dyDescent="0.25">
      <c r="A5266" s="5">
        <v>29581</v>
      </c>
      <c r="B5266">
        <v>136.57000732421901</v>
      </c>
    </row>
    <row r="5267" spans="1:2" x14ac:dyDescent="0.25">
      <c r="A5267" s="5">
        <v>29584</v>
      </c>
      <c r="B5267">
        <v>135.02999877929699</v>
      </c>
    </row>
    <row r="5268" spans="1:2" x14ac:dyDescent="0.25">
      <c r="A5268" s="5">
        <v>29585</v>
      </c>
      <c r="B5268">
        <v>135.330001831055</v>
      </c>
    </row>
    <row r="5269" spans="1:2" x14ac:dyDescent="0.25">
      <c r="A5269" s="5">
        <v>29586</v>
      </c>
      <c r="B5269">
        <v>135.75999450683599</v>
      </c>
    </row>
    <row r="5270" spans="1:2" x14ac:dyDescent="0.25">
      <c r="A5270" s="5">
        <v>29588</v>
      </c>
      <c r="B5270">
        <v>136.33999633789099</v>
      </c>
    </row>
    <row r="5271" spans="1:2" x14ac:dyDescent="0.25">
      <c r="A5271" s="5">
        <v>29591</v>
      </c>
      <c r="B5271">
        <v>137.97000122070301</v>
      </c>
    </row>
    <row r="5272" spans="1:2" x14ac:dyDescent="0.25">
      <c r="A5272" s="5">
        <v>29592</v>
      </c>
      <c r="B5272">
        <v>138.11999511718801</v>
      </c>
    </row>
    <row r="5273" spans="1:2" x14ac:dyDescent="0.25">
      <c r="A5273" s="5">
        <v>29593</v>
      </c>
      <c r="B5273">
        <v>135.080001831055</v>
      </c>
    </row>
    <row r="5274" spans="1:2" x14ac:dyDescent="0.25">
      <c r="A5274" s="5">
        <v>29594</v>
      </c>
      <c r="B5274">
        <v>133.05999755859401</v>
      </c>
    </row>
    <row r="5275" spans="1:2" x14ac:dyDescent="0.25">
      <c r="A5275" s="5">
        <v>29595</v>
      </c>
      <c r="B5275">
        <v>133.47999572753901</v>
      </c>
    </row>
    <row r="5276" spans="1:2" x14ac:dyDescent="0.25">
      <c r="A5276" s="5">
        <v>29598</v>
      </c>
      <c r="B5276">
        <v>133.52000427246099</v>
      </c>
    </row>
    <row r="5277" spans="1:2" x14ac:dyDescent="0.25">
      <c r="A5277" s="5">
        <v>29599</v>
      </c>
      <c r="B5277">
        <v>133.28999328613301</v>
      </c>
    </row>
    <row r="5278" spans="1:2" x14ac:dyDescent="0.25">
      <c r="A5278" s="5">
        <v>29600</v>
      </c>
      <c r="B5278">
        <v>133.47000122070301</v>
      </c>
    </row>
    <row r="5279" spans="1:2" x14ac:dyDescent="0.25">
      <c r="A5279" s="5">
        <v>29601</v>
      </c>
      <c r="B5279">
        <v>134.22000122070301</v>
      </c>
    </row>
    <row r="5280" spans="1:2" x14ac:dyDescent="0.25">
      <c r="A5280" s="5">
        <v>29602</v>
      </c>
      <c r="B5280">
        <v>134.77000427246099</v>
      </c>
    </row>
    <row r="5281" spans="1:2" x14ac:dyDescent="0.25">
      <c r="A5281" s="5">
        <v>29605</v>
      </c>
      <c r="B5281">
        <v>134.36999511718801</v>
      </c>
    </row>
    <row r="5282" spans="1:2" x14ac:dyDescent="0.25">
      <c r="A5282" s="5">
        <v>29606</v>
      </c>
      <c r="B5282">
        <v>131.64999389648401</v>
      </c>
    </row>
    <row r="5283" spans="1:2" x14ac:dyDescent="0.25">
      <c r="A5283" s="5">
        <v>29607</v>
      </c>
      <c r="B5283">
        <v>131.36000061035199</v>
      </c>
    </row>
    <row r="5284" spans="1:2" x14ac:dyDescent="0.25">
      <c r="A5284" s="5">
        <v>29608</v>
      </c>
      <c r="B5284">
        <v>130.25999450683599</v>
      </c>
    </row>
    <row r="5285" spans="1:2" x14ac:dyDescent="0.25">
      <c r="A5285" s="5">
        <v>29609</v>
      </c>
      <c r="B5285">
        <v>130.22999572753901</v>
      </c>
    </row>
    <row r="5286" spans="1:2" x14ac:dyDescent="0.25">
      <c r="A5286" s="5">
        <v>29612</v>
      </c>
      <c r="B5286">
        <v>129.83999633789099</v>
      </c>
    </row>
    <row r="5287" spans="1:2" x14ac:dyDescent="0.25">
      <c r="A5287" s="5">
        <v>29613</v>
      </c>
      <c r="B5287">
        <v>131.11999511718801</v>
      </c>
    </row>
    <row r="5288" spans="1:2" x14ac:dyDescent="0.25">
      <c r="A5288" s="5">
        <v>29614</v>
      </c>
      <c r="B5288">
        <v>130.33999633789099</v>
      </c>
    </row>
    <row r="5289" spans="1:2" x14ac:dyDescent="0.25">
      <c r="A5289" s="5">
        <v>29615</v>
      </c>
      <c r="B5289">
        <v>130.24000549316401</v>
      </c>
    </row>
    <row r="5290" spans="1:2" x14ac:dyDescent="0.25">
      <c r="A5290" s="5">
        <v>29616</v>
      </c>
      <c r="B5290">
        <v>129.55000305175801</v>
      </c>
    </row>
    <row r="5291" spans="1:2" x14ac:dyDescent="0.25">
      <c r="A5291" s="5">
        <v>29619</v>
      </c>
      <c r="B5291">
        <v>126.91000366210901</v>
      </c>
    </row>
    <row r="5292" spans="1:2" x14ac:dyDescent="0.25">
      <c r="A5292" s="5">
        <v>29620</v>
      </c>
      <c r="B5292">
        <v>128.46000671386699</v>
      </c>
    </row>
    <row r="5293" spans="1:2" x14ac:dyDescent="0.25">
      <c r="A5293" s="5">
        <v>29621</v>
      </c>
      <c r="B5293">
        <v>128.58999633789099</v>
      </c>
    </row>
    <row r="5294" spans="1:2" x14ac:dyDescent="0.25">
      <c r="A5294" s="5">
        <v>29622</v>
      </c>
      <c r="B5294">
        <v>129.63000488281199</v>
      </c>
    </row>
    <row r="5295" spans="1:2" x14ac:dyDescent="0.25">
      <c r="A5295" s="5">
        <v>29623</v>
      </c>
      <c r="B5295">
        <v>130.60000610351599</v>
      </c>
    </row>
    <row r="5296" spans="1:2" x14ac:dyDescent="0.25">
      <c r="A5296" s="5">
        <v>29626</v>
      </c>
      <c r="B5296">
        <v>129.27000427246099</v>
      </c>
    </row>
    <row r="5297" spans="1:2" x14ac:dyDescent="0.25">
      <c r="A5297" s="5">
        <v>29627</v>
      </c>
      <c r="B5297">
        <v>129.24000549316401</v>
      </c>
    </row>
    <row r="5298" spans="1:2" x14ac:dyDescent="0.25">
      <c r="A5298" s="5">
        <v>29628</v>
      </c>
      <c r="B5298">
        <v>128.24000549316401</v>
      </c>
    </row>
    <row r="5299" spans="1:2" x14ac:dyDescent="0.25">
      <c r="A5299" s="5">
        <v>29629</v>
      </c>
      <c r="B5299">
        <v>127.48000335693401</v>
      </c>
    </row>
    <row r="5300" spans="1:2" x14ac:dyDescent="0.25">
      <c r="A5300" s="5">
        <v>29630</v>
      </c>
      <c r="B5300">
        <v>126.98000335693401</v>
      </c>
    </row>
    <row r="5301" spans="1:2" x14ac:dyDescent="0.25">
      <c r="A5301" s="5">
        <v>29634</v>
      </c>
      <c r="B5301">
        <v>127.80999755859401</v>
      </c>
    </row>
    <row r="5302" spans="1:2" x14ac:dyDescent="0.25">
      <c r="A5302" s="5">
        <v>29635</v>
      </c>
      <c r="B5302">
        <v>128.47999572753901</v>
      </c>
    </row>
    <row r="5303" spans="1:2" x14ac:dyDescent="0.25">
      <c r="A5303" s="5">
        <v>29636</v>
      </c>
      <c r="B5303">
        <v>126.610000610352</v>
      </c>
    </row>
    <row r="5304" spans="1:2" x14ac:dyDescent="0.25">
      <c r="A5304" s="5">
        <v>29637</v>
      </c>
      <c r="B5304">
        <v>126.580001831055</v>
      </c>
    </row>
    <row r="5305" spans="1:2" x14ac:dyDescent="0.25">
      <c r="A5305" s="5">
        <v>29640</v>
      </c>
      <c r="B5305">
        <v>127.34999847412099</v>
      </c>
    </row>
    <row r="5306" spans="1:2" x14ac:dyDescent="0.25">
      <c r="A5306" s="5">
        <v>29641</v>
      </c>
      <c r="B5306">
        <v>127.389999389648</v>
      </c>
    </row>
    <row r="5307" spans="1:2" x14ac:dyDescent="0.25">
      <c r="A5307" s="5">
        <v>29642</v>
      </c>
      <c r="B5307">
        <v>128.52000427246099</v>
      </c>
    </row>
    <row r="5308" spans="1:2" x14ac:dyDescent="0.25">
      <c r="A5308" s="5">
        <v>29643</v>
      </c>
      <c r="B5308">
        <v>130.10000610351599</v>
      </c>
    </row>
    <row r="5309" spans="1:2" x14ac:dyDescent="0.25">
      <c r="A5309" s="5">
        <v>29644</v>
      </c>
      <c r="B5309">
        <v>131.27000427246099</v>
      </c>
    </row>
    <row r="5310" spans="1:2" x14ac:dyDescent="0.25">
      <c r="A5310" s="5">
        <v>29647</v>
      </c>
      <c r="B5310">
        <v>132.00999450683599</v>
      </c>
    </row>
    <row r="5311" spans="1:2" x14ac:dyDescent="0.25">
      <c r="A5311" s="5">
        <v>29648</v>
      </c>
      <c r="B5311">
        <v>130.55999755859401</v>
      </c>
    </row>
    <row r="5312" spans="1:2" x14ac:dyDescent="0.25">
      <c r="A5312" s="5">
        <v>29649</v>
      </c>
      <c r="B5312">
        <v>130.86000061035199</v>
      </c>
    </row>
    <row r="5313" spans="1:2" x14ac:dyDescent="0.25">
      <c r="A5313" s="5">
        <v>29650</v>
      </c>
      <c r="B5313">
        <v>129.92999267578099</v>
      </c>
    </row>
    <row r="5314" spans="1:2" x14ac:dyDescent="0.25">
      <c r="A5314" s="5">
        <v>29651</v>
      </c>
      <c r="B5314">
        <v>129.85000610351599</v>
      </c>
    </row>
    <row r="5315" spans="1:2" x14ac:dyDescent="0.25">
      <c r="A5315" s="5">
        <v>29654</v>
      </c>
      <c r="B5315">
        <v>131.11999511718801</v>
      </c>
    </row>
    <row r="5316" spans="1:2" x14ac:dyDescent="0.25">
      <c r="A5316" s="5">
        <v>29655</v>
      </c>
      <c r="B5316">
        <v>130.46000671386699</v>
      </c>
    </row>
    <row r="5317" spans="1:2" x14ac:dyDescent="0.25">
      <c r="A5317" s="5">
        <v>29656</v>
      </c>
      <c r="B5317">
        <v>129.94999694824199</v>
      </c>
    </row>
    <row r="5318" spans="1:2" x14ac:dyDescent="0.25">
      <c r="A5318" s="5">
        <v>29657</v>
      </c>
      <c r="B5318">
        <v>133.19000244140599</v>
      </c>
    </row>
    <row r="5319" spans="1:2" x14ac:dyDescent="0.25">
      <c r="A5319" s="5">
        <v>29658</v>
      </c>
      <c r="B5319">
        <v>133.11000061035199</v>
      </c>
    </row>
    <row r="5320" spans="1:2" x14ac:dyDescent="0.25">
      <c r="A5320" s="5">
        <v>29661</v>
      </c>
      <c r="B5320">
        <v>134.67999267578099</v>
      </c>
    </row>
    <row r="5321" spans="1:2" x14ac:dyDescent="0.25">
      <c r="A5321" s="5">
        <v>29662</v>
      </c>
      <c r="B5321">
        <v>133.919998168945</v>
      </c>
    </row>
    <row r="5322" spans="1:2" x14ac:dyDescent="0.25">
      <c r="A5322" s="5">
        <v>29663</v>
      </c>
      <c r="B5322">
        <v>134.22000122070301</v>
      </c>
    </row>
    <row r="5323" spans="1:2" x14ac:dyDescent="0.25">
      <c r="A5323" s="5">
        <v>29664</v>
      </c>
      <c r="B5323">
        <v>133.46000671386699</v>
      </c>
    </row>
    <row r="5324" spans="1:2" x14ac:dyDescent="0.25">
      <c r="A5324" s="5">
        <v>29665</v>
      </c>
      <c r="B5324">
        <v>134.080001831055</v>
      </c>
    </row>
    <row r="5325" spans="1:2" x14ac:dyDescent="0.25">
      <c r="A5325" s="5">
        <v>29668</v>
      </c>
      <c r="B5325">
        <v>135.69000244140599</v>
      </c>
    </row>
    <row r="5326" spans="1:2" x14ac:dyDescent="0.25">
      <c r="A5326" s="5">
        <v>29669</v>
      </c>
      <c r="B5326">
        <v>134.669998168945</v>
      </c>
    </row>
    <row r="5327" spans="1:2" x14ac:dyDescent="0.25">
      <c r="A5327" s="5">
        <v>29670</v>
      </c>
      <c r="B5327">
        <v>137.11000061035199</v>
      </c>
    </row>
    <row r="5328" spans="1:2" x14ac:dyDescent="0.25">
      <c r="A5328" s="5">
        <v>29671</v>
      </c>
      <c r="B5328">
        <v>136.27000427246099</v>
      </c>
    </row>
    <row r="5329" spans="1:2" x14ac:dyDescent="0.25">
      <c r="A5329" s="5">
        <v>29672</v>
      </c>
      <c r="B5329">
        <v>134.64999389648401</v>
      </c>
    </row>
    <row r="5330" spans="1:2" x14ac:dyDescent="0.25">
      <c r="A5330" s="5">
        <v>29675</v>
      </c>
      <c r="B5330">
        <v>134.27999877929699</v>
      </c>
    </row>
    <row r="5331" spans="1:2" x14ac:dyDescent="0.25">
      <c r="A5331" s="5">
        <v>29676</v>
      </c>
      <c r="B5331">
        <v>136</v>
      </c>
    </row>
    <row r="5332" spans="1:2" x14ac:dyDescent="0.25">
      <c r="A5332" s="5">
        <v>29677</v>
      </c>
      <c r="B5332">
        <v>136.57000732421901</v>
      </c>
    </row>
    <row r="5333" spans="1:2" x14ac:dyDescent="0.25">
      <c r="A5333" s="5">
        <v>29678</v>
      </c>
      <c r="B5333">
        <v>136.32000732421901</v>
      </c>
    </row>
    <row r="5334" spans="1:2" x14ac:dyDescent="0.25">
      <c r="A5334" s="5">
        <v>29679</v>
      </c>
      <c r="B5334">
        <v>135.49000549316401</v>
      </c>
    </row>
    <row r="5335" spans="1:2" x14ac:dyDescent="0.25">
      <c r="A5335" s="5">
        <v>29682</v>
      </c>
      <c r="B5335">
        <v>133.92999267578099</v>
      </c>
    </row>
    <row r="5336" spans="1:2" x14ac:dyDescent="0.25">
      <c r="A5336" s="5">
        <v>29683</v>
      </c>
      <c r="B5336">
        <v>133.91000366210901</v>
      </c>
    </row>
    <row r="5337" spans="1:2" x14ac:dyDescent="0.25">
      <c r="A5337" s="5">
        <v>29684</v>
      </c>
      <c r="B5337">
        <v>134.30999755859401</v>
      </c>
    </row>
    <row r="5338" spans="1:2" x14ac:dyDescent="0.25">
      <c r="A5338" s="5">
        <v>29685</v>
      </c>
      <c r="B5338">
        <v>134.669998168945</v>
      </c>
    </row>
    <row r="5339" spans="1:2" x14ac:dyDescent="0.25">
      <c r="A5339" s="5">
        <v>29686</v>
      </c>
      <c r="B5339">
        <v>134.50999450683599</v>
      </c>
    </row>
    <row r="5340" spans="1:2" x14ac:dyDescent="0.25">
      <c r="A5340" s="5">
        <v>29689</v>
      </c>
      <c r="B5340">
        <v>133.14999389648401</v>
      </c>
    </row>
    <row r="5341" spans="1:2" x14ac:dyDescent="0.25">
      <c r="A5341" s="5">
        <v>29690</v>
      </c>
      <c r="B5341">
        <v>132.67999267578099</v>
      </c>
    </row>
    <row r="5342" spans="1:2" x14ac:dyDescent="0.25">
      <c r="A5342" s="5">
        <v>29691</v>
      </c>
      <c r="B5342">
        <v>134.169998168945</v>
      </c>
    </row>
    <row r="5343" spans="1:2" x14ac:dyDescent="0.25">
      <c r="A5343" s="5">
        <v>29692</v>
      </c>
      <c r="B5343">
        <v>134.69999694824199</v>
      </c>
    </row>
    <row r="5344" spans="1:2" x14ac:dyDescent="0.25">
      <c r="A5344" s="5">
        <v>29696</v>
      </c>
      <c r="B5344">
        <v>135.44999694824199</v>
      </c>
    </row>
    <row r="5345" spans="1:2" x14ac:dyDescent="0.25">
      <c r="A5345" s="5">
        <v>29697</v>
      </c>
      <c r="B5345">
        <v>134.22999572753901</v>
      </c>
    </row>
    <row r="5346" spans="1:2" x14ac:dyDescent="0.25">
      <c r="A5346" s="5">
        <v>29698</v>
      </c>
      <c r="B5346">
        <v>134.13999938964801</v>
      </c>
    </row>
    <row r="5347" spans="1:2" x14ac:dyDescent="0.25">
      <c r="A5347" s="5">
        <v>29699</v>
      </c>
      <c r="B5347">
        <v>133.94000244140599</v>
      </c>
    </row>
    <row r="5348" spans="1:2" x14ac:dyDescent="0.25">
      <c r="A5348" s="5">
        <v>29700</v>
      </c>
      <c r="B5348">
        <v>135.13999938964801</v>
      </c>
    </row>
    <row r="5349" spans="1:2" x14ac:dyDescent="0.25">
      <c r="A5349" s="5">
        <v>29703</v>
      </c>
      <c r="B5349">
        <v>135.47999572753901</v>
      </c>
    </row>
    <row r="5350" spans="1:2" x14ac:dyDescent="0.25">
      <c r="A5350" s="5">
        <v>29704</v>
      </c>
      <c r="B5350">
        <v>134.330001831055</v>
      </c>
    </row>
    <row r="5351" spans="1:2" x14ac:dyDescent="0.25">
      <c r="A5351" s="5">
        <v>29705</v>
      </c>
      <c r="B5351">
        <v>133.05000305175801</v>
      </c>
    </row>
    <row r="5352" spans="1:2" x14ac:dyDescent="0.25">
      <c r="A5352" s="5">
        <v>29706</v>
      </c>
      <c r="B5352">
        <v>132.80999755859401</v>
      </c>
    </row>
    <row r="5353" spans="1:2" x14ac:dyDescent="0.25">
      <c r="A5353" s="5">
        <v>29707</v>
      </c>
      <c r="B5353">
        <v>132.72000122070301</v>
      </c>
    </row>
    <row r="5354" spans="1:2" x14ac:dyDescent="0.25">
      <c r="A5354" s="5">
        <v>29710</v>
      </c>
      <c r="B5354">
        <v>130.669998168945</v>
      </c>
    </row>
    <row r="5355" spans="1:2" x14ac:dyDescent="0.25">
      <c r="A5355" s="5">
        <v>29711</v>
      </c>
      <c r="B5355">
        <v>130.32000732421901</v>
      </c>
    </row>
    <row r="5356" spans="1:2" x14ac:dyDescent="0.25">
      <c r="A5356" s="5">
        <v>29712</v>
      </c>
      <c r="B5356">
        <v>130.77999877929699</v>
      </c>
    </row>
    <row r="5357" spans="1:2" x14ac:dyDescent="0.25">
      <c r="A5357" s="5">
        <v>29713</v>
      </c>
      <c r="B5357">
        <v>131.669998168945</v>
      </c>
    </row>
    <row r="5358" spans="1:2" x14ac:dyDescent="0.25">
      <c r="A5358" s="5">
        <v>29714</v>
      </c>
      <c r="B5358">
        <v>131.66000366210901</v>
      </c>
    </row>
    <row r="5359" spans="1:2" x14ac:dyDescent="0.25">
      <c r="A5359" s="5">
        <v>29717</v>
      </c>
      <c r="B5359">
        <v>129.71000671386699</v>
      </c>
    </row>
    <row r="5360" spans="1:2" x14ac:dyDescent="0.25">
      <c r="A5360" s="5">
        <v>29718</v>
      </c>
      <c r="B5360">
        <v>130.72000122070301</v>
      </c>
    </row>
    <row r="5361" spans="1:2" x14ac:dyDescent="0.25">
      <c r="A5361" s="5">
        <v>29719</v>
      </c>
      <c r="B5361">
        <v>130.55000305175801</v>
      </c>
    </row>
    <row r="5362" spans="1:2" x14ac:dyDescent="0.25">
      <c r="A5362" s="5">
        <v>29720</v>
      </c>
      <c r="B5362">
        <v>131.27999877929699</v>
      </c>
    </row>
    <row r="5363" spans="1:2" x14ac:dyDescent="0.25">
      <c r="A5363" s="5">
        <v>29721</v>
      </c>
      <c r="B5363">
        <v>132.169998168945</v>
      </c>
    </row>
    <row r="5364" spans="1:2" x14ac:dyDescent="0.25">
      <c r="A5364" s="5">
        <v>29724</v>
      </c>
      <c r="B5364">
        <v>132.53999328613301</v>
      </c>
    </row>
    <row r="5365" spans="1:2" x14ac:dyDescent="0.25">
      <c r="A5365" s="5">
        <v>29725</v>
      </c>
      <c r="B5365">
        <v>132.08999633789099</v>
      </c>
    </row>
    <row r="5366" spans="1:2" x14ac:dyDescent="0.25">
      <c r="A5366" s="5">
        <v>29726</v>
      </c>
      <c r="B5366">
        <v>132</v>
      </c>
    </row>
    <row r="5367" spans="1:2" x14ac:dyDescent="0.25">
      <c r="A5367" s="5">
        <v>29727</v>
      </c>
      <c r="B5367">
        <v>131.75</v>
      </c>
    </row>
    <row r="5368" spans="1:2" x14ac:dyDescent="0.25">
      <c r="A5368" s="5">
        <v>29728</v>
      </c>
      <c r="B5368">
        <v>131.330001831055</v>
      </c>
    </row>
    <row r="5369" spans="1:2" x14ac:dyDescent="0.25">
      <c r="A5369" s="5">
        <v>29732</v>
      </c>
      <c r="B5369">
        <v>132.77000427246099</v>
      </c>
    </row>
    <row r="5370" spans="1:2" x14ac:dyDescent="0.25">
      <c r="A5370" s="5">
        <v>29733</v>
      </c>
      <c r="B5370">
        <v>133.77000427246099</v>
      </c>
    </row>
    <row r="5371" spans="1:2" x14ac:dyDescent="0.25">
      <c r="A5371" s="5">
        <v>29734</v>
      </c>
      <c r="B5371">
        <v>133.44999694824199</v>
      </c>
    </row>
    <row r="5372" spans="1:2" x14ac:dyDescent="0.25">
      <c r="A5372" s="5">
        <v>29735</v>
      </c>
      <c r="B5372">
        <v>132.58999633789099</v>
      </c>
    </row>
    <row r="5373" spans="1:2" x14ac:dyDescent="0.25">
      <c r="A5373" s="5">
        <v>29738</v>
      </c>
      <c r="B5373">
        <v>132.41000366210901</v>
      </c>
    </row>
    <row r="5374" spans="1:2" x14ac:dyDescent="0.25">
      <c r="A5374" s="5">
        <v>29739</v>
      </c>
      <c r="B5374">
        <v>130.61999511718801</v>
      </c>
    </row>
    <row r="5375" spans="1:2" x14ac:dyDescent="0.25">
      <c r="A5375" s="5">
        <v>29740</v>
      </c>
      <c r="B5375">
        <v>130.71000671386699</v>
      </c>
    </row>
    <row r="5376" spans="1:2" x14ac:dyDescent="0.25">
      <c r="A5376" s="5">
        <v>29741</v>
      </c>
      <c r="B5376">
        <v>130.96000671386699</v>
      </c>
    </row>
    <row r="5377" spans="1:2" x14ac:dyDescent="0.25">
      <c r="A5377" s="5">
        <v>29742</v>
      </c>
      <c r="B5377">
        <v>132.22000122070301</v>
      </c>
    </row>
    <row r="5378" spans="1:2" x14ac:dyDescent="0.25">
      <c r="A5378" s="5">
        <v>29745</v>
      </c>
      <c r="B5378">
        <v>132.24000549316401</v>
      </c>
    </row>
    <row r="5379" spans="1:2" x14ac:dyDescent="0.25">
      <c r="A5379" s="5">
        <v>29746</v>
      </c>
      <c r="B5379">
        <v>131.97000122070301</v>
      </c>
    </row>
    <row r="5380" spans="1:2" x14ac:dyDescent="0.25">
      <c r="A5380" s="5">
        <v>29747</v>
      </c>
      <c r="B5380">
        <v>132.32000732421901</v>
      </c>
    </row>
    <row r="5381" spans="1:2" x14ac:dyDescent="0.25">
      <c r="A5381" s="5">
        <v>29748</v>
      </c>
      <c r="B5381">
        <v>133.75</v>
      </c>
    </row>
    <row r="5382" spans="1:2" x14ac:dyDescent="0.25">
      <c r="A5382" s="5">
        <v>29749</v>
      </c>
      <c r="B5382">
        <v>133.49000549316401</v>
      </c>
    </row>
    <row r="5383" spans="1:2" x14ac:dyDescent="0.25">
      <c r="A5383" s="5">
        <v>29752</v>
      </c>
      <c r="B5383">
        <v>133.61000061035199</v>
      </c>
    </row>
    <row r="5384" spans="1:2" x14ac:dyDescent="0.25">
      <c r="A5384" s="5">
        <v>29753</v>
      </c>
      <c r="B5384">
        <v>132.14999389648401</v>
      </c>
    </row>
    <row r="5385" spans="1:2" x14ac:dyDescent="0.25">
      <c r="A5385" s="5">
        <v>29754</v>
      </c>
      <c r="B5385">
        <v>133.32000732421901</v>
      </c>
    </row>
    <row r="5386" spans="1:2" x14ac:dyDescent="0.25">
      <c r="A5386" s="5">
        <v>29755</v>
      </c>
      <c r="B5386">
        <v>131.63999938964801</v>
      </c>
    </row>
    <row r="5387" spans="1:2" x14ac:dyDescent="0.25">
      <c r="A5387" s="5">
        <v>29756</v>
      </c>
      <c r="B5387">
        <v>132.27000427246099</v>
      </c>
    </row>
    <row r="5388" spans="1:2" x14ac:dyDescent="0.25">
      <c r="A5388" s="5">
        <v>29759</v>
      </c>
      <c r="B5388">
        <v>131.94999694824199</v>
      </c>
    </row>
    <row r="5389" spans="1:2" x14ac:dyDescent="0.25">
      <c r="A5389" s="5">
        <v>29760</v>
      </c>
      <c r="B5389">
        <v>133.35000610351599</v>
      </c>
    </row>
    <row r="5390" spans="1:2" x14ac:dyDescent="0.25">
      <c r="A5390" s="5">
        <v>29761</v>
      </c>
      <c r="B5390">
        <v>132.66000366210901</v>
      </c>
    </row>
    <row r="5391" spans="1:2" x14ac:dyDescent="0.25">
      <c r="A5391" s="5">
        <v>29762</v>
      </c>
      <c r="B5391">
        <v>132.80999755859401</v>
      </c>
    </row>
    <row r="5392" spans="1:2" x14ac:dyDescent="0.25">
      <c r="A5392" s="5">
        <v>29763</v>
      </c>
      <c r="B5392">
        <v>132.55999755859401</v>
      </c>
    </row>
    <row r="5393" spans="1:2" x14ac:dyDescent="0.25">
      <c r="A5393" s="5">
        <v>29766</v>
      </c>
      <c r="B5393">
        <v>131.88999938964801</v>
      </c>
    </row>
    <row r="5394" spans="1:2" x14ac:dyDescent="0.25">
      <c r="A5394" s="5">
        <v>29767</v>
      </c>
      <c r="B5394">
        <v>131.21000671386699</v>
      </c>
    </row>
    <row r="5395" spans="1:2" x14ac:dyDescent="0.25">
      <c r="A5395" s="5">
        <v>29768</v>
      </c>
      <c r="B5395">
        <v>129.77000427246099</v>
      </c>
    </row>
    <row r="5396" spans="1:2" x14ac:dyDescent="0.25">
      <c r="A5396" s="5">
        <v>29769</v>
      </c>
      <c r="B5396">
        <v>128.63999938964801</v>
      </c>
    </row>
    <row r="5397" spans="1:2" x14ac:dyDescent="0.25">
      <c r="A5397" s="5">
        <v>29773</v>
      </c>
      <c r="B5397">
        <v>127.370002746582</v>
      </c>
    </row>
    <row r="5398" spans="1:2" x14ac:dyDescent="0.25">
      <c r="A5398" s="5">
        <v>29774</v>
      </c>
      <c r="B5398">
        <v>128.24000549316401</v>
      </c>
    </row>
    <row r="5399" spans="1:2" x14ac:dyDescent="0.25">
      <c r="A5399" s="5">
        <v>29775</v>
      </c>
      <c r="B5399">
        <v>128.32000732421901</v>
      </c>
    </row>
    <row r="5400" spans="1:2" x14ac:dyDescent="0.25">
      <c r="A5400" s="5">
        <v>29776</v>
      </c>
      <c r="B5400">
        <v>129.30000305175801</v>
      </c>
    </row>
    <row r="5401" spans="1:2" x14ac:dyDescent="0.25">
      <c r="A5401" s="5">
        <v>29777</v>
      </c>
      <c r="B5401">
        <v>129.36999511718801</v>
      </c>
    </row>
    <row r="5402" spans="1:2" x14ac:dyDescent="0.25">
      <c r="A5402" s="5">
        <v>29780</v>
      </c>
      <c r="B5402">
        <v>129.63999938964801</v>
      </c>
    </row>
    <row r="5403" spans="1:2" x14ac:dyDescent="0.25">
      <c r="A5403" s="5">
        <v>29781</v>
      </c>
      <c r="B5403">
        <v>129.64999389648401</v>
      </c>
    </row>
    <row r="5404" spans="1:2" x14ac:dyDescent="0.25">
      <c r="A5404" s="5">
        <v>29782</v>
      </c>
      <c r="B5404">
        <v>130.22999572753901</v>
      </c>
    </row>
    <row r="5405" spans="1:2" x14ac:dyDescent="0.25">
      <c r="A5405" s="5">
        <v>29783</v>
      </c>
      <c r="B5405">
        <v>130.33999633789099</v>
      </c>
    </row>
    <row r="5406" spans="1:2" x14ac:dyDescent="0.25">
      <c r="A5406" s="5">
        <v>29784</v>
      </c>
      <c r="B5406">
        <v>130.75999450683599</v>
      </c>
    </row>
    <row r="5407" spans="1:2" x14ac:dyDescent="0.25">
      <c r="A5407" s="5">
        <v>29787</v>
      </c>
      <c r="B5407">
        <v>128.72000122070301</v>
      </c>
    </row>
    <row r="5408" spans="1:2" x14ac:dyDescent="0.25">
      <c r="A5408" s="5">
        <v>29788</v>
      </c>
      <c r="B5408">
        <v>128.33999633789099</v>
      </c>
    </row>
    <row r="5409" spans="1:2" x14ac:dyDescent="0.25">
      <c r="A5409" s="5">
        <v>29789</v>
      </c>
      <c r="B5409">
        <v>127.129997253418</v>
      </c>
    </row>
    <row r="5410" spans="1:2" x14ac:dyDescent="0.25">
      <c r="A5410" s="5">
        <v>29790</v>
      </c>
      <c r="B5410">
        <v>127.40000152587901</v>
      </c>
    </row>
    <row r="5411" spans="1:2" x14ac:dyDescent="0.25">
      <c r="A5411" s="5">
        <v>29791</v>
      </c>
      <c r="B5411">
        <v>128.46000671386699</v>
      </c>
    </row>
    <row r="5412" spans="1:2" x14ac:dyDescent="0.25">
      <c r="A5412" s="5">
        <v>29794</v>
      </c>
      <c r="B5412">
        <v>129.89999389648401</v>
      </c>
    </row>
    <row r="5413" spans="1:2" x14ac:dyDescent="0.25">
      <c r="A5413" s="5">
        <v>29795</v>
      </c>
      <c r="B5413">
        <v>129.13999938964801</v>
      </c>
    </row>
    <row r="5414" spans="1:2" x14ac:dyDescent="0.25">
      <c r="A5414" s="5">
        <v>29796</v>
      </c>
      <c r="B5414">
        <v>129.16000366210901</v>
      </c>
    </row>
    <row r="5415" spans="1:2" x14ac:dyDescent="0.25">
      <c r="A5415" s="5">
        <v>29797</v>
      </c>
      <c r="B5415">
        <v>130.00999450683599</v>
      </c>
    </row>
    <row r="5416" spans="1:2" x14ac:dyDescent="0.25">
      <c r="A5416" s="5">
        <v>29798</v>
      </c>
      <c r="B5416">
        <v>130.919998168945</v>
      </c>
    </row>
    <row r="5417" spans="1:2" x14ac:dyDescent="0.25">
      <c r="A5417" s="5">
        <v>29801</v>
      </c>
      <c r="B5417">
        <v>130.47999572753901</v>
      </c>
    </row>
    <row r="5418" spans="1:2" x14ac:dyDescent="0.25">
      <c r="A5418" s="5">
        <v>29802</v>
      </c>
      <c r="B5418">
        <v>131.17999267578099</v>
      </c>
    </row>
    <row r="5419" spans="1:2" x14ac:dyDescent="0.25">
      <c r="A5419" s="5">
        <v>29803</v>
      </c>
      <c r="B5419">
        <v>132.669998168945</v>
      </c>
    </row>
    <row r="5420" spans="1:2" x14ac:dyDescent="0.25">
      <c r="A5420" s="5">
        <v>29804</v>
      </c>
      <c r="B5420">
        <v>132.63999938964801</v>
      </c>
    </row>
    <row r="5421" spans="1:2" x14ac:dyDescent="0.25">
      <c r="A5421" s="5">
        <v>29805</v>
      </c>
      <c r="B5421">
        <v>131.75</v>
      </c>
    </row>
    <row r="5422" spans="1:2" x14ac:dyDescent="0.25">
      <c r="A5422" s="5">
        <v>29808</v>
      </c>
      <c r="B5422">
        <v>132.53999328613301</v>
      </c>
    </row>
    <row r="5423" spans="1:2" x14ac:dyDescent="0.25">
      <c r="A5423" s="5">
        <v>29809</v>
      </c>
      <c r="B5423">
        <v>133.85000610351599</v>
      </c>
    </row>
    <row r="5424" spans="1:2" x14ac:dyDescent="0.25">
      <c r="A5424" s="5">
        <v>29810</v>
      </c>
      <c r="B5424">
        <v>133.39999389648401</v>
      </c>
    </row>
    <row r="5425" spans="1:2" x14ac:dyDescent="0.25">
      <c r="A5425" s="5">
        <v>29811</v>
      </c>
      <c r="B5425">
        <v>133.50999450683599</v>
      </c>
    </row>
    <row r="5426" spans="1:2" x14ac:dyDescent="0.25">
      <c r="A5426" s="5">
        <v>29812</v>
      </c>
      <c r="B5426">
        <v>132.49000549316401</v>
      </c>
    </row>
    <row r="5427" spans="1:2" x14ac:dyDescent="0.25">
      <c r="A5427" s="5">
        <v>29815</v>
      </c>
      <c r="B5427">
        <v>131.22000122070301</v>
      </c>
    </row>
    <row r="5428" spans="1:2" x14ac:dyDescent="0.25">
      <c r="A5428" s="5">
        <v>29816</v>
      </c>
      <c r="B5428">
        <v>130.11000061035199</v>
      </c>
    </row>
    <row r="5429" spans="1:2" x14ac:dyDescent="0.25">
      <c r="A5429" s="5">
        <v>29817</v>
      </c>
      <c r="B5429">
        <v>130.49000549316401</v>
      </c>
    </row>
    <row r="5430" spans="1:2" x14ac:dyDescent="0.25">
      <c r="A5430" s="5">
        <v>29818</v>
      </c>
      <c r="B5430">
        <v>130.69000244140599</v>
      </c>
    </row>
    <row r="5431" spans="1:2" x14ac:dyDescent="0.25">
      <c r="A5431" s="5">
        <v>29819</v>
      </c>
      <c r="B5431">
        <v>129.22999572753901</v>
      </c>
    </row>
    <row r="5432" spans="1:2" x14ac:dyDescent="0.25">
      <c r="A5432" s="5">
        <v>29822</v>
      </c>
      <c r="B5432">
        <v>125.5</v>
      </c>
    </row>
    <row r="5433" spans="1:2" x14ac:dyDescent="0.25">
      <c r="A5433" s="5">
        <v>29823</v>
      </c>
      <c r="B5433">
        <v>125.129997253418</v>
      </c>
    </row>
    <row r="5434" spans="1:2" x14ac:dyDescent="0.25">
      <c r="A5434" s="5">
        <v>29824</v>
      </c>
      <c r="B5434">
        <v>124.959999084473</v>
      </c>
    </row>
    <row r="5435" spans="1:2" x14ac:dyDescent="0.25">
      <c r="A5435" s="5">
        <v>29825</v>
      </c>
      <c r="B5435">
        <v>123.51000213623</v>
      </c>
    </row>
    <row r="5436" spans="1:2" x14ac:dyDescent="0.25">
      <c r="A5436" s="5">
        <v>29826</v>
      </c>
      <c r="B5436">
        <v>124.080001831055</v>
      </c>
    </row>
    <row r="5437" spans="1:2" x14ac:dyDescent="0.25">
      <c r="A5437" s="5">
        <v>29829</v>
      </c>
      <c r="B5437">
        <v>122.790000915527</v>
      </c>
    </row>
    <row r="5438" spans="1:2" x14ac:dyDescent="0.25">
      <c r="A5438" s="5">
        <v>29830</v>
      </c>
      <c r="B5438">
        <v>123.01999664306599</v>
      </c>
    </row>
    <row r="5439" spans="1:2" x14ac:dyDescent="0.25">
      <c r="A5439" s="5">
        <v>29831</v>
      </c>
      <c r="B5439">
        <v>123.48999786377</v>
      </c>
    </row>
    <row r="5440" spans="1:2" x14ac:dyDescent="0.25">
      <c r="A5440" s="5">
        <v>29832</v>
      </c>
      <c r="B5440">
        <v>121.23999786377</v>
      </c>
    </row>
    <row r="5441" spans="1:2" x14ac:dyDescent="0.25">
      <c r="A5441" s="5">
        <v>29833</v>
      </c>
      <c r="B5441">
        <v>120.06999969482401</v>
      </c>
    </row>
    <row r="5442" spans="1:2" x14ac:dyDescent="0.25">
      <c r="A5442" s="5">
        <v>29837</v>
      </c>
      <c r="B5442">
        <v>117.98000335693401</v>
      </c>
    </row>
    <row r="5443" spans="1:2" x14ac:dyDescent="0.25">
      <c r="A5443" s="5">
        <v>29838</v>
      </c>
      <c r="B5443">
        <v>118.40000152587901</v>
      </c>
    </row>
    <row r="5444" spans="1:2" x14ac:dyDescent="0.25">
      <c r="A5444" s="5">
        <v>29839</v>
      </c>
      <c r="B5444">
        <v>120.139999389648</v>
      </c>
    </row>
    <row r="5445" spans="1:2" x14ac:dyDescent="0.25">
      <c r="A5445" s="5">
        <v>29840</v>
      </c>
      <c r="B5445">
        <v>121.610000610352</v>
      </c>
    </row>
    <row r="5446" spans="1:2" x14ac:dyDescent="0.25">
      <c r="A5446" s="5">
        <v>29843</v>
      </c>
      <c r="B5446">
        <v>120.66000366210901</v>
      </c>
    </row>
    <row r="5447" spans="1:2" x14ac:dyDescent="0.25">
      <c r="A5447" s="5">
        <v>29844</v>
      </c>
      <c r="B5447">
        <v>119.76999664306599</v>
      </c>
    </row>
    <row r="5448" spans="1:2" x14ac:dyDescent="0.25">
      <c r="A5448" s="5">
        <v>29845</v>
      </c>
      <c r="B5448">
        <v>118.870002746582</v>
      </c>
    </row>
    <row r="5449" spans="1:2" x14ac:dyDescent="0.25">
      <c r="A5449" s="5">
        <v>29846</v>
      </c>
      <c r="B5449">
        <v>117.15000152587901</v>
      </c>
    </row>
    <row r="5450" spans="1:2" x14ac:dyDescent="0.25">
      <c r="A5450" s="5">
        <v>29847</v>
      </c>
      <c r="B5450">
        <v>116.26000213623</v>
      </c>
    </row>
    <row r="5451" spans="1:2" x14ac:dyDescent="0.25">
      <c r="A5451" s="5">
        <v>29850</v>
      </c>
      <c r="B5451">
        <v>117.23999786377</v>
      </c>
    </row>
    <row r="5452" spans="1:2" x14ac:dyDescent="0.25">
      <c r="A5452" s="5">
        <v>29851</v>
      </c>
      <c r="B5452">
        <v>116.68000030517599</v>
      </c>
    </row>
    <row r="5453" spans="1:2" x14ac:dyDescent="0.25">
      <c r="A5453" s="5">
        <v>29852</v>
      </c>
      <c r="B5453">
        <v>115.65000152587901</v>
      </c>
    </row>
    <row r="5454" spans="1:2" x14ac:dyDescent="0.25">
      <c r="A5454" s="5">
        <v>29853</v>
      </c>
      <c r="B5454">
        <v>115.01000213623</v>
      </c>
    </row>
    <row r="5455" spans="1:2" x14ac:dyDescent="0.25">
      <c r="A5455" s="5">
        <v>29854</v>
      </c>
      <c r="B5455">
        <v>112.76999664306599</v>
      </c>
    </row>
    <row r="5456" spans="1:2" x14ac:dyDescent="0.25">
      <c r="A5456" s="5">
        <v>29857</v>
      </c>
      <c r="B5456">
        <v>115.529998779297</v>
      </c>
    </row>
    <row r="5457" spans="1:2" x14ac:dyDescent="0.25">
      <c r="A5457" s="5">
        <v>29858</v>
      </c>
      <c r="B5457">
        <v>115.94000244140599</v>
      </c>
    </row>
    <row r="5458" spans="1:2" x14ac:dyDescent="0.25">
      <c r="A5458" s="5">
        <v>29859</v>
      </c>
      <c r="B5458">
        <v>116.18000030517599</v>
      </c>
    </row>
    <row r="5459" spans="1:2" x14ac:dyDescent="0.25">
      <c r="A5459" s="5">
        <v>29860</v>
      </c>
      <c r="B5459">
        <v>117.080001831055</v>
      </c>
    </row>
    <row r="5460" spans="1:2" x14ac:dyDescent="0.25">
      <c r="A5460" s="5">
        <v>29861</v>
      </c>
      <c r="B5460">
        <v>119.360000610352</v>
      </c>
    </row>
    <row r="5461" spans="1:2" x14ac:dyDescent="0.25">
      <c r="A5461" s="5">
        <v>29864</v>
      </c>
      <c r="B5461">
        <v>119.51000213623</v>
      </c>
    </row>
    <row r="5462" spans="1:2" x14ac:dyDescent="0.25">
      <c r="A5462" s="5">
        <v>29865</v>
      </c>
      <c r="B5462">
        <v>119.389999389648</v>
      </c>
    </row>
    <row r="5463" spans="1:2" x14ac:dyDescent="0.25">
      <c r="A5463" s="5">
        <v>29866</v>
      </c>
      <c r="B5463">
        <v>121.30999755859401</v>
      </c>
    </row>
    <row r="5464" spans="1:2" x14ac:dyDescent="0.25">
      <c r="A5464" s="5">
        <v>29867</v>
      </c>
      <c r="B5464">
        <v>122.30999755859401</v>
      </c>
    </row>
    <row r="5465" spans="1:2" x14ac:dyDescent="0.25">
      <c r="A5465" s="5">
        <v>29868</v>
      </c>
      <c r="B5465">
        <v>121.449996948242</v>
      </c>
    </row>
    <row r="5466" spans="1:2" x14ac:dyDescent="0.25">
      <c r="A5466" s="5">
        <v>29871</v>
      </c>
      <c r="B5466">
        <v>121.209999084473</v>
      </c>
    </row>
    <row r="5467" spans="1:2" x14ac:dyDescent="0.25">
      <c r="A5467" s="5">
        <v>29872</v>
      </c>
      <c r="B5467">
        <v>120.779998779297</v>
      </c>
    </row>
    <row r="5468" spans="1:2" x14ac:dyDescent="0.25">
      <c r="A5468" s="5">
        <v>29873</v>
      </c>
      <c r="B5468">
        <v>118.800003051758</v>
      </c>
    </row>
    <row r="5469" spans="1:2" x14ac:dyDescent="0.25">
      <c r="A5469" s="5">
        <v>29874</v>
      </c>
      <c r="B5469">
        <v>119.709999084473</v>
      </c>
    </row>
    <row r="5470" spans="1:2" x14ac:dyDescent="0.25">
      <c r="A5470" s="5">
        <v>29875</v>
      </c>
      <c r="B5470">
        <v>119.19000244140599</v>
      </c>
    </row>
    <row r="5471" spans="1:2" x14ac:dyDescent="0.25">
      <c r="A5471" s="5">
        <v>29878</v>
      </c>
      <c r="B5471">
        <v>118.98000335693401</v>
      </c>
    </row>
    <row r="5472" spans="1:2" x14ac:dyDescent="0.25">
      <c r="A5472" s="5">
        <v>29879</v>
      </c>
      <c r="B5472">
        <v>120.279998779297</v>
      </c>
    </row>
    <row r="5473" spans="1:2" x14ac:dyDescent="0.25">
      <c r="A5473" s="5">
        <v>29880</v>
      </c>
      <c r="B5473">
        <v>120.09999847412099</v>
      </c>
    </row>
    <row r="5474" spans="1:2" x14ac:dyDescent="0.25">
      <c r="A5474" s="5">
        <v>29881</v>
      </c>
      <c r="B5474">
        <v>119.639999389648</v>
      </c>
    </row>
    <row r="5475" spans="1:2" x14ac:dyDescent="0.25">
      <c r="A5475" s="5">
        <v>29882</v>
      </c>
      <c r="B5475">
        <v>118.59999847412099</v>
      </c>
    </row>
    <row r="5476" spans="1:2" x14ac:dyDescent="0.25">
      <c r="A5476" s="5">
        <v>29885</v>
      </c>
      <c r="B5476">
        <v>118.16000366210901</v>
      </c>
    </row>
    <row r="5477" spans="1:2" x14ac:dyDescent="0.25">
      <c r="A5477" s="5">
        <v>29886</v>
      </c>
      <c r="B5477">
        <v>119.290000915527</v>
      </c>
    </row>
    <row r="5478" spans="1:2" x14ac:dyDescent="0.25">
      <c r="A5478" s="5">
        <v>29887</v>
      </c>
      <c r="B5478">
        <v>119.449996948242</v>
      </c>
    </row>
    <row r="5479" spans="1:2" x14ac:dyDescent="0.25">
      <c r="A5479" s="5">
        <v>29888</v>
      </c>
      <c r="B5479">
        <v>119.05999755859401</v>
      </c>
    </row>
    <row r="5480" spans="1:2" x14ac:dyDescent="0.25">
      <c r="A5480" s="5">
        <v>29889</v>
      </c>
      <c r="B5480">
        <v>121.889999389648</v>
      </c>
    </row>
    <row r="5481" spans="1:2" x14ac:dyDescent="0.25">
      <c r="A5481" s="5">
        <v>29892</v>
      </c>
      <c r="B5481">
        <v>124.199996948242</v>
      </c>
    </row>
    <row r="5482" spans="1:2" x14ac:dyDescent="0.25">
      <c r="A5482" s="5">
        <v>29893</v>
      </c>
      <c r="B5482">
        <v>124.800003051758</v>
      </c>
    </row>
    <row r="5483" spans="1:2" x14ac:dyDescent="0.25">
      <c r="A5483" s="5">
        <v>29894</v>
      </c>
      <c r="B5483">
        <v>124.73999786377</v>
      </c>
    </row>
    <row r="5484" spans="1:2" x14ac:dyDescent="0.25">
      <c r="A5484" s="5">
        <v>29895</v>
      </c>
      <c r="B5484">
        <v>123.540000915527</v>
      </c>
    </row>
    <row r="5485" spans="1:2" x14ac:dyDescent="0.25">
      <c r="A5485" s="5">
        <v>29896</v>
      </c>
      <c r="B5485">
        <v>122.669998168945</v>
      </c>
    </row>
    <row r="5486" spans="1:2" x14ac:dyDescent="0.25">
      <c r="A5486" s="5">
        <v>29899</v>
      </c>
      <c r="B5486">
        <v>123.290000915527</v>
      </c>
    </row>
    <row r="5487" spans="1:2" x14ac:dyDescent="0.25">
      <c r="A5487" s="5">
        <v>29900</v>
      </c>
      <c r="B5487">
        <v>122.699996948242</v>
      </c>
    </row>
    <row r="5488" spans="1:2" x14ac:dyDescent="0.25">
      <c r="A5488" s="5">
        <v>29901</v>
      </c>
      <c r="B5488">
        <v>122.919998168945</v>
      </c>
    </row>
    <row r="5489" spans="1:2" x14ac:dyDescent="0.25">
      <c r="A5489" s="5">
        <v>29902</v>
      </c>
      <c r="B5489">
        <v>123.19000244140599</v>
      </c>
    </row>
    <row r="5490" spans="1:2" x14ac:dyDescent="0.25">
      <c r="A5490" s="5">
        <v>29903</v>
      </c>
      <c r="B5490">
        <v>121.669998168945</v>
      </c>
    </row>
    <row r="5491" spans="1:2" x14ac:dyDescent="0.25">
      <c r="A5491" s="5">
        <v>29906</v>
      </c>
      <c r="B5491">
        <v>120.23999786377</v>
      </c>
    </row>
    <row r="5492" spans="1:2" x14ac:dyDescent="0.25">
      <c r="A5492" s="5">
        <v>29907</v>
      </c>
      <c r="B5492">
        <v>121.15000152587901</v>
      </c>
    </row>
    <row r="5493" spans="1:2" x14ac:dyDescent="0.25">
      <c r="A5493" s="5">
        <v>29908</v>
      </c>
      <c r="B5493">
        <v>120.26000213623</v>
      </c>
    </row>
    <row r="5494" spans="1:2" x14ac:dyDescent="0.25">
      <c r="A5494" s="5">
        <v>29909</v>
      </c>
      <c r="B5494">
        <v>120.709999084473</v>
      </c>
    </row>
    <row r="5495" spans="1:2" x14ac:dyDescent="0.25">
      <c r="A5495" s="5">
        <v>29910</v>
      </c>
      <c r="B5495">
        <v>121.709999084473</v>
      </c>
    </row>
    <row r="5496" spans="1:2" x14ac:dyDescent="0.25">
      <c r="A5496" s="5">
        <v>29913</v>
      </c>
      <c r="B5496">
        <v>121.59999847412099</v>
      </c>
    </row>
    <row r="5497" spans="1:2" x14ac:dyDescent="0.25">
      <c r="A5497" s="5">
        <v>29914</v>
      </c>
      <c r="B5497">
        <v>123.51000213623</v>
      </c>
    </row>
    <row r="5498" spans="1:2" x14ac:dyDescent="0.25">
      <c r="A5498" s="5">
        <v>29915</v>
      </c>
      <c r="B5498">
        <v>124.050003051758</v>
      </c>
    </row>
    <row r="5499" spans="1:2" x14ac:dyDescent="0.25">
      <c r="A5499" s="5">
        <v>29917</v>
      </c>
      <c r="B5499">
        <v>125.08999633789099</v>
      </c>
    </row>
    <row r="5500" spans="1:2" x14ac:dyDescent="0.25">
      <c r="A5500" s="5">
        <v>29920</v>
      </c>
      <c r="B5500">
        <v>126.34999847412099</v>
      </c>
    </row>
    <row r="5501" spans="1:2" x14ac:dyDescent="0.25">
      <c r="A5501" s="5">
        <v>29921</v>
      </c>
      <c r="B5501">
        <v>126.09999847412099</v>
      </c>
    </row>
    <row r="5502" spans="1:2" x14ac:dyDescent="0.25">
      <c r="A5502" s="5">
        <v>29922</v>
      </c>
      <c r="B5502">
        <v>124.69000244140599</v>
      </c>
    </row>
    <row r="5503" spans="1:2" x14ac:dyDescent="0.25">
      <c r="A5503" s="5">
        <v>29923</v>
      </c>
      <c r="B5503">
        <v>125.120002746582</v>
      </c>
    </row>
    <row r="5504" spans="1:2" x14ac:dyDescent="0.25">
      <c r="A5504" s="5">
        <v>29924</v>
      </c>
      <c r="B5504">
        <v>126.26000213623</v>
      </c>
    </row>
    <row r="5505" spans="1:2" x14ac:dyDescent="0.25">
      <c r="A5505" s="5">
        <v>29927</v>
      </c>
      <c r="B5505">
        <v>125.19000244140599</v>
      </c>
    </row>
    <row r="5506" spans="1:2" x14ac:dyDescent="0.25">
      <c r="A5506" s="5">
        <v>29928</v>
      </c>
      <c r="B5506">
        <v>124.81999969482401</v>
      </c>
    </row>
    <row r="5507" spans="1:2" x14ac:dyDescent="0.25">
      <c r="A5507" s="5">
        <v>29929</v>
      </c>
      <c r="B5507">
        <v>125.48000335693401</v>
      </c>
    </row>
    <row r="5508" spans="1:2" x14ac:dyDescent="0.25">
      <c r="A5508" s="5">
        <v>29930</v>
      </c>
      <c r="B5508">
        <v>125.709999084473</v>
      </c>
    </row>
    <row r="5509" spans="1:2" x14ac:dyDescent="0.25">
      <c r="A5509" s="5">
        <v>29931</v>
      </c>
      <c r="B5509">
        <v>124.93000030517599</v>
      </c>
    </row>
    <row r="5510" spans="1:2" x14ac:dyDescent="0.25">
      <c r="A5510" s="5">
        <v>29934</v>
      </c>
      <c r="B5510">
        <v>122.779998779297</v>
      </c>
    </row>
    <row r="5511" spans="1:2" x14ac:dyDescent="0.25">
      <c r="A5511" s="5">
        <v>29935</v>
      </c>
      <c r="B5511">
        <v>122.98999786377</v>
      </c>
    </row>
    <row r="5512" spans="1:2" x14ac:dyDescent="0.25">
      <c r="A5512" s="5">
        <v>29936</v>
      </c>
      <c r="B5512">
        <v>122.419998168945</v>
      </c>
    </row>
    <row r="5513" spans="1:2" x14ac:dyDescent="0.25">
      <c r="A5513" s="5">
        <v>29937</v>
      </c>
      <c r="B5513">
        <v>123.120002746582</v>
      </c>
    </row>
    <row r="5514" spans="1:2" x14ac:dyDescent="0.25">
      <c r="A5514" s="5">
        <v>29938</v>
      </c>
      <c r="B5514">
        <v>124</v>
      </c>
    </row>
    <row r="5515" spans="1:2" x14ac:dyDescent="0.25">
      <c r="A5515" s="5">
        <v>29941</v>
      </c>
      <c r="B5515">
        <v>123.33999633789099</v>
      </c>
    </row>
    <row r="5516" spans="1:2" x14ac:dyDescent="0.25">
      <c r="A5516" s="5">
        <v>29942</v>
      </c>
      <c r="B5516">
        <v>122.879997253418</v>
      </c>
    </row>
    <row r="5517" spans="1:2" x14ac:dyDescent="0.25">
      <c r="A5517" s="5">
        <v>29943</v>
      </c>
      <c r="B5517">
        <v>122.30999755859401</v>
      </c>
    </row>
    <row r="5518" spans="1:2" x14ac:dyDescent="0.25">
      <c r="A5518" s="5">
        <v>29944</v>
      </c>
      <c r="B5518">
        <v>122.540000915527</v>
      </c>
    </row>
    <row r="5519" spans="1:2" x14ac:dyDescent="0.25">
      <c r="A5519" s="5">
        <v>29948</v>
      </c>
      <c r="B5519">
        <v>122.26999664306599</v>
      </c>
    </row>
    <row r="5520" spans="1:2" x14ac:dyDescent="0.25">
      <c r="A5520" s="5">
        <v>29949</v>
      </c>
      <c r="B5520">
        <v>121.669998168945</v>
      </c>
    </row>
    <row r="5521" spans="1:2" x14ac:dyDescent="0.25">
      <c r="A5521" s="5">
        <v>29950</v>
      </c>
      <c r="B5521">
        <v>122.300003051758</v>
      </c>
    </row>
    <row r="5522" spans="1:2" x14ac:dyDescent="0.25">
      <c r="A5522" s="5">
        <v>29951</v>
      </c>
      <c r="B5522">
        <v>122.550003051758</v>
      </c>
    </row>
    <row r="5523" spans="1:2" x14ac:dyDescent="0.25">
      <c r="A5523" s="5">
        <v>29955</v>
      </c>
      <c r="B5523">
        <v>122.73999786377</v>
      </c>
    </row>
    <row r="5524" spans="1:2" x14ac:dyDescent="0.25">
      <c r="A5524" s="5">
        <v>29956</v>
      </c>
      <c r="B5524">
        <v>120.050003051758</v>
      </c>
    </row>
    <row r="5525" spans="1:2" x14ac:dyDescent="0.25">
      <c r="A5525" s="5">
        <v>29957</v>
      </c>
      <c r="B5525">
        <v>119.18000030517599</v>
      </c>
    </row>
    <row r="5526" spans="1:2" x14ac:dyDescent="0.25">
      <c r="A5526" s="5">
        <v>29958</v>
      </c>
      <c r="B5526">
        <v>118.93000030517599</v>
      </c>
    </row>
    <row r="5527" spans="1:2" x14ac:dyDescent="0.25">
      <c r="A5527" s="5">
        <v>29959</v>
      </c>
      <c r="B5527">
        <v>119.550003051758</v>
      </c>
    </row>
    <row r="5528" spans="1:2" x14ac:dyDescent="0.25">
      <c r="A5528" s="5">
        <v>29962</v>
      </c>
      <c r="B5528">
        <v>116.779998779297</v>
      </c>
    </row>
    <row r="5529" spans="1:2" x14ac:dyDescent="0.25">
      <c r="A5529" s="5">
        <v>29963</v>
      </c>
      <c r="B5529">
        <v>116.300003051758</v>
      </c>
    </row>
    <row r="5530" spans="1:2" x14ac:dyDescent="0.25">
      <c r="A5530" s="5">
        <v>29964</v>
      </c>
      <c r="B5530">
        <v>114.879997253418</v>
      </c>
    </row>
    <row r="5531" spans="1:2" x14ac:dyDescent="0.25">
      <c r="A5531" s="5">
        <v>29965</v>
      </c>
      <c r="B5531">
        <v>115.540000915527</v>
      </c>
    </row>
    <row r="5532" spans="1:2" x14ac:dyDescent="0.25">
      <c r="A5532" s="5">
        <v>29966</v>
      </c>
      <c r="B5532">
        <v>116.330001831055</v>
      </c>
    </row>
    <row r="5533" spans="1:2" x14ac:dyDescent="0.25">
      <c r="A5533" s="5">
        <v>29969</v>
      </c>
      <c r="B5533">
        <v>117.220001220703</v>
      </c>
    </row>
    <row r="5534" spans="1:2" x14ac:dyDescent="0.25">
      <c r="A5534" s="5">
        <v>29970</v>
      </c>
      <c r="B5534">
        <v>115.970001220703</v>
      </c>
    </row>
    <row r="5535" spans="1:2" x14ac:dyDescent="0.25">
      <c r="A5535" s="5">
        <v>29971</v>
      </c>
      <c r="B5535">
        <v>115.26999664306599</v>
      </c>
    </row>
    <row r="5536" spans="1:2" x14ac:dyDescent="0.25">
      <c r="A5536" s="5">
        <v>29972</v>
      </c>
      <c r="B5536">
        <v>115.75</v>
      </c>
    </row>
    <row r="5537" spans="1:2" x14ac:dyDescent="0.25">
      <c r="A5537" s="5">
        <v>29973</v>
      </c>
      <c r="B5537">
        <v>115.379997253418</v>
      </c>
    </row>
    <row r="5538" spans="1:2" x14ac:dyDescent="0.25">
      <c r="A5538" s="5">
        <v>29976</v>
      </c>
      <c r="B5538">
        <v>115.41000366210901</v>
      </c>
    </row>
    <row r="5539" spans="1:2" x14ac:dyDescent="0.25">
      <c r="A5539" s="5">
        <v>29977</v>
      </c>
      <c r="B5539">
        <v>115.19000244140599</v>
      </c>
    </row>
    <row r="5540" spans="1:2" x14ac:dyDescent="0.25">
      <c r="A5540" s="5">
        <v>29978</v>
      </c>
      <c r="B5540">
        <v>115.73999786377</v>
      </c>
    </row>
    <row r="5541" spans="1:2" x14ac:dyDescent="0.25">
      <c r="A5541" s="5">
        <v>29979</v>
      </c>
      <c r="B5541">
        <v>118.919998168945</v>
      </c>
    </row>
    <row r="5542" spans="1:2" x14ac:dyDescent="0.25">
      <c r="A5542" s="5">
        <v>29980</v>
      </c>
      <c r="B5542">
        <v>120.40000152587901</v>
      </c>
    </row>
    <row r="5543" spans="1:2" x14ac:dyDescent="0.25">
      <c r="A5543" s="5">
        <v>29983</v>
      </c>
      <c r="B5543">
        <v>117.779998779297</v>
      </c>
    </row>
    <row r="5544" spans="1:2" x14ac:dyDescent="0.25">
      <c r="A5544" s="5">
        <v>29984</v>
      </c>
      <c r="B5544">
        <v>118.01000213623</v>
      </c>
    </row>
    <row r="5545" spans="1:2" x14ac:dyDescent="0.25">
      <c r="A5545" s="5">
        <v>29985</v>
      </c>
      <c r="B5545">
        <v>116.48000335693401</v>
      </c>
    </row>
    <row r="5546" spans="1:2" x14ac:dyDescent="0.25">
      <c r="A5546" s="5">
        <v>29986</v>
      </c>
      <c r="B5546">
        <v>116.419998168945</v>
      </c>
    </row>
    <row r="5547" spans="1:2" x14ac:dyDescent="0.25">
      <c r="A5547" s="5">
        <v>29987</v>
      </c>
      <c r="B5547">
        <v>117.26000213623</v>
      </c>
    </row>
    <row r="5548" spans="1:2" x14ac:dyDescent="0.25">
      <c r="A5548" s="5">
        <v>29990</v>
      </c>
      <c r="B5548">
        <v>114.629997253418</v>
      </c>
    </row>
    <row r="5549" spans="1:2" x14ac:dyDescent="0.25">
      <c r="A5549" s="5">
        <v>29991</v>
      </c>
      <c r="B5549">
        <v>113.68000030517599</v>
      </c>
    </row>
    <row r="5550" spans="1:2" x14ac:dyDescent="0.25">
      <c r="A5550" s="5">
        <v>29992</v>
      </c>
      <c r="B5550">
        <v>114.66000366210901</v>
      </c>
    </row>
    <row r="5551" spans="1:2" x14ac:dyDescent="0.25">
      <c r="A5551" s="5">
        <v>29993</v>
      </c>
      <c r="B5551">
        <v>114.43000030517599</v>
      </c>
    </row>
    <row r="5552" spans="1:2" x14ac:dyDescent="0.25">
      <c r="A5552" s="5">
        <v>29994</v>
      </c>
      <c r="B5552">
        <v>114.379997253418</v>
      </c>
    </row>
    <row r="5553" spans="1:2" x14ac:dyDescent="0.25">
      <c r="A5553" s="5">
        <v>29998</v>
      </c>
      <c r="B5553">
        <v>114.05999755859401</v>
      </c>
    </row>
    <row r="5554" spans="1:2" x14ac:dyDescent="0.25">
      <c r="A5554" s="5">
        <v>29999</v>
      </c>
      <c r="B5554">
        <v>113.69000244140599</v>
      </c>
    </row>
    <row r="5555" spans="1:2" x14ac:dyDescent="0.25">
      <c r="A5555" s="5">
        <v>30000</v>
      </c>
      <c r="B5555">
        <v>113.81999969482401</v>
      </c>
    </row>
    <row r="5556" spans="1:2" x14ac:dyDescent="0.25">
      <c r="A5556" s="5">
        <v>30001</v>
      </c>
      <c r="B5556">
        <v>113.220001220703</v>
      </c>
    </row>
    <row r="5557" spans="1:2" x14ac:dyDescent="0.25">
      <c r="A5557" s="5">
        <v>30004</v>
      </c>
      <c r="B5557">
        <v>111.58999633789099</v>
      </c>
    </row>
    <row r="5558" spans="1:2" x14ac:dyDescent="0.25">
      <c r="A5558" s="5">
        <v>30005</v>
      </c>
      <c r="B5558">
        <v>111.51000213623</v>
      </c>
    </row>
    <row r="5559" spans="1:2" x14ac:dyDescent="0.25">
      <c r="A5559" s="5">
        <v>30006</v>
      </c>
      <c r="B5559">
        <v>113.470001220703</v>
      </c>
    </row>
    <row r="5560" spans="1:2" x14ac:dyDescent="0.25">
      <c r="A5560" s="5">
        <v>30007</v>
      </c>
      <c r="B5560">
        <v>113.209999084473</v>
      </c>
    </row>
    <row r="5561" spans="1:2" x14ac:dyDescent="0.25">
      <c r="A5561" s="5">
        <v>30008</v>
      </c>
      <c r="B5561">
        <v>113.110000610352</v>
      </c>
    </row>
    <row r="5562" spans="1:2" x14ac:dyDescent="0.25">
      <c r="A5562" s="5">
        <v>30011</v>
      </c>
      <c r="B5562">
        <v>113.30999755859401</v>
      </c>
    </row>
    <row r="5563" spans="1:2" x14ac:dyDescent="0.25">
      <c r="A5563" s="5">
        <v>30012</v>
      </c>
      <c r="B5563">
        <v>112.68000030517599</v>
      </c>
    </row>
    <row r="5564" spans="1:2" x14ac:dyDescent="0.25">
      <c r="A5564" s="5">
        <v>30013</v>
      </c>
      <c r="B5564">
        <v>110.919998168945</v>
      </c>
    </row>
    <row r="5565" spans="1:2" x14ac:dyDescent="0.25">
      <c r="A5565" s="5">
        <v>30014</v>
      </c>
      <c r="B5565">
        <v>109.879997253418</v>
      </c>
    </row>
    <row r="5566" spans="1:2" x14ac:dyDescent="0.25">
      <c r="A5566" s="5">
        <v>30015</v>
      </c>
      <c r="B5566">
        <v>109.33999633789099</v>
      </c>
    </row>
    <row r="5567" spans="1:2" x14ac:dyDescent="0.25">
      <c r="A5567" s="5">
        <v>30018</v>
      </c>
      <c r="B5567">
        <v>107.33999633789099</v>
      </c>
    </row>
    <row r="5568" spans="1:2" x14ac:dyDescent="0.25">
      <c r="A5568" s="5">
        <v>30019</v>
      </c>
      <c r="B5568">
        <v>108.830001831055</v>
      </c>
    </row>
    <row r="5569" spans="1:2" x14ac:dyDescent="0.25">
      <c r="A5569" s="5">
        <v>30020</v>
      </c>
      <c r="B5569">
        <v>109.41000366210901</v>
      </c>
    </row>
    <row r="5570" spans="1:2" x14ac:dyDescent="0.25">
      <c r="A5570" s="5">
        <v>30021</v>
      </c>
      <c r="B5570">
        <v>109.360000610352</v>
      </c>
    </row>
    <row r="5571" spans="1:2" x14ac:dyDescent="0.25">
      <c r="A5571" s="5">
        <v>30022</v>
      </c>
      <c r="B5571">
        <v>108.610000610352</v>
      </c>
    </row>
    <row r="5572" spans="1:2" x14ac:dyDescent="0.25">
      <c r="A5572" s="5">
        <v>30025</v>
      </c>
      <c r="B5572">
        <v>109.449996948242</v>
      </c>
    </row>
    <row r="5573" spans="1:2" x14ac:dyDescent="0.25">
      <c r="A5573" s="5">
        <v>30026</v>
      </c>
      <c r="B5573">
        <v>109.279998779297</v>
      </c>
    </row>
    <row r="5574" spans="1:2" x14ac:dyDescent="0.25">
      <c r="A5574" s="5">
        <v>30027</v>
      </c>
      <c r="B5574">
        <v>109.080001831055</v>
      </c>
    </row>
    <row r="5575" spans="1:2" x14ac:dyDescent="0.25">
      <c r="A5575" s="5">
        <v>30028</v>
      </c>
      <c r="B5575">
        <v>110.300003051758</v>
      </c>
    </row>
    <row r="5576" spans="1:2" x14ac:dyDescent="0.25">
      <c r="A5576" s="5">
        <v>30029</v>
      </c>
      <c r="B5576">
        <v>110.610000610352</v>
      </c>
    </row>
    <row r="5577" spans="1:2" x14ac:dyDescent="0.25">
      <c r="A5577" s="5">
        <v>30032</v>
      </c>
      <c r="B5577">
        <v>112.76999664306599</v>
      </c>
    </row>
    <row r="5578" spans="1:2" x14ac:dyDescent="0.25">
      <c r="A5578" s="5">
        <v>30033</v>
      </c>
      <c r="B5578">
        <v>113.550003051758</v>
      </c>
    </row>
    <row r="5579" spans="1:2" x14ac:dyDescent="0.25">
      <c r="A5579" s="5">
        <v>30034</v>
      </c>
      <c r="B5579">
        <v>112.970001220703</v>
      </c>
    </row>
    <row r="5580" spans="1:2" x14ac:dyDescent="0.25">
      <c r="A5580" s="5">
        <v>30035</v>
      </c>
      <c r="B5580">
        <v>113.209999084473</v>
      </c>
    </row>
    <row r="5581" spans="1:2" x14ac:dyDescent="0.25">
      <c r="A5581" s="5">
        <v>30036</v>
      </c>
      <c r="B5581">
        <v>111.94000244140599</v>
      </c>
    </row>
    <row r="5582" spans="1:2" x14ac:dyDescent="0.25">
      <c r="A5582" s="5">
        <v>30039</v>
      </c>
      <c r="B5582">
        <v>112.300003051758</v>
      </c>
    </row>
    <row r="5583" spans="1:2" x14ac:dyDescent="0.25">
      <c r="A5583" s="5">
        <v>30040</v>
      </c>
      <c r="B5583">
        <v>112.26999664306599</v>
      </c>
    </row>
    <row r="5584" spans="1:2" x14ac:dyDescent="0.25">
      <c r="A5584" s="5">
        <v>30041</v>
      </c>
      <c r="B5584">
        <v>111.959999084473</v>
      </c>
    </row>
    <row r="5585" spans="1:2" x14ac:dyDescent="0.25">
      <c r="A5585" s="5">
        <v>30042</v>
      </c>
      <c r="B5585">
        <v>113.790000915527</v>
      </c>
    </row>
    <row r="5586" spans="1:2" x14ac:dyDescent="0.25">
      <c r="A5586" s="5">
        <v>30043</v>
      </c>
      <c r="B5586">
        <v>115.120002746582</v>
      </c>
    </row>
    <row r="5587" spans="1:2" x14ac:dyDescent="0.25">
      <c r="A5587" s="5">
        <v>30046</v>
      </c>
      <c r="B5587">
        <v>114.73000335693401</v>
      </c>
    </row>
    <row r="5588" spans="1:2" x14ac:dyDescent="0.25">
      <c r="A5588" s="5">
        <v>30047</v>
      </c>
      <c r="B5588">
        <v>115.360000610352</v>
      </c>
    </row>
    <row r="5589" spans="1:2" x14ac:dyDescent="0.25">
      <c r="A5589" s="5">
        <v>30048</v>
      </c>
      <c r="B5589">
        <v>115.459999084473</v>
      </c>
    </row>
    <row r="5590" spans="1:2" x14ac:dyDescent="0.25">
      <c r="A5590" s="5">
        <v>30049</v>
      </c>
      <c r="B5590">
        <v>116.220001220703</v>
      </c>
    </row>
    <row r="5591" spans="1:2" x14ac:dyDescent="0.25">
      <c r="A5591" s="5">
        <v>30053</v>
      </c>
      <c r="B5591">
        <v>116</v>
      </c>
    </row>
    <row r="5592" spans="1:2" x14ac:dyDescent="0.25">
      <c r="A5592" s="5">
        <v>30054</v>
      </c>
      <c r="B5592">
        <v>115.98999786377</v>
      </c>
    </row>
    <row r="5593" spans="1:2" x14ac:dyDescent="0.25">
      <c r="A5593" s="5">
        <v>30055</v>
      </c>
      <c r="B5593">
        <v>115.830001831055</v>
      </c>
    </row>
    <row r="5594" spans="1:2" x14ac:dyDescent="0.25">
      <c r="A5594" s="5">
        <v>30056</v>
      </c>
      <c r="B5594">
        <v>116.34999847412099</v>
      </c>
    </row>
    <row r="5595" spans="1:2" x14ac:dyDescent="0.25">
      <c r="A5595" s="5">
        <v>30057</v>
      </c>
      <c r="B5595">
        <v>116.80999755859401</v>
      </c>
    </row>
    <row r="5596" spans="1:2" x14ac:dyDescent="0.25">
      <c r="A5596" s="5">
        <v>30060</v>
      </c>
      <c r="B5596">
        <v>116.699996948242</v>
      </c>
    </row>
    <row r="5597" spans="1:2" x14ac:dyDescent="0.25">
      <c r="A5597" s="5">
        <v>30061</v>
      </c>
      <c r="B5597">
        <v>115.44000244140599</v>
      </c>
    </row>
    <row r="5598" spans="1:2" x14ac:dyDescent="0.25">
      <c r="A5598" s="5">
        <v>30062</v>
      </c>
      <c r="B5598">
        <v>115.720001220703</v>
      </c>
    </row>
    <row r="5599" spans="1:2" x14ac:dyDescent="0.25">
      <c r="A5599" s="5">
        <v>30063</v>
      </c>
      <c r="B5599">
        <v>117.19000244140599</v>
      </c>
    </row>
    <row r="5600" spans="1:2" x14ac:dyDescent="0.25">
      <c r="A5600" s="5">
        <v>30064</v>
      </c>
      <c r="B5600">
        <v>118.639999389648</v>
      </c>
    </row>
    <row r="5601" spans="1:2" x14ac:dyDescent="0.25">
      <c r="A5601" s="5">
        <v>30067</v>
      </c>
      <c r="B5601">
        <v>119.26000213623</v>
      </c>
    </row>
    <row r="5602" spans="1:2" x14ac:dyDescent="0.25">
      <c r="A5602" s="5">
        <v>30068</v>
      </c>
      <c r="B5602">
        <v>118</v>
      </c>
    </row>
    <row r="5603" spans="1:2" x14ac:dyDescent="0.25">
      <c r="A5603" s="5">
        <v>30069</v>
      </c>
      <c r="B5603">
        <v>117.26000213623</v>
      </c>
    </row>
    <row r="5604" spans="1:2" x14ac:dyDescent="0.25">
      <c r="A5604" s="5">
        <v>30070</v>
      </c>
      <c r="B5604">
        <v>116.139999389648</v>
      </c>
    </row>
    <row r="5605" spans="1:2" x14ac:dyDescent="0.25">
      <c r="A5605" s="5">
        <v>30071</v>
      </c>
      <c r="B5605">
        <v>116.44000244140599</v>
      </c>
    </row>
    <row r="5606" spans="1:2" x14ac:dyDescent="0.25">
      <c r="A5606" s="5">
        <v>30074</v>
      </c>
      <c r="B5606">
        <v>116.81999969482401</v>
      </c>
    </row>
    <row r="5607" spans="1:2" x14ac:dyDescent="0.25">
      <c r="A5607" s="5">
        <v>30075</v>
      </c>
      <c r="B5607">
        <v>117.459999084473</v>
      </c>
    </row>
    <row r="5608" spans="1:2" x14ac:dyDescent="0.25">
      <c r="A5608" s="5">
        <v>30076</v>
      </c>
      <c r="B5608">
        <v>117.669998168945</v>
      </c>
    </row>
    <row r="5609" spans="1:2" x14ac:dyDescent="0.25">
      <c r="A5609" s="5">
        <v>30077</v>
      </c>
      <c r="B5609">
        <v>118.68000030517599</v>
      </c>
    </row>
    <row r="5610" spans="1:2" x14ac:dyDescent="0.25">
      <c r="A5610" s="5">
        <v>30078</v>
      </c>
      <c r="B5610">
        <v>119.470001220703</v>
      </c>
    </row>
    <row r="5611" spans="1:2" x14ac:dyDescent="0.25">
      <c r="A5611" s="5">
        <v>30081</v>
      </c>
      <c r="B5611">
        <v>118.379997253418</v>
      </c>
    </row>
    <row r="5612" spans="1:2" x14ac:dyDescent="0.25">
      <c r="A5612" s="5">
        <v>30082</v>
      </c>
      <c r="B5612">
        <v>119.419998168945</v>
      </c>
    </row>
    <row r="5613" spans="1:2" x14ac:dyDescent="0.25">
      <c r="A5613" s="5">
        <v>30083</v>
      </c>
      <c r="B5613">
        <v>119.169998168945</v>
      </c>
    </row>
    <row r="5614" spans="1:2" x14ac:dyDescent="0.25">
      <c r="A5614" s="5">
        <v>30084</v>
      </c>
      <c r="B5614">
        <v>118.220001220703</v>
      </c>
    </row>
    <row r="5615" spans="1:2" x14ac:dyDescent="0.25">
      <c r="A5615" s="5">
        <v>30085</v>
      </c>
      <c r="B5615">
        <v>118.01000213623</v>
      </c>
    </row>
    <row r="5616" spans="1:2" x14ac:dyDescent="0.25">
      <c r="A5616" s="5">
        <v>30088</v>
      </c>
      <c r="B5616">
        <v>116.709999084473</v>
      </c>
    </row>
    <row r="5617" spans="1:2" x14ac:dyDescent="0.25">
      <c r="A5617" s="5">
        <v>30089</v>
      </c>
      <c r="B5617">
        <v>115.83999633789099</v>
      </c>
    </row>
    <row r="5618" spans="1:2" x14ac:dyDescent="0.25">
      <c r="A5618" s="5">
        <v>30090</v>
      </c>
      <c r="B5618">
        <v>114.889999389648</v>
      </c>
    </row>
    <row r="5619" spans="1:2" x14ac:dyDescent="0.25">
      <c r="A5619" s="5">
        <v>30091</v>
      </c>
      <c r="B5619">
        <v>114.58999633789099</v>
      </c>
    </row>
    <row r="5620" spans="1:2" x14ac:dyDescent="0.25">
      <c r="A5620" s="5">
        <v>30092</v>
      </c>
      <c r="B5620">
        <v>114.889999389648</v>
      </c>
    </row>
    <row r="5621" spans="1:2" x14ac:dyDescent="0.25">
      <c r="A5621" s="5">
        <v>30095</v>
      </c>
      <c r="B5621">
        <v>114.790000915527</v>
      </c>
    </row>
    <row r="5622" spans="1:2" x14ac:dyDescent="0.25">
      <c r="A5622" s="5">
        <v>30096</v>
      </c>
      <c r="B5622">
        <v>114.40000152587901</v>
      </c>
    </row>
    <row r="5623" spans="1:2" x14ac:dyDescent="0.25">
      <c r="A5623" s="5">
        <v>30097</v>
      </c>
      <c r="B5623">
        <v>113.110000610352</v>
      </c>
    </row>
    <row r="5624" spans="1:2" x14ac:dyDescent="0.25">
      <c r="A5624" s="5">
        <v>30098</v>
      </c>
      <c r="B5624">
        <v>112.66000366210901</v>
      </c>
    </row>
    <row r="5625" spans="1:2" x14ac:dyDescent="0.25">
      <c r="A5625" s="5">
        <v>30099</v>
      </c>
      <c r="B5625">
        <v>111.879997253418</v>
      </c>
    </row>
    <row r="5626" spans="1:2" x14ac:dyDescent="0.25">
      <c r="A5626" s="5">
        <v>30103</v>
      </c>
      <c r="B5626">
        <v>111.68000030517599</v>
      </c>
    </row>
    <row r="5627" spans="1:2" x14ac:dyDescent="0.25">
      <c r="A5627" s="5">
        <v>30104</v>
      </c>
      <c r="B5627">
        <v>112.040000915527</v>
      </c>
    </row>
    <row r="5628" spans="1:2" x14ac:dyDescent="0.25">
      <c r="A5628" s="5">
        <v>30105</v>
      </c>
      <c r="B5628">
        <v>111.860000610352</v>
      </c>
    </row>
    <row r="5629" spans="1:2" x14ac:dyDescent="0.25">
      <c r="A5629" s="5">
        <v>30106</v>
      </c>
      <c r="B5629">
        <v>110.08999633789099</v>
      </c>
    </row>
    <row r="5630" spans="1:2" x14ac:dyDescent="0.25">
      <c r="A5630" s="5">
        <v>30109</v>
      </c>
      <c r="B5630">
        <v>110.120002746582</v>
      </c>
    </row>
    <row r="5631" spans="1:2" x14ac:dyDescent="0.25">
      <c r="A5631" s="5">
        <v>30110</v>
      </c>
      <c r="B5631">
        <v>109.629997253418</v>
      </c>
    </row>
    <row r="5632" spans="1:2" x14ac:dyDescent="0.25">
      <c r="A5632" s="5">
        <v>30111</v>
      </c>
      <c r="B5632">
        <v>108.98999786377</v>
      </c>
    </row>
    <row r="5633" spans="1:2" x14ac:dyDescent="0.25">
      <c r="A5633" s="5">
        <v>30112</v>
      </c>
      <c r="B5633">
        <v>109.610000610352</v>
      </c>
    </row>
    <row r="5634" spans="1:2" x14ac:dyDescent="0.25">
      <c r="A5634" s="5">
        <v>30113</v>
      </c>
      <c r="B5634">
        <v>111.23999786377</v>
      </c>
    </row>
    <row r="5635" spans="1:2" x14ac:dyDescent="0.25">
      <c r="A5635" s="5">
        <v>30116</v>
      </c>
      <c r="B5635">
        <v>109.959999084473</v>
      </c>
    </row>
    <row r="5636" spans="1:2" x14ac:dyDescent="0.25">
      <c r="A5636" s="5">
        <v>30117</v>
      </c>
      <c r="B5636">
        <v>109.69000244140599</v>
      </c>
    </row>
    <row r="5637" spans="1:2" x14ac:dyDescent="0.25">
      <c r="A5637" s="5">
        <v>30118</v>
      </c>
      <c r="B5637">
        <v>108.870002746582</v>
      </c>
    </row>
    <row r="5638" spans="1:2" x14ac:dyDescent="0.25">
      <c r="A5638" s="5">
        <v>30119</v>
      </c>
      <c r="B5638">
        <v>107.59999847412099</v>
      </c>
    </row>
    <row r="5639" spans="1:2" x14ac:dyDescent="0.25">
      <c r="A5639" s="5">
        <v>30120</v>
      </c>
      <c r="B5639">
        <v>107.279998779297</v>
      </c>
    </row>
    <row r="5640" spans="1:2" x14ac:dyDescent="0.25">
      <c r="A5640" s="5">
        <v>30123</v>
      </c>
      <c r="B5640">
        <v>107.199996948242</v>
      </c>
    </row>
    <row r="5641" spans="1:2" x14ac:dyDescent="0.25">
      <c r="A5641" s="5">
        <v>30124</v>
      </c>
      <c r="B5641">
        <v>108.300003051758</v>
      </c>
    </row>
    <row r="5642" spans="1:2" x14ac:dyDescent="0.25">
      <c r="A5642" s="5">
        <v>30125</v>
      </c>
      <c r="B5642">
        <v>110.139999389648</v>
      </c>
    </row>
    <row r="5643" spans="1:2" x14ac:dyDescent="0.25">
      <c r="A5643" s="5">
        <v>30126</v>
      </c>
      <c r="B5643">
        <v>109.830001831055</v>
      </c>
    </row>
    <row r="5644" spans="1:2" x14ac:dyDescent="0.25">
      <c r="A5644" s="5">
        <v>30127</v>
      </c>
      <c r="B5644">
        <v>109.139999389648</v>
      </c>
    </row>
    <row r="5645" spans="1:2" x14ac:dyDescent="0.25">
      <c r="A5645" s="5">
        <v>30130</v>
      </c>
      <c r="B5645">
        <v>110.26000213623</v>
      </c>
    </row>
    <row r="5646" spans="1:2" x14ac:dyDescent="0.25">
      <c r="A5646" s="5">
        <v>30131</v>
      </c>
      <c r="B5646">
        <v>110.209999084473</v>
      </c>
    </row>
    <row r="5647" spans="1:2" x14ac:dyDescent="0.25">
      <c r="A5647" s="5">
        <v>30132</v>
      </c>
      <c r="B5647">
        <v>109.610000610352</v>
      </c>
    </row>
    <row r="5648" spans="1:2" x14ac:dyDescent="0.25">
      <c r="A5648" s="5">
        <v>30133</v>
      </c>
      <c r="B5648">
        <v>108.709999084473</v>
      </c>
    </row>
    <row r="5649" spans="1:2" x14ac:dyDescent="0.25">
      <c r="A5649" s="5">
        <v>30134</v>
      </c>
      <c r="B5649">
        <v>107.65000152587901</v>
      </c>
    </row>
    <row r="5650" spans="1:2" x14ac:dyDescent="0.25">
      <c r="A5650" s="5">
        <v>30138</v>
      </c>
      <c r="B5650">
        <v>107.290000915527</v>
      </c>
    </row>
    <row r="5651" spans="1:2" x14ac:dyDescent="0.25">
      <c r="A5651" s="5">
        <v>30139</v>
      </c>
      <c r="B5651">
        <v>107.220001220703</v>
      </c>
    </row>
    <row r="5652" spans="1:2" x14ac:dyDescent="0.25">
      <c r="A5652" s="5">
        <v>30140</v>
      </c>
      <c r="B5652">
        <v>107.529998779297</v>
      </c>
    </row>
    <row r="5653" spans="1:2" x14ac:dyDescent="0.25">
      <c r="A5653" s="5">
        <v>30141</v>
      </c>
      <c r="B5653">
        <v>108.830001831055</v>
      </c>
    </row>
    <row r="5654" spans="1:2" x14ac:dyDescent="0.25">
      <c r="A5654" s="5">
        <v>30144</v>
      </c>
      <c r="B5654">
        <v>109.56999969482401</v>
      </c>
    </row>
    <row r="5655" spans="1:2" x14ac:dyDescent="0.25">
      <c r="A5655" s="5">
        <v>30145</v>
      </c>
      <c r="B5655">
        <v>109.449996948242</v>
      </c>
    </row>
    <row r="5656" spans="1:2" x14ac:dyDescent="0.25">
      <c r="A5656" s="5">
        <v>30146</v>
      </c>
      <c r="B5656">
        <v>110.44000244140599</v>
      </c>
    </row>
    <row r="5657" spans="1:2" x14ac:dyDescent="0.25">
      <c r="A5657" s="5">
        <v>30147</v>
      </c>
      <c r="B5657">
        <v>110.470001220703</v>
      </c>
    </row>
    <row r="5658" spans="1:2" x14ac:dyDescent="0.25">
      <c r="A5658" s="5">
        <v>30148</v>
      </c>
      <c r="B5658">
        <v>111.06999969482401</v>
      </c>
    </row>
    <row r="5659" spans="1:2" x14ac:dyDescent="0.25">
      <c r="A5659" s="5">
        <v>30151</v>
      </c>
      <c r="B5659">
        <v>110.73000335693401</v>
      </c>
    </row>
    <row r="5660" spans="1:2" x14ac:dyDescent="0.25">
      <c r="A5660" s="5">
        <v>30152</v>
      </c>
      <c r="B5660">
        <v>111.540000915527</v>
      </c>
    </row>
    <row r="5661" spans="1:2" x14ac:dyDescent="0.25">
      <c r="A5661" s="5">
        <v>30153</v>
      </c>
      <c r="B5661">
        <v>111.419998168945</v>
      </c>
    </row>
    <row r="5662" spans="1:2" x14ac:dyDescent="0.25">
      <c r="A5662" s="5">
        <v>30154</v>
      </c>
      <c r="B5662">
        <v>111.48000335693401</v>
      </c>
    </row>
    <row r="5663" spans="1:2" x14ac:dyDescent="0.25">
      <c r="A5663" s="5">
        <v>30155</v>
      </c>
      <c r="B5663">
        <v>111.169998168945</v>
      </c>
    </row>
    <row r="5664" spans="1:2" x14ac:dyDescent="0.25">
      <c r="A5664" s="5">
        <v>30158</v>
      </c>
      <c r="B5664">
        <v>110.360000610352</v>
      </c>
    </row>
    <row r="5665" spans="1:2" x14ac:dyDescent="0.25">
      <c r="A5665" s="5">
        <v>30159</v>
      </c>
      <c r="B5665">
        <v>109.43000030517599</v>
      </c>
    </row>
    <row r="5666" spans="1:2" x14ac:dyDescent="0.25">
      <c r="A5666" s="5">
        <v>30160</v>
      </c>
      <c r="B5666">
        <v>107.73999786377</v>
      </c>
    </row>
    <row r="5667" spans="1:2" x14ac:dyDescent="0.25">
      <c r="A5667" s="5">
        <v>30161</v>
      </c>
      <c r="B5667">
        <v>107.720001220703</v>
      </c>
    </row>
    <row r="5668" spans="1:2" x14ac:dyDescent="0.25">
      <c r="A5668" s="5">
        <v>30162</v>
      </c>
      <c r="B5668">
        <v>107.08999633789099</v>
      </c>
    </row>
    <row r="5669" spans="1:2" x14ac:dyDescent="0.25">
      <c r="A5669" s="5">
        <v>30165</v>
      </c>
      <c r="B5669">
        <v>108.98000335693401</v>
      </c>
    </row>
    <row r="5670" spans="1:2" x14ac:dyDescent="0.25">
      <c r="A5670" s="5">
        <v>30166</v>
      </c>
      <c r="B5670">
        <v>107.830001831055</v>
      </c>
    </row>
    <row r="5671" spans="1:2" x14ac:dyDescent="0.25">
      <c r="A5671" s="5">
        <v>30167</v>
      </c>
      <c r="B5671">
        <v>106.139999389648</v>
      </c>
    </row>
    <row r="5672" spans="1:2" x14ac:dyDescent="0.25">
      <c r="A5672" s="5">
        <v>30168</v>
      </c>
      <c r="B5672">
        <v>105.16000366210901</v>
      </c>
    </row>
    <row r="5673" spans="1:2" x14ac:dyDescent="0.25">
      <c r="A5673" s="5">
        <v>30169</v>
      </c>
      <c r="B5673">
        <v>103.709999084473</v>
      </c>
    </row>
    <row r="5674" spans="1:2" x14ac:dyDescent="0.25">
      <c r="A5674" s="5">
        <v>30172</v>
      </c>
      <c r="B5674">
        <v>103.080001831055</v>
      </c>
    </row>
    <row r="5675" spans="1:2" x14ac:dyDescent="0.25">
      <c r="A5675" s="5">
        <v>30173</v>
      </c>
      <c r="B5675">
        <v>102.83999633789099</v>
      </c>
    </row>
    <row r="5676" spans="1:2" x14ac:dyDescent="0.25">
      <c r="A5676" s="5">
        <v>30174</v>
      </c>
      <c r="B5676">
        <v>102.59999847412099</v>
      </c>
    </row>
    <row r="5677" spans="1:2" x14ac:dyDescent="0.25">
      <c r="A5677" s="5">
        <v>30175</v>
      </c>
      <c r="B5677">
        <v>102.419998168945</v>
      </c>
    </row>
    <row r="5678" spans="1:2" x14ac:dyDescent="0.25">
      <c r="A5678" s="5">
        <v>30176</v>
      </c>
      <c r="B5678">
        <v>103.84999847412099</v>
      </c>
    </row>
    <row r="5679" spans="1:2" x14ac:dyDescent="0.25">
      <c r="A5679" s="5">
        <v>30179</v>
      </c>
      <c r="B5679">
        <v>104.08999633789099</v>
      </c>
    </row>
    <row r="5680" spans="1:2" x14ac:dyDescent="0.25">
      <c r="A5680" s="5">
        <v>30180</v>
      </c>
      <c r="B5680">
        <v>109.040000915527</v>
      </c>
    </row>
    <row r="5681" spans="1:2" x14ac:dyDescent="0.25">
      <c r="A5681" s="5">
        <v>30181</v>
      </c>
      <c r="B5681">
        <v>108.540000915527</v>
      </c>
    </row>
    <row r="5682" spans="1:2" x14ac:dyDescent="0.25">
      <c r="A5682" s="5">
        <v>30182</v>
      </c>
      <c r="B5682">
        <v>109.16000366210901</v>
      </c>
    </row>
    <row r="5683" spans="1:2" x14ac:dyDescent="0.25">
      <c r="A5683" s="5">
        <v>30183</v>
      </c>
      <c r="B5683">
        <v>113.01999664306599</v>
      </c>
    </row>
    <row r="5684" spans="1:2" x14ac:dyDescent="0.25">
      <c r="A5684" s="5">
        <v>30186</v>
      </c>
      <c r="B5684">
        <v>116.110000610352</v>
      </c>
    </row>
    <row r="5685" spans="1:2" x14ac:dyDescent="0.25">
      <c r="A5685" s="5">
        <v>30187</v>
      </c>
      <c r="B5685">
        <v>115.34999847412099</v>
      </c>
    </row>
    <row r="5686" spans="1:2" x14ac:dyDescent="0.25">
      <c r="A5686" s="5">
        <v>30188</v>
      </c>
      <c r="B5686">
        <v>117.580001831055</v>
      </c>
    </row>
    <row r="5687" spans="1:2" x14ac:dyDescent="0.25">
      <c r="A5687" s="5">
        <v>30189</v>
      </c>
      <c r="B5687">
        <v>118.550003051758</v>
      </c>
    </row>
    <row r="5688" spans="1:2" x14ac:dyDescent="0.25">
      <c r="A5688" s="5">
        <v>30190</v>
      </c>
      <c r="B5688">
        <v>117.110000610352</v>
      </c>
    </row>
    <row r="5689" spans="1:2" x14ac:dyDescent="0.25">
      <c r="A5689" s="5">
        <v>30193</v>
      </c>
      <c r="B5689">
        <v>117.66000366210901</v>
      </c>
    </row>
    <row r="5690" spans="1:2" x14ac:dyDescent="0.25">
      <c r="A5690" s="5">
        <v>30194</v>
      </c>
      <c r="B5690">
        <v>119.51000213623</v>
      </c>
    </row>
    <row r="5691" spans="1:2" x14ac:dyDescent="0.25">
      <c r="A5691" s="5">
        <v>30195</v>
      </c>
      <c r="B5691">
        <v>118.25</v>
      </c>
    </row>
    <row r="5692" spans="1:2" x14ac:dyDescent="0.25">
      <c r="A5692" s="5">
        <v>30196</v>
      </c>
      <c r="B5692">
        <v>120.290000915527</v>
      </c>
    </row>
    <row r="5693" spans="1:2" x14ac:dyDescent="0.25">
      <c r="A5693" s="5">
        <v>30197</v>
      </c>
      <c r="B5693">
        <v>122.68000030517599</v>
      </c>
    </row>
    <row r="5694" spans="1:2" x14ac:dyDescent="0.25">
      <c r="A5694" s="5">
        <v>30201</v>
      </c>
      <c r="B5694">
        <v>121.370002746582</v>
      </c>
    </row>
    <row r="5695" spans="1:2" x14ac:dyDescent="0.25">
      <c r="A5695" s="5">
        <v>30202</v>
      </c>
      <c r="B5695">
        <v>122.199996948242</v>
      </c>
    </row>
    <row r="5696" spans="1:2" x14ac:dyDescent="0.25">
      <c r="A5696" s="5">
        <v>30203</v>
      </c>
      <c r="B5696">
        <v>121.970001220703</v>
      </c>
    </row>
    <row r="5697" spans="1:2" x14ac:dyDescent="0.25">
      <c r="A5697" s="5">
        <v>30204</v>
      </c>
      <c r="B5697">
        <v>120.970001220703</v>
      </c>
    </row>
    <row r="5698" spans="1:2" x14ac:dyDescent="0.25">
      <c r="A5698" s="5">
        <v>30207</v>
      </c>
      <c r="B5698">
        <v>122.23999786377</v>
      </c>
    </row>
    <row r="5699" spans="1:2" x14ac:dyDescent="0.25">
      <c r="A5699" s="5">
        <v>30208</v>
      </c>
      <c r="B5699">
        <v>123.09999847412099</v>
      </c>
    </row>
    <row r="5700" spans="1:2" x14ac:dyDescent="0.25">
      <c r="A5700" s="5">
        <v>30209</v>
      </c>
      <c r="B5700">
        <v>124.290000915527</v>
      </c>
    </row>
    <row r="5701" spans="1:2" x14ac:dyDescent="0.25">
      <c r="A5701" s="5">
        <v>30210</v>
      </c>
      <c r="B5701">
        <v>123.76999664306599</v>
      </c>
    </row>
    <row r="5702" spans="1:2" x14ac:dyDescent="0.25">
      <c r="A5702" s="5">
        <v>30211</v>
      </c>
      <c r="B5702">
        <v>122.550003051758</v>
      </c>
    </row>
    <row r="5703" spans="1:2" x14ac:dyDescent="0.25">
      <c r="A5703" s="5">
        <v>30214</v>
      </c>
      <c r="B5703">
        <v>122.51000213623</v>
      </c>
    </row>
    <row r="5704" spans="1:2" x14ac:dyDescent="0.25">
      <c r="A5704" s="5">
        <v>30215</v>
      </c>
      <c r="B5704">
        <v>124.879997253418</v>
      </c>
    </row>
    <row r="5705" spans="1:2" x14ac:dyDescent="0.25">
      <c r="A5705" s="5">
        <v>30216</v>
      </c>
      <c r="B5705">
        <v>123.98999786377</v>
      </c>
    </row>
    <row r="5706" spans="1:2" x14ac:dyDescent="0.25">
      <c r="A5706" s="5">
        <v>30217</v>
      </c>
      <c r="B5706">
        <v>123.80999755859401</v>
      </c>
    </row>
    <row r="5707" spans="1:2" x14ac:dyDescent="0.25">
      <c r="A5707" s="5">
        <v>30218</v>
      </c>
      <c r="B5707">
        <v>123.31999969482401</v>
      </c>
    </row>
    <row r="5708" spans="1:2" x14ac:dyDescent="0.25">
      <c r="A5708" s="5">
        <v>30221</v>
      </c>
      <c r="B5708">
        <v>123.620002746582</v>
      </c>
    </row>
    <row r="5709" spans="1:2" x14ac:dyDescent="0.25">
      <c r="A5709" s="5">
        <v>30222</v>
      </c>
      <c r="B5709">
        <v>123.23999786377</v>
      </c>
    </row>
    <row r="5710" spans="1:2" x14ac:dyDescent="0.25">
      <c r="A5710" s="5">
        <v>30223</v>
      </c>
      <c r="B5710">
        <v>121.629997253418</v>
      </c>
    </row>
    <row r="5711" spans="1:2" x14ac:dyDescent="0.25">
      <c r="A5711" s="5">
        <v>30224</v>
      </c>
      <c r="B5711">
        <v>120.419998168945</v>
      </c>
    </row>
    <row r="5712" spans="1:2" x14ac:dyDescent="0.25">
      <c r="A5712" s="5">
        <v>30225</v>
      </c>
      <c r="B5712">
        <v>121.970001220703</v>
      </c>
    </row>
    <row r="5713" spans="1:2" x14ac:dyDescent="0.25">
      <c r="A5713" s="5">
        <v>30228</v>
      </c>
      <c r="B5713">
        <v>121.51000213623</v>
      </c>
    </row>
    <row r="5714" spans="1:2" x14ac:dyDescent="0.25">
      <c r="A5714" s="5">
        <v>30229</v>
      </c>
      <c r="B5714">
        <v>121.98000335693401</v>
      </c>
    </row>
    <row r="5715" spans="1:2" x14ac:dyDescent="0.25">
      <c r="A5715" s="5">
        <v>30230</v>
      </c>
      <c r="B5715">
        <v>125.970001220703</v>
      </c>
    </row>
    <row r="5716" spans="1:2" x14ac:dyDescent="0.25">
      <c r="A5716" s="5">
        <v>30231</v>
      </c>
      <c r="B5716">
        <v>128.80000305175801</v>
      </c>
    </row>
    <row r="5717" spans="1:2" x14ac:dyDescent="0.25">
      <c r="A5717" s="5">
        <v>30232</v>
      </c>
      <c r="B5717">
        <v>131.05000305175801</v>
      </c>
    </row>
    <row r="5718" spans="1:2" x14ac:dyDescent="0.25">
      <c r="A5718" s="5">
        <v>30235</v>
      </c>
      <c r="B5718">
        <v>134.47000122070301</v>
      </c>
    </row>
    <row r="5719" spans="1:2" x14ac:dyDescent="0.25">
      <c r="A5719" s="5">
        <v>30236</v>
      </c>
      <c r="B5719">
        <v>134.44000244140599</v>
      </c>
    </row>
    <row r="5720" spans="1:2" x14ac:dyDescent="0.25">
      <c r="A5720" s="5">
        <v>30237</v>
      </c>
      <c r="B5720">
        <v>136.71000671386699</v>
      </c>
    </row>
    <row r="5721" spans="1:2" x14ac:dyDescent="0.25">
      <c r="A5721" s="5">
        <v>30238</v>
      </c>
      <c r="B5721">
        <v>134.57000732421901</v>
      </c>
    </row>
    <row r="5722" spans="1:2" x14ac:dyDescent="0.25">
      <c r="A5722" s="5">
        <v>30239</v>
      </c>
      <c r="B5722">
        <v>133.57000732421901</v>
      </c>
    </row>
    <row r="5723" spans="1:2" x14ac:dyDescent="0.25">
      <c r="A5723" s="5">
        <v>30242</v>
      </c>
      <c r="B5723">
        <v>136.72999572753901</v>
      </c>
    </row>
    <row r="5724" spans="1:2" x14ac:dyDescent="0.25">
      <c r="A5724" s="5">
        <v>30243</v>
      </c>
      <c r="B5724">
        <v>136.580001831055</v>
      </c>
    </row>
    <row r="5725" spans="1:2" x14ac:dyDescent="0.25">
      <c r="A5725" s="5">
        <v>30244</v>
      </c>
      <c r="B5725">
        <v>139.22999572753901</v>
      </c>
    </row>
    <row r="5726" spans="1:2" x14ac:dyDescent="0.25">
      <c r="A5726" s="5">
        <v>30245</v>
      </c>
      <c r="B5726">
        <v>139.05999755859401</v>
      </c>
    </row>
    <row r="5727" spans="1:2" x14ac:dyDescent="0.25">
      <c r="A5727" s="5">
        <v>30246</v>
      </c>
      <c r="B5727">
        <v>138.830001831055</v>
      </c>
    </row>
    <row r="5728" spans="1:2" x14ac:dyDescent="0.25">
      <c r="A5728" s="5">
        <v>30249</v>
      </c>
      <c r="B5728">
        <v>133.32000732421901</v>
      </c>
    </row>
    <row r="5729" spans="1:2" x14ac:dyDescent="0.25">
      <c r="A5729" s="5">
        <v>30250</v>
      </c>
      <c r="B5729">
        <v>134.47999572753901</v>
      </c>
    </row>
    <row r="5730" spans="1:2" x14ac:dyDescent="0.25">
      <c r="A5730" s="5">
        <v>30251</v>
      </c>
      <c r="B5730">
        <v>135.28999328613301</v>
      </c>
    </row>
    <row r="5731" spans="1:2" x14ac:dyDescent="0.25">
      <c r="A5731" s="5">
        <v>30252</v>
      </c>
      <c r="B5731">
        <v>133.58999633789099</v>
      </c>
    </row>
    <row r="5732" spans="1:2" x14ac:dyDescent="0.25">
      <c r="A5732" s="5">
        <v>30253</v>
      </c>
      <c r="B5732">
        <v>133.72000122070301</v>
      </c>
    </row>
    <row r="5733" spans="1:2" x14ac:dyDescent="0.25">
      <c r="A5733" s="5">
        <v>30256</v>
      </c>
      <c r="B5733">
        <v>135.47000122070301</v>
      </c>
    </row>
    <row r="5734" spans="1:2" x14ac:dyDescent="0.25">
      <c r="A5734" s="5">
        <v>30257</v>
      </c>
      <c r="B5734">
        <v>137.49000549316401</v>
      </c>
    </row>
    <row r="5735" spans="1:2" x14ac:dyDescent="0.25">
      <c r="A5735" s="5">
        <v>30258</v>
      </c>
      <c r="B5735">
        <v>142.86999511718801</v>
      </c>
    </row>
    <row r="5736" spans="1:2" x14ac:dyDescent="0.25">
      <c r="A5736" s="5">
        <v>30259</v>
      </c>
      <c r="B5736">
        <v>141.85000610351599</v>
      </c>
    </row>
    <row r="5737" spans="1:2" x14ac:dyDescent="0.25">
      <c r="A5737" s="5">
        <v>30260</v>
      </c>
      <c r="B5737">
        <v>142.16000366210901</v>
      </c>
    </row>
    <row r="5738" spans="1:2" x14ac:dyDescent="0.25">
      <c r="A5738" s="5">
        <v>30263</v>
      </c>
      <c r="B5738">
        <v>140.44000244140599</v>
      </c>
    </row>
    <row r="5739" spans="1:2" x14ac:dyDescent="0.25">
      <c r="A5739" s="5">
        <v>30264</v>
      </c>
      <c r="B5739">
        <v>143.02000427246099</v>
      </c>
    </row>
    <row r="5740" spans="1:2" x14ac:dyDescent="0.25">
      <c r="A5740" s="5">
        <v>30265</v>
      </c>
      <c r="B5740">
        <v>141.16000366210901</v>
      </c>
    </row>
    <row r="5741" spans="1:2" x14ac:dyDescent="0.25">
      <c r="A5741" s="5">
        <v>30266</v>
      </c>
      <c r="B5741">
        <v>141.75</v>
      </c>
    </row>
    <row r="5742" spans="1:2" x14ac:dyDescent="0.25">
      <c r="A5742" s="5">
        <v>30267</v>
      </c>
      <c r="B5742">
        <v>139.52999877929699</v>
      </c>
    </row>
    <row r="5743" spans="1:2" x14ac:dyDescent="0.25">
      <c r="A5743" s="5">
        <v>30270</v>
      </c>
      <c r="B5743">
        <v>137.02999877929699</v>
      </c>
    </row>
    <row r="5744" spans="1:2" x14ac:dyDescent="0.25">
      <c r="A5744" s="5">
        <v>30271</v>
      </c>
      <c r="B5744">
        <v>135.419998168945</v>
      </c>
    </row>
    <row r="5745" spans="1:2" x14ac:dyDescent="0.25">
      <c r="A5745" s="5">
        <v>30272</v>
      </c>
      <c r="B5745">
        <v>137.92999267578099</v>
      </c>
    </row>
    <row r="5746" spans="1:2" x14ac:dyDescent="0.25">
      <c r="A5746" s="5">
        <v>30273</v>
      </c>
      <c r="B5746">
        <v>138.33999633789099</v>
      </c>
    </row>
    <row r="5747" spans="1:2" x14ac:dyDescent="0.25">
      <c r="A5747" s="5">
        <v>30274</v>
      </c>
      <c r="B5747">
        <v>137.02000427246099</v>
      </c>
    </row>
    <row r="5748" spans="1:2" x14ac:dyDescent="0.25">
      <c r="A5748" s="5">
        <v>30277</v>
      </c>
      <c r="B5748">
        <v>134.22000122070301</v>
      </c>
    </row>
    <row r="5749" spans="1:2" x14ac:dyDescent="0.25">
      <c r="A5749" s="5">
        <v>30278</v>
      </c>
      <c r="B5749">
        <v>132.92999267578099</v>
      </c>
    </row>
    <row r="5750" spans="1:2" x14ac:dyDescent="0.25">
      <c r="A5750" s="5">
        <v>30279</v>
      </c>
      <c r="B5750">
        <v>133.88000488281199</v>
      </c>
    </row>
    <row r="5751" spans="1:2" x14ac:dyDescent="0.25">
      <c r="A5751" s="5">
        <v>30281</v>
      </c>
      <c r="B5751">
        <v>134.88000488281199</v>
      </c>
    </row>
    <row r="5752" spans="1:2" x14ac:dyDescent="0.25">
      <c r="A5752" s="5">
        <v>30284</v>
      </c>
      <c r="B5752">
        <v>134.19999694824199</v>
      </c>
    </row>
    <row r="5753" spans="1:2" x14ac:dyDescent="0.25">
      <c r="A5753" s="5">
        <v>30285</v>
      </c>
      <c r="B5753">
        <v>138.52999877929699</v>
      </c>
    </row>
    <row r="5754" spans="1:2" x14ac:dyDescent="0.25">
      <c r="A5754" s="5">
        <v>30286</v>
      </c>
      <c r="B5754">
        <v>138.72000122070301</v>
      </c>
    </row>
    <row r="5755" spans="1:2" x14ac:dyDescent="0.25">
      <c r="A5755" s="5">
        <v>30287</v>
      </c>
      <c r="B5755">
        <v>138.82000732421901</v>
      </c>
    </row>
    <row r="5756" spans="1:2" x14ac:dyDescent="0.25">
      <c r="A5756" s="5">
        <v>30288</v>
      </c>
      <c r="B5756">
        <v>138.69000244140599</v>
      </c>
    </row>
    <row r="5757" spans="1:2" x14ac:dyDescent="0.25">
      <c r="A5757" s="5">
        <v>30291</v>
      </c>
      <c r="B5757">
        <v>141.77000427246099</v>
      </c>
    </row>
    <row r="5758" spans="1:2" x14ac:dyDescent="0.25">
      <c r="A5758" s="5">
        <v>30292</v>
      </c>
      <c r="B5758">
        <v>142.72000122070301</v>
      </c>
    </row>
    <row r="5759" spans="1:2" x14ac:dyDescent="0.25">
      <c r="A5759" s="5">
        <v>30293</v>
      </c>
      <c r="B5759">
        <v>141.82000732421901</v>
      </c>
    </row>
    <row r="5760" spans="1:2" x14ac:dyDescent="0.25">
      <c r="A5760" s="5">
        <v>30294</v>
      </c>
      <c r="B5760">
        <v>140</v>
      </c>
    </row>
    <row r="5761" spans="1:2" x14ac:dyDescent="0.25">
      <c r="A5761" s="5">
        <v>30295</v>
      </c>
      <c r="B5761">
        <v>139.57000732421901</v>
      </c>
    </row>
    <row r="5762" spans="1:2" x14ac:dyDescent="0.25">
      <c r="A5762" s="5">
        <v>30298</v>
      </c>
      <c r="B5762">
        <v>139.94999694824199</v>
      </c>
    </row>
    <row r="5763" spans="1:2" x14ac:dyDescent="0.25">
      <c r="A5763" s="5">
        <v>30299</v>
      </c>
      <c r="B5763">
        <v>137.39999389648401</v>
      </c>
    </row>
    <row r="5764" spans="1:2" x14ac:dyDescent="0.25">
      <c r="A5764" s="5">
        <v>30300</v>
      </c>
      <c r="B5764">
        <v>135.24000549316401</v>
      </c>
    </row>
    <row r="5765" spans="1:2" x14ac:dyDescent="0.25">
      <c r="A5765" s="5">
        <v>30301</v>
      </c>
      <c r="B5765">
        <v>135.30000305175801</v>
      </c>
    </row>
    <row r="5766" spans="1:2" x14ac:dyDescent="0.25">
      <c r="A5766" s="5">
        <v>30302</v>
      </c>
      <c r="B5766">
        <v>137.49000549316401</v>
      </c>
    </row>
    <row r="5767" spans="1:2" x14ac:dyDescent="0.25">
      <c r="A5767" s="5">
        <v>30305</v>
      </c>
      <c r="B5767">
        <v>136.25</v>
      </c>
    </row>
    <row r="5768" spans="1:2" x14ac:dyDescent="0.25">
      <c r="A5768" s="5">
        <v>30306</v>
      </c>
      <c r="B5768">
        <v>138.61000061035199</v>
      </c>
    </row>
    <row r="5769" spans="1:2" x14ac:dyDescent="0.25">
      <c r="A5769" s="5">
        <v>30307</v>
      </c>
      <c r="B5769">
        <v>138.830001831055</v>
      </c>
    </row>
    <row r="5770" spans="1:2" x14ac:dyDescent="0.25">
      <c r="A5770" s="5">
        <v>30308</v>
      </c>
      <c r="B5770">
        <v>139.72000122070301</v>
      </c>
    </row>
    <row r="5771" spans="1:2" x14ac:dyDescent="0.25">
      <c r="A5771" s="5">
        <v>30312</v>
      </c>
      <c r="B5771">
        <v>142.169998168945</v>
      </c>
    </row>
    <row r="5772" spans="1:2" x14ac:dyDescent="0.25">
      <c r="A5772" s="5">
        <v>30313</v>
      </c>
      <c r="B5772">
        <v>140.77000427246099</v>
      </c>
    </row>
    <row r="5773" spans="1:2" x14ac:dyDescent="0.25">
      <c r="A5773" s="5">
        <v>30314</v>
      </c>
      <c r="B5773">
        <v>141.24000549316401</v>
      </c>
    </row>
    <row r="5774" spans="1:2" x14ac:dyDescent="0.25">
      <c r="A5774" s="5">
        <v>30315</v>
      </c>
      <c r="B5774">
        <v>140.330001831055</v>
      </c>
    </row>
    <row r="5775" spans="1:2" x14ac:dyDescent="0.25">
      <c r="A5775" s="5">
        <v>30316</v>
      </c>
      <c r="B5775">
        <v>140.63999938964801</v>
      </c>
    </row>
    <row r="5776" spans="1:2" x14ac:dyDescent="0.25">
      <c r="A5776" s="5">
        <v>30319</v>
      </c>
      <c r="B5776">
        <v>138.33999633789099</v>
      </c>
    </row>
    <row r="5777" spans="1:2" x14ac:dyDescent="0.25">
      <c r="A5777" s="5">
        <v>30320</v>
      </c>
      <c r="B5777">
        <v>141.36000061035199</v>
      </c>
    </row>
    <row r="5778" spans="1:2" x14ac:dyDescent="0.25">
      <c r="A5778" s="5">
        <v>30321</v>
      </c>
      <c r="B5778">
        <v>141.96000671386699</v>
      </c>
    </row>
    <row r="5779" spans="1:2" x14ac:dyDescent="0.25">
      <c r="A5779" s="5">
        <v>30322</v>
      </c>
      <c r="B5779">
        <v>145.27000427246099</v>
      </c>
    </row>
    <row r="5780" spans="1:2" x14ac:dyDescent="0.25">
      <c r="A5780" s="5">
        <v>30323</v>
      </c>
      <c r="B5780">
        <v>145.17999267578099</v>
      </c>
    </row>
    <row r="5781" spans="1:2" x14ac:dyDescent="0.25">
      <c r="A5781" s="5">
        <v>30326</v>
      </c>
      <c r="B5781">
        <v>146.77999877929699</v>
      </c>
    </row>
    <row r="5782" spans="1:2" x14ac:dyDescent="0.25">
      <c r="A5782" s="5">
        <v>30327</v>
      </c>
      <c r="B5782">
        <v>145.77999877929699</v>
      </c>
    </row>
    <row r="5783" spans="1:2" x14ac:dyDescent="0.25">
      <c r="A5783" s="5">
        <v>30328</v>
      </c>
      <c r="B5783">
        <v>146.69000244140599</v>
      </c>
    </row>
    <row r="5784" spans="1:2" x14ac:dyDescent="0.25">
      <c r="A5784" s="5">
        <v>30329</v>
      </c>
      <c r="B5784">
        <v>145.72999572753901</v>
      </c>
    </row>
    <row r="5785" spans="1:2" x14ac:dyDescent="0.25">
      <c r="A5785" s="5">
        <v>30330</v>
      </c>
      <c r="B5785">
        <v>146.64999389648401</v>
      </c>
    </row>
    <row r="5786" spans="1:2" x14ac:dyDescent="0.25">
      <c r="A5786" s="5">
        <v>30333</v>
      </c>
      <c r="B5786">
        <v>146.72000122070301</v>
      </c>
    </row>
    <row r="5787" spans="1:2" x14ac:dyDescent="0.25">
      <c r="A5787" s="5">
        <v>30334</v>
      </c>
      <c r="B5787">
        <v>146.39999389648401</v>
      </c>
    </row>
    <row r="5788" spans="1:2" x14ac:dyDescent="0.25">
      <c r="A5788" s="5">
        <v>30335</v>
      </c>
      <c r="B5788">
        <v>145.27000427246099</v>
      </c>
    </row>
    <row r="5789" spans="1:2" x14ac:dyDescent="0.25">
      <c r="A5789" s="5">
        <v>30336</v>
      </c>
      <c r="B5789">
        <v>146.28999328613301</v>
      </c>
    </row>
    <row r="5790" spans="1:2" x14ac:dyDescent="0.25">
      <c r="A5790" s="5">
        <v>30337</v>
      </c>
      <c r="B5790">
        <v>143.85000610351599</v>
      </c>
    </row>
    <row r="5791" spans="1:2" x14ac:dyDescent="0.25">
      <c r="A5791" s="5">
        <v>30340</v>
      </c>
      <c r="B5791">
        <v>139.97000122070301</v>
      </c>
    </row>
    <row r="5792" spans="1:2" x14ac:dyDescent="0.25">
      <c r="A5792" s="5">
        <v>30341</v>
      </c>
      <c r="B5792">
        <v>141.75</v>
      </c>
    </row>
    <row r="5793" spans="1:2" x14ac:dyDescent="0.25">
      <c r="A5793" s="5">
        <v>30342</v>
      </c>
      <c r="B5793">
        <v>141.53999328613301</v>
      </c>
    </row>
    <row r="5794" spans="1:2" x14ac:dyDescent="0.25">
      <c r="A5794" s="5">
        <v>30343</v>
      </c>
      <c r="B5794">
        <v>144.27000427246099</v>
      </c>
    </row>
    <row r="5795" spans="1:2" x14ac:dyDescent="0.25">
      <c r="A5795" s="5">
        <v>30344</v>
      </c>
      <c r="B5795">
        <v>144.50999450683599</v>
      </c>
    </row>
    <row r="5796" spans="1:2" x14ac:dyDescent="0.25">
      <c r="A5796" s="5">
        <v>30347</v>
      </c>
      <c r="B5796">
        <v>145.30000305175801</v>
      </c>
    </row>
    <row r="5797" spans="1:2" x14ac:dyDescent="0.25">
      <c r="A5797" s="5">
        <v>30348</v>
      </c>
      <c r="B5797">
        <v>142.96000671386699</v>
      </c>
    </row>
    <row r="5798" spans="1:2" x14ac:dyDescent="0.25">
      <c r="A5798" s="5">
        <v>30349</v>
      </c>
      <c r="B5798">
        <v>143.22999572753901</v>
      </c>
    </row>
    <row r="5799" spans="1:2" x14ac:dyDescent="0.25">
      <c r="A5799" s="5">
        <v>30350</v>
      </c>
      <c r="B5799">
        <v>144.25999450683599</v>
      </c>
    </row>
    <row r="5800" spans="1:2" x14ac:dyDescent="0.25">
      <c r="A5800" s="5">
        <v>30351</v>
      </c>
      <c r="B5800">
        <v>146.13999938964801</v>
      </c>
    </row>
    <row r="5801" spans="1:2" x14ac:dyDescent="0.25">
      <c r="A5801" s="5">
        <v>30354</v>
      </c>
      <c r="B5801">
        <v>146.92999267578099</v>
      </c>
    </row>
    <row r="5802" spans="1:2" x14ac:dyDescent="0.25">
      <c r="A5802" s="5">
        <v>30355</v>
      </c>
      <c r="B5802">
        <v>145.69999694824199</v>
      </c>
    </row>
    <row r="5803" spans="1:2" x14ac:dyDescent="0.25">
      <c r="A5803" s="5">
        <v>30356</v>
      </c>
      <c r="B5803">
        <v>145</v>
      </c>
    </row>
    <row r="5804" spans="1:2" x14ac:dyDescent="0.25">
      <c r="A5804" s="5">
        <v>30357</v>
      </c>
      <c r="B5804">
        <v>147.5</v>
      </c>
    </row>
    <row r="5805" spans="1:2" x14ac:dyDescent="0.25">
      <c r="A5805" s="5">
        <v>30358</v>
      </c>
      <c r="B5805">
        <v>147.64999389648401</v>
      </c>
    </row>
    <row r="5806" spans="1:2" x14ac:dyDescent="0.25">
      <c r="A5806" s="5">
        <v>30361</v>
      </c>
      <c r="B5806">
        <v>148.92999267578099</v>
      </c>
    </row>
    <row r="5807" spans="1:2" x14ac:dyDescent="0.25">
      <c r="A5807" s="5">
        <v>30362</v>
      </c>
      <c r="B5807">
        <v>148.30000305175801</v>
      </c>
    </row>
    <row r="5808" spans="1:2" x14ac:dyDescent="0.25">
      <c r="A5808" s="5">
        <v>30363</v>
      </c>
      <c r="B5808">
        <v>147.42999267578099</v>
      </c>
    </row>
    <row r="5809" spans="1:2" x14ac:dyDescent="0.25">
      <c r="A5809" s="5">
        <v>30364</v>
      </c>
      <c r="B5809">
        <v>147.44000244140599</v>
      </c>
    </row>
    <row r="5810" spans="1:2" x14ac:dyDescent="0.25">
      <c r="A5810" s="5">
        <v>30365</v>
      </c>
      <c r="B5810">
        <v>148</v>
      </c>
    </row>
    <row r="5811" spans="1:2" x14ac:dyDescent="0.25">
      <c r="A5811" s="5">
        <v>30369</v>
      </c>
      <c r="B5811">
        <v>145.47999572753901</v>
      </c>
    </row>
    <row r="5812" spans="1:2" x14ac:dyDescent="0.25">
      <c r="A5812" s="5">
        <v>30370</v>
      </c>
      <c r="B5812">
        <v>146.78999328613301</v>
      </c>
    </row>
    <row r="5813" spans="1:2" x14ac:dyDescent="0.25">
      <c r="A5813" s="5">
        <v>30371</v>
      </c>
      <c r="B5813">
        <v>149.60000610351599</v>
      </c>
    </row>
    <row r="5814" spans="1:2" x14ac:dyDescent="0.25">
      <c r="A5814" s="5">
        <v>30372</v>
      </c>
      <c r="B5814">
        <v>149.74000549316401</v>
      </c>
    </row>
    <row r="5815" spans="1:2" x14ac:dyDescent="0.25">
      <c r="A5815" s="5">
        <v>30375</v>
      </c>
      <c r="B5815">
        <v>148.05999755859401</v>
      </c>
    </row>
    <row r="5816" spans="1:2" x14ac:dyDescent="0.25">
      <c r="A5816" s="5">
        <v>30376</v>
      </c>
      <c r="B5816">
        <v>150.88000488281199</v>
      </c>
    </row>
    <row r="5817" spans="1:2" x14ac:dyDescent="0.25">
      <c r="A5817" s="5">
        <v>30377</v>
      </c>
      <c r="B5817">
        <v>152.30000305175801</v>
      </c>
    </row>
    <row r="5818" spans="1:2" x14ac:dyDescent="0.25">
      <c r="A5818" s="5">
        <v>30378</v>
      </c>
      <c r="B5818">
        <v>153.47999572753901</v>
      </c>
    </row>
    <row r="5819" spans="1:2" x14ac:dyDescent="0.25">
      <c r="A5819" s="5">
        <v>30379</v>
      </c>
      <c r="B5819">
        <v>153.669998168945</v>
      </c>
    </row>
    <row r="5820" spans="1:2" x14ac:dyDescent="0.25">
      <c r="A5820" s="5">
        <v>30382</v>
      </c>
      <c r="B5820">
        <v>153.669998168945</v>
      </c>
    </row>
    <row r="5821" spans="1:2" x14ac:dyDescent="0.25">
      <c r="A5821" s="5">
        <v>30383</v>
      </c>
      <c r="B5821">
        <v>151.25999450683599</v>
      </c>
    </row>
    <row r="5822" spans="1:2" x14ac:dyDescent="0.25">
      <c r="A5822" s="5">
        <v>30384</v>
      </c>
      <c r="B5822">
        <v>152.86999511718801</v>
      </c>
    </row>
    <row r="5823" spans="1:2" x14ac:dyDescent="0.25">
      <c r="A5823" s="5">
        <v>30385</v>
      </c>
      <c r="B5823">
        <v>151.80000305175801</v>
      </c>
    </row>
    <row r="5824" spans="1:2" x14ac:dyDescent="0.25">
      <c r="A5824" s="5">
        <v>30386</v>
      </c>
      <c r="B5824">
        <v>151.24000549316401</v>
      </c>
    </row>
    <row r="5825" spans="1:2" x14ac:dyDescent="0.25">
      <c r="A5825" s="5">
        <v>30389</v>
      </c>
      <c r="B5825">
        <v>150.830001831055</v>
      </c>
    </row>
    <row r="5826" spans="1:2" x14ac:dyDescent="0.25">
      <c r="A5826" s="5">
        <v>30390</v>
      </c>
      <c r="B5826">
        <v>151.36999511718801</v>
      </c>
    </row>
    <row r="5827" spans="1:2" x14ac:dyDescent="0.25">
      <c r="A5827" s="5">
        <v>30391</v>
      </c>
      <c r="B5827">
        <v>149.80999755859401</v>
      </c>
    </row>
    <row r="5828" spans="1:2" x14ac:dyDescent="0.25">
      <c r="A5828" s="5">
        <v>30392</v>
      </c>
      <c r="B5828">
        <v>149.58999633789099</v>
      </c>
    </row>
    <row r="5829" spans="1:2" x14ac:dyDescent="0.25">
      <c r="A5829" s="5">
        <v>30393</v>
      </c>
      <c r="B5829">
        <v>149.89999389648401</v>
      </c>
    </row>
    <row r="5830" spans="1:2" x14ac:dyDescent="0.25">
      <c r="A5830" s="5">
        <v>30396</v>
      </c>
      <c r="B5830">
        <v>151.19000244140599</v>
      </c>
    </row>
    <row r="5831" spans="1:2" x14ac:dyDescent="0.25">
      <c r="A5831" s="5">
        <v>30397</v>
      </c>
      <c r="B5831">
        <v>150.66000366210901</v>
      </c>
    </row>
    <row r="5832" spans="1:2" x14ac:dyDescent="0.25">
      <c r="A5832" s="5">
        <v>30398</v>
      </c>
      <c r="B5832">
        <v>152.80999755859401</v>
      </c>
    </row>
    <row r="5833" spans="1:2" x14ac:dyDescent="0.25">
      <c r="A5833" s="5">
        <v>30399</v>
      </c>
      <c r="B5833">
        <v>153.36999511718801</v>
      </c>
    </row>
    <row r="5834" spans="1:2" x14ac:dyDescent="0.25">
      <c r="A5834" s="5">
        <v>30400</v>
      </c>
      <c r="B5834">
        <v>152.669998168945</v>
      </c>
    </row>
    <row r="5835" spans="1:2" x14ac:dyDescent="0.25">
      <c r="A5835" s="5">
        <v>30403</v>
      </c>
      <c r="B5835">
        <v>151.85000610351599</v>
      </c>
    </row>
    <row r="5836" spans="1:2" x14ac:dyDescent="0.25">
      <c r="A5836" s="5">
        <v>30404</v>
      </c>
      <c r="B5836">
        <v>151.58999633789099</v>
      </c>
    </row>
    <row r="5837" spans="1:2" x14ac:dyDescent="0.25">
      <c r="A5837" s="5">
        <v>30405</v>
      </c>
      <c r="B5837">
        <v>153.38999938964801</v>
      </c>
    </row>
    <row r="5838" spans="1:2" x14ac:dyDescent="0.25">
      <c r="A5838" s="5">
        <v>30406</v>
      </c>
      <c r="B5838">
        <v>152.96000671386699</v>
      </c>
    </row>
    <row r="5839" spans="1:2" x14ac:dyDescent="0.25">
      <c r="A5839" s="5">
        <v>30410</v>
      </c>
      <c r="B5839">
        <v>153.02000427246099</v>
      </c>
    </row>
    <row r="5840" spans="1:2" x14ac:dyDescent="0.25">
      <c r="A5840" s="5">
        <v>30411</v>
      </c>
      <c r="B5840">
        <v>151.89999389648401</v>
      </c>
    </row>
    <row r="5841" spans="1:2" x14ac:dyDescent="0.25">
      <c r="A5841" s="5">
        <v>30412</v>
      </c>
      <c r="B5841">
        <v>151.03999328613301</v>
      </c>
    </row>
    <row r="5842" spans="1:2" x14ac:dyDescent="0.25">
      <c r="A5842" s="5">
        <v>30413</v>
      </c>
      <c r="B5842">
        <v>151.75999450683599</v>
      </c>
    </row>
    <row r="5843" spans="1:2" x14ac:dyDescent="0.25">
      <c r="A5843" s="5">
        <v>30414</v>
      </c>
      <c r="B5843">
        <v>152.85000610351599</v>
      </c>
    </row>
    <row r="5844" spans="1:2" x14ac:dyDescent="0.25">
      <c r="A5844" s="5">
        <v>30417</v>
      </c>
      <c r="B5844">
        <v>155.13999938964801</v>
      </c>
    </row>
    <row r="5845" spans="1:2" x14ac:dyDescent="0.25">
      <c r="A5845" s="5">
        <v>30418</v>
      </c>
      <c r="B5845">
        <v>155.82000732421901</v>
      </c>
    </row>
    <row r="5846" spans="1:2" x14ac:dyDescent="0.25">
      <c r="A5846" s="5">
        <v>30419</v>
      </c>
      <c r="B5846">
        <v>156.77000427246099</v>
      </c>
    </row>
    <row r="5847" spans="1:2" x14ac:dyDescent="0.25">
      <c r="A5847" s="5">
        <v>30420</v>
      </c>
      <c r="B5847">
        <v>158.11999511718801</v>
      </c>
    </row>
    <row r="5848" spans="1:2" x14ac:dyDescent="0.25">
      <c r="A5848" s="5">
        <v>30421</v>
      </c>
      <c r="B5848">
        <v>158.75</v>
      </c>
    </row>
    <row r="5849" spans="1:2" x14ac:dyDescent="0.25">
      <c r="A5849" s="5">
        <v>30424</v>
      </c>
      <c r="B5849">
        <v>159.74000549316401</v>
      </c>
    </row>
    <row r="5850" spans="1:2" x14ac:dyDescent="0.25">
      <c r="A5850" s="5">
        <v>30425</v>
      </c>
      <c r="B5850">
        <v>158.71000671386699</v>
      </c>
    </row>
    <row r="5851" spans="1:2" x14ac:dyDescent="0.25">
      <c r="A5851" s="5">
        <v>30426</v>
      </c>
      <c r="B5851">
        <v>160.71000671386699</v>
      </c>
    </row>
    <row r="5852" spans="1:2" x14ac:dyDescent="0.25">
      <c r="A5852" s="5">
        <v>30427</v>
      </c>
      <c r="B5852">
        <v>160.05000305175801</v>
      </c>
    </row>
    <row r="5853" spans="1:2" x14ac:dyDescent="0.25">
      <c r="A5853" s="5">
        <v>30428</v>
      </c>
      <c r="B5853">
        <v>160.419998168945</v>
      </c>
    </row>
    <row r="5854" spans="1:2" x14ac:dyDescent="0.25">
      <c r="A5854" s="5">
        <v>30431</v>
      </c>
      <c r="B5854">
        <v>158.80999755859401</v>
      </c>
    </row>
    <row r="5855" spans="1:2" x14ac:dyDescent="0.25">
      <c r="A5855" s="5">
        <v>30432</v>
      </c>
      <c r="B5855">
        <v>161.80999755859401</v>
      </c>
    </row>
    <row r="5856" spans="1:2" x14ac:dyDescent="0.25">
      <c r="A5856" s="5">
        <v>30433</v>
      </c>
      <c r="B5856">
        <v>161.44000244140599</v>
      </c>
    </row>
    <row r="5857" spans="1:2" x14ac:dyDescent="0.25">
      <c r="A5857" s="5">
        <v>30434</v>
      </c>
      <c r="B5857">
        <v>162.94999694824199</v>
      </c>
    </row>
    <row r="5858" spans="1:2" x14ac:dyDescent="0.25">
      <c r="A5858" s="5">
        <v>30435</v>
      </c>
      <c r="B5858">
        <v>164.42999267578099</v>
      </c>
    </row>
    <row r="5859" spans="1:2" x14ac:dyDescent="0.25">
      <c r="A5859" s="5">
        <v>30438</v>
      </c>
      <c r="B5859">
        <v>162.11000061035199</v>
      </c>
    </row>
    <row r="5860" spans="1:2" x14ac:dyDescent="0.25">
      <c r="A5860" s="5">
        <v>30439</v>
      </c>
      <c r="B5860">
        <v>162.33999633789099</v>
      </c>
    </row>
    <row r="5861" spans="1:2" x14ac:dyDescent="0.25">
      <c r="A5861" s="5">
        <v>30440</v>
      </c>
      <c r="B5861">
        <v>163.30999755859401</v>
      </c>
    </row>
    <row r="5862" spans="1:2" x14ac:dyDescent="0.25">
      <c r="A5862" s="5">
        <v>30441</v>
      </c>
      <c r="B5862">
        <v>164.27999877929699</v>
      </c>
    </row>
    <row r="5863" spans="1:2" x14ac:dyDescent="0.25">
      <c r="A5863" s="5">
        <v>30442</v>
      </c>
      <c r="B5863">
        <v>166.10000610351599</v>
      </c>
    </row>
    <row r="5864" spans="1:2" x14ac:dyDescent="0.25">
      <c r="A5864" s="5">
        <v>30445</v>
      </c>
      <c r="B5864">
        <v>165.80999755859401</v>
      </c>
    </row>
    <row r="5865" spans="1:2" x14ac:dyDescent="0.25">
      <c r="A5865" s="5">
        <v>30446</v>
      </c>
      <c r="B5865">
        <v>165.94999694824199</v>
      </c>
    </row>
    <row r="5866" spans="1:2" x14ac:dyDescent="0.25">
      <c r="A5866" s="5">
        <v>30447</v>
      </c>
      <c r="B5866">
        <v>164.96000671386699</v>
      </c>
    </row>
    <row r="5867" spans="1:2" x14ac:dyDescent="0.25">
      <c r="A5867" s="5">
        <v>30448</v>
      </c>
      <c r="B5867">
        <v>164.25</v>
      </c>
    </row>
    <row r="5868" spans="1:2" x14ac:dyDescent="0.25">
      <c r="A5868" s="5">
        <v>30449</v>
      </c>
      <c r="B5868">
        <v>164.91000366210901</v>
      </c>
    </row>
    <row r="5869" spans="1:2" x14ac:dyDescent="0.25">
      <c r="A5869" s="5">
        <v>30452</v>
      </c>
      <c r="B5869">
        <v>163.39999389648401</v>
      </c>
    </row>
    <row r="5870" spans="1:2" x14ac:dyDescent="0.25">
      <c r="A5870" s="5">
        <v>30453</v>
      </c>
      <c r="B5870">
        <v>163.71000671386699</v>
      </c>
    </row>
    <row r="5871" spans="1:2" x14ac:dyDescent="0.25">
      <c r="A5871" s="5">
        <v>30454</v>
      </c>
      <c r="B5871">
        <v>163.27000427246099</v>
      </c>
    </row>
    <row r="5872" spans="1:2" x14ac:dyDescent="0.25">
      <c r="A5872" s="5">
        <v>30455</v>
      </c>
      <c r="B5872">
        <v>161.99000549316401</v>
      </c>
    </row>
    <row r="5873" spans="1:2" x14ac:dyDescent="0.25">
      <c r="A5873" s="5">
        <v>30456</v>
      </c>
      <c r="B5873">
        <v>162.13999938964801</v>
      </c>
    </row>
    <row r="5874" spans="1:2" x14ac:dyDescent="0.25">
      <c r="A5874" s="5">
        <v>30459</v>
      </c>
      <c r="B5874">
        <v>163.42999267578099</v>
      </c>
    </row>
    <row r="5875" spans="1:2" x14ac:dyDescent="0.25">
      <c r="A5875" s="5">
        <v>30460</v>
      </c>
      <c r="B5875">
        <v>165.53999328613301</v>
      </c>
    </row>
    <row r="5876" spans="1:2" x14ac:dyDescent="0.25">
      <c r="A5876" s="5">
        <v>30461</v>
      </c>
      <c r="B5876">
        <v>166.21000671386699</v>
      </c>
    </row>
    <row r="5877" spans="1:2" x14ac:dyDescent="0.25">
      <c r="A5877" s="5">
        <v>30462</v>
      </c>
      <c r="B5877">
        <v>165.47999572753901</v>
      </c>
    </row>
    <row r="5878" spans="1:2" x14ac:dyDescent="0.25">
      <c r="A5878" s="5">
        <v>30463</v>
      </c>
      <c r="B5878">
        <v>164.46000671386699</v>
      </c>
    </row>
    <row r="5879" spans="1:2" x14ac:dyDescent="0.25">
      <c r="A5879" s="5">
        <v>30467</v>
      </c>
      <c r="B5879">
        <v>162.38999938964801</v>
      </c>
    </row>
    <row r="5880" spans="1:2" x14ac:dyDescent="0.25">
      <c r="A5880" s="5">
        <v>30468</v>
      </c>
      <c r="B5880">
        <v>162.55000305175801</v>
      </c>
    </row>
    <row r="5881" spans="1:2" x14ac:dyDescent="0.25">
      <c r="A5881" s="5">
        <v>30469</v>
      </c>
      <c r="B5881">
        <v>163.97999572753901</v>
      </c>
    </row>
    <row r="5882" spans="1:2" x14ac:dyDescent="0.25">
      <c r="A5882" s="5">
        <v>30470</v>
      </c>
      <c r="B5882">
        <v>164.419998168945</v>
      </c>
    </row>
    <row r="5883" spans="1:2" x14ac:dyDescent="0.25">
      <c r="A5883" s="5">
        <v>30473</v>
      </c>
      <c r="B5883">
        <v>164.830001831055</v>
      </c>
    </row>
    <row r="5884" spans="1:2" x14ac:dyDescent="0.25">
      <c r="A5884" s="5">
        <v>30474</v>
      </c>
      <c r="B5884">
        <v>162.77000427246099</v>
      </c>
    </row>
    <row r="5885" spans="1:2" x14ac:dyDescent="0.25">
      <c r="A5885" s="5">
        <v>30475</v>
      </c>
      <c r="B5885">
        <v>161.36000061035199</v>
      </c>
    </row>
    <row r="5886" spans="1:2" x14ac:dyDescent="0.25">
      <c r="A5886" s="5">
        <v>30476</v>
      </c>
      <c r="B5886">
        <v>161.830001831055</v>
      </c>
    </row>
    <row r="5887" spans="1:2" x14ac:dyDescent="0.25">
      <c r="A5887" s="5">
        <v>30477</v>
      </c>
      <c r="B5887">
        <v>162.67999267578099</v>
      </c>
    </row>
    <row r="5888" spans="1:2" x14ac:dyDescent="0.25">
      <c r="A5888" s="5">
        <v>30480</v>
      </c>
      <c r="B5888">
        <v>164.83999633789099</v>
      </c>
    </row>
    <row r="5889" spans="1:2" x14ac:dyDescent="0.25">
      <c r="A5889" s="5">
        <v>30481</v>
      </c>
      <c r="B5889">
        <v>165.52999877929699</v>
      </c>
    </row>
    <row r="5890" spans="1:2" x14ac:dyDescent="0.25">
      <c r="A5890" s="5">
        <v>30482</v>
      </c>
      <c r="B5890">
        <v>167.11999511718801</v>
      </c>
    </row>
    <row r="5891" spans="1:2" x14ac:dyDescent="0.25">
      <c r="A5891" s="5">
        <v>30483</v>
      </c>
      <c r="B5891">
        <v>169.13999938964801</v>
      </c>
    </row>
    <row r="5892" spans="1:2" x14ac:dyDescent="0.25">
      <c r="A5892" s="5">
        <v>30484</v>
      </c>
      <c r="B5892">
        <v>169.13000488281199</v>
      </c>
    </row>
    <row r="5893" spans="1:2" x14ac:dyDescent="0.25">
      <c r="A5893" s="5">
        <v>30487</v>
      </c>
      <c r="B5893">
        <v>169.02000427246099</v>
      </c>
    </row>
    <row r="5894" spans="1:2" x14ac:dyDescent="0.25">
      <c r="A5894" s="5">
        <v>30488</v>
      </c>
      <c r="B5894">
        <v>170.52999877929699</v>
      </c>
    </row>
    <row r="5895" spans="1:2" x14ac:dyDescent="0.25">
      <c r="A5895" s="5">
        <v>30489</v>
      </c>
      <c r="B5895">
        <v>170.99000549316401</v>
      </c>
    </row>
    <row r="5896" spans="1:2" x14ac:dyDescent="0.25">
      <c r="A5896" s="5">
        <v>30490</v>
      </c>
      <c r="B5896">
        <v>170.57000732421901</v>
      </c>
    </row>
    <row r="5897" spans="1:2" x14ac:dyDescent="0.25">
      <c r="A5897" s="5">
        <v>30491</v>
      </c>
      <c r="B5897">
        <v>170.41000366210901</v>
      </c>
    </row>
    <row r="5898" spans="1:2" x14ac:dyDescent="0.25">
      <c r="A5898" s="5">
        <v>30494</v>
      </c>
      <c r="B5898">
        <v>168.46000671386699</v>
      </c>
    </row>
    <row r="5899" spans="1:2" x14ac:dyDescent="0.25">
      <c r="A5899" s="5">
        <v>30495</v>
      </c>
      <c r="B5899">
        <v>165.67999267578099</v>
      </c>
    </row>
    <row r="5900" spans="1:2" x14ac:dyDescent="0.25">
      <c r="A5900" s="5">
        <v>30496</v>
      </c>
      <c r="B5900">
        <v>166.63999938964801</v>
      </c>
    </row>
    <row r="5901" spans="1:2" x14ac:dyDescent="0.25">
      <c r="A5901" s="5">
        <v>30497</v>
      </c>
      <c r="B5901">
        <v>167.63999938964801</v>
      </c>
    </row>
    <row r="5902" spans="1:2" x14ac:dyDescent="0.25">
      <c r="A5902" s="5">
        <v>30498</v>
      </c>
      <c r="B5902">
        <v>168.63999938964801</v>
      </c>
    </row>
    <row r="5903" spans="1:2" x14ac:dyDescent="0.25">
      <c r="A5903" s="5">
        <v>30502</v>
      </c>
      <c r="B5903">
        <v>166.60000610351599</v>
      </c>
    </row>
    <row r="5904" spans="1:2" x14ac:dyDescent="0.25">
      <c r="A5904" s="5">
        <v>30503</v>
      </c>
      <c r="B5904">
        <v>168.47999572753901</v>
      </c>
    </row>
    <row r="5905" spans="1:2" x14ac:dyDescent="0.25">
      <c r="A5905" s="5">
        <v>30504</v>
      </c>
      <c r="B5905">
        <v>167.55999755859401</v>
      </c>
    </row>
    <row r="5906" spans="1:2" x14ac:dyDescent="0.25">
      <c r="A5906" s="5">
        <v>30505</v>
      </c>
      <c r="B5906">
        <v>167.080001831055</v>
      </c>
    </row>
    <row r="5907" spans="1:2" x14ac:dyDescent="0.25">
      <c r="A5907" s="5">
        <v>30508</v>
      </c>
      <c r="B5907">
        <v>168.11000061035199</v>
      </c>
    </row>
    <row r="5908" spans="1:2" x14ac:dyDescent="0.25">
      <c r="A5908" s="5">
        <v>30509</v>
      </c>
      <c r="B5908">
        <v>165.52999877929699</v>
      </c>
    </row>
    <row r="5909" spans="1:2" x14ac:dyDescent="0.25">
      <c r="A5909" s="5">
        <v>30510</v>
      </c>
      <c r="B5909">
        <v>165.46000671386699</v>
      </c>
    </row>
    <row r="5910" spans="1:2" x14ac:dyDescent="0.25">
      <c r="A5910" s="5">
        <v>30511</v>
      </c>
      <c r="B5910">
        <v>166.00999450683599</v>
      </c>
    </row>
    <row r="5911" spans="1:2" x14ac:dyDescent="0.25">
      <c r="A5911" s="5">
        <v>30512</v>
      </c>
      <c r="B5911">
        <v>164.28999328613301</v>
      </c>
    </row>
    <row r="5912" spans="1:2" x14ac:dyDescent="0.25">
      <c r="A5912" s="5">
        <v>30515</v>
      </c>
      <c r="B5912">
        <v>163.94999694824199</v>
      </c>
    </row>
    <row r="5913" spans="1:2" x14ac:dyDescent="0.25">
      <c r="A5913" s="5">
        <v>30516</v>
      </c>
      <c r="B5913">
        <v>164.82000732421901</v>
      </c>
    </row>
    <row r="5914" spans="1:2" x14ac:dyDescent="0.25">
      <c r="A5914" s="5">
        <v>30517</v>
      </c>
      <c r="B5914">
        <v>169.28999328613301</v>
      </c>
    </row>
    <row r="5915" spans="1:2" x14ac:dyDescent="0.25">
      <c r="A5915" s="5">
        <v>30518</v>
      </c>
      <c r="B5915">
        <v>169.05999755859401</v>
      </c>
    </row>
    <row r="5916" spans="1:2" x14ac:dyDescent="0.25">
      <c r="A5916" s="5">
        <v>30519</v>
      </c>
      <c r="B5916">
        <v>168.88999938964801</v>
      </c>
    </row>
    <row r="5917" spans="1:2" x14ac:dyDescent="0.25">
      <c r="A5917" s="5">
        <v>30522</v>
      </c>
      <c r="B5917">
        <v>169.52999877929699</v>
      </c>
    </row>
    <row r="5918" spans="1:2" x14ac:dyDescent="0.25">
      <c r="A5918" s="5">
        <v>30523</v>
      </c>
      <c r="B5918">
        <v>170.52999877929699</v>
      </c>
    </row>
    <row r="5919" spans="1:2" x14ac:dyDescent="0.25">
      <c r="A5919" s="5">
        <v>30524</v>
      </c>
      <c r="B5919">
        <v>167.58999633789099</v>
      </c>
    </row>
    <row r="5920" spans="1:2" x14ac:dyDescent="0.25">
      <c r="A5920" s="5">
        <v>30525</v>
      </c>
      <c r="B5920">
        <v>165.03999328613301</v>
      </c>
    </row>
    <row r="5921" spans="1:2" x14ac:dyDescent="0.25">
      <c r="A5921" s="5">
        <v>30526</v>
      </c>
      <c r="B5921">
        <v>162.55999755859401</v>
      </c>
    </row>
    <row r="5922" spans="1:2" x14ac:dyDescent="0.25">
      <c r="A5922" s="5">
        <v>30529</v>
      </c>
      <c r="B5922">
        <v>162.03999328613301</v>
      </c>
    </row>
    <row r="5923" spans="1:2" x14ac:dyDescent="0.25">
      <c r="A5923" s="5">
        <v>30530</v>
      </c>
      <c r="B5923">
        <v>162.00999450683599</v>
      </c>
    </row>
    <row r="5924" spans="1:2" x14ac:dyDescent="0.25">
      <c r="A5924" s="5">
        <v>30531</v>
      </c>
      <c r="B5924">
        <v>163.44000244140599</v>
      </c>
    </row>
    <row r="5925" spans="1:2" x14ac:dyDescent="0.25">
      <c r="A5925" s="5">
        <v>30532</v>
      </c>
      <c r="B5925">
        <v>161.330001831055</v>
      </c>
    </row>
    <row r="5926" spans="1:2" x14ac:dyDescent="0.25">
      <c r="A5926" s="5">
        <v>30533</v>
      </c>
      <c r="B5926">
        <v>161.74000549316401</v>
      </c>
    </row>
    <row r="5927" spans="1:2" x14ac:dyDescent="0.25">
      <c r="A5927" s="5">
        <v>30536</v>
      </c>
      <c r="B5927">
        <v>159.17999267578099</v>
      </c>
    </row>
    <row r="5928" spans="1:2" x14ac:dyDescent="0.25">
      <c r="A5928" s="5">
        <v>30537</v>
      </c>
      <c r="B5928">
        <v>160.13000488281199</v>
      </c>
    </row>
    <row r="5929" spans="1:2" x14ac:dyDescent="0.25">
      <c r="A5929" s="5">
        <v>30538</v>
      </c>
      <c r="B5929">
        <v>161.53999328613301</v>
      </c>
    </row>
    <row r="5930" spans="1:2" x14ac:dyDescent="0.25">
      <c r="A5930" s="5">
        <v>30539</v>
      </c>
      <c r="B5930">
        <v>161.53999328613301</v>
      </c>
    </row>
    <row r="5931" spans="1:2" x14ac:dyDescent="0.25">
      <c r="A5931" s="5">
        <v>30540</v>
      </c>
      <c r="B5931">
        <v>162.16000366210901</v>
      </c>
    </row>
    <row r="5932" spans="1:2" x14ac:dyDescent="0.25">
      <c r="A5932" s="5">
        <v>30543</v>
      </c>
      <c r="B5932">
        <v>163.69999694824199</v>
      </c>
    </row>
    <row r="5933" spans="1:2" x14ac:dyDescent="0.25">
      <c r="A5933" s="5">
        <v>30544</v>
      </c>
      <c r="B5933">
        <v>163.41000366210901</v>
      </c>
    </row>
    <row r="5934" spans="1:2" x14ac:dyDescent="0.25">
      <c r="A5934" s="5">
        <v>30545</v>
      </c>
      <c r="B5934">
        <v>165.28999328613301</v>
      </c>
    </row>
    <row r="5935" spans="1:2" x14ac:dyDescent="0.25">
      <c r="A5935" s="5">
        <v>30546</v>
      </c>
      <c r="B5935">
        <v>163.55000305175801</v>
      </c>
    </row>
    <row r="5936" spans="1:2" x14ac:dyDescent="0.25">
      <c r="A5936" s="5">
        <v>30547</v>
      </c>
      <c r="B5936">
        <v>163.97999572753901</v>
      </c>
    </row>
    <row r="5937" spans="1:2" x14ac:dyDescent="0.25">
      <c r="A5937" s="5">
        <v>30550</v>
      </c>
      <c r="B5937">
        <v>164.33999633789099</v>
      </c>
    </row>
    <row r="5938" spans="1:2" x14ac:dyDescent="0.25">
      <c r="A5938" s="5">
        <v>30551</v>
      </c>
      <c r="B5938">
        <v>162.77000427246099</v>
      </c>
    </row>
    <row r="5939" spans="1:2" x14ac:dyDescent="0.25">
      <c r="A5939" s="5">
        <v>30552</v>
      </c>
      <c r="B5939">
        <v>161.25</v>
      </c>
    </row>
    <row r="5940" spans="1:2" x14ac:dyDescent="0.25">
      <c r="A5940" s="5">
        <v>30553</v>
      </c>
      <c r="B5940">
        <v>160.83999633789099</v>
      </c>
    </row>
    <row r="5941" spans="1:2" x14ac:dyDescent="0.25">
      <c r="A5941" s="5">
        <v>30554</v>
      </c>
      <c r="B5941">
        <v>162.13999938964801</v>
      </c>
    </row>
    <row r="5942" spans="1:2" x14ac:dyDescent="0.25">
      <c r="A5942" s="5">
        <v>30557</v>
      </c>
      <c r="B5942">
        <v>162.25</v>
      </c>
    </row>
    <row r="5943" spans="1:2" x14ac:dyDescent="0.25">
      <c r="A5943" s="5">
        <v>30558</v>
      </c>
      <c r="B5943">
        <v>162.580001831055</v>
      </c>
    </row>
    <row r="5944" spans="1:2" x14ac:dyDescent="0.25">
      <c r="A5944" s="5">
        <v>30559</v>
      </c>
      <c r="B5944">
        <v>164.39999389648401</v>
      </c>
    </row>
    <row r="5945" spans="1:2" x14ac:dyDescent="0.25">
      <c r="A5945" s="5">
        <v>30560</v>
      </c>
      <c r="B5945">
        <v>164.22999572753901</v>
      </c>
    </row>
    <row r="5946" spans="1:2" x14ac:dyDescent="0.25">
      <c r="A5946" s="5">
        <v>30561</v>
      </c>
      <c r="B5946">
        <v>165</v>
      </c>
    </row>
    <row r="5947" spans="1:2" x14ac:dyDescent="0.25">
      <c r="A5947" s="5">
        <v>30565</v>
      </c>
      <c r="B5947">
        <v>167.88999938964801</v>
      </c>
    </row>
    <row r="5948" spans="1:2" x14ac:dyDescent="0.25">
      <c r="A5948" s="5">
        <v>30566</v>
      </c>
      <c r="B5948">
        <v>167.96000671386699</v>
      </c>
    </row>
    <row r="5949" spans="1:2" x14ac:dyDescent="0.25">
      <c r="A5949" s="5">
        <v>30567</v>
      </c>
      <c r="B5949">
        <v>167.77000427246099</v>
      </c>
    </row>
    <row r="5950" spans="1:2" x14ac:dyDescent="0.25">
      <c r="A5950" s="5">
        <v>30568</v>
      </c>
      <c r="B5950">
        <v>166.919998168945</v>
      </c>
    </row>
    <row r="5951" spans="1:2" x14ac:dyDescent="0.25">
      <c r="A5951" s="5">
        <v>30571</v>
      </c>
      <c r="B5951">
        <v>165.47999572753901</v>
      </c>
    </row>
    <row r="5952" spans="1:2" x14ac:dyDescent="0.25">
      <c r="A5952" s="5">
        <v>30572</v>
      </c>
      <c r="B5952">
        <v>164.80000305175801</v>
      </c>
    </row>
    <row r="5953" spans="1:2" x14ac:dyDescent="0.25">
      <c r="A5953" s="5">
        <v>30573</v>
      </c>
      <c r="B5953">
        <v>165.35000610351599</v>
      </c>
    </row>
    <row r="5954" spans="1:2" x14ac:dyDescent="0.25">
      <c r="A5954" s="5">
        <v>30574</v>
      </c>
      <c r="B5954">
        <v>164.38000488281199</v>
      </c>
    </row>
    <row r="5955" spans="1:2" x14ac:dyDescent="0.25">
      <c r="A5955" s="5">
        <v>30575</v>
      </c>
      <c r="B5955">
        <v>166.25</v>
      </c>
    </row>
    <row r="5956" spans="1:2" x14ac:dyDescent="0.25">
      <c r="A5956" s="5">
        <v>30578</v>
      </c>
      <c r="B5956">
        <v>167.61999511718801</v>
      </c>
    </row>
    <row r="5957" spans="1:2" x14ac:dyDescent="0.25">
      <c r="A5957" s="5">
        <v>30579</v>
      </c>
      <c r="B5957">
        <v>169.24000549316401</v>
      </c>
    </row>
    <row r="5958" spans="1:2" x14ac:dyDescent="0.25">
      <c r="A5958" s="5">
        <v>30580</v>
      </c>
      <c r="B5958">
        <v>168.41000366210901</v>
      </c>
    </row>
    <row r="5959" spans="1:2" x14ac:dyDescent="0.25">
      <c r="A5959" s="5">
        <v>30581</v>
      </c>
      <c r="B5959">
        <v>169.75999450683599</v>
      </c>
    </row>
    <row r="5960" spans="1:2" x14ac:dyDescent="0.25">
      <c r="A5960" s="5">
        <v>30582</v>
      </c>
      <c r="B5960">
        <v>169.50999450683599</v>
      </c>
    </row>
    <row r="5961" spans="1:2" x14ac:dyDescent="0.25">
      <c r="A5961" s="5">
        <v>30585</v>
      </c>
      <c r="B5961">
        <v>170.07000732421901</v>
      </c>
    </row>
    <row r="5962" spans="1:2" x14ac:dyDescent="0.25">
      <c r="A5962" s="5">
        <v>30586</v>
      </c>
      <c r="B5962">
        <v>168.42999267578099</v>
      </c>
    </row>
    <row r="5963" spans="1:2" x14ac:dyDescent="0.25">
      <c r="A5963" s="5">
        <v>30587</v>
      </c>
      <c r="B5963">
        <v>168</v>
      </c>
    </row>
    <row r="5964" spans="1:2" x14ac:dyDescent="0.25">
      <c r="A5964" s="5">
        <v>30588</v>
      </c>
      <c r="B5964">
        <v>167.22999572753901</v>
      </c>
    </row>
    <row r="5965" spans="1:2" x14ac:dyDescent="0.25">
      <c r="A5965" s="5">
        <v>30589</v>
      </c>
      <c r="B5965">
        <v>166.07000732421901</v>
      </c>
    </row>
    <row r="5966" spans="1:2" x14ac:dyDescent="0.25">
      <c r="A5966" s="5">
        <v>30592</v>
      </c>
      <c r="B5966">
        <v>165.80999755859401</v>
      </c>
    </row>
    <row r="5967" spans="1:2" x14ac:dyDescent="0.25">
      <c r="A5967" s="5">
        <v>30593</v>
      </c>
      <c r="B5967">
        <v>166.27000427246099</v>
      </c>
    </row>
    <row r="5968" spans="1:2" x14ac:dyDescent="0.25">
      <c r="A5968" s="5">
        <v>30594</v>
      </c>
      <c r="B5968">
        <v>167.74000549316401</v>
      </c>
    </row>
    <row r="5969" spans="1:2" x14ac:dyDescent="0.25">
      <c r="A5969" s="5">
        <v>30595</v>
      </c>
      <c r="B5969">
        <v>170.27999877929699</v>
      </c>
    </row>
    <row r="5970" spans="1:2" x14ac:dyDescent="0.25">
      <c r="A5970" s="5">
        <v>30596</v>
      </c>
      <c r="B5970">
        <v>170.80000305175801</v>
      </c>
    </row>
    <row r="5971" spans="1:2" x14ac:dyDescent="0.25">
      <c r="A5971" s="5">
        <v>30599</v>
      </c>
      <c r="B5971">
        <v>172.64999389648401</v>
      </c>
    </row>
    <row r="5972" spans="1:2" x14ac:dyDescent="0.25">
      <c r="A5972" s="5">
        <v>30600</v>
      </c>
      <c r="B5972">
        <v>170.33999633789099</v>
      </c>
    </row>
    <row r="5973" spans="1:2" x14ac:dyDescent="0.25">
      <c r="A5973" s="5">
        <v>30601</v>
      </c>
      <c r="B5973">
        <v>169.61999511718801</v>
      </c>
    </row>
    <row r="5974" spans="1:2" x14ac:dyDescent="0.25">
      <c r="A5974" s="5">
        <v>30602</v>
      </c>
      <c r="B5974">
        <v>169.86999511718801</v>
      </c>
    </row>
    <row r="5975" spans="1:2" x14ac:dyDescent="0.25">
      <c r="A5975" s="5">
        <v>30603</v>
      </c>
      <c r="B5975">
        <v>169.86000061035199</v>
      </c>
    </row>
    <row r="5976" spans="1:2" x14ac:dyDescent="0.25">
      <c r="A5976" s="5">
        <v>30606</v>
      </c>
      <c r="B5976">
        <v>170.42999267578099</v>
      </c>
    </row>
    <row r="5977" spans="1:2" x14ac:dyDescent="0.25">
      <c r="A5977" s="5">
        <v>30607</v>
      </c>
      <c r="B5977">
        <v>167.80999755859401</v>
      </c>
    </row>
    <row r="5978" spans="1:2" x14ac:dyDescent="0.25">
      <c r="A5978" s="5">
        <v>30608</v>
      </c>
      <c r="B5978">
        <v>166.72999572753901</v>
      </c>
    </row>
    <row r="5979" spans="1:2" x14ac:dyDescent="0.25">
      <c r="A5979" s="5">
        <v>30609</v>
      </c>
      <c r="B5979">
        <v>166.97999572753901</v>
      </c>
    </row>
    <row r="5980" spans="1:2" x14ac:dyDescent="0.25">
      <c r="A5980" s="5">
        <v>30610</v>
      </c>
      <c r="B5980">
        <v>165.94999694824199</v>
      </c>
    </row>
    <row r="5981" spans="1:2" x14ac:dyDescent="0.25">
      <c r="A5981" s="5">
        <v>30613</v>
      </c>
      <c r="B5981">
        <v>165.99000549316401</v>
      </c>
    </row>
    <row r="5982" spans="1:2" x14ac:dyDescent="0.25">
      <c r="A5982" s="5">
        <v>30614</v>
      </c>
      <c r="B5982">
        <v>166.47000122070301</v>
      </c>
    </row>
    <row r="5983" spans="1:2" x14ac:dyDescent="0.25">
      <c r="A5983" s="5">
        <v>30615</v>
      </c>
      <c r="B5983">
        <v>165.38000488281199</v>
      </c>
    </row>
    <row r="5984" spans="1:2" x14ac:dyDescent="0.25">
      <c r="A5984" s="5">
        <v>30616</v>
      </c>
      <c r="B5984">
        <v>164.83999633789099</v>
      </c>
    </row>
    <row r="5985" spans="1:2" x14ac:dyDescent="0.25">
      <c r="A5985" s="5">
        <v>30617</v>
      </c>
      <c r="B5985">
        <v>163.36999511718801</v>
      </c>
    </row>
    <row r="5986" spans="1:2" x14ac:dyDescent="0.25">
      <c r="A5986" s="5">
        <v>30620</v>
      </c>
      <c r="B5986">
        <v>163.55000305175801</v>
      </c>
    </row>
    <row r="5987" spans="1:2" x14ac:dyDescent="0.25">
      <c r="A5987" s="5">
        <v>30621</v>
      </c>
      <c r="B5987">
        <v>163.66000366210901</v>
      </c>
    </row>
    <row r="5988" spans="1:2" x14ac:dyDescent="0.25">
      <c r="A5988" s="5">
        <v>30622</v>
      </c>
      <c r="B5988">
        <v>164.83999633789099</v>
      </c>
    </row>
    <row r="5989" spans="1:2" x14ac:dyDescent="0.25">
      <c r="A5989" s="5">
        <v>30623</v>
      </c>
      <c r="B5989">
        <v>163.44999694824199</v>
      </c>
    </row>
    <row r="5990" spans="1:2" x14ac:dyDescent="0.25">
      <c r="A5990" s="5">
        <v>30624</v>
      </c>
      <c r="B5990">
        <v>162.44000244140599</v>
      </c>
    </row>
    <row r="5991" spans="1:2" x14ac:dyDescent="0.25">
      <c r="A5991" s="5">
        <v>30627</v>
      </c>
      <c r="B5991">
        <v>161.91000366210901</v>
      </c>
    </row>
    <row r="5992" spans="1:2" x14ac:dyDescent="0.25">
      <c r="A5992" s="5">
        <v>30628</v>
      </c>
      <c r="B5992">
        <v>161.75999450683599</v>
      </c>
    </row>
    <row r="5993" spans="1:2" x14ac:dyDescent="0.25">
      <c r="A5993" s="5">
        <v>30629</v>
      </c>
      <c r="B5993">
        <v>163.97000122070301</v>
      </c>
    </row>
    <row r="5994" spans="1:2" x14ac:dyDescent="0.25">
      <c r="A5994" s="5">
        <v>30630</v>
      </c>
      <c r="B5994">
        <v>164.41000366210901</v>
      </c>
    </row>
    <row r="5995" spans="1:2" x14ac:dyDescent="0.25">
      <c r="A5995" s="5">
        <v>30631</v>
      </c>
      <c r="B5995">
        <v>166.28999328613301</v>
      </c>
    </row>
    <row r="5996" spans="1:2" x14ac:dyDescent="0.25">
      <c r="A5996" s="5">
        <v>30634</v>
      </c>
      <c r="B5996">
        <v>166.580001831055</v>
      </c>
    </row>
    <row r="5997" spans="1:2" x14ac:dyDescent="0.25">
      <c r="A5997" s="5">
        <v>30635</v>
      </c>
      <c r="B5997">
        <v>165.36000061035199</v>
      </c>
    </row>
    <row r="5998" spans="1:2" x14ac:dyDescent="0.25">
      <c r="A5998" s="5">
        <v>30636</v>
      </c>
      <c r="B5998">
        <v>166.080001831055</v>
      </c>
    </row>
    <row r="5999" spans="1:2" x14ac:dyDescent="0.25">
      <c r="A5999" s="5">
        <v>30637</v>
      </c>
      <c r="B5999">
        <v>166.13000488281199</v>
      </c>
    </row>
    <row r="6000" spans="1:2" x14ac:dyDescent="0.25">
      <c r="A6000" s="5">
        <v>30638</v>
      </c>
      <c r="B6000">
        <v>165.08999633789099</v>
      </c>
    </row>
    <row r="6001" spans="1:2" x14ac:dyDescent="0.25">
      <c r="A6001" s="5">
        <v>30641</v>
      </c>
      <c r="B6001">
        <v>166.05000305175801</v>
      </c>
    </row>
    <row r="6002" spans="1:2" x14ac:dyDescent="0.25">
      <c r="A6002" s="5">
        <v>30642</v>
      </c>
      <c r="B6002">
        <v>166.83999633789099</v>
      </c>
    </row>
    <row r="6003" spans="1:2" x14ac:dyDescent="0.25">
      <c r="A6003" s="5">
        <v>30643</v>
      </c>
      <c r="B6003">
        <v>166.96000671386699</v>
      </c>
    </row>
    <row r="6004" spans="1:2" x14ac:dyDescent="0.25">
      <c r="A6004" s="5">
        <v>30645</v>
      </c>
      <c r="B6004">
        <v>167.17999267578099</v>
      </c>
    </row>
    <row r="6005" spans="1:2" x14ac:dyDescent="0.25">
      <c r="A6005" s="5">
        <v>30648</v>
      </c>
      <c r="B6005">
        <v>166.53999328613301</v>
      </c>
    </row>
    <row r="6006" spans="1:2" x14ac:dyDescent="0.25">
      <c r="A6006" s="5">
        <v>30649</v>
      </c>
      <c r="B6006">
        <v>167.91000366210901</v>
      </c>
    </row>
    <row r="6007" spans="1:2" x14ac:dyDescent="0.25">
      <c r="A6007" s="5">
        <v>30650</v>
      </c>
      <c r="B6007">
        <v>166.39999389648401</v>
      </c>
    </row>
    <row r="6008" spans="1:2" x14ac:dyDescent="0.25">
      <c r="A6008" s="5">
        <v>30651</v>
      </c>
      <c r="B6008">
        <v>166.49000549316401</v>
      </c>
    </row>
    <row r="6009" spans="1:2" x14ac:dyDescent="0.25">
      <c r="A6009" s="5">
        <v>30652</v>
      </c>
      <c r="B6009">
        <v>165.44000244140599</v>
      </c>
    </row>
    <row r="6010" spans="1:2" x14ac:dyDescent="0.25">
      <c r="A6010" s="5">
        <v>30655</v>
      </c>
      <c r="B6010">
        <v>165.75999450683599</v>
      </c>
    </row>
    <row r="6011" spans="1:2" x14ac:dyDescent="0.25">
      <c r="A6011" s="5">
        <v>30656</v>
      </c>
      <c r="B6011">
        <v>165.47000122070301</v>
      </c>
    </row>
    <row r="6012" spans="1:2" x14ac:dyDescent="0.25">
      <c r="A6012" s="5">
        <v>30657</v>
      </c>
      <c r="B6012">
        <v>165.91000366210901</v>
      </c>
    </row>
    <row r="6013" spans="1:2" x14ac:dyDescent="0.25">
      <c r="A6013" s="5">
        <v>30658</v>
      </c>
      <c r="B6013">
        <v>165.19999694824199</v>
      </c>
    </row>
    <row r="6014" spans="1:2" x14ac:dyDescent="0.25">
      <c r="A6014" s="5">
        <v>30659</v>
      </c>
      <c r="B6014">
        <v>165.080001831055</v>
      </c>
    </row>
    <row r="6015" spans="1:2" x14ac:dyDescent="0.25">
      <c r="A6015" s="5">
        <v>30662</v>
      </c>
      <c r="B6015">
        <v>165.61999511718801</v>
      </c>
    </row>
    <row r="6016" spans="1:2" x14ac:dyDescent="0.25">
      <c r="A6016" s="5">
        <v>30663</v>
      </c>
      <c r="B6016">
        <v>164.92999267578099</v>
      </c>
    </row>
    <row r="6017" spans="1:2" x14ac:dyDescent="0.25">
      <c r="A6017" s="5">
        <v>30664</v>
      </c>
      <c r="B6017">
        <v>163.330001831055</v>
      </c>
    </row>
    <row r="6018" spans="1:2" x14ac:dyDescent="0.25">
      <c r="A6018" s="5">
        <v>30665</v>
      </c>
      <c r="B6018">
        <v>161.66000366210901</v>
      </c>
    </row>
    <row r="6019" spans="1:2" x14ac:dyDescent="0.25">
      <c r="A6019" s="5">
        <v>30666</v>
      </c>
      <c r="B6019">
        <v>162.38999938964801</v>
      </c>
    </row>
    <row r="6020" spans="1:2" x14ac:dyDescent="0.25">
      <c r="A6020" s="5">
        <v>30669</v>
      </c>
      <c r="B6020">
        <v>162.32000732421901</v>
      </c>
    </row>
    <row r="6021" spans="1:2" x14ac:dyDescent="0.25">
      <c r="A6021" s="5">
        <v>30670</v>
      </c>
      <c r="B6021">
        <v>162</v>
      </c>
    </row>
    <row r="6022" spans="1:2" x14ac:dyDescent="0.25">
      <c r="A6022" s="5">
        <v>30671</v>
      </c>
      <c r="B6022">
        <v>163.55999755859401</v>
      </c>
    </row>
    <row r="6023" spans="1:2" x14ac:dyDescent="0.25">
      <c r="A6023" s="5">
        <v>30672</v>
      </c>
      <c r="B6023">
        <v>163.52999877929699</v>
      </c>
    </row>
    <row r="6024" spans="1:2" x14ac:dyDescent="0.25">
      <c r="A6024" s="5">
        <v>30673</v>
      </c>
      <c r="B6024">
        <v>163.22000122070301</v>
      </c>
    </row>
    <row r="6025" spans="1:2" x14ac:dyDescent="0.25">
      <c r="A6025" s="5">
        <v>30677</v>
      </c>
      <c r="B6025">
        <v>164.75999450683599</v>
      </c>
    </row>
    <row r="6026" spans="1:2" x14ac:dyDescent="0.25">
      <c r="A6026" s="5">
        <v>30678</v>
      </c>
      <c r="B6026">
        <v>165.33999633789099</v>
      </c>
    </row>
    <row r="6027" spans="1:2" x14ac:dyDescent="0.25">
      <c r="A6027" s="5">
        <v>30679</v>
      </c>
      <c r="B6027">
        <v>164.86000061035199</v>
      </c>
    </row>
    <row r="6028" spans="1:2" x14ac:dyDescent="0.25">
      <c r="A6028" s="5">
        <v>30680</v>
      </c>
      <c r="B6028">
        <v>164.92999267578099</v>
      </c>
    </row>
    <row r="6029" spans="1:2" x14ac:dyDescent="0.25">
      <c r="A6029" s="5">
        <v>30684</v>
      </c>
      <c r="B6029">
        <v>164.03999328613301</v>
      </c>
    </row>
    <row r="6030" spans="1:2" x14ac:dyDescent="0.25">
      <c r="A6030" s="5">
        <v>30685</v>
      </c>
      <c r="B6030">
        <v>166.77999877929699</v>
      </c>
    </row>
    <row r="6031" spans="1:2" x14ac:dyDescent="0.25">
      <c r="A6031" s="5">
        <v>30686</v>
      </c>
      <c r="B6031">
        <v>168.80999755859401</v>
      </c>
    </row>
    <row r="6032" spans="1:2" x14ac:dyDescent="0.25">
      <c r="A6032" s="5">
        <v>30687</v>
      </c>
      <c r="B6032">
        <v>169.27999877929699</v>
      </c>
    </row>
    <row r="6033" spans="1:2" x14ac:dyDescent="0.25">
      <c r="A6033" s="5">
        <v>30690</v>
      </c>
      <c r="B6033">
        <v>168.89999389648401</v>
      </c>
    </row>
    <row r="6034" spans="1:2" x14ac:dyDescent="0.25">
      <c r="A6034" s="5">
        <v>30691</v>
      </c>
      <c r="B6034">
        <v>167.94999694824199</v>
      </c>
    </row>
    <row r="6035" spans="1:2" x14ac:dyDescent="0.25">
      <c r="A6035" s="5">
        <v>30692</v>
      </c>
      <c r="B6035">
        <v>167.80000305175801</v>
      </c>
    </row>
    <row r="6036" spans="1:2" x14ac:dyDescent="0.25">
      <c r="A6036" s="5">
        <v>30693</v>
      </c>
      <c r="B6036">
        <v>167.75</v>
      </c>
    </row>
    <row r="6037" spans="1:2" x14ac:dyDescent="0.25">
      <c r="A6037" s="5">
        <v>30694</v>
      </c>
      <c r="B6037">
        <v>167.02000427246099</v>
      </c>
    </row>
    <row r="6038" spans="1:2" x14ac:dyDescent="0.25">
      <c r="A6038" s="5">
        <v>30697</v>
      </c>
      <c r="B6038">
        <v>167.17999267578099</v>
      </c>
    </row>
    <row r="6039" spans="1:2" x14ac:dyDescent="0.25">
      <c r="A6039" s="5">
        <v>30698</v>
      </c>
      <c r="B6039">
        <v>167.830001831055</v>
      </c>
    </row>
    <row r="6040" spans="1:2" x14ac:dyDescent="0.25">
      <c r="A6040" s="5">
        <v>30699</v>
      </c>
      <c r="B6040">
        <v>167.55000305175801</v>
      </c>
    </row>
    <row r="6041" spans="1:2" x14ac:dyDescent="0.25">
      <c r="A6041" s="5">
        <v>30700</v>
      </c>
      <c r="B6041">
        <v>167.03999328613301</v>
      </c>
    </row>
    <row r="6042" spans="1:2" x14ac:dyDescent="0.25">
      <c r="A6042" s="5">
        <v>30701</v>
      </c>
      <c r="B6042">
        <v>166.21000671386699</v>
      </c>
    </row>
    <row r="6043" spans="1:2" x14ac:dyDescent="0.25">
      <c r="A6043" s="5">
        <v>30704</v>
      </c>
      <c r="B6043">
        <v>164.86999511718801</v>
      </c>
    </row>
    <row r="6044" spans="1:2" x14ac:dyDescent="0.25">
      <c r="A6044" s="5">
        <v>30705</v>
      </c>
      <c r="B6044">
        <v>165.94000244140599</v>
      </c>
    </row>
    <row r="6045" spans="1:2" x14ac:dyDescent="0.25">
      <c r="A6045" s="5">
        <v>30706</v>
      </c>
      <c r="B6045">
        <v>164.83999633789099</v>
      </c>
    </row>
    <row r="6046" spans="1:2" x14ac:dyDescent="0.25">
      <c r="A6046" s="5">
        <v>30707</v>
      </c>
      <c r="B6046">
        <v>164.24000549316401</v>
      </c>
    </row>
    <row r="6047" spans="1:2" x14ac:dyDescent="0.25">
      <c r="A6047" s="5">
        <v>30708</v>
      </c>
      <c r="B6047">
        <v>163.94000244140599</v>
      </c>
    </row>
    <row r="6048" spans="1:2" x14ac:dyDescent="0.25">
      <c r="A6048" s="5">
        <v>30711</v>
      </c>
      <c r="B6048">
        <v>162.86999511718801</v>
      </c>
    </row>
    <row r="6049" spans="1:2" x14ac:dyDescent="0.25">
      <c r="A6049" s="5">
        <v>30712</v>
      </c>
      <c r="B6049">
        <v>163.41000366210901</v>
      </c>
    </row>
    <row r="6050" spans="1:2" x14ac:dyDescent="0.25">
      <c r="A6050" s="5">
        <v>30713</v>
      </c>
      <c r="B6050">
        <v>162.74000549316401</v>
      </c>
    </row>
    <row r="6051" spans="1:2" x14ac:dyDescent="0.25">
      <c r="A6051" s="5">
        <v>30714</v>
      </c>
      <c r="B6051">
        <v>163.36000061035199</v>
      </c>
    </row>
    <row r="6052" spans="1:2" x14ac:dyDescent="0.25">
      <c r="A6052" s="5">
        <v>30715</v>
      </c>
      <c r="B6052">
        <v>160.91000366210901</v>
      </c>
    </row>
    <row r="6053" spans="1:2" x14ac:dyDescent="0.25">
      <c r="A6053" s="5">
        <v>30718</v>
      </c>
      <c r="B6053">
        <v>158.080001831055</v>
      </c>
    </row>
    <row r="6054" spans="1:2" x14ac:dyDescent="0.25">
      <c r="A6054" s="5">
        <v>30719</v>
      </c>
      <c r="B6054">
        <v>158.74000549316401</v>
      </c>
    </row>
    <row r="6055" spans="1:2" x14ac:dyDescent="0.25">
      <c r="A6055" s="5">
        <v>30720</v>
      </c>
      <c r="B6055">
        <v>155.85000610351599</v>
      </c>
    </row>
    <row r="6056" spans="1:2" x14ac:dyDescent="0.25">
      <c r="A6056" s="5">
        <v>30721</v>
      </c>
      <c r="B6056">
        <v>155.419998168945</v>
      </c>
    </row>
    <row r="6057" spans="1:2" x14ac:dyDescent="0.25">
      <c r="A6057" s="5">
        <v>30722</v>
      </c>
      <c r="B6057">
        <v>156.30000305175801</v>
      </c>
    </row>
    <row r="6058" spans="1:2" x14ac:dyDescent="0.25">
      <c r="A6058" s="5">
        <v>30725</v>
      </c>
      <c r="B6058">
        <v>154.94999694824199</v>
      </c>
    </row>
    <row r="6059" spans="1:2" x14ac:dyDescent="0.25">
      <c r="A6059" s="5">
        <v>30726</v>
      </c>
      <c r="B6059">
        <v>156.61000061035199</v>
      </c>
    </row>
    <row r="6060" spans="1:2" x14ac:dyDescent="0.25">
      <c r="A6060" s="5">
        <v>30727</v>
      </c>
      <c r="B6060">
        <v>156.25</v>
      </c>
    </row>
    <row r="6061" spans="1:2" x14ac:dyDescent="0.25">
      <c r="A6061" s="5">
        <v>30728</v>
      </c>
      <c r="B6061">
        <v>156.13000488281199</v>
      </c>
    </row>
    <row r="6062" spans="1:2" x14ac:dyDescent="0.25">
      <c r="A6062" s="5">
        <v>30729</v>
      </c>
      <c r="B6062">
        <v>155.74000549316401</v>
      </c>
    </row>
    <row r="6063" spans="1:2" x14ac:dyDescent="0.25">
      <c r="A6063" s="5">
        <v>30733</v>
      </c>
      <c r="B6063">
        <v>154.63999938964801</v>
      </c>
    </row>
    <row r="6064" spans="1:2" x14ac:dyDescent="0.25">
      <c r="A6064" s="5">
        <v>30734</v>
      </c>
      <c r="B6064">
        <v>154.30999755859401</v>
      </c>
    </row>
    <row r="6065" spans="1:2" x14ac:dyDescent="0.25">
      <c r="A6065" s="5">
        <v>30735</v>
      </c>
      <c r="B6065">
        <v>154.28999328613301</v>
      </c>
    </row>
    <row r="6066" spans="1:2" x14ac:dyDescent="0.25">
      <c r="A6066" s="5">
        <v>30736</v>
      </c>
      <c r="B6066">
        <v>157.50999450683599</v>
      </c>
    </row>
    <row r="6067" spans="1:2" x14ac:dyDescent="0.25">
      <c r="A6067" s="5">
        <v>30739</v>
      </c>
      <c r="B6067">
        <v>159.30000305175801</v>
      </c>
    </row>
    <row r="6068" spans="1:2" x14ac:dyDescent="0.25">
      <c r="A6068" s="5">
        <v>30740</v>
      </c>
      <c r="B6068">
        <v>156.82000732421901</v>
      </c>
    </row>
    <row r="6069" spans="1:2" x14ac:dyDescent="0.25">
      <c r="A6069" s="5">
        <v>30741</v>
      </c>
      <c r="B6069">
        <v>157.05999755859401</v>
      </c>
    </row>
    <row r="6070" spans="1:2" x14ac:dyDescent="0.25">
      <c r="A6070" s="5">
        <v>30742</v>
      </c>
      <c r="B6070">
        <v>158.19000244140599</v>
      </c>
    </row>
    <row r="6071" spans="1:2" x14ac:dyDescent="0.25">
      <c r="A6071" s="5">
        <v>30743</v>
      </c>
      <c r="B6071">
        <v>159.24000549316401</v>
      </c>
    </row>
    <row r="6072" spans="1:2" x14ac:dyDescent="0.25">
      <c r="A6072" s="5">
        <v>30746</v>
      </c>
      <c r="B6072">
        <v>157.88999938964801</v>
      </c>
    </row>
    <row r="6073" spans="1:2" x14ac:dyDescent="0.25">
      <c r="A6073" s="5">
        <v>30747</v>
      </c>
      <c r="B6073">
        <v>156.25</v>
      </c>
    </row>
    <row r="6074" spans="1:2" x14ac:dyDescent="0.25">
      <c r="A6074" s="5">
        <v>30748</v>
      </c>
      <c r="B6074">
        <v>154.57000732421901</v>
      </c>
    </row>
    <row r="6075" spans="1:2" x14ac:dyDescent="0.25">
      <c r="A6075" s="5">
        <v>30749</v>
      </c>
      <c r="B6075">
        <v>155.19000244140599</v>
      </c>
    </row>
    <row r="6076" spans="1:2" x14ac:dyDescent="0.25">
      <c r="A6076" s="5">
        <v>30750</v>
      </c>
      <c r="B6076">
        <v>154.35000610351599</v>
      </c>
    </row>
    <row r="6077" spans="1:2" x14ac:dyDescent="0.25">
      <c r="A6077" s="5">
        <v>30753</v>
      </c>
      <c r="B6077">
        <v>156.33999633789099</v>
      </c>
    </row>
    <row r="6078" spans="1:2" x14ac:dyDescent="0.25">
      <c r="A6078" s="5">
        <v>30754</v>
      </c>
      <c r="B6078">
        <v>156.77999877929699</v>
      </c>
    </row>
    <row r="6079" spans="1:2" x14ac:dyDescent="0.25">
      <c r="A6079" s="5">
        <v>30755</v>
      </c>
      <c r="B6079">
        <v>156.77000427246099</v>
      </c>
    </row>
    <row r="6080" spans="1:2" x14ac:dyDescent="0.25">
      <c r="A6080" s="5">
        <v>30756</v>
      </c>
      <c r="B6080">
        <v>157.41000366210901</v>
      </c>
    </row>
    <row r="6081" spans="1:2" x14ac:dyDescent="0.25">
      <c r="A6081" s="5">
        <v>30757</v>
      </c>
      <c r="B6081">
        <v>159.27000427246099</v>
      </c>
    </row>
    <row r="6082" spans="1:2" x14ac:dyDescent="0.25">
      <c r="A6082" s="5">
        <v>30760</v>
      </c>
      <c r="B6082">
        <v>157.77999877929699</v>
      </c>
    </row>
    <row r="6083" spans="1:2" x14ac:dyDescent="0.25">
      <c r="A6083" s="5">
        <v>30761</v>
      </c>
      <c r="B6083">
        <v>158.86000061035199</v>
      </c>
    </row>
    <row r="6084" spans="1:2" x14ac:dyDescent="0.25">
      <c r="A6084" s="5">
        <v>30762</v>
      </c>
      <c r="B6084">
        <v>158.66000366210901</v>
      </c>
    </row>
    <row r="6085" spans="1:2" x14ac:dyDescent="0.25">
      <c r="A6085" s="5">
        <v>30763</v>
      </c>
      <c r="B6085">
        <v>156.69000244140599</v>
      </c>
    </row>
    <row r="6086" spans="1:2" x14ac:dyDescent="0.25">
      <c r="A6086" s="5">
        <v>30764</v>
      </c>
      <c r="B6086">
        <v>156.86000061035199</v>
      </c>
    </row>
    <row r="6087" spans="1:2" x14ac:dyDescent="0.25">
      <c r="A6087" s="5">
        <v>30767</v>
      </c>
      <c r="B6087">
        <v>156.669998168945</v>
      </c>
    </row>
    <row r="6088" spans="1:2" x14ac:dyDescent="0.25">
      <c r="A6088" s="5">
        <v>30768</v>
      </c>
      <c r="B6088">
        <v>157.30000305175801</v>
      </c>
    </row>
    <row r="6089" spans="1:2" x14ac:dyDescent="0.25">
      <c r="A6089" s="5">
        <v>30769</v>
      </c>
      <c r="B6089">
        <v>159.88000488281199</v>
      </c>
    </row>
    <row r="6090" spans="1:2" x14ac:dyDescent="0.25">
      <c r="A6090" s="5">
        <v>30770</v>
      </c>
      <c r="B6090">
        <v>159.52000427246099</v>
      </c>
    </row>
    <row r="6091" spans="1:2" x14ac:dyDescent="0.25">
      <c r="A6091" s="5">
        <v>30771</v>
      </c>
      <c r="B6091">
        <v>159.17999267578099</v>
      </c>
    </row>
    <row r="6092" spans="1:2" x14ac:dyDescent="0.25">
      <c r="A6092" s="5">
        <v>30774</v>
      </c>
      <c r="B6092">
        <v>157.97999572753901</v>
      </c>
    </row>
    <row r="6093" spans="1:2" x14ac:dyDescent="0.25">
      <c r="A6093" s="5">
        <v>30775</v>
      </c>
      <c r="B6093">
        <v>157.66000366210901</v>
      </c>
    </row>
    <row r="6094" spans="1:2" x14ac:dyDescent="0.25">
      <c r="A6094" s="5">
        <v>30776</v>
      </c>
      <c r="B6094">
        <v>157.53999328613301</v>
      </c>
    </row>
    <row r="6095" spans="1:2" x14ac:dyDescent="0.25">
      <c r="A6095" s="5">
        <v>30777</v>
      </c>
      <c r="B6095">
        <v>155.03999328613301</v>
      </c>
    </row>
    <row r="6096" spans="1:2" x14ac:dyDescent="0.25">
      <c r="A6096" s="5">
        <v>30778</v>
      </c>
      <c r="B6096">
        <v>155.47999572753901</v>
      </c>
    </row>
    <row r="6097" spans="1:2" x14ac:dyDescent="0.25">
      <c r="A6097" s="5">
        <v>30781</v>
      </c>
      <c r="B6097">
        <v>155.44999694824199</v>
      </c>
    </row>
    <row r="6098" spans="1:2" x14ac:dyDescent="0.25">
      <c r="A6098" s="5">
        <v>30782</v>
      </c>
      <c r="B6098">
        <v>155.86999511718801</v>
      </c>
    </row>
    <row r="6099" spans="1:2" x14ac:dyDescent="0.25">
      <c r="A6099" s="5">
        <v>30783</v>
      </c>
      <c r="B6099">
        <v>155</v>
      </c>
    </row>
    <row r="6100" spans="1:2" x14ac:dyDescent="0.25">
      <c r="A6100" s="5">
        <v>30784</v>
      </c>
      <c r="B6100">
        <v>157.72999572753901</v>
      </c>
    </row>
    <row r="6101" spans="1:2" x14ac:dyDescent="0.25">
      <c r="A6101" s="5">
        <v>30785</v>
      </c>
      <c r="B6101">
        <v>157.30999755859401</v>
      </c>
    </row>
    <row r="6102" spans="1:2" x14ac:dyDescent="0.25">
      <c r="A6102" s="5">
        <v>30788</v>
      </c>
      <c r="B6102">
        <v>158.32000732421901</v>
      </c>
    </row>
    <row r="6103" spans="1:2" x14ac:dyDescent="0.25">
      <c r="A6103" s="5">
        <v>30789</v>
      </c>
      <c r="B6103">
        <v>158.97000122070301</v>
      </c>
    </row>
    <row r="6104" spans="1:2" x14ac:dyDescent="0.25">
      <c r="A6104" s="5">
        <v>30790</v>
      </c>
      <c r="B6104">
        <v>157.89999389648401</v>
      </c>
    </row>
    <row r="6105" spans="1:2" x14ac:dyDescent="0.25">
      <c r="A6105" s="5">
        <v>30791</v>
      </c>
      <c r="B6105">
        <v>158.02000427246099</v>
      </c>
    </row>
    <row r="6106" spans="1:2" x14ac:dyDescent="0.25">
      <c r="A6106" s="5">
        <v>30795</v>
      </c>
      <c r="B6106">
        <v>156.80000305175801</v>
      </c>
    </row>
    <row r="6107" spans="1:2" x14ac:dyDescent="0.25">
      <c r="A6107" s="5">
        <v>30796</v>
      </c>
      <c r="B6107">
        <v>158.07000732421901</v>
      </c>
    </row>
    <row r="6108" spans="1:2" x14ac:dyDescent="0.25">
      <c r="A6108" s="5">
        <v>30797</v>
      </c>
      <c r="B6108">
        <v>158.64999389648401</v>
      </c>
    </row>
    <row r="6109" spans="1:2" x14ac:dyDescent="0.25">
      <c r="A6109" s="5">
        <v>30798</v>
      </c>
      <c r="B6109">
        <v>160.30000305175801</v>
      </c>
    </row>
    <row r="6110" spans="1:2" x14ac:dyDescent="0.25">
      <c r="A6110" s="5">
        <v>30799</v>
      </c>
      <c r="B6110">
        <v>159.88999938964801</v>
      </c>
    </row>
    <row r="6111" spans="1:2" x14ac:dyDescent="0.25">
      <c r="A6111" s="5">
        <v>30802</v>
      </c>
      <c r="B6111">
        <v>160.05000305175801</v>
      </c>
    </row>
    <row r="6112" spans="1:2" x14ac:dyDescent="0.25">
      <c r="A6112" s="5">
        <v>30803</v>
      </c>
      <c r="B6112">
        <v>161.67999267578099</v>
      </c>
    </row>
    <row r="6113" spans="1:2" x14ac:dyDescent="0.25">
      <c r="A6113" s="5">
        <v>30804</v>
      </c>
      <c r="B6113">
        <v>161.89999389648401</v>
      </c>
    </row>
    <row r="6114" spans="1:2" x14ac:dyDescent="0.25">
      <c r="A6114" s="5">
        <v>30805</v>
      </c>
      <c r="B6114">
        <v>161.19999694824199</v>
      </c>
    </row>
    <row r="6115" spans="1:2" x14ac:dyDescent="0.25">
      <c r="A6115" s="5">
        <v>30806</v>
      </c>
      <c r="B6115">
        <v>159.11000061035199</v>
      </c>
    </row>
    <row r="6116" spans="1:2" x14ac:dyDescent="0.25">
      <c r="A6116" s="5">
        <v>30809</v>
      </c>
      <c r="B6116">
        <v>159.47000122070301</v>
      </c>
    </row>
    <row r="6117" spans="1:2" x14ac:dyDescent="0.25">
      <c r="A6117" s="5">
        <v>30810</v>
      </c>
      <c r="B6117">
        <v>160.52000427246099</v>
      </c>
    </row>
    <row r="6118" spans="1:2" x14ac:dyDescent="0.25">
      <c r="A6118" s="5">
        <v>30811</v>
      </c>
      <c r="B6118">
        <v>160.11000061035199</v>
      </c>
    </row>
    <row r="6119" spans="1:2" x14ac:dyDescent="0.25">
      <c r="A6119" s="5">
        <v>30812</v>
      </c>
      <c r="B6119">
        <v>160</v>
      </c>
    </row>
    <row r="6120" spans="1:2" x14ac:dyDescent="0.25">
      <c r="A6120" s="5">
        <v>30813</v>
      </c>
      <c r="B6120">
        <v>158.49000549316401</v>
      </c>
    </row>
    <row r="6121" spans="1:2" x14ac:dyDescent="0.25">
      <c r="A6121" s="5">
        <v>30816</v>
      </c>
      <c r="B6121">
        <v>157.5</v>
      </c>
    </row>
    <row r="6122" spans="1:2" x14ac:dyDescent="0.25">
      <c r="A6122" s="5">
        <v>30817</v>
      </c>
      <c r="B6122">
        <v>158</v>
      </c>
    </row>
    <row r="6123" spans="1:2" x14ac:dyDescent="0.25">
      <c r="A6123" s="5">
        <v>30818</v>
      </c>
      <c r="B6123">
        <v>157.99000549316401</v>
      </c>
    </row>
    <row r="6124" spans="1:2" x14ac:dyDescent="0.25">
      <c r="A6124" s="5">
        <v>30819</v>
      </c>
      <c r="B6124">
        <v>156.57000732421901</v>
      </c>
    </row>
    <row r="6125" spans="1:2" x14ac:dyDescent="0.25">
      <c r="A6125" s="5">
        <v>30820</v>
      </c>
      <c r="B6125">
        <v>155.77999877929699</v>
      </c>
    </row>
    <row r="6126" spans="1:2" x14ac:dyDescent="0.25">
      <c r="A6126" s="5">
        <v>30823</v>
      </c>
      <c r="B6126">
        <v>154.72999572753901</v>
      </c>
    </row>
    <row r="6127" spans="1:2" x14ac:dyDescent="0.25">
      <c r="A6127" s="5">
        <v>30824</v>
      </c>
      <c r="B6127">
        <v>153.88000488281199</v>
      </c>
    </row>
    <row r="6128" spans="1:2" x14ac:dyDescent="0.25">
      <c r="A6128" s="5">
        <v>30825</v>
      </c>
      <c r="B6128">
        <v>153.14999389648401</v>
      </c>
    </row>
    <row r="6129" spans="1:2" x14ac:dyDescent="0.25">
      <c r="A6129" s="5">
        <v>30826</v>
      </c>
      <c r="B6129">
        <v>151.22999572753901</v>
      </c>
    </row>
    <row r="6130" spans="1:2" x14ac:dyDescent="0.25">
      <c r="A6130" s="5">
        <v>30827</v>
      </c>
      <c r="B6130">
        <v>151.61999511718801</v>
      </c>
    </row>
    <row r="6131" spans="1:2" x14ac:dyDescent="0.25">
      <c r="A6131" s="5">
        <v>30831</v>
      </c>
      <c r="B6131">
        <v>150.28999328613301</v>
      </c>
    </row>
    <row r="6132" spans="1:2" x14ac:dyDescent="0.25">
      <c r="A6132" s="5">
        <v>30832</v>
      </c>
      <c r="B6132">
        <v>150.35000610351599</v>
      </c>
    </row>
    <row r="6133" spans="1:2" x14ac:dyDescent="0.25">
      <c r="A6133" s="5">
        <v>30833</v>
      </c>
      <c r="B6133">
        <v>150.55000305175801</v>
      </c>
    </row>
    <row r="6134" spans="1:2" x14ac:dyDescent="0.25">
      <c r="A6134" s="5">
        <v>30834</v>
      </c>
      <c r="B6134">
        <v>153.24000549316401</v>
      </c>
    </row>
    <row r="6135" spans="1:2" x14ac:dyDescent="0.25">
      <c r="A6135" s="5">
        <v>30837</v>
      </c>
      <c r="B6135">
        <v>154.33999633789099</v>
      </c>
    </row>
    <row r="6136" spans="1:2" x14ac:dyDescent="0.25">
      <c r="A6136" s="5">
        <v>30838</v>
      </c>
      <c r="B6136">
        <v>153.64999389648401</v>
      </c>
    </row>
    <row r="6137" spans="1:2" x14ac:dyDescent="0.25">
      <c r="A6137" s="5">
        <v>30839</v>
      </c>
      <c r="B6137">
        <v>155.00999450683599</v>
      </c>
    </row>
    <row r="6138" spans="1:2" x14ac:dyDescent="0.25">
      <c r="A6138" s="5">
        <v>30840</v>
      </c>
      <c r="B6138">
        <v>154.919998168945</v>
      </c>
    </row>
    <row r="6139" spans="1:2" x14ac:dyDescent="0.25">
      <c r="A6139" s="5">
        <v>30841</v>
      </c>
      <c r="B6139">
        <v>155.169998168945</v>
      </c>
    </row>
    <row r="6140" spans="1:2" x14ac:dyDescent="0.25">
      <c r="A6140" s="5">
        <v>30844</v>
      </c>
      <c r="B6140">
        <v>153.05999755859401</v>
      </c>
    </row>
    <row r="6141" spans="1:2" x14ac:dyDescent="0.25">
      <c r="A6141" s="5">
        <v>30845</v>
      </c>
      <c r="B6141">
        <v>152.19000244140599</v>
      </c>
    </row>
    <row r="6142" spans="1:2" x14ac:dyDescent="0.25">
      <c r="A6142" s="5">
        <v>30846</v>
      </c>
      <c r="B6142">
        <v>152.13000488281199</v>
      </c>
    </row>
    <row r="6143" spans="1:2" x14ac:dyDescent="0.25">
      <c r="A6143" s="5">
        <v>30847</v>
      </c>
      <c r="B6143">
        <v>150.38999938964801</v>
      </c>
    </row>
    <row r="6144" spans="1:2" x14ac:dyDescent="0.25">
      <c r="A6144" s="5">
        <v>30848</v>
      </c>
      <c r="B6144">
        <v>149.02999877929699</v>
      </c>
    </row>
    <row r="6145" spans="1:2" x14ac:dyDescent="0.25">
      <c r="A6145" s="5">
        <v>30851</v>
      </c>
      <c r="B6145">
        <v>151.72999572753901</v>
      </c>
    </row>
    <row r="6146" spans="1:2" x14ac:dyDescent="0.25">
      <c r="A6146" s="5">
        <v>30852</v>
      </c>
      <c r="B6146">
        <v>152.61000061035199</v>
      </c>
    </row>
    <row r="6147" spans="1:2" x14ac:dyDescent="0.25">
      <c r="A6147" s="5">
        <v>30853</v>
      </c>
      <c r="B6147">
        <v>154.83999633789099</v>
      </c>
    </row>
    <row r="6148" spans="1:2" x14ac:dyDescent="0.25">
      <c r="A6148" s="5">
        <v>30854</v>
      </c>
      <c r="B6148">
        <v>154.50999450683599</v>
      </c>
    </row>
    <row r="6149" spans="1:2" x14ac:dyDescent="0.25">
      <c r="A6149" s="5">
        <v>30855</v>
      </c>
      <c r="B6149">
        <v>154.46000671386699</v>
      </c>
    </row>
    <row r="6150" spans="1:2" x14ac:dyDescent="0.25">
      <c r="A6150" s="5">
        <v>30858</v>
      </c>
      <c r="B6150">
        <v>153.97000122070301</v>
      </c>
    </row>
    <row r="6151" spans="1:2" x14ac:dyDescent="0.25">
      <c r="A6151" s="5">
        <v>30859</v>
      </c>
      <c r="B6151">
        <v>152.71000671386699</v>
      </c>
    </row>
    <row r="6152" spans="1:2" x14ac:dyDescent="0.25">
      <c r="A6152" s="5">
        <v>30860</v>
      </c>
      <c r="B6152">
        <v>151.63999938964801</v>
      </c>
    </row>
    <row r="6153" spans="1:2" x14ac:dyDescent="0.25">
      <c r="A6153" s="5">
        <v>30861</v>
      </c>
      <c r="B6153">
        <v>152.83999633789099</v>
      </c>
    </row>
    <row r="6154" spans="1:2" x14ac:dyDescent="0.25">
      <c r="A6154" s="5">
        <v>30862</v>
      </c>
      <c r="B6154">
        <v>153.17999267578099</v>
      </c>
    </row>
    <row r="6155" spans="1:2" x14ac:dyDescent="0.25">
      <c r="A6155" s="5">
        <v>30865</v>
      </c>
      <c r="B6155">
        <v>153.19999694824199</v>
      </c>
    </row>
    <row r="6156" spans="1:2" x14ac:dyDescent="0.25">
      <c r="A6156" s="5">
        <v>30866</v>
      </c>
      <c r="B6156">
        <v>153.69999694824199</v>
      </c>
    </row>
    <row r="6157" spans="1:2" x14ac:dyDescent="0.25">
      <c r="A6157" s="5">
        <v>30868</v>
      </c>
      <c r="B6157">
        <v>152.75999450683599</v>
      </c>
    </row>
    <row r="6158" spans="1:2" x14ac:dyDescent="0.25">
      <c r="A6158" s="5">
        <v>30869</v>
      </c>
      <c r="B6158">
        <v>152.24000549316401</v>
      </c>
    </row>
    <row r="6159" spans="1:2" x14ac:dyDescent="0.25">
      <c r="A6159" s="5">
        <v>30872</v>
      </c>
      <c r="B6159">
        <v>153.36000061035199</v>
      </c>
    </row>
    <row r="6160" spans="1:2" x14ac:dyDescent="0.25">
      <c r="A6160" s="5">
        <v>30873</v>
      </c>
      <c r="B6160">
        <v>152.88999938964801</v>
      </c>
    </row>
    <row r="6161" spans="1:2" x14ac:dyDescent="0.25">
      <c r="A6161" s="5">
        <v>30874</v>
      </c>
      <c r="B6161">
        <v>150.55999755859401</v>
      </c>
    </row>
    <row r="6162" spans="1:2" x14ac:dyDescent="0.25">
      <c r="A6162" s="5">
        <v>30875</v>
      </c>
      <c r="B6162">
        <v>150.02999877929699</v>
      </c>
    </row>
    <row r="6163" spans="1:2" x14ac:dyDescent="0.25">
      <c r="A6163" s="5">
        <v>30876</v>
      </c>
      <c r="B6163">
        <v>150.88000488281199</v>
      </c>
    </row>
    <row r="6164" spans="1:2" x14ac:dyDescent="0.25">
      <c r="A6164" s="5">
        <v>30879</v>
      </c>
      <c r="B6164">
        <v>151.60000610351599</v>
      </c>
    </row>
    <row r="6165" spans="1:2" x14ac:dyDescent="0.25">
      <c r="A6165" s="5">
        <v>30880</v>
      </c>
      <c r="B6165">
        <v>152.38000488281199</v>
      </c>
    </row>
    <row r="6166" spans="1:2" x14ac:dyDescent="0.25">
      <c r="A6166" s="5">
        <v>30881</v>
      </c>
      <c r="B6166">
        <v>151.39999389648401</v>
      </c>
    </row>
    <row r="6167" spans="1:2" x14ac:dyDescent="0.25">
      <c r="A6167" s="5">
        <v>30882</v>
      </c>
      <c r="B6167">
        <v>150.36999511718801</v>
      </c>
    </row>
    <row r="6168" spans="1:2" x14ac:dyDescent="0.25">
      <c r="A6168" s="5">
        <v>30883</v>
      </c>
      <c r="B6168">
        <v>149.55000305175801</v>
      </c>
    </row>
    <row r="6169" spans="1:2" x14ac:dyDescent="0.25">
      <c r="A6169" s="5">
        <v>30886</v>
      </c>
      <c r="B6169">
        <v>148.94999694824199</v>
      </c>
    </row>
    <row r="6170" spans="1:2" x14ac:dyDescent="0.25">
      <c r="A6170" s="5">
        <v>30887</v>
      </c>
      <c r="B6170">
        <v>147.82000732421901</v>
      </c>
    </row>
    <row r="6171" spans="1:2" x14ac:dyDescent="0.25">
      <c r="A6171" s="5">
        <v>30888</v>
      </c>
      <c r="B6171">
        <v>148.830001831055</v>
      </c>
    </row>
    <row r="6172" spans="1:2" x14ac:dyDescent="0.25">
      <c r="A6172" s="5">
        <v>30889</v>
      </c>
      <c r="B6172">
        <v>150.080001831055</v>
      </c>
    </row>
    <row r="6173" spans="1:2" x14ac:dyDescent="0.25">
      <c r="A6173" s="5">
        <v>30890</v>
      </c>
      <c r="B6173">
        <v>151.19000244140599</v>
      </c>
    </row>
    <row r="6174" spans="1:2" x14ac:dyDescent="0.25">
      <c r="A6174" s="5">
        <v>30893</v>
      </c>
      <c r="B6174">
        <v>150.19000244140599</v>
      </c>
    </row>
    <row r="6175" spans="1:2" x14ac:dyDescent="0.25">
      <c r="A6175" s="5">
        <v>30894</v>
      </c>
      <c r="B6175">
        <v>150.66000366210901</v>
      </c>
    </row>
    <row r="6176" spans="1:2" x14ac:dyDescent="0.25">
      <c r="A6176" s="5">
        <v>30895</v>
      </c>
      <c r="B6176">
        <v>154.080001831055</v>
      </c>
    </row>
    <row r="6177" spans="1:2" x14ac:dyDescent="0.25">
      <c r="A6177" s="5">
        <v>30896</v>
      </c>
      <c r="B6177">
        <v>157.99000549316401</v>
      </c>
    </row>
    <row r="6178" spans="1:2" x14ac:dyDescent="0.25">
      <c r="A6178" s="5">
        <v>30897</v>
      </c>
      <c r="B6178">
        <v>162.35000610351599</v>
      </c>
    </row>
    <row r="6179" spans="1:2" x14ac:dyDescent="0.25">
      <c r="A6179" s="5">
        <v>30900</v>
      </c>
      <c r="B6179">
        <v>162.60000610351599</v>
      </c>
    </row>
    <row r="6180" spans="1:2" x14ac:dyDescent="0.25">
      <c r="A6180" s="5">
        <v>30901</v>
      </c>
      <c r="B6180">
        <v>162.72000122070301</v>
      </c>
    </row>
    <row r="6181" spans="1:2" x14ac:dyDescent="0.25">
      <c r="A6181" s="5">
        <v>30902</v>
      </c>
      <c r="B6181">
        <v>161.75</v>
      </c>
    </row>
    <row r="6182" spans="1:2" x14ac:dyDescent="0.25">
      <c r="A6182" s="5">
        <v>30903</v>
      </c>
      <c r="B6182">
        <v>165.53999328613301</v>
      </c>
    </row>
    <row r="6183" spans="1:2" x14ac:dyDescent="0.25">
      <c r="A6183" s="5">
        <v>30904</v>
      </c>
      <c r="B6183">
        <v>165.419998168945</v>
      </c>
    </row>
    <row r="6184" spans="1:2" x14ac:dyDescent="0.25">
      <c r="A6184" s="5">
        <v>30907</v>
      </c>
      <c r="B6184">
        <v>165.42999267578099</v>
      </c>
    </row>
    <row r="6185" spans="1:2" x14ac:dyDescent="0.25">
      <c r="A6185" s="5">
        <v>30908</v>
      </c>
      <c r="B6185">
        <v>164.419998168945</v>
      </c>
    </row>
    <row r="6186" spans="1:2" x14ac:dyDescent="0.25">
      <c r="A6186" s="5">
        <v>30909</v>
      </c>
      <c r="B6186">
        <v>162.80000305175801</v>
      </c>
    </row>
    <row r="6187" spans="1:2" x14ac:dyDescent="0.25">
      <c r="A6187" s="5">
        <v>30910</v>
      </c>
      <c r="B6187">
        <v>163.77000427246099</v>
      </c>
    </row>
    <row r="6188" spans="1:2" x14ac:dyDescent="0.25">
      <c r="A6188" s="5">
        <v>30911</v>
      </c>
      <c r="B6188">
        <v>164.13999938964801</v>
      </c>
    </row>
    <row r="6189" spans="1:2" x14ac:dyDescent="0.25">
      <c r="A6189" s="5">
        <v>30914</v>
      </c>
      <c r="B6189">
        <v>164.94000244140599</v>
      </c>
    </row>
    <row r="6190" spans="1:2" x14ac:dyDescent="0.25">
      <c r="A6190" s="5">
        <v>30915</v>
      </c>
      <c r="B6190">
        <v>167.830001831055</v>
      </c>
    </row>
    <row r="6191" spans="1:2" x14ac:dyDescent="0.25">
      <c r="A6191" s="5">
        <v>30916</v>
      </c>
      <c r="B6191">
        <v>167.05999755859401</v>
      </c>
    </row>
    <row r="6192" spans="1:2" x14ac:dyDescent="0.25">
      <c r="A6192" s="5">
        <v>30917</v>
      </c>
      <c r="B6192">
        <v>167.11999511718801</v>
      </c>
    </row>
    <row r="6193" spans="1:2" x14ac:dyDescent="0.25">
      <c r="A6193" s="5">
        <v>30918</v>
      </c>
      <c r="B6193">
        <v>167.50999450683599</v>
      </c>
    </row>
    <row r="6194" spans="1:2" x14ac:dyDescent="0.25">
      <c r="A6194" s="5">
        <v>30921</v>
      </c>
      <c r="B6194">
        <v>166.44000244140599</v>
      </c>
    </row>
    <row r="6195" spans="1:2" x14ac:dyDescent="0.25">
      <c r="A6195" s="5">
        <v>30922</v>
      </c>
      <c r="B6195">
        <v>167.39999389648401</v>
      </c>
    </row>
    <row r="6196" spans="1:2" x14ac:dyDescent="0.25">
      <c r="A6196" s="5">
        <v>30923</v>
      </c>
      <c r="B6196">
        <v>167.08999633789099</v>
      </c>
    </row>
    <row r="6197" spans="1:2" x14ac:dyDescent="0.25">
      <c r="A6197" s="5">
        <v>30924</v>
      </c>
      <c r="B6197">
        <v>166.60000610351599</v>
      </c>
    </row>
    <row r="6198" spans="1:2" x14ac:dyDescent="0.25">
      <c r="A6198" s="5">
        <v>30925</v>
      </c>
      <c r="B6198">
        <v>166.67999267578099</v>
      </c>
    </row>
    <row r="6199" spans="1:2" x14ac:dyDescent="0.25">
      <c r="A6199" s="5">
        <v>30929</v>
      </c>
      <c r="B6199">
        <v>164.88000488281199</v>
      </c>
    </row>
    <row r="6200" spans="1:2" x14ac:dyDescent="0.25">
      <c r="A6200" s="5">
        <v>30930</v>
      </c>
      <c r="B6200">
        <v>164.28999328613301</v>
      </c>
    </row>
    <row r="6201" spans="1:2" x14ac:dyDescent="0.25">
      <c r="A6201" s="5">
        <v>30931</v>
      </c>
      <c r="B6201">
        <v>165.64999389648401</v>
      </c>
    </row>
    <row r="6202" spans="1:2" x14ac:dyDescent="0.25">
      <c r="A6202" s="5">
        <v>30932</v>
      </c>
      <c r="B6202">
        <v>164.36999511718801</v>
      </c>
    </row>
    <row r="6203" spans="1:2" x14ac:dyDescent="0.25">
      <c r="A6203" s="5">
        <v>30935</v>
      </c>
      <c r="B6203">
        <v>164.25999450683599</v>
      </c>
    </row>
    <row r="6204" spans="1:2" x14ac:dyDescent="0.25">
      <c r="A6204" s="5">
        <v>30936</v>
      </c>
      <c r="B6204">
        <v>164.44999694824199</v>
      </c>
    </row>
    <row r="6205" spans="1:2" x14ac:dyDescent="0.25">
      <c r="A6205" s="5">
        <v>30937</v>
      </c>
      <c r="B6205">
        <v>164.67999267578099</v>
      </c>
    </row>
    <row r="6206" spans="1:2" x14ac:dyDescent="0.25">
      <c r="A6206" s="5">
        <v>30938</v>
      </c>
      <c r="B6206">
        <v>167.94000244140599</v>
      </c>
    </row>
    <row r="6207" spans="1:2" x14ac:dyDescent="0.25">
      <c r="A6207" s="5">
        <v>30939</v>
      </c>
      <c r="B6207">
        <v>168.77999877929699</v>
      </c>
    </row>
    <row r="6208" spans="1:2" x14ac:dyDescent="0.25">
      <c r="A6208" s="5">
        <v>30942</v>
      </c>
      <c r="B6208">
        <v>168.86999511718801</v>
      </c>
    </row>
    <row r="6209" spans="1:2" x14ac:dyDescent="0.25">
      <c r="A6209" s="5">
        <v>30943</v>
      </c>
      <c r="B6209">
        <v>167.64999389648401</v>
      </c>
    </row>
    <row r="6210" spans="1:2" x14ac:dyDescent="0.25">
      <c r="A6210" s="5">
        <v>30944</v>
      </c>
      <c r="B6210">
        <v>166.94000244140599</v>
      </c>
    </row>
    <row r="6211" spans="1:2" x14ac:dyDescent="0.25">
      <c r="A6211" s="5">
        <v>30945</v>
      </c>
      <c r="B6211">
        <v>167.47000122070301</v>
      </c>
    </row>
    <row r="6212" spans="1:2" x14ac:dyDescent="0.25">
      <c r="A6212" s="5">
        <v>30946</v>
      </c>
      <c r="B6212">
        <v>165.669998168945</v>
      </c>
    </row>
    <row r="6213" spans="1:2" x14ac:dyDescent="0.25">
      <c r="A6213" s="5">
        <v>30949</v>
      </c>
      <c r="B6213">
        <v>165.27999877929699</v>
      </c>
    </row>
    <row r="6214" spans="1:2" x14ac:dyDescent="0.25">
      <c r="A6214" s="5">
        <v>30950</v>
      </c>
      <c r="B6214">
        <v>165.61999511718801</v>
      </c>
    </row>
    <row r="6215" spans="1:2" x14ac:dyDescent="0.25">
      <c r="A6215" s="5">
        <v>30951</v>
      </c>
      <c r="B6215">
        <v>166.27999877929699</v>
      </c>
    </row>
    <row r="6216" spans="1:2" x14ac:dyDescent="0.25">
      <c r="A6216" s="5">
        <v>30952</v>
      </c>
      <c r="B6216">
        <v>166.96000671386699</v>
      </c>
    </row>
    <row r="6217" spans="1:2" x14ac:dyDescent="0.25">
      <c r="A6217" s="5">
        <v>30953</v>
      </c>
      <c r="B6217">
        <v>166.10000610351599</v>
      </c>
    </row>
    <row r="6218" spans="1:2" x14ac:dyDescent="0.25">
      <c r="A6218" s="5">
        <v>30956</v>
      </c>
      <c r="B6218">
        <v>164.61999511718801</v>
      </c>
    </row>
    <row r="6219" spans="1:2" x14ac:dyDescent="0.25">
      <c r="A6219" s="5">
        <v>30957</v>
      </c>
      <c r="B6219">
        <v>163.58999633789099</v>
      </c>
    </row>
    <row r="6220" spans="1:2" x14ac:dyDescent="0.25">
      <c r="A6220" s="5">
        <v>30958</v>
      </c>
      <c r="B6220">
        <v>162.44000244140599</v>
      </c>
    </row>
    <row r="6221" spans="1:2" x14ac:dyDescent="0.25">
      <c r="A6221" s="5">
        <v>30959</v>
      </c>
      <c r="B6221">
        <v>162.919998168945</v>
      </c>
    </row>
    <row r="6222" spans="1:2" x14ac:dyDescent="0.25">
      <c r="A6222" s="5">
        <v>30960</v>
      </c>
      <c r="B6222">
        <v>162.67999267578099</v>
      </c>
    </row>
    <row r="6223" spans="1:2" x14ac:dyDescent="0.25">
      <c r="A6223" s="5">
        <v>30963</v>
      </c>
      <c r="B6223">
        <v>162.13000488281199</v>
      </c>
    </row>
    <row r="6224" spans="1:2" x14ac:dyDescent="0.25">
      <c r="A6224" s="5">
        <v>30964</v>
      </c>
      <c r="B6224">
        <v>161.669998168945</v>
      </c>
    </row>
    <row r="6225" spans="1:2" x14ac:dyDescent="0.25">
      <c r="A6225" s="5">
        <v>30965</v>
      </c>
      <c r="B6225">
        <v>162.11000061035199</v>
      </c>
    </row>
    <row r="6226" spans="1:2" x14ac:dyDescent="0.25">
      <c r="A6226" s="5">
        <v>30966</v>
      </c>
      <c r="B6226">
        <v>162.77999877929699</v>
      </c>
    </row>
    <row r="6227" spans="1:2" x14ac:dyDescent="0.25">
      <c r="A6227" s="5">
        <v>30967</v>
      </c>
      <c r="B6227">
        <v>164.17999267578099</v>
      </c>
    </row>
    <row r="6228" spans="1:2" x14ac:dyDescent="0.25">
      <c r="A6228" s="5">
        <v>30970</v>
      </c>
      <c r="B6228">
        <v>165.77000427246099</v>
      </c>
    </row>
    <row r="6229" spans="1:2" x14ac:dyDescent="0.25">
      <c r="A6229" s="5">
        <v>30971</v>
      </c>
      <c r="B6229">
        <v>164.77999877929699</v>
      </c>
    </row>
    <row r="6230" spans="1:2" x14ac:dyDescent="0.25">
      <c r="A6230" s="5">
        <v>30972</v>
      </c>
      <c r="B6230">
        <v>164.13999938964801</v>
      </c>
    </row>
    <row r="6231" spans="1:2" x14ac:dyDescent="0.25">
      <c r="A6231" s="5">
        <v>30973</v>
      </c>
      <c r="B6231">
        <v>168.10000610351599</v>
      </c>
    </row>
    <row r="6232" spans="1:2" x14ac:dyDescent="0.25">
      <c r="A6232" s="5">
        <v>30974</v>
      </c>
      <c r="B6232">
        <v>167.96000671386699</v>
      </c>
    </row>
    <row r="6233" spans="1:2" x14ac:dyDescent="0.25">
      <c r="A6233" s="5">
        <v>30977</v>
      </c>
      <c r="B6233">
        <v>167.36000061035199</v>
      </c>
    </row>
    <row r="6234" spans="1:2" x14ac:dyDescent="0.25">
      <c r="A6234" s="5">
        <v>30978</v>
      </c>
      <c r="B6234">
        <v>167.08999633789099</v>
      </c>
    </row>
    <row r="6235" spans="1:2" x14ac:dyDescent="0.25">
      <c r="A6235" s="5">
        <v>30979</v>
      </c>
      <c r="B6235">
        <v>167.19999694824199</v>
      </c>
    </row>
    <row r="6236" spans="1:2" x14ac:dyDescent="0.25">
      <c r="A6236" s="5">
        <v>30980</v>
      </c>
      <c r="B6236">
        <v>166.30999755859401</v>
      </c>
    </row>
    <row r="6237" spans="1:2" x14ac:dyDescent="0.25">
      <c r="A6237" s="5">
        <v>30981</v>
      </c>
      <c r="B6237">
        <v>165.28999328613301</v>
      </c>
    </row>
    <row r="6238" spans="1:2" x14ac:dyDescent="0.25">
      <c r="A6238" s="5">
        <v>30984</v>
      </c>
      <c r="B6238">
        <v>164.77999877929699</v>
      </c>
    </row>
    <row r="6239" spans="1:2" x14ac:dyDescent="0.25">
      <c r="A6239" s="5">
        <v>30985</v>
      </c>
      <c r="B6239">
        <v>166.83999633789099</v>
      </c>
    </row>
    <row r="6240" spans="1:2" x14ac:dyDescent="0.25">
      <c r="A6240" s="5">
        <v>30986</v>
      </c>
      <c r="B6240">
        <v>166.08999633789099</v>
      </c>
    </row>
    <row r="6241" spans="1:2" x14ac:dyDescent="0.25">
      <c r="A6241" s="5">
        <v>30987</v>
      </c>
      <c r="B6241">
        <v>167.49000549316401</v>
      </c>
    </row>
    <row r="6242" spans="1:2" x14ac:dyDescent="0.25">
      <c r="A6242" s="5">
        <v>30988</v>
      </c>
      <c r="B6242">
        <v>167.419998168945</v>
      </c>
    </row>
    <row r="6243" spans="1:2" x14ac:dyDescent="0.25">
      <c r="A6243" s="5">
        <v>30991</v>
      </c>
      <c r="B6243">
        <v>168.580001831055</v>
      </c>
    </row>
    <row r="6244" spans="1:2" x14ac:dyDescent="0.25">
      <c r="A6244" s="5">
        <v>30992</v>
      </c>
      <c r="B6244">
        <v>170.41000366210901</v>
      </c>
    </row>
    <row r="6245" spans="1:2" x14ac:dyDescent="0.25">
      <c r="A6245" s="5">
        <v>30993</v>
      </c>
      <c r="B6245">
        <v>169.169998168945</v>
      </c>
    </row>
    <row r="6246" spans="1:2" x14ac:dyDescent="0.25">
      <c r="A6246" s="5">
        <v>30994</v>
      </c>
      <c r="B6246">
        <v>168.67999267578099</v>
      </c>
    </row>
    <row r="6247" spans="1:2" x14ac:dyDescent="0.25">
      <c r="A6247" s="5">
        <v>30995</v>
      </c>
      <c r="B6247">
        <v>167.60000610351599</v>
      </c>
    </row>
    <row r="6248" spans="1:2" x14ac:dyDescent="0.25">
      <c r="A6248" s="5">
        <v>30998</v>
      </c>
      <c r="B6248">
        <v>167.36000061035199</v>
      </c>
    </row>
    <row r="6249" spans="1:2" x14ac:dyDescent="0.25">
      <c r="A6249" s="5">
        <v>30999</v>
      </c>
      <c r="B6249">
        <v>165.97000122070301</v>
      </c>
    </row>
    <row r="6250" spans="1:2" x14ac:dyDescent="0.25">
      <c r="A6250" s="5">
        <v>31000</v>
      </c>
      <c r="B6250">
        <v>165.99000549316401</v>
      </c>
    </row>
    <row r="6251" spans="1:2" x14ac:dyDescent="0.25">
      <c r="A6251" s="5">
        <v>31001</v>
      </c>
      <c r="B6251">
        <v>165.88999938964801</v>
      </c>
    </row>
    <row r="6252" spans="1:2" x14ac:dyDescent="0.25">
      <c r="A6252" s="5">
        <v>31002</v>
      </c>
      <c r="B6252">
        <v>164.10000610351599</v>
      </c>
    </row>
    <row r="6253" spans="1:2" x14ac:dyDescent="0.25">
      <c r="A6253" s="5">
        <v>31005</v>
      </c>
      <c r="B6253">
        <v>163.08999633789099</v>
      </c>
    </row>
    <row r="6254" spans="1:2" x14ac:dyDescent="0.25">
      <c r="A6254" s="5">
        <v>31006</v>
      </c>
      <c r="B6254">
        <v>164.17999267578099</v>
      </c>
    </row>
    <row r="6255" spans="1:2" x14ac:dyDescent="0.25">
      <c r="A6255" s="5">
        <v>31007</v>
      </c>
      <c r="B6255">
        <v>164.50999450683599</v>
      </c>
    </row>
    <row r="6256" spans="1:2" x14ac:dyDescent="0.25">
      <c r="A6256" s="5">
        <v>31009</v>
      </c>
      <c r="B6256">
        <v>166.919998168945</v>
      </c>
    </row>
    <row r="6257" spans="1:2" x14ac:dyDescent="0.25">
      <c r="A6257" s="5">
        <v>31012</v>
      </c>
      <c r="B6257">
        <v>165.55000305175801</v>
      </c>
    </row>
    <row r="6258" spans="1:2" x14ac:dyDescent="0.25">
      <c r="A6258" s="5">
        <v>31013</v>
      </c>
      <c r="B6258">
        <v>166.28999328613301</v>
      </c>
    </row>
    <row r="6259" spans="1:2" x14ac:dyDescent="0.25">
      <c r="A6259" s="5">
        <v>31014</v>
      </c>
      <c r="B6259">
        <v>165.02000427246099</v>
      </c>
    </row>
    <row r="6260" spans="1:2" x14ac:dyDescent="0.25">
      <c r="A6260" s="5">
        <v>31015</v>
      </c>
      <c r="B6260">
        <v>163.91000366210901</v>
      </c>
    </row>
    <row r="6261" spans="1:2" x14ac:dyDescent="0.25">
      <c r="A6261" s="5">
        <v>31016</v>
      </c>
      <c r="B6261">
        <v>163.580001831055</v>
      </c>
    </row>
    <row r="6262" spans="1:2" x14ac:dyDescent="0.25">
      <c r="A6262" s="5">
        <v>31019</v>
      </c>
      <c r="B6262">
        <v>162.82000732421901</v>
      </c>
    </row>
    <row r="6263" spans="1:2" x14ac:dyDescent="0.25">
      <c r="A6263" s="5">
        <v>31020</v>
      </c>
      <c r="B6263">
        <v>163.38000488281199</v>
      </c>
    </row>
    <row r="6264" spans="1:2" x14ac:dyDescent="0.25">
      <c r="A6264" s="5">
        <v>31021</v>
      </c>
      <c r="B6264">
        <v>162.10000610351599</v>
      </c>
    </row>
    <row r="6265" spans="1:2" x14ac:dyDescent="0.25">
      <c r="A6265" s="5">
        <v>31022</v>
      </c>
      <c r="B6265">
        <v>162.75999450683599</v>
      </c>
    </row>
    <row r="6266" spans="1:2" x14ac:dyDescent="0.25">
      <c r="A6266" s="5">
        <v>31023</v>
      </c>
      <c r="B6266">
        <v>162.25999450683599</v>
      </c>
    </row>
    <row r="6267" spans="1:2" x14ac:dyDescent="0.25">
      <c r="A6267" s="5">
        <v>31026</v>
      </c>
      <c r="B6267">
        <v>162.830001831055</v>
      </c>
    </row>
    <row r="6268" spans="1:2" x14ac:dyDescent="0.25">
      <c r="A6268" s="5">
        <v>31027</v>
      </c>
      <c r="B6268">
        <v>163.07000732421901</v>
      </c>
    </row>
    <row r="6269" spans="1:2" x14ac:dyDescent="0.25">
      <c r="A6269" s="5">
        <v>31028</v>
      </c>
      <c r="B6269">
        <v>162.63000488281199</v>
      </c>
    </row>
    <row r="6270" spans="1:2" x14ac:dyDescent="0.25">
      <c r="A6270" s="5">
        <v>31029</v>
      </c>
      <c r="B6270">
        <v>161.80999755859401</v>
      </c>
    </row>
    <row r="6271" spans="1:2" x14ac:dyDescent="0.25">
      <c r="A6271" s="5">
        <v>31030</v>
      </c>
      <c r="B6271">
        <v>162.69000244140599</v>
      </c>
    </row>
    <row r="6272" spans="1:2" x14ac:dyDescent="0.25">
      <c r="A6272" s="5">
        <v>31033</v>
      </c>
      <c r="B6272">
        <v>163.61000061035199</v>
      </c>
    </row>
    <row r="6273" spans="1:2" x14ac:dyDescent="0.25">
      <c r="A6273" s="5">
        <v>31034</v>
      </c>
      <c r="B6273">
        <v>168.11000061035199</v>
      </c>
    </row>
    <row r="6274" spans="1:2" x14ac:dyDescent="0.25">
      <c r="A6274" s="5">
        <v>31035</v>
      </c>
      <c r="B6274">
        <v>167.16000366210901</v>
      </c>
    </row>
    <row r="6275" spans="1:2" x14ac:dyDescent="0.25">
      <c r="A6275" s="5">
        <v>31036</v>
      </c>
      <c r="B6275">
        <v>166.38000488281199</v>
      </c>
    </row>
    <row r="6276" spans="1:2" x14ac:dyDescent="0.25">
      <c r="A6276" s="5">
        <v>31037</v>
      </c>
      <c r="B6276">
        <v>165.50999450683599</v>
      </c>
    </row>
    <row r="6277" spans="1:2" x14ac:dyDescent="0.25">
      <c r="A6277" s="5">
        <v>31040</v>
      </c>
      <c r="B6277">
        <v>166.75999450683599</v>
      </c>
    </row>
    <row r="6278" spans="1:2" x14ac:dyDescent="0.25">
      <c r="A6278" s="5">
        <v>31042</v>
      </c>
      <c r="B6278">
        <v>166.47000122070301</v>
      </c>
    </row>
    <row r="6279" spans="1:2" x14ac:dyDescent="0.25">
      <c r="A6279" s="5">
        <v>31043</v>
      </c>
      <c r="B6279">
        <v>165.75</v>
      </c>
    </row>
    <row r="6280" spans="1:2" x14ac:dyDescent="0.25">
      <c r="A6280" s="5">
        <v>31044</v>
      </c>
      <c r="B6280">
        <v>166.25999450683599</v>
      </c>
    </row>
    <row r="6281" spans="1:2" x14ac:dyDescent="0.25">
      <c r="A6281" s="5">
        <v>31047</v>
      </c>
      <c r="B6281">
        <v>167.24000549316401</v>
      </c>
    </row>
    <row r="6282" spans="1:2" x14ac:dyDescent="0.25">
      <c r="A6282" s="5">
        <v>31049</v>
      </c>
      <c r="B6282">
        <v>165.36999511718801</v>
      </c>
    </row>
    <row r="6283" spans="1:2" x14ac:dyDescent="0.25">
      <c r="A6283" s="5">
        <v>31050</v>
      </c>
      <c r="B6283">
        <v>164.57000732421901</v>
      </c>
    </row>
    <row r="6284" spans="1:2" x14ac:dyDescent="0.25">
      <c r="A6284" s="5">
        <v>31051</v>
      </c>
      <c r="B6284">
        <v>163.67999267578099</v>
      </c>
    </row>
    <row r="6285" spans="1:2" x14ac:dyDescent="0.25">
      <c r="A6285" s="5">
        <v>31054</v>
      </c>
      <c r="B6285">
        <v>164.24000549316401</v>
      </c>
    </row>
    <row r="6286" spans="1:2" x14ac:dyDescent="0.25">
      <c r="A6286" s="5">
        <v>31055</v>
      </c>
      <c r="B6286">
        <v>163.99000549316401</v>
      </c>
    </row>
    <row r="6287" spans="1:2" x14ac:dyDescent="0.25">
      <c r="A6287" s="5">
        <v>31056</v>
      </c>
      <c r="B6287">
        <v>165.17999267578099</v>
      </c>
    </row>
    <row r="6288" spans="1:2" x14ac:dyDescent="0.25">
      <c r="A6288" s="5">
        <v>31057</v>
      </c>
      <c r="B6288">
        <v>168.30999755859401</v>
      </c>
    </row>
    <row r="6289" spans="1:2" x14ac:dyDescent="0.25">
      <c r="A6289" s="5">
        <v>31058</v>
      </c>
      <c r="B6289">
        <v>167.91000366210901</v>
      </c>
    </row>
    <row r="6290" spans="1:2" x14ac:dyDescent="0.25">
      <c r="A6290" s="5">
        <v>31061</v>
      </c>
      <c r="B6290">
        <v>170.50999450683599</v>
      </c>
    </row>
    <row r="6291" spans="1:2" x14ac:dyDescent="0.25">
      <c r="A6291" s="5">
        <v>31062</v>
      </c>
      <c r="B6291">
        <v>170.80999755859401</v>
      </c>
    </row>
    <row r="6292" spans="1:2" x14ac:dyDescent="0.25">
      <c r="A6292" s="5">
        <v>31063</v>
      </c>
      <c r="B6292">
        <v>171.19000244140599</v>
      </c>
    </row>
    <row r="6293" spans="1:2" x14ac:dyDescent="0.25">
      <c r="A6293" s="5">
        <v>31064</v>
      </c>
      <c r="B6293">
        <v>170.72999572753901</v>
      </c>
    </row>
    <row r="6294" spans="1:2" x14ac:dyDescent="0.25">
      <c r="A6294" s="5">
        <v>31065</v>
      </c>
      <c r="B6294">
        <v>171.32000732421901</v>
      </c>
    </row>
    <row r="6295" spans="1:2" x14ac:dyDescent="0.25">
      <c r="A6295" s="5">
        <v>31068</v>
      </c>
      <c r="B6295">
        <v>175.22999572753901</v>
      </c>
    </row>
    <row r="6296" spans="1:2" x14ac:dyDescent="0.25">
      <c r="A6296" s="5">
        <v>31069</v>
      </c>
      <c r="B6296">
        <v>175.47999572753901</v>
      </c>
    </row>
    <row r="6297" spans="1:2" x14ac:dyDescent="0.25">
      <c r="A6297" s="5">
        <v>31070</v>
      </c>
      <c r="B6297">
        <v>177.30000305175801</v>
      </c>
    </row>
    <row r="6298" spans="1:2" x14ac:dyDescent="0.25">
      <c r="A6298" s="5">
        <v>31071</v>
      </c>
      <c r="B6298">
        <v>176.71000671386699</v>
      </c>
    </row>
    <row r="6299" spans="1:2" x14ac:dyDescent="0.25">
      <c r="A6299" s="5">
        <v>31072</v>
      </c>
      <c r="B6299">
        <v>177.35000610351599</v>
      </c>
    </row>
    <row r="6300" spans="1:2" x14ac:dyDescent="0.25">
      <c r="A6300" s="5">
        <v>31075</v>
      </c>
      <c r="B6300">
        <v>177.39999389648401</v>
      </c>
    </row>
    <row r="6301" spans="1:2" x14ac:dyDescent="0.25">
      <c r="A6301" s="5">
        <v>31076</v>
      </c>
      <c r="B6301">
        <v>179.17999267578099</v>
      </c>
    </row>
    <row r="6302" spans="1:2" x14ac:dyDescent="0.25">
      <c r="A6302" s="5">
        <v>31077</v>
      </c>
      <c r="B6302">
        <v>179.38999938964801</v>
      </c>
    </row>
    <row r="6303" spans="1:2" x14ac:dyDescent="0.25">
      <c r="A6303" s="5">
        <v>31078</v>
      </c>
      <c r="B6303">
        <v>179.63000488281199</v>
      </c>
    </row>
    <row r="6304" spans="1:2" x14ac:dyDescent="0.25">
      <c r="A6304" s="5">
        <v>31079</v>
      </c>
      <c r="B6304">
        <v>178.63000488281199</v>
      </c>
    </row>
    <row r="6305" spans="1:2" x14ac:dyDescent="0.25">
      <c r="A6305" s="5">
        <v>31082</v>
      </c>
      <c r="B6305">
        <v>180.35000610351599</v>
      </c>
    </row>
    <row r="6306" spans="1:2" x14ac:dyDescent="0.25">
      <c r="A6306" s="5">
        <v>31083</v>
      </c>
      <c r="B6306">
        <v>180.61000061035199</v>
      </c>
    </row>
    <row r="6307" spans="1:2" x14ac:dyDescent="0.25">
      <c r="A6307" s="5">
        <v>31084</v>
      </c>
      <c r="B6307">
        <v>180.42999267578099</v>
      </c>
    </row>
    <row r="6308" spans="1:2" x14ac:dyDescent="0.25">
      <c r="A6308" s="5">
        <v>31085</v>
      </c>
      <c r="B6308">
        <v>181.82000732421901</v>
      </c>
    </row>
    <row r="6309" spans="1:2" x14ac:dyDescent="0.25">
      <c r="A6309" s="5">
        <v>31086</v>
      </c>
      <c r="B6309">
        <v>182.19000244140599</v>
      </c>
    </row>
    <row r="6310" spans="1:2" x14ac:dyDescent="0.25">
      <c r="A6310" s="5">
        <v>31089</v>
      </c>
      <c r="B6310">
        <v>180.50999450683599</v>
      </c>
    </row>
    <row r="6311" spans="1:2" x14ac:dyDescent="0.25">
      <c r="A6311" s="5">
        <v>31090</v>
      </c>
      <c r="B6311">
        <v>180.55999755859401</v>
      </c>
    </row>
    <row r="6312" spans="1:2" x14ac:dyDescent="0.25">
      <c r="A6312" s="5">
        <v>31091</v>
      </c>
      <c r="B6312">
        <v>183.35000610351599</v>
      </c>
    </row>
    <row r="6313" spans="1:2" x14ac:dyDescent="0.25">
      <c r="A6313" s="5">
        <v>31092</v>
      </c>
      <c r="B6313">
        <v>182.41000366210901</v>
      </c>
    </row>
    <row r="6314" spans="1:2" x14ac:dyDescent="0.25">
      <c r="A6314" s="5">
        <v>31093</v>
      </c>
      <c r="B6314">
        <v>181.60000610351599</v>
      </c>
    </row>
    <row r="6315" spans="1:2" x14ac:dyDescent="0.25">
      <c r="A6315" s="5">
        <v>31097</v>
      </c>
      <c r="B6315">
        <v>181.330001831055</v>
      </c>
    </row>
    <row r="6316" spans="1:2" x14ac:dyDescent="0.25">
      <c r="A6316" s="5">
        <v>31098</v>
      </c>
      <c r="B6316">
        <v>181.17999267578099</v>
      </c>
    </row>
    <row r="6317" spans="1:2" x14ac:dyDescent="0.25">
      <c r="A6317" s="5">
        <v>31099</v>
      </c>
      <c r="B6317">
        <v>180.19000244140599</v>
      </c>
    </row>
    <row r="6318" spans="1:2" x14ac:dyDescent="0.25">
      <c r="A6318" s="5">
        <v>31100</v>
      </c>
      <c r="B6318">
        <v>179.36000061035199</v>
      </c>
    </row>
    <row r="6319" spans="1:2" x14ac:dyDescent="0.25">
      <c r="A6319" s="5">
        <v>31103</v>
      </c>
      <c r="B6319">
        <v>179.22999572753901</v>
      </c>
    </row>
    <row r="6320" spans="1:2" x14ac:dyDescent="0.25">
      <c r="A6320" s="5">
        <v>31104</v>
      </c>
      <c r="B6320">
        <v>181.169998168945</v>
      </c>
    </row>
    <row r="6321" spans="1:2" x14ac:dyDescent="0.25">
      <c r="A6321" s="5">
        <v>31105</v>
      </c>
      <c r="B6321">
        <v>180.71000671386699</v>
      </c>
    </row>
    <row r="6322" spans="1:2" x14ac:dyDescent="0.25">
      <c r="A6322" s="5">
        <v>31106</v>
      </c>
      <c r="B6322">
        <v>181.17999267578099</v>
      </c>
    </row>
    <row r="6323" spans="1:2" x14ac:dyDescent="0.25">
      <c r="A6323" s="5">
        <v>31107</v>
      </c>
      <c r="B6323">
        <v>183.22999572753901</v>
      </c>
    </row>
    <row r="6324" spans="1:2" x14ac:dyDescent="0.25">
      <c r="A6324" s="5">
        <v>31110</v>
      </c>
      <c r="B6324">
        <v>182.05999755859401</v>
      </c>
    </row>
    <row r="6325" spans="1:2" x14ac:dyDescent="0.25">
      <c r="A6325" s="5">
        <v>31111</v>
      </c>
      <c r="B6325">
        <v>182.22999572753901</v>
      </c>
    </row>
    <row r="6326" spans="1:2" x14ac:dyDescent="0.25">
      <c r="A6326" s="5">
        <v>31112</v>
      </c>
      <c r="B6326">
        <v>180.64999389648401</v>
      </c>
    </row>
    <row r="6327" spans="1:2" x14ac:dyDescent="0.25">
      <c r="A6327" s="5">
        <v>31113</v>
      </c>
      <c r="B6327">
        <v>179.50999450683599</v>
      </c>
    </row>
    <row r="6328" spans="1:2" x14ac:dyDescent="0.25">
      <c r="A6328" s="5">
        <v>31114</v>
      </c>
      <c r="B6328">
        <v>179.10000610351599</v>
      </c>
    </row>
    <row r="6329" spans="1:2" x14ac:dyDescent="0.25">
      <c r="A6329" s="5">
        <v>31117</v>
      </c>
      <c r="B6329">
        <v>178.78999328613301</v>
      </c>
    </row>
    <row r="6330" spans="1:2" x14ac:dyDescent="0.25">
      <c r="A6330" s="5">
        <v>31118</v>
      </c>
      <c r="B6330">
        <v>179.66000366210901</v>
      </c>
    </row>
    <row r="6331" spans="1:2" x14ac:dyDescent="0.25">
      <c r="A6331" s="5">
        <v>31119</v>
      </c>
      <c r="B6331">
        <v>178.19000244140599</v>
      </c>
    </row>
    <row r="6332" spans="1:2" x14ac:dyDescent="0.25">
      <c r="A6332" s="5">
        <v>31120</v>
      </c>
      <c r="B6332">
        <v>177.83999633789099</v>
      </c>
    </row>
    <row r="6333" spans="1:2" x14ac:dyDescent="0.25">
      <c r="A6333" s="5">
        <v>31121</v>
      </c>
      <c r="B6333">
        <v>176.52999877929699</v>
      </c>
    </row>
    <row r="6334" spans="1:2" x14ac:dyDescent="0.25">
      <c r="A6334" s="5">
        <v>31124</v>
      </c>
      <c r="B6334">
        <v>176.88000488281199</v>
      </c>
    </row>
    <row r="6335" spans="1:2" x14ac:dyDescent="0.25">
      <c r="A6335" s="5">
        <v>31125</v>
      </c>
      <c r="B6335">
        <v>179.53999328613301</v>
      </c>
    </row>
    <row r="6336" spans="1:2" x14ac:dyDescent="0.25">
      <c r="A6336" s="5">
        <v>31126</v>
      </c>
      <c r="B6336">
        <v>179.080001831055</v>
      </c>
    </row>
    <row r="6337" spans="1:2" x14ac:dyDescent="0.25">
      <c r="A6337" s="5">
        <v>31127</v>
      </c>
      <c r="B6337">
        <v>179.35000610351599</v>
      </c>
    </row>
    <row r="6338" spans="1:2" x14ac:dyDescent="0.25">
      <c r="A6338" s="5">
        <v>31128</v>
      </c>
      <c r="B6338">
        <v>179.03999328613301</v>
      </c>
    </row>
    <row r="6339" spans="1:2" x14ac:dyDescent="0.25">
      <c r="A6339" s="5">
        <v>31131</v>
      </c>
      <c r="B6339">
        <v>177.97000122070301</v>
      </c>
    </row>
    <row r="6340" spans="1:2" x14ac:dyDescent="0.25">
      <c r="A6340" s="5">
        <v>31132</v>
      </c>
      <c r="B6340">
        <v>178.42999267578099</v>
      </c>
    </row>
    <row r="6341" spans="1:2" x14ac:dyDescent="0.25">
      <c r="A6341" s="5">
        <v>31133</v>
      </c>
      <c r="B6341">
        <v>179.53999328613301</v>
      </c>
    </row>
    <row r="6342" spans="1:2" x14ac:dyDescent="0.25">
      <c r="A6342" s="5">
        <v>31134</v>
      </c>
      <c r="B6342">
        <v>179.53999328613301</v>
      </c>
    </row>
    <row r="6343" spans="1:2" x14ac:dyDescent="0.25">
      <c r="A6343" s="5">
        <v>31135</v>
      </c>
      <c r="B6343">
        <v>180.66000366210901</v>
      </c>
    </row>
    <row r="6344" spans="1:2" x14ac:dyDescent="0.25">
      <c r="A6344" s="5">
        <v>31138</v>
      </c>
      <c r="B6344">
        <v>181.27000427246099</v>
      </c>
    </row>
    <row r="6345" spans="1:2" x14ac:dyDescent="0.25">
      <c r="A6345" s="5">
        <v>31139</v>
      </c>
      <c r="B6345">
        <v>180.52999877929699</v>
      </c>
    </row>
    <row r="6346" spans="1:2" x14ac:dyDescent="0.25">
      <c r="A6346" s="5">
        <v>31140</v>
      </c>
      <c r="B6346">
        <v>179.11000061035199</v>
      </c>
    </row>
    <row r="6347" spans="1:2" x14ac:dyDescent="0.25">
      <c r="A6347" s="5">
        <v>31141</v>
      </c>
      <c r="B6347">
        <v>179.02999877929699</v>
      </c>
    </row>
    <row r="6348" spans="1:2" x14ac:dyDescent="0.25">
      <c r="A6348" s="5">
        <v>31145</v>
      </c>
      <c r="B6348">
        <v>178.02999877929699</v>
      </c>
    </row>
    <row r="6349" spans="1:2" x14ac:dyDescent="0.25">
      <c r="A6349" s="5">
        <v>31146</v>
      </c>
      <c r="B6349">
        <v>178.21000671386699</v>
      </c>
    </row>
    <row r="6350" spans="1:2" x14ac:dyDescent="0.25">
      <c r="A6350" s="5">
        <v>31147</v>
      </c>
      <c r="B6350">
        <v>179.419998168945</v>
      </c>
    </row>
    <row r="6351" spans="1:2" x14ac:dyDescent="0.25">
      <c r="A6351" s="5">
        <v>31148</v>
      </c>
      <c r="B6351">
        <v>180.19000244140599</v>
      </c>
    </row>
    <row r="6352" spans="1:2" x14ac:dyDescent="0.25">
      <c r="A6352" s="5">
        <v>31149</v>
      </c>
      <c r="B6352">
        <v>180.53999328613301</v>
      </c>
    </row>
    <row r="6353" spans="1:2" x14ac:dyDescent="0.25">
      <c r="A6353" s="5">
        <v>31152</v>
      </c>
      <c r="B6353">
        <v>180.919998168945</v>
      </c>
    </row>
    <row r="6354" spans="1:2" x14ac:dyDescent="0.25">
      <c r="A6354" s="5">
        <v>31153</v>
      </c>
      <c r="B6354">
        <v>181.19999694824199</v>
      </c>
    </row>
    <row r="6355" spans="1:2" x14ac:dyDescent="0.25">
      <c r="A6355" s="5">
        <v>31154</v>
      </c>
      <c r="B6355">
        <v>181.67999267578099</v>
      </c>
    </row>
    <row r="6356" spans="1:2" x14ac:dyDescent="0.25">
      <c r="A6356" s="5">
        <v>31155</v>
      </c>
      <c r="B6356">
        <v>180.83999633789099</v>
      </c>
    </row>
    <row r="6357" spans="1:2" x14ac:dyDescent="0.25">
      <c r="A6357" s="5">
        <v>31156</v>
      </c>
      <c r="B6357">
        <v>181.11000061035199</v>
      </c>
    </row>
    <row r="6358" spans="1:2" x14ac:dyDescent="0.25">
      <c r="A6358" s="5">
        <v>31159</v>
      </c>
      <c r="B6358">
        <v>180.69999694824199</v>
      </c>
    </row>
    <row r="6359" spans="1:2" x14ac:dyDescent="0.25">
      <c r="A6359" s="5">
        <v>31160</v>
      </c>
      <c r="B6359">
        <v>181.88000488281199</v>
      </c>
    </row>
    <row r="6360" spans="1:2" x14ac:dyDescent="0.25">
      <c r="A6360" s="5">
        <v>31161</v>
      </c>
      <c r="B6360">
        <v>182.25999450683599</v>
      </c>
    </row>
    <row r="6361" spans="1:2" x14ac:dyDescent="0.25">
      <c r="A6361" s="5">
        <v>31162</v>
      </c>
      <c r="B6361">
        <v>183.42999267578099</v>
      </c>
    </row>
    <row r="6362" spans="1:2" x14ac:dyDescent="0.25">
      <c r="A6362" s="5">
        <v>31163</v>
      </c>
      <c r="B6362">
        <v>182.17999267578099</v>
      </c>
    </row>
    <row r="6363" spans="1:2" x14ac:dyDescent="0.25">
      <c r="A6363" s="5">
        <v>31166</v>
      </c>
      <c r="B6363">
        <v>180.63000488281199</v>
      </c>
    </row>
    <row r="6364" spans="1:2" x14ac:dyDescent="0.25">
      <c r="A6364" s="5">
        <v>31167</v>
      </c>
      <c r="B6364">
        <v>179.830001831055</v>
      </c>
    </row>
    <row r="6365" spans="1:2" x14ac:dyDescent="0.25">
      <c r="A6365" s="5">
        <v>31168</v>
      </c>
      <c r="B6365">
        <v>178.36999511718801</v>
      </c>
    </row>
    <row r="6366" spans="1:2" x14ac:dyDescent="0.25">
      <c r="A6366" s="5">
        <v>31169</v>
      </c>
      <c r="B6366">
        <v>179.00999450683599</v>
      </c>
    </row>
    <row r="6367" spans="1:2" x14ac:dyDescent="0.25">
      <c r="A6367" s="5">
        <v>31170</v>
      </c>
      <c r="B6367">
        <v>180.080001831055</v>
      </c>
    </row>
    <row r="6368" spans="1:2" x14ac:dyDescent="0.25">
      <c r="A6368" s="5">
        <v>31173</v>
      </c>
      <c r="B6368">
        <v>179.99000549316401</v>
      </c>
    </row>
    <row r="6369" spans="1:2" x14ac:dyDescent="0.25">
      <c r="A6369" s="5">
        <v>31174</v>
      </c>
      <c r="B6369">
        <v>180.75999450683599</v>
      </c>
    </row>
    <row r="6370" spans="1:2" x14ac:dyDescent="0.25">
      <c r="A6370" s="5">
        <v>31175</v>
      </c>
      <c r="B6370">
        <v>180.61999511718801</v>
      </c>
    </row>
    <row r="6371" spans="1:2" x14ac:dyDescent="0.25">
      <c r="A6371" s="5">
        <v>31176</v>
      </c>
      <c r="B6371">
        <v>181.919998168945</v>
      </c>
    </row>
    <row r="6372" spans="1:2" x14ac:dyDescent="0.25">
      <c r="A6372" s="5">
        <v>31177</v>
      </c>
      <c r="B6372">
        <v>184.27999877929699</v>
      </c>
    </row>
    <row r="6373" spans="1:2" x14ac:dyDescent="0.25">
      <c r="A6373" s="5">
        <v>31180</v>
      </c>
      <c r="B6373">
        <v>184.61000061035199</v>
      </c>
    </row>
    <row r="6374" spans="1:2" x14ac:dyDescent="0.25">
      <c r="A6374" s="5">
        <v>31181</v>
      </c>
      <c r="B6374">
        <v>183.86999511718801</v>
      </c>
    </row>
    <row r="6375" spans="1:2" x14ac:dyDescent="0.25">
      <c r="A6375" s="5">
        <v>31182</v>
      </c>
      <c r="B6375">
        <v>184.53999328613301</v>
      </c>
    </row>
    <row r="6376" spans="1:2" x14ac:dyDescent="0.25">
      <c r="A6376" s="5">
        <v>31183</v>
      </c>
      <c r="B6376">
        <v>185.66000366210901</v>
      </c>
    </row>
    <row r="6377" spans="1:2" x14ac:dyDescent="0.25">
      <c r="A6377" s="5">
        <v>31184</v>
      </c>
      <c r="B6377">
        <v>187.419998168945</v>
      </c>
    </row>
    <row r="6378" spans="1:2" x14ac:dyDescent="0.25">
      <c r="A6378" s="5">
        <v>31187</v>
      </c>
      <c r="B6378">
        <v>189.72000122070301</v>
      </c>
    </row>
    <row r="6379" spans="1:2" x14ac:dyDescent="0.25">
      <c r="A6379" s="5">
        <v>31188</v>
      </c>
      <c r="B6379">
        <v>189.63999938964801</v>
      </c>
    </row>
    <row r="6380" spans="1:2" x14ac:dyDescent="0.25">
      <c r="A6380" s="5">
        <v>31189</v>
      </c>
      <c r="B6380">
        <v>188.55999755859401</v>
      </c>
    </row>
    <row r="6381" spans="1:2" x14ac:dyDescent="0.25">
      <c r="A6381" s="5">
        <v>31190</v>
      </c>
      <c r="B6381">
        <v>187.60000610351599</v>
      </c>
    </row>
    <row r="6382" spans="1:2" x14ac:dyDescent="0.25">
      <c r="A6382" s="5">
        <v>31191</v>
      </c>
      <c r="B6382">
        <v>188.28999328613301</v>
      </c>
    </row>
    <row r="6383" spans="1:2" x14ac:dyDescent="0.25">
      <c r="A6383" s="5">
        <v>31195</v>
      </c>
      <c r="B6383">
        <v>187.86000061035199</v>
      </c>
    </row>
    <row r="6384" spans="1:2" x14ac:dyDescent="0.25">
      <c r="A6384" s="5">
        <v>31196</v>
      </c>
      <c r="B6384">
        <v>187.67999267578099</v>
      </c>
    </row>
    <row r="6385" spans="1:2" x14ac:dyDescent="0.25">
      <c r="A6385" s="5">
        <v>31197</v>
      </c>
      <c r="B6385">
        <v>187.75</v>
      </c>
    </row>
    <row r="6386" spans="1:2" x14ac:dyDescent="0.25">
      <c r="A6386" s="5">
        <v>31198</v>
      </c>
      <c r="B6386">
        <v>189.55000305175801</v>
      </c>
    </row>
    <row r="6387" spans="1:2" x14ac:dyDescent="0.25">
      <c r="A6387" s="5">
        <v>31201</v>
      </c>
      <c r="B6387">
        <v>189.32000732421901</v>
      </c>
    </row>
    <row r="6388" spans="1:2" x14ac:dyDescent="0.25">
      <c r="A6388" s="5">
        <v>31202</v>
      </c>
      <c r="B6388">
        <v>190.03999328613301</v>
      </c>
    </row>
    <row r="6389" spans="1:2" x14ac:dyDescent="0.25">
      <c r="A6389" s="5">
        <v>31203</v>
      </c>
      <c r="B6389">
        <v>190.16000366210901</v>
      </c>
    </row>
    <row r="6390" spans="1:2" x14ac:dyDescent="0.25">
      <c r="A6390" s="5">
        <v>31204</v>
      </c>
      <c r="B6390">
        <v>191.05999755859401</v>
      </c>
    </row>
    <row r="6391" spans="1:2" x14ac:dyDescent="0.25">
      <c r="A6391" s="5">
        <v>31205</v>
      </c>
      <c r="B6391">
        <v>189.67999267578099</v>
      </c>
    </row>
    <row r="6392" spans="1:2" x14ac:dyDescent="0.25">
      <c r="A6392" s="5">
        <v>31208</v>
      </c>
      <c r="B6392">
        <v>189.50999450683599</v>
      </c>
    </row>
    <row r="6393" spans="1:2" x14ac:dyDescent="0.25">
      <c r="A6393" s="5">
        <v>31209</v>
      </c>
      <c r="B6393">
        <v>189.03999328613301</v>
      </c>
    </row>
    <row r="6394" spans="1:2" x14ac:dyDescent="0.25">
      <c r="A6394" s="5">
        <v>31210</v>
      </c>
      <c r="B6394">
        <v>187.61000061035199</v>
      </c>
    </row>
    <row r="6395" spans="1:2" x14ac:dyDescent="0.25">
      <c r="A6395" s="5">
        <v>31211</v>
      </c>
      <c r="B6395">
        <v>185.330001831055</v>
      </c>
    </row>
    <row r="6396" spans="1:2" x14ac:dyDescent="0.25">
      <c r="A6396" s="5">
        <v>31212</v>
      </c>
      <c r="B6396">
        <v>187.10000610351599</v>
      </c>
    </row>
    <row r="6397" spans="1:2" x14ac:dyDescent="0.25">
      <c r="A6397" s="5">
        <v>31215</v>
      </c>
      <c r="B6397">
        <v>186.52999877929699</v>
      </c>
    </row>
    <row r="6398" spans="1:2" x14ac:dyDescent="0.25">
      <c r="A6398" s="5">
        <v>31216</v>
      </c>
      <c r="B6398">
        <v>187.33999633789099</v>
      </c>
    </row>
    <row r="6399" spans="1:2" x14ac:dyDescent="0.25">
      <c r="A6399" s="5">
        <v>31217</v>
      </c>
      <c r="B6399">
        <v>186.63000488281199</v>
      </c>
    </row>
    <row r="6400" spans="1:2" x14ac:dyDescent="0.25">
      <c r="A6400" s="5">
        <v>31218</v>
      </c>
      <c r="B6400">
        <v>186.72999572753901</v>
      </c>
    </row>
    <row r="6401" spans="1:2" x14ac:dyDescent="0.25">
      <c r="A6401" s="5">
        <v>31219</v>
      </c>
      <c r="B6401">
        <v>189.61000061035199</v>
      </c>
    </row>
    <row r="6402" spans="1:2" x14ac:dyDescent="0.25">
      <c r="A6402" s="5">
        <v>31222</v>
      </c>
      <c r="B6402">
        <v>189.14999389648401</v>
      </c>
    </row>
    <row r="6403" spans="1:2" x14ac:dyDescent="0.25">
      <c r="A6403" s="5">
        <v>31223</v>
      </c>
      <c r="B6403">
        <v>189.74000549316401</v>
      </c>
    </row>
    <row r="6404" spans="1:2" x14ac:dyDescent="0.25">
      <c r="A6404" s="5">
        <v>31224</v>
      </c>
      <c r="B6404">
        <v>190.05999755859401</v>
      </c>
    </row>
    <row r="6405" spans="1:2" x14ac:dyDescent="0.25">
      <c r="A6405" s="5">
        <v>31225</v>
      </c>
      <c r="B6405">
        <v>191.22999572753901</v>
      </c>
    </row>
    <row r="6406" spans="1:2" x14ac:dyDescent="0.25">
      <c r="A6406" s="5">
        <v>31226</v>
      </c>
      <c r="B6406">
        <v>191.85000610351599</v>
      </c>
    </row>
    <row r="6407" spans="1:2" x14ac:dyDescent="0.25">
      <c r="A6407" s="5">
        <v>31229</v>
      </c>
      <c r="B6407">
        <v>192.42999267578099</v>
      </c>
    </row>
    <row r="6408" spans="1:2" x14ac:dyDescent="0.25">
      <c r="A6408" s="5">
        <v>31230</v>
      </c>
      <c r="B6408">
        <v>192.00999450683599</v>
      </c>
    </row>
    <row r="6409" spans="1:2" x14ac:dyDescent="0.25">
      <c r="A6409" s="5">
        <v>31231</v>
      </c>
      <c r="B6409">
        <v>191.44999694824199</v>
      </c>
    </row>
    <row r="6410" spans="1:2" x14ac:dyDescent="0.25">
      <c r="A6410" s="5">
        <v>31233</v>
      </c>
      <c r="B6410">
        <v>192.52000427246099</v>
      </c>
    </row>
    <row r="6411" spans="1:2" x14ac:dyDescent="0.25">
      <c r="A6411" s="5">
        <v>31236</v>
      </c>
      <c r="B6411">
        <v>191.92999267578099</v>
      </c>
    </row>
    <row r="6412" spans="1:2" x14ac:dyDescent="0.25">
      <c r="A6412" s="5">
        <v>31237</v>
      </c>
      <c r="B6412">
        <v>191.05000305175801</v>
      </c>
    </row>
    <row r="6413" spans="1:2" x14ac:dyDescent="0.25">
      <c r="A6413" s="5">
        <v>31238</v>
      </c>
      <c r="B6413">
        <v>192.36999511718801</v>
      </c>
    </row>
    <row r="6414" spans="1:2" x14ac:dyDescent="0.25">
      <c r="A6414" s="5">
        <v>31239</v>
      </c>
      <c r="B6414">
        <v>192.94000244140599</v>
      </c>
    </row>
    <row r="6415" spans="1:2" x14ac:dyDescent="0.25">
      <c r="A6415" s="5">
        <v>31240</v>
      </c>
      <c r="B6415">
        <v>193.28999328613301</v>
      </c>
    </row>
    <row r="6416" spans="1:2" x14ac:dyDescent="0.25">
      <c r="A6416" s="5">
        <v>31243</v>
      </c>
      <c r="B6416">
        <v>192.72000122070301</v>
      </c>
    </row>
    <row r="6417" spans="1:2" x14ac:dyDescent="0.25">
      <c r="A6417" s="5">
        <v>31244</v>
      </c>
      <c r="B6417">
        <v>194.72000122070301</v>
      </c>
    </row>
    <row r="6418" spans="1:2" x14ac:dyDescent="0.25">
      <c r="A6418" s="5">
        <v>31245</v>
      </c>
      <c r="B6418">
        <v>195.64999389648401</v>
      </c>
    </row>
    <row r="6419" spans="1:2" x14ac:dyDescent="0.25">
      <c r="A6419" s="5">
        <v>31246</v>
      </c>
      <c r="B6419">
        <v>194.38000488281199</v>
      </c>
    </row>
    <row r="6420" spans="1:2" x14ac:dyDescent="0.25">
      <c r="A6420" s="5">
        <v>31247</v>
      </c>
      <c r="B6420">
        <v>195.13000488281199</v>
      </c>
    </row>
    <row r="6421" spans="1:2" x14ac:dyDescent="0.25">
      <c r="A6421" s="5">
        <v>31250</v>
      </c>
      <c r="B6421">
        <v>194.35000610351599</v>
      </c>
    </row>
    <row r="6422" spans="1:2" x14ac:dyDescent="0.25">
      <c r="A6422" s="5">
        <v>31251</v>
      </c>
      <c r="B6422">
        <v>192.55000305175801</v>
      </c>
    </row>
    <row r="6423" spans="1:2" x14ac:dyDescent="0.25">
      <c r="A6423" s="5">
        <v>31252</v>
      </c>
      <c r="B6423">
        <v>191.580001831055</v>
      </c>
    </row>
    <row r="6424" spans="1:2" x14ac:dyDescent="0.25">
      <c r="A6424" s="5">
        <v>31253</v>
      </c>
      <c r="B6424">
        <v>192.05999755859401</v>
      </c>
    </row>
    <row r="6425" spans="1:2" x14ac:dyDescent="0.25">
      <c r="A6425" s="5">
        <v>31254</v>
      </c>
      <c r="B6425">
        <v>192.39999389648401</v>
      </c>
    </row>
    <row r="6426" spans="1:2" x14ac:dyDescent="0.25">
      <c r="A6426" s="5">
        <v>31257</v>
      </c>
      <c r="B6426">
        <v>189.60000610351599</v>
      </c>
    </row>
    <row r="6427" spans="1:2" x14ac:dyDescent="0.25">
      <c r="A6427" s="5">
        <v>31258</v>
      </c>
      <c r="B6427">
        <v>189.92999267578099</v>
      </c>
    </row>
    <row r="6428" spans="1:2" x14ac:dyDescent="0.25">
      <c r="A6428" s="5">
        <v>31259</v>
      </c>
      <c r="B6428">
        <v>190.919998168945</v>
      </c>
    </row>
    <row r="6429" spans="1:2" x14ac:dyDescent="0.25">
      <c r="A6429" s="5">
        <v>31260</v>
      </c>
      <c r="B6429">
        <v>192.11000061035199</v>
      </c>
    </row>
    <row r="6430" spans="1:2" x14ac:dyDescent="0.25">
      <c r="A6430" s="5">
        <v>31261</v>
      </c>
      <c r="B6430">
        <v>191.47999572753901</v>
      </c>
    </row>
    <row r="6431" spans="1:2" x14ac:dyDescent="0.25">
      <c r="A6431" s="5">
        <v>31264</v>
      </c>
      <c r="B6431">
        <v>190.61999511718801</v>
      </c>
    </row>
    <row r="6432" spans="1:2" x14ac:dyDescent="0.25">
      <c r="A6432" s="5">
        <v>31265</v>
      </c>
      <c r="B6432">
        <v>187.92999267578099</v>
      </c>
    </row>
    <row r="6433" spans="1:2" x14ac:dyDescent="0.25">
      <c r="A6433" s="5">
        <v>31266</v>
      </c>
      <c r="B6433">
        <v>187.67999267578099</v>
      </c>
    </row>
    <row r="6434" spans="1:2" x14ac:dyDescent="0.25">
      <c r="A6434" s="5">
        <v>31267</v>
      </c>
      <c r="B6434">
        <v>188.94999694824199</v>
      </c>
    </row>
    <row r="6435" spans="1:2" x14ac:dyDescent="0.25">
      <c r="A6435" s="5">
        <v>31268</v>
      </c>
      <c r="B6435">
        <v>188.32000732421901</v>
      </c>
    </row>
    <row r="6436" spans="1:2" x14ac:dyDescent="0.25">
      <c r="A6436" s="5">
        <v>31271</v>
      </c>
      <c r="B6436">
        <v>187.63000488281199</v>
      </c>
    </row>
    <row r="6437" spans="1:2" x14ac:dyDescent="0.25">
      <c r="A6437" s="5">
        <v>31272</v>
      </c>
      <c r="B6437">
        <v>187.30000305175801</v>
      </c>
    </row>
    <row r="6438" spans="1:2" x14ac:dyDescent="0.25">
      <c r="A6438" s="5">
        <v>31273</v>
      </c>
      <c r="B6438">
        <v>187.41000366210901</v>
      </c>
    </row>
    <row r="6439" spans="1:2" x14ac:dyDescent="0.25">
      <c r="A6439" s="5">
        <v>31274</v>
      </c>
      <c r="B6439">
        <v>187.25999450683599</v>
      </c>
    </row>
    <row r="6440" spans="1:2" x14ac:dyDescent="0.25">
      <c r="A6440" s="5">
        <v>31275</v>
      </c>
      <c r="B6440">
        <v>186.10000610351599</v>
      </c>
    </row>
    <row r="6441" spans="1:2" x14ac:dyDescent="0.25">
      <c r="A6441" s="5">
        <v>31278</v>
      </c>
      <c r="B6441">
        <v>186.38000488281199</v>
      </c>
    </row>
    <row r="6442" spans="1:2" x14ac:dyDescent="0.25">
      <c r="A6442" s="5">
        <v>31279</v>
      </c>
      <c r="B6442">
        <v>188.080001831055</v>
      </c>
    </row>
    <row r="6443" spans="1:2" x14ac:dyDescent="0.25">
      <c r="A6443" s="5">
        <v>31280</v>
      </c>
      <c r="B6443">
        <v>189.16000366210901</v>
      </c>
    </row>
    <row r="6444" spans="1:2" x14ac:dyDescent="0.25">
      <c r="A6444" s="5">
        <v>31281</v>
      </c>
      <c r="B6444">
        <v>187.36000061035199</v>
      </c>
    </row>
    <row r="6445" spans="1:2" x14ac:dyDescent="0.25">
      <c r="A6445" s="5">
        <v>31282</v>
      </c>
      <c r="B6445">
        <v>187.169998168945</v>
      </c>
    </row>
    <row r="6446" spans="1:2" x14ac:dyDescent="0.25">
      <c r="A6446" s="5">
        <v>31285</v>
      </c>
      <c r="B6446">
        <v>187.30999755859401</v>
      </c>
    </row>
    <row r="6447" spans="1:2" x14ac:dyDescent="0.25">
      <c r="A6447" s="5">
        <v>31286</v>
      </c>
      <c r="B6447">
        <v>188.10000610351599</v>
      </c>
    </row>
    <row r="6448" spans="1:2" x14ac:dyDescent="0.25">
      <c r="A6448" s="5">
        <v>31287</v>
      </c>
      <c r="B6448">
        <v>188.830001831055</v>
      </c>
    </row>
    <row r="6449" spans="1:2" x14ac:dyDescent="0.25">
      <c r="A6449" s="5">
        <v>31288</v>
      </c>
      <c r="B6449">
        <v>188.92999267578099</v>
      </c>
    </row>
    <row r="6450" spans="1:2" x14ac:dyDescent="0.25">
      <c r="A6450" s="5">
        <v>31289</v>
      </c>
      <c r="B6450">
        <v>188.63000488281199</v>
      </c>
    </row>
    <row r="6451" spans="1:2" x14ac:dyDescent="0.25">
      <c r="A6451" s="5">
        <v>31293</v>
      </c>
      <c r="B6451">
        <v>187.91000366210901</v>
      </c>
    </row>
    <row r="6452" spans="1:2" x14ac:dyDescent="0.25">
      <c r="A6452" s="5">
        <v>31294</v>
      </c>
      <c r="B6452">
        <v>187.36999511718801</v>
      </c>
    </row>
    <row r="6453" spans="1:2" x14ac:dyDescent="0.25">
      <c r="A6453" s="5">
        <v>31295</v>
      </c>
      <c r="B6453">
        <v>187.27000427246099</v>
      </c>
    </row>
    <row r="6454" spans="1:2" x14ac:dyDescent="0.25">
      <c r="A6454" s="5">
        <v>31296</v>
      </c>
      <c r="B6454">
        <v>188.24000549316401</v>
      </c>
    </row>
    <row r="6455" spans="1:2" x14ac:dyDescent="0.25">
      <c r="A6455" s="5">
        <v>31299</v>
      </c>
      <c r="B6455">
        <v>188.25</v>
      </c>
    </row>
    <row r="6456" spans="1:2" x14ac:dyDescent="0.25">
      <c r="A6456" s="5">
        <v>31300</v>
      </c>
      <c r="B6456">
        <v>186.89999389648401</v>
      </c>
    </row>
    <row r="6457" spans="1:2" x14ac:dyDescent="0.25">
      <c r="A6457" s="5">
        <v>31301</v>
      </c>
      <c r="B6457">
        <v>185.02999877929699</v>
      </c>
    </row>
    <row r="6458" spans="1:2" x14ac:dyDescent="0.25">
      <c r="A6458" s="5">
        <v>31302</v>
      </c>
      <c r="B6458">
        <v>183.69000244140599</v>
      </c>
    </row>
    <row r="6459" spans="1:2" x14ac:dyDescent="0.25">
      <c r="A6459" s="5">
        <v>31303</v>
      </c>
      <c r="B6459">
        <v>182.91000366210901</v>
      </c>
    </row>
    <row r="6460" spans="1:2" x14ac:dyDescent="0.25">
      <c r="A6460" s="5">
        <v>31306</v>
      </c>
      <c r="B6460">
        <v>182.88000488281199</v>
      </c>
    </row>
    <row r="6461" spans="1:2" x14ac:dyDescent="0.25">
      <c r="A6461" s="5">
        <v>31307</v>
      </c>
      <c r="B6461">
        <v>181.36000061035199</v>
      </c>
    </row>
    <row r="6462" spans="1:2" x14ac:dyDescent="0.25">
      <c r="A6462" s="5">
        <v>31308</v>
      </c>
      <c r="B6462">
        <v>181.71000671386699</v>
      </c>
    </row>
    <row r="6463" spans="1:2" x14ac:dyDescent="0.25">
      <c r="A6463" s="5">
        <v>31309</v>
      </c>
      <c r="B6463">
        <v>183.38999938964801</v>
      </c>
    </row>
    <row r="6464" spans="1:2" x14ac:dyDescent="0.25">
      <c r="A6464" s="5">
        <v>31310</v>
      </c>
      <c r="B6464">
        <v>182.05000305175801</v>
      </c>
    </row>
    <row r="6465" spans="1:2" x14ac:dyDescent="0.25">
      <c r="A6465" s="5">
        <v>31313</v>
      </c>
      <c r="B6465">
        <v>184.30000305175801</v>
      </c>
    </row>
    <row r="6466" spans="1:2" x14ac:dyDescent="0.25">
      <c r="A6466" s="5">
        <v>31314</v>
      </c>
      <c r="B6466">
        <v>182.61999511718801</v>
      </c>
    </row>
    <row r="6467" spans="1:2" x14ac:dyDescent="0.25">
      <c r="A6467" s="5">
        <v>31315</v>
      </c>
      <c r="B6467">
        <v>180.66000366210901</v>
      </c>
    </row>
    <row r="6468" spans="1:2" x14ac:dyDescent="0.25">
      <c r="A6468" s="5">
        <v>31316</v>
      </c>
      <c r="B6468">
        <v>181.28999328613301</v>
      </c>
    </row>
    <row r="6469" spans="1:2" x14ac:dyDescent="0.25">
      <c r="A6469" s="5">
        <v>31320</v>
      </c>
      <c r="B6469">
        <v>182.080001831055</v>
      </c>
    </row>
    <row r="6470" spans="1:2" x14ac:dyDescent="0.25">
      <c r="A6470" s="5">
        <v>31321</v>
      </c>
      <c r="B6470">
        <v>185.07000732421901</v>
      </c>
    </row>
    <row r="6471" spans="1:2" x14ac:dyDescent="0.25">
      <c r="A6471" s="5">
        <v>31322</v>
      </c>
      <c r="B6471">
        <v>184.05999755859401</v>
      </c>
    </row>
    <row r="6472" spans="1:2" x14ac:dyDescent="0.25">
      <c r="A6472" s="5">
        <v>31323</v>
      </c>
      <c r="B6472">
        <v>184.36000061035199</v>
      </c>
    </row>
    <row r="6473" spans="1:2" x14ac:dyDescent="0.25">
      <c r="A6473" s="5">
        <v>31324</v>
      </c>
      <c r="B6473">
        <v>183.22000122070301</v>
      </c>
    </row>
    <row r="6474" spans="1:2" x14ac:dyDescent="0.25">
      <c r="A6474" s="5">
        <v>31327</v>
      </c>
      <c r="B6474">
        <v>181.86999511718801</v>
      </c>
    </row>
    <row r="6475" spans="1:2" x14ac:dyDescent="0.25">
      <c r="A6475" s="5">
        <v>31328</v>
      </c>
      <c r="B6475">
        <v>181.86999511718801</v>
      </c>
    </row>
    <row r="6476" spans="1:2" x14ac:dyDescent="0.25">
      <c r="A6476" s="5">
        <v>31329</v>
      </c>
      <c r="B6476">
        <v>182.52000427246099</v>
      </c>
    </row>
    <row r="6477" spans="1:2" x14ac:dyDescent="0.25">
      <c r="A6477" s="5">
        <v>31330</v>
      </c>
      <c r="B6477">
        <v>182.77999877929699</v>
      </c>
    </row>
    <row r="6478" spans="1:2" x14ac:dyDescent="0.25">
      <c r="A6478" s="5">
        <v>31331</v>
      </c>
      <c r="B6478">
        <v>184.27999877929699</v>
      </c>
    </row>
    <row r="6479" spans="1:2" x14ac:dyDescent="0.25">
      <c r="A6479" s="5">
        <v>31334</v>
      </c>
      <c r="B6479">
        <v>186.36999511718801</v>
      </c>
    </row>
    <row r="6480" spans="1:2" x14ac:dyDescent="0.25">
      <c r="A6480" s="5">
        <v>31335</v>
      </c>
      <c r="B6480">
        <v>186.080001831055</v>
      </c>
    </row>
    <row r="6481" spans="1:2" x14ac:dyDescent="0.25">
      <c r="A6481" s="5">
        <v>31336</v>
      </c>
      <c r="B6481">
        <v>187.97999572753901</v>
      </c>
    </row>
    <row r="6482" spans="1:2" x14ac:dyDescent="0.25">
      <c r="A6482" s="5">
        <v>31337</v>
      </c>
      <c r="B6482">
        <v>187.66000366210901</v>
      </c>
    </row>
    <row r="6483" spans="1:2" x14ac:dyDescent="0.25">
      <c r="A6483" s="5">
        <v>31338</v>
      </c>
      <c r="B6483">
        <v>187.03999328613301</v>
      </c>
    </row>
    <row r="6484" spans="1:2" x14ac:dyDescent="0.25">
      <c r="A6484" s="5">
        <v>31341</v>
      </c>
      <c r="B6484">
        <v>186.96000671386699</v>
      </c>
    </row>
    <row r="6485" spans="1:2" x14ac:dyDescent="0.25">
      <c r="A6485" s="5">
        <v>31342</v>
      </c>
      <c r="B6485">
        <v>188.03999328613301</v>
      </c>
    </row>
    <row r="6486" spans="1:2" x14ac:dyDescent="0.25">
      <c r="A6486" s="5">
        <v>31343</v>
      </c>
      <c r="B6486">
        <v>189.08999633789099</v>
      </c>
    </row>
    <row r="6487" spans="1:2" x14ac:dyDescent="0.25">
      <c r="A6487" s="5">
        <v>31344</v>
      </c>
      <c r="B6487">
        <v>188.5</v>
      </c>
    </row>
    <row r="6488" spans="1:2" x14ac:dyDescent="0.25">
      <c r="A6488" s="5">
        <v>31345</v>
      </c>
      <c r="B6488">
        <v>187.52000427246099</v>
      </c>
    </row>
    <row r="6489" spans="1:2" x14ac:dyDescent="0.25">
      <c r="A6489" s="5">
        <v>31348</v>
      </c>
      <c r="B6489">
        <v>187.75999450683599</v>
      </c>
    </row>
    <row r="6490" spans="1:2" x14ac:dyDescent="0.25">
      <c r="A6490" s="5">
        <v>31349</v>
      </c>
      <c r="B6490">
        <v>189.22999572753901</v>
      </c>
    </row>
    <row r="6491" spans="1:2" x14ac:dyDescent="0.25">
      <c r="A6491" s="5">
        <v>31350</v>
      </c>
      <c r="B6491">
        <v>190.07000732421901</v>
      </c>
    </row>
    <row r="6492" spans="1:2" x14ac:dyDescent="0.25">
      <c r="A6492" s="5">
        <v>31351</v>
      </c>
      <c r="B6492">
        <v>189.82000732421901</v>
      </c>
    </row>
    <row r="6493" spans="1:2" x14ac:dyDescent="0.25">
      <c r="A6493" s="5">
        <v>31352</v>
      </c>
      <c r="B6493">
        <v>191.52999877929699</v>
      </c>
    </row>
    <row r="6494" spans="1:2" x14ac:dyDescent="0.25">
      <c r="A6494" s="5">
        <v>31355</v>
      </c>
      <c r="B6494">
        <v>191.25</v>
      </c>
    </row>
    <row r="6495" spans="1:2" x14ac:dyDescent="0.25">
      <c r="A6495" s="5">
        <v>31356</v>
      </c>
      <c r="B6495">
        <v>192.36999511718801</v>
      </c>
    </row>
    <row r="6496" spans="1:2" x14ac:dyDescent="0.25">
      <c r="A6496" s="5">
        <v>31357</v>
      </c>
      <c r="B6496">
        <v>192.75999450683599</v>
      </c>
    </row>
    <row r="6497" spans="1:2" x14ac:dyDescent="0.25">
      <c r="A6497" s="5">
        <v>31358</v>
      </c>
      <c r="B6497">
        <v>192.61999511718801</v>
      </c>
    </row>
    <row r="6498" spans="1:2" x14ac:dyDescent="0.25">
      <c r="A6498" s="5">
        <v>31359</v>
      </c>
      <c r="B6498">
        <v>193.72000122070301</v>
      </c>
    </row>
    <row r="6499" spans="1:2" x14ac:dyDescent="0.25">
      <c r="A6499" s="5">
        <v>31362</v>
      </c>
      <c r="B6499">
        <v>197.27999877929699</v>
      </c>
    </row>
    <row r="6500" spans="1:2" x14ac:dyDescent="0.25">
      <c r="A6500" s="5">
        <v>31363</v>
      </c>
      <c r="B6500">
        <v>198.080001831055</v>
      </c>
    </row>
    <row r="6501" spans="1:2" x14ac:dyDescent="0.25">
      <c r="A6501" s="5">
        <v>31364</v>
      </c>
      <c r="B6501">
        <v>197.10000610351599</v>
      </c>
    </row>
    <row r="6502" spans="1:2" x14ac:dyDescent="0.25">
      <c r="A6502" s="5">
        <v>31365</v>
      </c>
      <c r="B6502">
        <v>199.05999755859401</v>
      </c>
    </row>
    <row r="6503" spans="1:2" x14ac:dyDescent="0.25">
      <c r="A6503" s="5">
        <v>31366</v>
      </c>
      <c r="B6503">
        <v>198.11000061035199</v>
      </c>
    </row>
    <row r="6504" spans="1:2" x14ac:dyDescent="0.25">
      <c r="A6504" s="5">
        <v>31369</v>
      </c>
      <c r="B6504">
        <v>198.71000671386699</v>
      </c>
    </row>
    <row r="6505" spans="1:2" x14ac:dyDescent="0.25">
      <c r="A6505" s="5">
        <v>31370</v>
      </c>
      <c r="B6505">
        <v>198.669998168945</v>
      </c>
    </row>
    <row r="6506" spans="1:2" x14ac:dyDescent="0.25">
      <c r="A6506" s="5">
        <v>31371</v>
      </c>
      <c r="B6506">
        <v>198.99000549316401</v>
      </c>
    </row>
    <row r="6507" spans="1:2" x14ac:dyDescent="0.25">
      <c r="A6507" s="5">
        <v>31372</v>
      </c>
      <c r="B6507">
        <v>201.41000366210901</v>
      </c>
    </row>
    <row r="6508" spans="1:2" x14ac:dyDescent="0.25">
      <c r="A6508" s="5">
        <v>31373</v>
      </c>
      <c r="B6508">
        <v>201.52000427246099</v>
      </c>
    </row>
    <row r="6509" spans="1:2" x14ac:dyDescent="0.25">
      <c r="A6509" s="5">
        <v>31376</v>
      </c>
      <c r="B6509">
        <v>200.35000610351599</v>
      </c>
    </row>
    <row r="6510" spans="1:2" x14ac:dyDescent="0.25">
      <c r="A6510" s="5">
        <v>31377</v>
      </c>
      <c r="B6510">
        <v>200.669998168945</v>
      </c>
    </row>
    <row r="6511" spans="1:2" x14ac:dyDescent="0.25">
      <c r="A6511" s="5">
        <v>31378</v>
      </c>
      <c r="B6511">
        <v>202.53999328613301</v>
      </c>
    </row>
    <row r="6512" spans="1:2" x14ac:dyDescent="0.25">
      <c r="A6512" s="5">
        <v>31380</v>
      </c>
      <c r="B6512">
        <v>202.169998168945</v>
      </c>
    </row>
    <row r="6513" spans="1:2" x14ac:dyDescent="0.25">
      <c r="A6513" s="5">
        <v>31383</v>
      </c>
      <c r="B6513">
        <v>200.46000671386699</v>
      </c>
    </row>
    <row r="6514" spans="1:2" x14ac:dyDescent="0.25">
      <c r="A6514" s="5">
        <v>31384</v>
      </c>
      <c r="B6514">
        <v>200.86000061035199</v>
      </c>
    </row>
    <row r="6515" spans="1:2" x14ac:dyDescent="0.25">
      <c r="A6515" s="5">
        <v>31385</v>
      </c>
      <c r="B6515">
        <v>204.22999572753901</v>
      </c>
    </row>
    <row r="6516" spans="1:2" x14ac:dyDescent="0.25">
      <c r="A6516" s="5">
        <v>31386</v>
      </c>
      <c r="B6516">
        <v>203.88000488281199</v>
      </c>
    </row>
    <row r="6517" spans="1:2" x14ac:dyDescent="0.25">
      <c r="A6517" s="5">
        <v>31387</v>
      </c>
      <c r="B6517">
        <v>202.99000549316401</v>
      </c>
    </row>
    <row r="6518" spans="1:2" x14ac:dyDescent="0.25">
      <c r="A6518" s="5">
        <v>31390</v>
      </c>
      <c r="B6518">
        <v>204.25</v>
      </c>
    </row>
    <row r="6519" spans="1:2" x14ac:dyDescent="0.25">
      <c r="A6519" s="5">
        <v>31391</v>
      </c>
      <c r="B6519">
        <v>204.38999938964801</v>
      </c>
    </row>
    <row r="6520" spans="1:2" x14ac:dyDescent="0.25">
      <c r="A6520" s="5">
        <v>31392</v>
      </c>
      <c r="B6520">
        <v>206.30999755859401</v>
      </c>
    </row>
    <row r="6521" spans="1:2" x14ac:dyDescent="0.25">
      <c r="A6521" s="5">
        <v>31393</v>
      </c>
      <c r="B6521">
        <v>206.72999572753901</v>
      </c>
    </row>
    <row r="6522" spans="1:2" x14ac:dyDescent="0.25">
      <c r="A6522" s="5">
        <v>31394</v>
      </c>
      <c r="B6522">
        <v>209.94000244140599</v>
      </c>
    </row>
    <row r="6523" spans="1:2" x14ac:dyDescent="0.25">
      <c r="A6523" s="5">
        <v>31397</v>
      </c>
      <c r="B6523">
        <v>212.02000427246099</v>
      </c>
    </row>
    <row r="6524" spans="1:2" x14ac:dyDescent="0.25">
      <c r="A6524" s="5">
        <v>31398</v>
      </c>
      <c r="B6524">
        <v>210.64999389648401</v>
      </c>
    </row>
    <row r="6525" spans="1:2" x14ac:dyDescent="0.25">
      <c r="A6525" s="5">
        <v>31399</v>
      </c>
      <c r="B6525">
        <v>209.80999755859401</v>
      </c>
    </row>
    <row r="6526" spans="1:2" x14ac:dyDescent="0.25">
      <c r="A6526" s="5">
        <v>31400</v>
      </c>
      <c r="B6526">
        <v>210.02000427246099</v>
      </c>
    </row>
    <row r="6527" spans="1:2" x14ac:dyDescent="0.25">
      <c r="A6527" s="5">
        <v>31401</v>
      </c>
      <c r="B6527">
        <v>210.94000244140599</v>
      </c>
    </row>
    <row r="6528" spans="1:2" x14ac:dyDescent="0.25">
      <c r="A6528" s="5">
        <v>31404</v>
      </c>
      <c r="B6528">
        <v>208.57000732421901</v>
      </c>
    </row>
    <row r="6529" spans="1:2" x14ac:dyDescent="0.25">
      <c r="A6529" s="5">
        <v>31405</v>
      </c>
      <c r="B6529">
        <v>207.13999938964801</v>
      </c>
    </row>
    <row r="6530" spans="1:2" x14ac:dyDescent="0.25">
      <c r="A6530" s="5">
        <v>31407</v>
      </c>
      <c r="B6530">
        <v>207.64999389648401</v>
      </c>
    </row>
    <row r="6531" spans="1:2" x14ac:dyDescent="0.25">
      <c r="A6531" s="5">
        <v>31408</v>
      </c>
      <c r="B6531">
        <v>209.61000061035199</v>
      </c>
    </row>
    <row r="6532" spans="1:2" x14ac:dyDescent="0.25">
      <c r="A6532" s="5">
        <v>31411</v>
      </c>
      <c r="B6532">
        <v>210.67999267578099</v>
      </c>
    </row>
    <row r="6533" spans="1:2" x14ac:dyDescent="0.25">
      <c r="A6533" s="5">
        <v>31412</v>
      </c>
      <c r="B6533">
        <v>211.27999877929699</v>
      </c>
    </row>
    <row r="6534" spans="1:2" x14ac:dyDescent="0.25">
      <c r="A6534" s="5">
        <v>31414</v>
      </c>
      <c r="B6534">
        <v>209.58999633789099</v>
      </c>
    </row>
    <row r="6535" spans="1:2" x14ac:dyDescent="0.25">
      <c r="A6535" s="5">
        <v>31415</v>
      </c>
      <c r="B6535">
        <v>210.88000488281199</v>
      </c>
    </row>
    <row r="6536" spans="1:2" x14ac:dyDescent="0.25">
      <c r="A6536" s="5">
        <v>31418</v>
      </c>
      <c r="B6536">
        <v>210.64999389648401</v>
      </c>
    </row>
    <row r="6537" spans="1:2" x14ac:dyDescent="0.25">
      <c r="A6537" s="5">
        <v>31419</v>
      </c>
      <c r="B6537">
        <v>213.80000305175801</v>
      </c>
    </row>
    <row r="6538" spans="1:2" x14ac:dyDescent="0.25">
      <c r="A6538" s="5">
        <v>31420</v>
      </c>
      <c r="B6538">
        <v>207.97000122070301</v>
      </c>
    </row>
    <row r="6539" spans="1:2" x14ac:dyDescent="0.25">
      <c r="A6539" s="5">
        <v>31421</v>
      </c>
      <c r="B6539">
        <v>206.11000061035199</v>
      </c>
    </row>
    <row r="6540" spans="1:2" x14ac:dyDescent="0.25">
      <c r="A6540" s="5">
        <v>31422</v>
      </c>
      <c r="B6540">
        <v>205.96000671386699</v>
      </c>
    </row>
    <row r="6541" spans="1:2" x14ac:dyDescent="0.25">
      <c r="A6541" s="5">
        <v>31425</v>
      </c>
      <c r="B6541">
        <v>206.72000122070301</v>
      </c>
    </row>
    <row r="6542" spans="1:2" x14ac:dyDescent="0.25">
      <c r="A6542" s="5">
        <v>31426</v>
      </c>
      <c r="B6542">
        <v>206.63999938964801</v>
      </c>
    </row>
    <row r="6543" spans="1:2" x14ac:dyDescent="0.25">
      <c r="A6543" s="5">
        <v>31427</v>
      </c>
      <c r="B6543">
        <v>208.25999450683599</v>
      </c>
    </row>
    <row r="6544" spans="1:2" x14ac:dyDescent="0.25">
      <c r="A6544" s="5">
        <v>31428</v>
      </c>
      <c r="B6544">
        <v>209.169998168945</v>
      </c>
    </row>
    <row r="6545" spans="1:2" x14ac:dyDescent="0.25">
      <c r="A6545" s="5">
        <v>31429</v>
      </c>
      <c r="B6545">
        <v>208.42999267578099</v>
      </c>
    </row>
    <row r="6546" spans="1:2" x14ac:dyDescent="0.25">
      <c r="A6546" s="5">
        <v>31432</v>
      </c>
      <c r="B6546">
        <v>207.52999877929699</v>
      </c>
    </row>
    <row r="6547" spans="1:2" x14ac:dyDescent="0.25">
      <c r="A6547" s="5">
        <v>31433</v>
      </c>
      <c r="B6547">
        <v>205.78999328613301</v>
      </c>
    </row>
    <row r="6548" spans="1:2" x14ac:dyDescent="0.25">
      <c r="A6548" s="5">
        <v>31434</v>
      </c>
      <c r="B6548">
        <v>203.49000549316401</v>
      </c>
    </row>
    <row r="6549" spans="1:2" x14ac:dyDescent="0.25">
      <c r="A6549" s="5">
        <v>31435</v>
      </c>
      <c r="B6549">
        <v>204.25</v>
      </c>
    </row>
    <row r="6550" spans="1:2" x14ac:dyDescent="0.25">
      <c r="A6550" s="5">
        <v>31436</v>
      </c>
      <c r="B6550">
        <v>206.42999267578099</v>
      </c>
    </row>
    <row r="6551" spans="1:2" x14ac:dyDescent="0.25">
      <c r="A6551" s="5">
        <v>31439</v>
      </c>
      <c r="B6551">
        <v>207.38999938964801</v>
      </c>
    </row>
    <row r="6552" spans="1:2" x14ac:dyDescent="0.25">
      <c r="A6552" s="5">
        <v>31440</v>
      </c>
      <c r="B6552">
        <v>209.80999755859401</v>
      </c>
    </row>
    <row r="6553" spans="1:2" x14ac:dyDescent="0.25">
      <c r="A6553" s="5">
        <v>31441</v>
      </c>
      <c r="B6553">
        <v>210.28999328613301</v>
      </c>
    </row>
    <row r="6554" spans="1:2" x14ac:dyDescent="0.25">
      <c r="A6554" s="5">
        <v>31442</v>
      </c>
      <c r="B6554">
        <v>209.330001831055</v>
      </c>
    </row>
    <row r="6555" spans="1:2" x14ac:dyDescent="0.25">
      <c r="A6555" s="5">
        <v>31443</v>
      </c>
      <c r="B6555">
        <v>211.77999877929699</v>
      </c>
    </row>
    <row r="6556" spans="1:2" x14ac:dyDescent="0.25">
      <c r="A6556" s="5">
        <v>31446</v>
      </c>
      <c r="B6556">
        <v>213.96000671386699</v>
      </c>
    </row>
    <row r="6557" spans="1:2" x14ac:dyDescent="0.25">
      <c r="A6557" s="5">
        <v>31447</v>
      </c>
      <c r="B6557">
        <v>212.78999328613301</v>
      </c>
    </row>
    <row r="6558" spans="1:2" x14ac:dyDescent="0.25">
      <c r="A6558" s="5">
        <v>31448</v>
      </c>
      <c r="B6558">
        <v>212.96000671386699</v>
      </c>
    </row>
    <row r="6559" spans="1:2" x14ac:dyDescent="0.25">
      <c r="A6559" s="5">
        <v>31449</v>
      </c>
      <c r="B6559">
        <v>213.47000122070301</v>
      </c>
    </row>
    <row r="6560" spans="1:2" x14ac:dyDescent="0.25">
      <c r="A6560" s="5">
        <v>31450</v>
      </c>
      <c r="B6560">
        <v>214.55999755859401</v>
      </c>
    </row>
    <row r="6561" spans="1:2" x14ac:dyDescent="0.25">
      <c r="A6561" s="5">
        <v>31453</v>
      </c>
      <c r="B6561">
        <v>216.24000549316401</v>
      </c>
    </row>
    <row r="6562" spans="1:2" x14ac:dyDescent="0.25">
      <c r="A6562" s="5">
        <v>31454</v>
      </c>
      <c r="B6562">
        <v>215.919998168945</v>
      </c>
    </row>
    <row r="6563" spans="1:2" x14ac:dyDescent="0.25">
      <c r="A6563" s="5">
        <v>31455</v>
      </c>
      <c r="B6563">
        <v>215.97000122070301</v>
      </c>
    </row>
    <row r="6564" spans="1:2" x14ac:dyDescent="0.25">
      <c r="A6564" s="5">
        <v>31456</v>
      </c>
      <c r="B6564">
        <v>217.39999389648401</v>
      </c>
    </row>
    <row r="6565" spans="1:2" x14ac:dyDescent="0.25">
      <c r="A6565" s="5">
        <v>31457</v>
      </c>
      <c r="B6565">
        <v>219.75999450683599</v>
      </c>
    </row>
    <row r="6566" spans="1:2" x14ac:dyDescent="0.25">
      <c r="A6566" s="5">
        <v>31461</v>
      </c>
      <c r="B6566">
        <v>222.44999694824199</v>
      </c>
    </row>
    <row r="6567" spans="1:2" x14ac:dyDescent="0.25">
      <c r="A6567" s="5">
        <v>31462</v>
      </c>
      <c r="B6567">
        <v>219.75999450683599</v>
      </c>
    </row>
    <row r="6568" spans="1:2" x14ac:dyDescent="0.25">
      <c r="A6568" s="5">
        <v>31463</v>
      </c>
      <c r="B6568">
        <v>222.22000122070301</v>
      </c>
    </row>
    <row r="6569" spans="1:2" x14ac:dyDescent="0.25">
      <c r="A6569" s="5">
        <v>31464</v>
      </c>
      <c r="B6569">
        <v>224.61999511718801</v>
      </c>
    </row>
    <row r="6570" spans="1:2" x14ac:dyDescent="0.25">
      <c r="A6570" s="5">
        <v>31467</v>
      </c>
      <c r="B6570">
        <v>224.33999633789099</v>
      </c>
    </row>
    <row r="6571" spans="1:2" x14ac:dyDescent="0.25">
      <c r="A6571" s="5">
        <v>31468</v>
      </c>
      <c r="B6571">
        <v>223.78999328613301</v>
      </c>
    </row>
    <row r="6572" spans="1:2" x14ac:dyDescent="0.25">
      <c r="A6572" s="5">
        <v>31469</v>
      </c>
      <c r="B6572">
        <v>224.03999328613301</v>
      </c>
    </row>
    <row r="6573" spans="1:2" x14ac:dyDescent="0.25">
      <c r="A6573" s="5">
        <v>31470</v>
      </c>
      <c r="B6573">
        <v>226.77000427246099</v>
      </c>
    </row>
    <row r="6574" spans="1:2" x14ac:dyDescent="0.25">
      <c r="A6574" s="5">
        <v>31471</v>
      </c>
      <c r="B6574">
        <v>226.919998168945</v>
      </c>
    </row>
    <row r="6575" spans="1:2" x14ac:dyDescent="0.25">
      <c r="A6575" s="5">
        <v>31474</v>
      </c>
      <c r="B6575">
        <v>225.419998168945</v>
      </c>
    </row>
    <row r="6576" spans="1:2" x14ac:dyDescent="0.25">
      <c r="A6576" s="5">
        <v>31475</v>
      </c>
      <c r="B6576">
        <v>224.38000488281199</v>
      </c>
    </row>
    <row r="6577" spans="1:2" x14ac:dyDescent="0.25">
      <c r="A6577" s="5">
        <v>31476</v>
      </c>
      <c r="B6577">
        <v>224.33999633789099</v>
      </c>
    </row>
    <row r="6578" spans="1:2" x14ac:dyDescent="0.25">
      <c r="A6578" s="5">
        <v>31477</v>
      </c>
      <c r="B6578">
        <v>225.13000488281199</v>
      </c>
    </row>
    <row r="6579" spans="1:2" x14ac:dyDescent="0.25">
      <c r="A6579" s="5">
        <v>31478</v>
      </c>
      <c r="B6579">
        <v>225.57000732421901</v>
      </c>
    </row>
    <row r="6580" spans="1:2" x14ac:dyDescent="0.25">
      <c r="A6580" s="5">
        <v>31481</v>
      </c>
      <c r="B6580">
        <v>226.580001831055</v>
      </c>
    </row>
    <row r="6581" spans="1:2" x14ac:dyDescent="0.25">
      <c r="A6581" s="5">
        <v>31482</v>
      </c>
      <c r="B6581">
        <v>231.69000244140599</v>
      </c>
    </row>
    <row r="6582" spans="1:2" x14ac:dyDescent="0.25">
      <c r="A6582" s="5">
        <v>31483</v>
      </c>
      <c r="B6582">
        <v>232.53999328613301</v>
      </c>
    </row>
    <row r="6583" spans="1:2" x14ac:dyDescent="0.25">
      <c r="A6583" s="5">
        <v>31484</v>
      </c>
      <c r="B6583">
        <v>233.19000244140599</v>
      </c>
    </row>
    <row r="6584" spans="1:2" x14ac:dyDescent="0.25">
      <c r="A6584" s="5">
        <v>31485</v>
      </c>
      <c r="B6584">
        <v>236.55000305175801</v>
      </c>
    </row>
    <row r="6585" spans="1:2" x14ac:dyDescent="0.25">
      <c r="A6585" s="5">
        <v>31488</v>
      </c>
      <c r="B6585">
        <v>234.669998168945</v>
      </c>
    </row>
    <row r="6586" spans="1:2" x14ac:dyDescent="0.25">
      <c r="A6586" s="5">
        <v>31489</v>
      </c>
      <c r="B6586">
        <v>235.77999877929699</v>
      </c>
    </row>
    <row r="6587" spans="1:2" x14ac:dyDescent="0.25">
      <c r="A6587" s="5">
        <v>31490</v>
      </c>
      <c r="B6587">
        <v>235.60000610351599</v>
      </c>
    </row>
    <row r="6588" spans="1:2" x14ac:dyDescent="0.25">
      <c r="A6588" s="5">
        <v>31491</v>
      </c>
      <c r="B6588">
        <v>236.53999328613301</v>
      </c>
    </row>
    <row r="6589" spans="1:2" x14ac:dyDescent="0.25">
      <c r="A6589" s="5">
        <v>31492</v>
      </c>
      <c r="B6589">
        <v>233.33999633789099</v>
      </c>
    </row>
    <row r="6590" spans="1:2" x14ac:dyDescent="0.25">
      <c r="A6590" s="5">
        <v>31495</v>
      </c>
      <c r="B6590">
        <v>235.330001831055</v>
      </c>
    </row>
    <row r="6591" spans="1:2" x14ac:dyDescent="0.25">
      <c r="A6591" s="5">
        <v>31496</v>
      </c>
      <c r="B6591">
        <v>234.72000122070301</v>
      </c>
    </row>
    <row r="6592" spans="1:2" x14ac:dyDescent="0.25">
      <c r="A6592" s="5">
        <v>31497</v>
      </c>
      <c r="B6592">
        <v>237.30000305175801</v>
      </c>
    </row>
    <row r="6593" spans="1:2" x14ac:dyDescent="0.25">
      <c r="A6593" s="5">
        <v>31498</v>
      </c>
      <c r="B6593">
        <v>238.97000122070301</v>
      </c>
    </row>
    <row r="6594" spans="1:2" x14ac:dyDescent="0.25">
      <c r="A6594" s="5">
        <v>31502</v>
      </c>
      <c r="B6594">
        <v>238.89999389648401</v>
      </c>
    </row>
    <row r="6595" spans="1:2" x14ac:dyDescent="0.25">
      <c r="A6595" s="5">
        <v>31503</v>
      </c>
      <c r="B6595">
        <v>235.13999938964801</v>
      </c>
    </row>
    <row r="6596" spans="1:2" x14ac:dyDescent="0.25">
      <c r="A6596" s="5">
        <v>31504</v>
      </c>
      <c r="B6596">
        <v>235.71000671386699</v>
      </c>
    </row>
    <row r="6597" spans="1:2" x14ac:dyDescent="0.25">
      <c r="A6597" s="5">
        <v>31505</v>
      </c>
      <c r="B6597">
        <v>232.47000122070301</v>
      </c>
    </row>
    <row r="6598" spans="1:2" x14ac:dyDescent="0.25">
      <c r="A6598" s="5">
        <v>31506</v>
      </c>
      <c r="B6598">
        <v>228.69000244140599</v>
      </c>
    </row>
    <row r="6599" spans="1:2" x14ac:dyDescent="0.25">
      <c r="A6599" s="5">
        <v>31509</v>
      </c>
      <c r="B6599">
        <v>228.63000488281199</v>
      </c>
    </row>
    <row r="6600" spans="1:2" x14ac:dyDescent="0.25">
      <c r="A6600" s="5">
        <v>31510</v>
      </c>
      <c r="B6600">
        <v>233.52000427246099</v>
      </c>
    </row>
    <row r="6601" spans="1:2" x14ac:dyDescent="0.25">
      <c r="A6601" s="5">
        <v>31511</v>
      </c>
      <c r="B6601">
        <v>233.75</v>
      </c>
    </row>
    <row r="6602" spans="1:2" x14ac:dyDescent="0.25">
      <c r="A6602" s="5">
        <v>31512</v>
      </c>
      <c r="B6602">
        <v>236.44000244140599</v>
      </c>
    </row>
    <row r="6603" spans="1:2" x14ac:dyDescent="0.25">
      <c r="A6603" s="5">
        <v>31513</v>
      </c>
      <c r="B6603">
        <v>235.97000122070301</v>
      </c>
    </row>
    <row r="6604" spans="1:2" x14ac:dyDescent="0.25">
      <c r="A6604" s="5">
        <v>31516</v>
      </c>
      <c r="B6604">
        <v>237.27999877929699</v>
      </c>
    </row>
    <row r="6605" spans="1:2" x14ac:dyDescent="0.25">
      <c r="A6605" s="5">
        <v>31517</v>
      </c>
      <c r="B6605">
        <v>237.72999572753901</v>
      </c>
    </row>
    <row r="6606" spans="1:2" x14ac:dyDescent="0.25">
      <c r="A6606" s="5">
        <v>31518</v>
      </c>
      <c r="B6606">
        <v>242.22000122070301</v>
      </c>
    </row>
    <row r="6607" spans="1:2" x14ac:dyDescent="0.25">
      <c r="A6607" s="5">
        <v>31519</v>
      </c>
      <c r="B6607">
        <v>243.02999877929699</v>
      </c>
    </row>
    <row r="6608" spans="1:2" x14ac:dyDescent="0.25">
      <c r="A6608" s="5">
        <v>31520</v>
      </c>
      <c r="B6608">
        <v>242.38000488281199</v>
      </c>
    </row>
    <row r="6609" spans="1:2" x14ac:dyDescent="0.25">
      <c r="A6609" s="5">
        <v>31523</v>
      </c>
      <c r="B6609">
        <v>244.74000549316401</v>
      </c>
    </row>
    <row r="6610" spans="1:2" x14ac:dyDescent="0.25">
      <c r="A6610" s="5">
        <v>31524</v>
      </c>
      <c r="B6610">
        <v>242.419998168945</v>
      </c>
    </row>
    <row r="6611" spans="1:2" x14ac:dyDescent="0.25">
      <c r="A6611" s="5">
        <v>31525</v>
      </c>
      <c r="B6611">
        <v>241.75</v>
      </c>
    </row>
    <row r="6612" spans="1:2" x14ac:dyDescent="0.25">
      <c r="A6612" s="5">
        <v>31526</v>
      </c>
      <c r="B6612">
        <v>242.02000427246099</v>
      </c>
    </row>
    <row r="6613" spans="1:2" x14ac:dyDescent="0.25">
      <c r="A6613" s="5">
        <v>31527</v>
      </c>
      <c r="B6613">
        <v>242.28999328613301</v>
      </c>
    </row>
    <row r="6614" spans="1:2" x14ac:dyDescent="0.25">
      <c r="A6614" s="5">
        <v>31530</v>
      </c>
      <c r="B6614">
        <v>243.080001831055</v>
      </c>
    </row>
    <row r="6615" spans="1:2" x14ac:dyDescent="0.25">
      <c r="A6615" s="5">
        <v>31531</v>
      </c>
      <c r="B6615">
        <v>240.50999450683599</v>
      </c>
    </row>
    <row r="6616" spans="1:2" x14ac:dyDescent="0.25">
      <c r="A6616" s="5">
        <v>31532</v>
      </c>
      <c r="B6616">
        <v>235.52000427246099</v>
      </c>
    </row>
    <row r="6617" spans="1:2" x14ac:dyDescent="0.25">
      <c r="A6617" s="5">
        <v>31533</v>
      </c>
      <c r="B6617">
        <v>235.16000366210901</v>
      </c>
    </row>
    <row r="6618" spans="1:2" x14ac:dyDescent="0.25">
      <c r="A6618" s="5">
        <v>31534</v>
      </c>
      <c r="B6618">
        <v>234.78999328613301</v>
      </c>
    </row>
    <row r="6619" spans="1:2" x14ac:dyDescent="0.25">
      <c r="A6619" s="5">
        <v>31537</v>
      </c>
      <c r="B6619">
        <v>237.72999572753901</v>
      </c>
    </row>
    <row r="6620" spans="1:2" x14ac:dyDescent="0.25">
      <c r="A6620" s="5">
        <v>31538</v>
      </c>
      <c r="B6620">
        <v>237.24000549316401</v>
      </c>
    </row>
    <row r="6621" spans="1:2" x14ac:dyDescent="0.25">
      <c r="A6621" s="5">
        <v>31539</v>
      </c>
      <c r="B6621">
        <v>236.080001831055</v>
      </c>
    </row>
    <row r="6622" spans="1:2" x14ac:dyDescent="0.25">
      <c r="A6622" s="5">
        <v>31540</v>
      </c>
      <c r="B6622">
        <v>237.13000488281199</v>
      </c>
    </row>
    <row r="6623" spans="1:2" x14ac:dyDescent="0.25">
      <c r="A6623" s="5">
        <v>31541</v>
      </c>
      <c r="B6623">
        <v>237.85000610351599</v>
      </c>
    </row>
    <row r="6624" spans="1:2" x14ac:dyDescent="0.25">
      <c r="A6624" s="5">
        <v>31544</v>
      </c>
      <c r="B6624">
        <v>237.580001831055</v>
      </c>
    </row>
    <row r="6625" spans="1:2" x14ac:dyDescent="0.25">
      <c r="A6625" s="5">
        <v>31545</v>
      </c>
      <c r="B6625">
        <v>236.41000366210901</v>
      </c>
    </row>
    <row r="6626" spans="1:2" x14ac:dyDescent="0.25">
      <c r="A6626" s="5">
        <v>31546</v>
      </c>
      <c r="B6626">
        <v>237.53999328613301</v>
      </c>
    </row>
    <row r="6627" spans="1:2" x14ac:dyDescent="0.25">
      <c r="A6627" s="5">
        <v>31547</v>
      </c>
      <c r="B6627">
        <v>234.42999267578099</v>
      </c>
    </row>
    <row r="6628" spans="1:2" x14ac:dyDescent="0.25">
      <c r="A6628" s="5">
        <v>31548</v>
      </c>
      <c r="B6628">
        <v>232.75999450683599</v>
      </c>
    </row>
    <row r="6629" spans="1:2" x14ac:dyDescent="0.25">
      <c r="A6629" s="5">
        <v>31551</v>
      </c>
      <c r="B6629">
        <v>233.19999694824199</v>
      </c>
    </row>
    <row r="6630" spans="1:2" x14ac:dyDescent="0.25">
      <c r="A6630" s="5">
        <v>31552</v>
      </c>
      <c r="B6630">
        <v>236.11000061035199</v>
      </c>
    </row>
    <row r="6631" spans="1:2" x14ac:dyDescent="0.25">
      <c r="A6631" s="5">
        <v>31553</v>
      </c>
      <c r="B6631">
        <v>235.44999694824199</v>
      </c>
    </row>
    <row r="6632" spans="1:2" x14ac:dyDescent="0.25">
      <c r="A6632" s="5">
        <v>31554</v>
      </c>
      <c r="B6632">
        <v>240.11999511718801</v>
      </c>
    </row>
    <row r="6633" spans="1:2" x14ac:dyDescent="0.25">
      <c r="A6633" s="5">
        <v>31555</v>
      </c>
      <c r="B6633">
        <v>241.35000610351599</v>
      </c>
    </row>
    <row r="6634" spans="1:2" x14ac:dyDescent="0.25">
      <c r="A6634" s="5">
        <v>31559</v>
      </c>
      <c r="B6634">
        <v>244.75</v>
      </c>
    </row>
    <row r="6635" spans="1:2" x14ac:dyDescent="0.25">
      <c r="A6635" s="5">
        <v>31560</v>
      </c>
      <c r="B6635">
        <v>246.63000488281199</v>
      </c>
    </row>
    <row r="6636" spans="1:2" x14ac:dyDescent="0.25">
      <c r="A6636" s="5">
        <v>31561</v>
      </c>
      <c r="B6636">
        <v>247.97999572753901</v>
      </c>
    </row>
    <row r="6637" spans="1:2" x14ac:dyDescent="0.25">
      <c r="A6637" s="5">
        <v>31562</v>
      </c>
      <c r="B6637">
        <v>247.35000610351599</v>
      </c>
    </row>
    <row r="6638" spans="1:2" x14ac:dyDescent="0.25">
      <c r="A6638" s="5">
        <v>31565</v>
      </c>
      <c r="B6638">
        <v>245.03999328613301</v>
      </c>
    </row>
    <row r="6639" spans="1:2" x14ac:dyDescent="0.25">
      <c r="A6639" s="5">
        <v>31566</v>
      </c>
      <c r="B6639">
        <v>245.50999450683599</v>
      </c>
    </row>
    <row r="6640" spans="1:2" x14ac:dyDescent="0.25">
      <c r="A6640" s="5">
        <v>31567</v>
      </c>
      <c r="B6640">
        <v>243.94000244140599</v>
      </c>
    </row>
    <row r="6641" spans="1:2" x14ac:dyDescent="0.25">
      <c r="A6641" s="5">
        <v>31568</v>
      </c>
      <c r="B6641">
        <v>245.64999389648401</v>
      </c>
    </row>
    <row r="6642" spans="1:2" x14ac:dyDescent="0.25">
      <c r="A6642" s="5">
        <v>31569</v>
      </c>
      <c r="B6642">
        <v>245.669998168945</v>
      </c>
    </row>
    <row r="6643" spans="1:2" x14ac:dyDescent="0.25">
      <c r="A6643" s="5">
        <v>31572</v>
      </c>
      <c r="B6643">
        <v>239.96000671386699</v>
      </c>
    </row>
    <row r="6644" spans="1:2" x14ac:dyDescent="0.25">
      <c r="A6644" s="5">
        <v>31573</v>
      </c>
      <c r="B6644">
        <v>239.580001831055</v>
      </c>
    </row>
    <row r="6645" spans="1:2" x14ac:dyDescent="0.25">
      <c r="A6645" s="5">
        <v>31574</v>
      </c>
      <c r="B6645">
        <v>241.13000488281199</v>
      </c>
    </row>
    <row r="6646" spans="1:2" x14ac:dyDescent="0.25">
      <c r="A6646" s="5">
        <v>31575</v>
      </c>
      <c r="B6646">
        <v>241.49000549316401</v>
      </c>
    </row>
    <row r="6647" spans="1:2" x14ac:dyDescent="0.25">
      <c r="A6647" s="5">
        <v>31576</v>
      </c>
      <c r="B6647">
        <v>245.72999572753901</v>
      </c>
    </row>
    <row r="6648" spans="1:2" x14ac:dyDescent="0.25">
      <c r="A6648" s="5">
        <v>31579</v>
      </c>
      <c r="B6648">
        <v>246.13000488281199</v>
      </c>
    </row>
    <row r="6649" spans="1:2" x14ac:dyDescent="0.25">
      <c r="A6649" s="5">
        <v>31580</v>
      </c>
      <c r="B6649">
        <v>244.35000610351599</v>
      </c>
    </row>
    <row r="6650" spans="1:2" x14ac:dyDescent="0.25">
      <c r="A6650" s="5">
        <v>31581</v>
      </c>
      <c r="B6650">
        <v>244.99000549316401</v>
      </c>
    </row>
    <row r="6651" spans="1:2" x14ac:dyDescent="0.25">
      <c r="A6651" s="5">
        <v>31582</v>
      </c>
      <c r="B6651">
        <v>244.05999755859401</v>
      </c>
    </row>
    <row r="6652" spans="1:2" x14ac:dyDescent="0.25">
      <c r="A6652" s="5">
        <v>31583</v>
      </c>
      <c r="B6652">
        <v>247.580001831055</v>
      </c>
    </row>
    <row r="6653" spans="1:2" x14ac:dyDescent="0.25">
      <c r="A6653" s="5">
        <v>31586</v>
      </c>
      <c r="B6653">
        <v>245.25999450683599</v>
      </c>
    </row>
    <row r="6654" spans="1:2" x14ac:dyDescent="0.25">
      <c r="A6654" s="5">
        <v>31587</v>
      </c>
      <c r="B6654">
        <v>247.02999877929699</v>
      </c>
    </row>
    <row r="6655" spans="1:2" x14ac:dyDescent="0.25">
      <c r="A6655" s="5">
        <v>31588</v>
      </c>
      <c r="B6655">
        <v>248.92999267578099</v>
      </c>
    </row>
    <row r="6656" spans="1:2" x14ac:dyDescent="0.25">
      <c r="A6656" s="5">
        <v>31589</v>
      </c>
      <c r="B6656">
        <v>248.74000549316401</v>
      </c>
    </row>
    <row r="6657" spans="1:2" x14ac:dyDescent="0.25">
      <c r="A6657" s="5">
        <v>31590</v>
      </c>
      <c r="B6657">
        <v>249.60000610351599</v>
      </c>
    </row>
    <row r="6658" spans="1:2" x14ac:dyDescent="0.25">
      <c r="A6658" s="5">
        <v>31593</v>
      </c>
      <c r="B6658">
        <v>250.83999633789099</v>
      </c>
    </row>
    <row r="6659" spans="1:2" x14ac:dyDescent="0.25">
      <c r="A6659" s="5">
        <v>31594</v>
      </c>
      <c r="B6659">
        <v>252.03999328613301</v>
      </c>
    </row>
    <row r="6660" spans="1:2" x14ac:dyDescent="0.25">
      <c r="A6660" s="5">
        <v>31595</v>
      </c>
      <c r="B6660">
        <v>252.69999694824199</v>
      </c>
    </row>
    <row r="6661" spans="1:2" x14ac:dyDescent="0.25">
      <c r="A6661" s="5">
        <v>31596</v>
      </c>
      <c r="B6661">
        <v>251.78999328613301</v>
      </c>
    </row>
    <row r="6662" spans="1:2" x14ac:dyDescent="0.25">
      <c r="A6662" s="5">
        <v>31600</v>
      </c>
      <c r="B6662">
        <v>244.05000305175801</v>
      </c>
    </row>
    <row r="6663" spans="1:2" x14ac:dyDescent="0.25">
      <c r="A6663" s="5">
        <v>31601</v>
      </c>
      <c r="B6663">
        <v>241.58999633789099</v>
      </c>
    </row>
    <row r="6664" spans="1:2" x14ac:dyDescent="0.25">
      <c r="A6664" s="5">
        <v>31602</v>
      </c>
      <c r="B6664">
        <v>242.82000732421901</v>
      </c>
    </row>
    <row r="6665" spans="1:2" x14ac:dyDescent="0.25">
      <c r="A6665" s="5">
        <v>31603</v>
      </c>
      <c r="B6665">
        <v>243.00999450683599</v>
      </c>
    </row>
    <row r="6666" spans="1:2" x14ac:dyDescent="0.25">
      <c r="A6666" s="5">
        <v>31604</v>
      </c>
      <c r="B6666">
        <v>242.22000122070301</v>
      </c>
    </row>
    <row r="6667" spans="1:2" x14ac:dyDescent="0.25">
      <c r="A6667" s="5">
        <v>31607</v>
      </c>
      <c r="B6667">
        <v>238.11000061035199</v>
      </c>
    </row>
    <row r="6668" spans="1:2" x14ac:dyDescent="0.25">
      <c r="A6668" s="5">
        <v>31608</v>
      </c>
      <c r="B6668">
        <v>233.66000366210901</v>
      </c>
    </row>
    <row r="6669" spans="1:2" x14ac:dyDescent="0.25">
      <c r="A6669" s="5">
        <v>31609</v>
      </c>
      <c r="B6669">
        <v>235.00999450683599</v>
      </c>
    </row>
    <row r="6670" spans="1:2" x14ac:dyDescent="0.25">
      <c r="A6670" s="5">
        <v>31610</v>
      </c>
      <c r="B6670">
        <v>236.07000732421901</v>
      </c>
    </row>
    <row r="6671" spans="1:2" x14ac:dyDescent="0.25">
      <c r="A6671" s="5">
        <v>31611</v>
      </c>
      <c r="B6671">
        <v>236.36000061035199</v>
      </c>
    </row>
    <row r="6672" spans="1:2" x14ac:dyDescent="0.25">
      <c r="A6672" s="5">
        <v>31614</v>
      </c>
      <c r="B6672">
        <v>236.24000549316401</v>
      </c>
    </row>
    <row r="6673" spans="1:2" x14ac:dyDescent="0.25">
      <c r="A6673" s="5">
        <v>31615</v>
      </c>
      <c r="B6673">
        <v>238.17999267578099</v>
      </c>
    </row>
    <row r="6674" spans="1:2" x14ac:dyDescent="0.25">
      <c r="A6674" s="5">
        <v>31616</v>
      </c>
      <c r="B6674">
        <v>238.669998168945</v>
      </c>
    </row>
    <row r="6675" spans="1:2" x14ac:dyDescent="0.25">
      <c r="A6675" s="5">
        <v>31617</v>
      </c>
      <c r="B6675">
        <v>237.94999694824199</v>
      </c>
    </row>
    <row r="6676" spans="1:2" x14ac:dyDescent="0.25">
      <c r="A6676" s="5">
        <v>31618</v>
      </c>
      <c r="B6676">
        <v>240.22000122070301</v>
      </c>
    </row>
    <row r="6677" spans="1:2" x14ac:dyDescent="0.25">
      <c r="A6677" s="5">
        <v>31621</v>
      </c>
      <c r="B6677">
        <v>236.00999450683599</v>
      </c>
    </row>
    <row r="6678" spans="1:2" x14ac:dyDescent="0.25">
      <c r="A6678" s="5">
        <v>31622</v>
      </c>
      <c r="B6678">
        <v>234.55000305175801</v>
      </c>
    </row>
    <row r="6679" spans="1:2" x14ac:dyDescent="0.25">
      <c r="A6679" s="5">
        <v>31623</v>
      </c>
      <c r="B6679">
        <v>236.58999633789099</v>
      </c>
    </row>
    <row r="6680" spans="1:2" x14ac:dyDescent="0.25">
      <c r="A6680" s="5">
        <v>31624</v>
      </c>
      <c r="B6680">
        <v>236.11999511718801</v>
      </c>
    </row>
    <row r="6681" spans="1:2" x14ac:dyDescent="0.25">
      <c r="A6681" s="5">
        <v>31625</v>
      </c>
      <c r="B6681">
        <v>234.91000366210901</v>
      </c>
    </row>
    <row r="6682" spans="1:2" x14ac:dyDescent="0.25">
      <c r="A6682" s="5">
        <v>31628</v>
      </c>
      <c r="B6682">
        <v>235.99000549316401</v>
      </c>
    </row>
    <row r="6683" spans="1:2" x14ac:dyDescent="0.25">
      <c r="A6683" s="5">
        <v>31629</v>
      </c>
      <c r="B6683">
        <v>237.02999877929699</v>
      </c>
    </row>
    <row r="6684" spans="1:2" x14ac:dyDescent="0.25">
      <c r="A6684" s="5">
        <v>31630</v>
      </c>
      <c r="B6684">
        <v>236.83999633789099</v>
      </c>
    </row>
    <row r="6685" spans="1:2" x14ac:dyDescent="0.25">
      <c r="A6685" s="5">
        <v>31631</v>
      </c>
      <c r="B6685">
        <v>237.03999328613301</v>
      </c>
    </row>
    <row r="6686" spans="1:2" x14ac:dyDescent="0.25">
      <c r="A6686" s="5">
        <v>31632</v>
      </c>
      <c r="B6686">
        <v>236.88000488281199</v>
      </c>
    </row>
    <row r="6687" spans="1:2" x14ac:dyDescent="0.25">
      <c r="A6687" s="5">
        <v>31635</v>
      </c>
      <c r="B6687">
        <v>240.67999267578099</v>
      </c>
    </row>
    <row r="6688" spans="1:2" x14ac:dyDescent="0.25">
      <c r="A6688" s="5">
        <v>31636</v>
      </c>
      <c r="B6688">
        <v>243.33999633789099</v>
      </c>
    </row>
    <row r="6689" spans="1:2" x14ac:dyDescent="0.25">
      <c r="A6689" s="5">
        <v>31637</v>
      </c>
      <c r="B6689">
        <v>245.669998168945</v>
      </c>
    </row>
    <row r="6690" spans="1:2" x14ac:dyDescent="0.25">
      <c r="A6690" s="5">
        <v>31638</v>
      </c>
      <c r="B6690">
        <v>246.25</v>
      </c>
    </row>
    <row r="6691" spans="1:2" x14ac:dyDescent="0.25">
      <c r="A6691" s="5">
        <v>31639</v>
      </c>
      <c r="B6691">
        <v>247.14999389648401</v>
      </c>
    </row>
    <row r="6692" spans="1:2" x14ac:dyDescent="0.25">
      <c r="A6692" s="5">
        <v>31642</v>
      </c>
      <c r="B6692">
        <v>247.38000488281199</v>
      </c>
    </row>
    <row r="6693" spans="1:2" x14ac:dyDescent="0.25">
      <c r="A6693" s="5">
        <v>31643</v>
      </c>
      <c r="B6693">
        <v>246.50999450683599</v>
      </c>
    </row>
    <row r="6694" spans="1:2" x14ac:dyDescent="0.25">
      <c r="A6694" s="5">
        <v>31644</v>
      </c>
      <c r="B6694">
        <v>249.77000427246099</v>
      </c>
    </row>
    <row r="6695" spans="1:2" x14ac:dyDescent="0.25">
      <c r="A6695" s="5">
        <v>31645</v>
      </c>
      <c r="B6695">
        <v>249.669998168945</v>
      </c>
    </row>
    <row r="6696" spans="1:2" x14ac:dyDescent="0.25">
      <c r="A6696" s="5">
        <v>31646</v>
      </c>
      <c r="B6696">
        <v>250.19000244140599</v>
      </c>
    </row>
    <row r="6697" spans="1:2" x14ac:dyDescent="0.25">
      <c r="A6697" s="5">
        <v>31649</v>
      </c>
      <c r="B6697">
        <v>247.80999755859401</v>
      </c>
    </row>
    <row r="6698" spans="1:2" x14ac:dyDescent="0.25">
      <c r="A6698" s="5">
        <v>31650</v>
      </c>
      <c r="B6698">
        <v>252.83999633789099</v>
      </c>
    </row>
    <row r="6699" spans="1:2" x14ac:dyDescent="0.25">
      <c r="A6699" s="5">
        <v>31651</v>
      </c>
      <c r="B6699">
        <v>253.30000305175801</v>
      </c>
    </row>
    <row r="6700" spans="1:2" x14ac:dyDescent="0.25">
      <c r="A6700" s="5">
        <v>31652</v>
      </c>
      <c r="B6700">
        <v>252.83999633789099</v>
      </c>
    </row>
    <row r="6701" spans="1:2" x14ac:dyDescent="0.25">
      <c r="A6701" s="5">
        <v>31653</v>
      </c>
      <c r="B6701">
        <v>252.92999267578099</v>
      </c>
    </row>
    <row r="6702" spans="1:2" x14ac:dyDescent="0.25">
      <c r="A6702" s="5">
        <v>31657</v>
      </c>
      <c r="B6702">
        <v>248.52000427246099</v>
      </c>
    </row>
    <row r="6703" spans="1:2" x14ac:dyDescent="0.25">
      <c r="A6703" s="5">
        <v>31658</v>
      </c>
      <c r="B6703">
        <v>250.080001831055</v>
      </c>
    </row>
    <row r="6704" spans="1:2" x14ac:dyDescent="0.25">
      <c r="A6704" s="5">
        <v>31659</v>
      </c>
      <c r="B6704">
        <v>253.830001831055</v>
      </c>
    </row>
    <row r="6705" spans="1:2" x14ac:dyDescent="0.25">
      <c r="A6705" s="5">
        <v>31660</v>
      </c>
      <c r="B6705">
        <v>250.47000122070301</v>
      </c>
    </row>
    <row r="6706" spans="1:2" x14ac:dyDescent="0.25">
      <c r="A6706" s="5">
        <v>31663</v>
      </c>
      <c r="B6706">
        <v>248.13999938964801</v>
      </c>
    </row>
    <row r="6707" spans="1:2" x14ac:dyDescent="0.25">
      <c r="A6707" s="5">
        <v>31664</v>
      </c>
      <c r="B6707">
        <v>247.669998168945</v>
      </c>
    </row>
    <row r="6708" spans="1:2" x14ac:dyDescent="0.25">
      <c r="A6708" s="5">
        <v>31665</v>
      </c>
      <c r="B6708">
        <v>247.05999755859401</v>
      </c>
    </row>
    <row r="6709" spans="1:2" x14ac:dyDescent="0.25">
      <c r="A6709" s="5">
        <v>31666</v>
      </c>
      <c r="B6709">
        <v>235.17999267578099</v>
      </c>
    </row>
    <row r="6710" spans="1:2" x14ac:dyDescent="0.25">
      <c r="A6710" s="5">
        <v>31667</v>
      </c>
      <c r="B6710">
        <v>230.669998168945</v>
      </c>
    </row>
    <row r="6711" spans="1:2" x14ac:dyDescent="0.25">
      <c r="A6711" s="5">
        <v>31670</v>
      </c>
      <c r="B6711">
        <v>231.94000244140599</v>
      </c>
    </row>
    <row r="6712" spans="1:2" x14ac:dyDescent="0.25">
      <c r="A6712" s="5">
        <v>31671</v>
      </c>
      <c r="B6712">
        <v>231.72000122070301</v>
      </c>
    </row>
    <row r="6713" spans="1:2" x14ac:dyDescent="0.25">
      <c r="A6713" s="5">
        <v>31672</v>
      </c>
      <c r="B6713">
        <v>231.67999267578099</v>
      </c>
    </row>
    <row r="6714" spans="1:2" x14ac:dyDescent="0.25">
      <c r="A6714" s="5">
        <v>31673</v>
      </c>
      <c r="B6714">
        <v>232.30999755859401</v>
      </c>
    </row>
    <row r="6715" spans="1:2" x14ac:dyDescent="0.25">
      <c r="A6715" s="5">
        <v>31674</v>
      </c>
      <c r="B6715">
        <v>232.21000671386699</v>
      </c>
    </row>
    <row r="6716" spans="1:2" x14ac:dyDescent="0.25">
      <c r="A6716" s="5">
        <v>31677</v>
      </c>
      <c r="B6716">
        <v>234.92999267578099</v>
      </c>
    </row>
    <row r="6717" spans="1:2" x14ac:dyDescent="0.25">
      <c r="A6717" s="5">
        <v>31678</v>
      </c>
      <c r="B6717">
        <v>235.669998168945</v>
      </c>
    </row>
    <row r="6718" spans="1:2" x14ac:dyDescent="0.25">
      <c r="A6718" s="5">
        <v>31679</v>
      </c>
      <c r="B6718">
        <v>236.27999877929699</v>
      </c>
    </row>
    <row r="6719" spans="1:2" x14ac:dyDescent="0.25">
      <c r="A6719" s="5">
        <v>31680</v>
      </c>
      <c r="B6719">
        <v>231.830001831055</v>
      </c>
    </row>
    <row r="6720" spans="1:2" x14ac:dyDescent="0.25">
      <c r="A6720" s="5">
        <v>31681</v>
      </c>
      <c r="B6720">
        <v>232.22999572753901</v>
      </c>
    </row>
    <row r="6721" spans="1:2" x14ac:dyDescent="0.25">
      <c r="A6721" s="5">
        <v>31684</v>
      </c>
      <c r="B6721">
        <v>229.91000366210901</v>
      </c>
    </row>
    <row r="6722" spans="1:2" x14ac:dyDescent="0.25">
      <c r="A6722" s="5">
        <v>31685</v>
      </c>
      <c r="B6722">
        <v>231.32000732421901</v>
      </c>
    </row>
    <row r="6723" spans="1:2" x14ac:dyDescent="0.25">
      <c r="A6723" s="5">
        <v>31686</v>
      </c>
      <c r="B6723">
        <v>233.60000610351599</v>
      </c>
    </row>
    <row r="6724" spans="1:2" x14ac:dyDescent="0.25">
      <c r="A6724" s="5">
        <v>31687</v>
      </c>
      <c r="B6724">
        <v>233.919998168945</v>
      </c>
    </row>
    <row r="6725" spans="1:2" x14ac:dyDescent="0.25">
      <c r="A6725" s="5">
        <v>31688</v>
      </c>
      <c r="B6725">
        <v>233.71000671386699</v>
      </c>
    </row>
    <row r="6726" spans="1:2" x14ac:dyDescent="0.25">
      <c r="A6726" s="5">
        <v>31691</v>
      </c>
      <c r="B6726">
        <v>234.77999877929699</v>
      </c>
    </row>
    <row r="6727" spans="1:2" x14ac:dyDescent="0.25">
      <c r="A6727" s="5">
        <v>31692</v>
      </c>
      <c r="B6727">
        <v>234.41000366210901</v>
      </c>
    </row>
    <row r="6728" spans="1:2" x14ac:dyDescent="0.25">
      <c r="A6728" s="5">
        <v>31693</v>
      </c>
      <c r="B6728">
        <v>236.67999267578099</v>
      </c>
    </row>
    <row r="6729" spans="1:2" x14ac:dyDescent="0.25">
      <c r="A6729" s="5">
        <v>31694</v>
      </c>
      <c r="B6729">
        <v>235.85000610351599</v>
      </c>
    </row>
    <row r="6730" spans="1:2" x14ac:dyDescent="0.25">
      <c r="A6730" s="5">
        <v>31695</v>
      </c>
      <c r="B6730">
        <v>235.47999572753901</v>
      </c>
    </row>
    <row r="6731" spans="1:2" x14ac:dyDescent="0.25">
      <c r="A6731" s="5">
        <v>31698</v>
      </c>
      <c r="B6731">
        <v>235.91000366210901</v>
      </c>
    </row>
    <row r="6732" spans="1:2" x14ac:dyDescent="0.25">
      <c r="A6732" s="5">
        <v>31699</v>
      </c>
      <c r="B6732">
        <v>235.36999511718801</v>
      </c>
    </row>
    <row r="6733" spans="1:2" x14ac:dyDescent="0.25">
      <c r="A6733" s="5">
        <v>31700</v>
      </c>
      <c r="B6733">
        <v>238.80000305175801</v>
      </c>
    </row>
    <row r="6734" spans="1:2" x14ac:dyDescent="0.25">
      <c r="A6734" s="5">
        <v>31701</v>
      </c>
      <c r="B6734">
        <v>239.52999877929699</v>
      </c>
    </row>
    <row r="6735" spans="1:2" x14ac:dyDescent="0.25">
      <c r="A6735" s="5">
        <v>31702</v>
      </c>
      <c r="B6735">
        <v>238.83999633789099</v>
      </c>
    </row>
    <row r="6736" spans="1:2" x14ac:dyDescent="0.25">
      <c r="A6736" s="5">
        <v>31705</v>
      </c>
      <c r="B6736">
        <v>235.97000122070301</v>
      </c>
    </row>
    <row r="6737" spans="1:2" x14ac:dyDescent="0.25">
      <c r="A6737" s="5">
        <v>31706</v>
      </c>
      <c r="B6737">
        <v>235.88000488281199</v>
      </c>
    </row>
    <row r="6738" spans="1:2" x14ac:dyDescent="0.25">
      <c r="A6738" s="5">
        <v>31707</v>
      </c>
      <c r="B6738">
        <v>236.25999450683599</v>
      </c>
    </row>
    <row r="6739" spans="1:2" x14ac:dyDescent="0.25">
      <c r="A6739" s="5">
        <v>31708</v>
      </c>
      <c r="B6739">
        <v>239.27999877929699</v>
      </c>
    </row>
    <row r="6740" spans="1:2" x14ac:dyDescent="0.25">
      <c r="A6740" s="5">
        <v>31709</v>
      </c>
      <c r="B6740">
        <v>238.25999450683599</v>
      </c>
    </row>
    <row r="6741" spans="1:2" x14ac:dyDescent="0.25">
      <c r="A6741" s="5">
        <v>31712</v>
      </c>
      <c r="B6741">
        <v>238.77000427246099</v>
      </c>
    </row>
    <row r="6742" spans="1:2" x14ac:dyDescent="0.25">
      <c r="A6742" s="5">
        <v>31713</v>
      </c>
      <c r="B6742">
        <v>239.25999450683599</v>
      </c>
    </row>
    <row r="6743" spans="1:2" x14ac:dyDescent="0.25">
      <c r="A6743" s="5">
        <v>31714</v>
      </c>
      <c r="B6743">
        <v>240.94000244140599</v>
      </c>
    </row>
    <row r="6744" spans="1:2" x14ac:dyDescent="0.25">
      <c r="A6744" s="5">
        <v>31715</v>
      </c>
      <c r="B6744">
        <v>243.71000671386699</v>
      </c>
    </row>
    <row r="6745" spans="1:2" x14ac:dyDescent="0.25">
      <c r="A6745" s="5">
        <v>31716</v>
      </c>
      <c r="B6745">
        <v>243.97999572753901</v>
      </c>
    </row>
    <row r="6746" spans="1:2" x14ac:dyDescent="0.25">
      <c r="A6746" s="5">
        <v>31719</v>
      </c>
      <c r="B6746">
        <v>245.80000305175801</v>
      </c>
    </row>
    <row r="6747" spans="1:2" x14ac:dyDescent="0.25">
      <c r="A6747" s="5">
        <v>31720</v>
      </c>
      <c r="B6747">
        <v>246.19999694824199</v>
      </c>
    </row>
    <row r="6748" spans="1:2" x14ac:dyDescent="0.25">
      <c r="A6748" s="5">
        <v>31721</v>
      </c>
      <c r="B6748">
        <v>246.580001831055</v>
      </c>
    </row>
    <row r="6749" spans="1:2" x14ac:dyDescent="0.25">
      <c r="A6749" s="5">
        <v>31722</v>
      </c>
      <c r="B6749">
        <v>245.86999511718801</v>
      </c>
    </row>
    <row r="6750" spans="1:2" x14ac:dyDescent="0.25">
      <c r="A6750" s="5">
        <v>31723</v>
      </c>
      <c r="B6750">
        <v>245.77000427246099</v>
      </c>
    </row>
    <row r="6751" spans="1:2" x14ac:dyDescent="0.25">
      <c r="A6751" s="5">
        <v>31726</v>
      </c>
      <c r="B6751">
        <v>246.13000488281199</v>
      </c>
    </row>
    <row r="6752" spans="1:2" x14ac:dyDescent="0.25">
      <c r="A6752" s="5">
        <v>31727</v>
      </c>
      <c r="B6752">
        <v>247.080001831055</v>
      </c>
    </row>
    <row r="6753" spans="1:2" x14ac:dyDescent="0.25">
      <c r="A6753" s="5">
        <v>31728</v>
      </c>
      <c r="B6753">
        <v>246.63999938964801</v>
      </c>
    </row>
    <row r="6754" spans="1:2" x14ac:dyDescent="0.25">
      <c r="A6754" s="5">
        <v>31729</v>
      </c>
      <c r="B6754">
        <v>243.02000427246099</v>
      </c>
    </row>
    <row r="6755" spans="1:2" x14ac:dyDescent="0.25">
      <c r="A6755" s="5">
        <v>31730</v>
      </c>
      <c r="B6755">
        <v>244.5</v>
      </c>
    </row>
    <row r="6756" spans="1:2" x14ac:dyDescent="0.25">
      <c r="A6756" s="5">
        <v>31733</v>
      </c>
      <c r="B6756">
        <v>243.21000671386699</v>
      </c>
    </row>
    <row r="6757" spans="1:2" x14ac:dyDescent="0.25">
      <c r="A6757" s="5">
        <v>31734</v>
      </c>
      <c r="B6757">
        <v>236.77999877929699</v>
      </c>
    </row>
    <row r="6758" spans="1:2" x14ac:dyDescent="0.25">
      <c r="A6758" s="5">
        <v>31735</v>
      </c>
      <c r="B6758">
        <v>237.66000366210901</v>
      </c>
    </row>
    <row r="6759" spans="1:2" x14ac:dyDescent="0.25">
      <c r="A6759" s="5">
        <v>31736</v>
      </c>
      <c r="B6759">
        <v>242.05000305175801</v>
      </c>
    </row>
    <row r="6760" spans="1:2" x14ac:dyDescent="0.25">
      <c r="A6760" s="5">
        <v>31737</v>
      </c>
      <c r="B6760">
        <v>245.86000061035199</v>
      </c>
    </row>
    <row r="6761" spans="1:2" x14ac:dyDescent="0.25">
      <c r="A6761" s="5">
        <v>31740</v>
      </c>
      <c r="B6761">
        <v>247.44999694824199</v>
      </c>
    </row>
    <row r="6762" spans="1:2" x14ac:dyDescent="0.25">
      <c r="A6762" s="5">
        <v>31741</v>
      </c>
      <c r="B6762">
        <v>248.169998168945</v>
      </c>
    </row>
    <row r="6763" spans="1:2" x14ac:dyDescent="0.25">
      <c r="A6763" s="5">
        <v>31742</v>
      </c>
      <c r="B6763">
        <v>248.77000427246099</v>
      </c>
    </row>
    <row r="6764" spans="1:2" x14ac:dyDescent="0.25">
      <c r="A6764" s="5">
        <v>31744</v>
      </c>
      <c r="B6764">
        <v>249.22000122070301</v>
      </c>
    </row>
    <row r="6765" spans="1:2" x14ac:dyDescent="0.25">
      <c r="A6765" s="5">
        <v>31747</v>
      </c>
      <c r="B6765">
        <v>249.05000305175801</v>
      </c>
    </row>
    <row r="6766" spans="1:2" x14ac:dyDescent="0.25">
      <c r="A6766" s="5">
        <v>31748</v>
      </c>
      <c r="B6766">
        <v>254</v>
      </c>
    </row>
    <row r="6767" spans="1:2" x14ac:dyDescent="0.25">
      <c r="A6767" s="5">
        <v>31749</v>
      </c>
      <c r="B6767">
        <v>253.85000610351599</v>
      </c>
    </row>
    <row r="6768" spans="1:2" x14ac:dyDescent="0.25">
      <c r="A6768" s="5">
        <v>31750</v>
      </c>
      <c r="B6768">
        <v>253.03999328613301</v>
      </c>
    </row>
    <row r="6769" spans="1:2" x14ac:dyDescent="0.25">
      <c r="A6769" s="5">
        <v>31751</v>
      </c>
      <c r="B6769">
        <v>251.169998168945</v>
      </c>
    </row>
    <row r="6770" spans="1:2" x14ac:dyDescent="0.25">
      <c r="A6770" s="5">
        <v>31754</v>
      </c>
      <c r="B6770">
        <v>251.16000366210901</v>
      </c>
    </row>
    <row r="6771" spans="1:2" x14ac:dyDescent="0.25">
      <c r="A6771" s="5">
        <v>31755</v>
      </c>
      <c r="B6771">
        <v>249.27999877929699</v>
      </c>
    </row>
    <row r="6772" spans="1:2" x14ac:dyDescent="0.25">
      <c r="A6772" s="5">
        <v>31756</v>
      </c>
      <c r="B6772">
        <v>250.96000671386699</v>
      </c>
    </row>
    <row r="6773" spans="1:2" x14ac:dyDescent="0.25">
      <c r="A6773" s="5">
        <v>31757</v>
      </c>
      <c r="B6773">
        <v>248.169998168945</v>
      </c>
    </row>
    <row r="6774" spans="1:2" x14ac:dyDescent="0.25">
      <c r="A6774" s="5">
        <v>31758</v>
      </c>
      <c r="B6774">
        <v>247.35000610351599</v>
      </c>
    </row>
    <row r="6775" spans="1:2" x14ac:dyDescent="0.25">
      <c r="A6775" s="5">
        <v>31761</v>
      </c>
      <c r="B6775">
        <v>248.21000671386699</v>
      </c>
    </row>
    <row r="6776" spans="1:2" x14ac:dyDescent="0.25">
      <c r="A6776" s="5">
        <v>31762</v>
      </c>
      <c r="B6776">
        <v>250.03999328613301</v>
      </c>
    </row>
    <row r="6777" spans="1:2" x14ac:dyDescent="0.25">
      <c r="A6777" s="5">
        <v>31763</v>
      </c>
      <c r="B6777">
        <v>247.55999755859401</v>
      </c>
    </row>
    <row r="6778" spans="1:2" x14ac:dyDescent="0.25">
      <c r="A6778" s="5">
        <v>31764</v>
      </c>
      <c r="B6778">
        <v>246.77999877929699</v>
      </c>
    </row>
    <row r="6779" spans="1:2" x14ac:dyDescent="0.25">
      <c r="A6779" s="5">
        <v>31765</v>
      </c>
      <c r="B6779">
        <v>249.72999572753901</v>
      </c>
    </row>
    <row r="6780" spans="1:2" x14ac:dyDescent="0.25">
      <c r="A6780" s="5">
        <v>31768</v>
      </c>
      <c r="B6780">
        <v>248.75</v>
      </c>
    </row>
    <row r="6781" spans="1:2" x14ac:dyDescent="0.25">
      <c r="A6781" s="5">
        <v>31769</v>
      </c>
      <c r="B6781">
        <v>246.33999633789099</v>
      </c>
    </row>
    <row r="6782" spans="1:2" x14ac:dyDescent="0.25">
      <c r="A6782" s="5">
        <v>31770</v>
      </c>
      <c r="B6782">
        <v>246.75</v>
      </c>
    </row>
    <row r="6783" spans="1:2" x14ac:dyDescent="0.25">
      <c r="A6783" s="5">
        <v>31772</v>
      </c>
      <c r="B6783">
        <v>246.919998168945</v>
      </c>
    </row>
    <row r="6784" spans="1:2" x14ac:dyDescent="0.25">
      <c r="A6784" s="5">
        <v>31775</v>
      </c>
      <c r="B6784">
        <v>244.669998168945</v>
      </c>
    </row>
    <row r="6785" spans="1:2" x14ac:dyDescent="0.25">
      <c r="A6785" s="5">
        <v>31776</v>
      </c>
      <c r="B6785">
        <v>243.36999511718801</v>
      </c>
    </row>
    <row r="6786" spans="1:2" x14ac:dyDescent="0.25">
      <c r="A6786" s="5">
        <v>31777</v>
      </c>
      <c r="B6786">
        <v>242.169998168945</v>
      </c>
    </row>
    <row r="6787" spans="1:2" x14ac:dyDescent="0.25">
      <c r="A6787" s="5">
        <v>31779</v>
      </c>
      <c r="B6787">
        <v>246.44999694824199</v>
      </c>
    </row>
    <row r="6788" spans="1:2" x14ac:dyDescent="0.25">
      <c r="A6788" s="5">
        <v>31782</v>
      </c>
      <c r="B6788">
        <v>252.19000244140599</v>
      </c>
    </row>
    <row r="6789" spans="1:2" x14ac:dyDescent="0.25">
      <c r="A6789" s="5">
        <v>31783</v>
      </c>
      <c r="B6789">
        <v>252.77999877929699</v>
      </c>
    </row>
    <row r="6790" spans="1:2" x14ac:dyDescent="0.25">
      <c r="A6790" s="5">
        <v>31784</v>
      </c>
      <c r="B6790">
        <v>255.330001831055</v>
      </c>
    </row>
    <row r="6791" spans="1:2" x14ac:dyDescent="0.25">
      <c r="A6791" s="5">
        <v>31785</v>
      </c>
      <c r="B6791">
        <v>257.27999877929699</v>
      </c>
    </row>
    <row r="6792" spans="1:2" x14ac:dyDescent="0.25">
      <c r="A6792" s="5">
        <v>31786</v>
      </c>
      <c r="B6792">
        <v>258.73001098632801</v>
      </c>
    </row>
    <row r="6793" spans="1:2" x14ac:dyDescent="0.25">
      <c r="A6793" s="5">
        <v>31789</v>
      </c>
      <c r="B6793">
        <v>260.29998779296898</v>
      </c>
    </row>
    <row r="6794" spans="1:2" x14ac:dyDescent="0.25">
      <c r="A6794" s="5">
        <v>31790</v>
      </c>
      <c r="B6794">
        <v>259.95001220703102</v>
      </c>
    </row>
    <row r="6795" spans="1:2" x14ac:dyDescent="0.25">
      <c r="A6795" s="5">
        <v>31791</v>
      </c>
      <c r="B6795">
        <v>262.64001464843801</v>
      </c>
    </row>
    <row r="6796" spans="1:2" x14ac:dyDescent="0.25">
      <c r="A6796" s="5">
        <v>31792</v>
      </c>
      <c r="B6796">
        <v>265.489990234375</v>
      </c>
    </row>
    <row r="6797" spans="1:2" x14ac:dyDescent="0.25">
      <c r="A6797" s="5">
        <v>31793</v>
      </c>
      <c r="B6797">
        <v>266.27999877929699</v>
      </c>
    </row>
    <row r="6798" spans="1:2" x14ac:dyDescent="0.25">
      <c r="A6798" s="5">
        <v>31796</v>
      </c>
      <c r="B6798">
        <v>269.33999633789102</v>
      </c>
    </row>
    <row r="6799" spans="1:2" x14ac:dyDescent="0.25">
      <c r="A6799" s="5">
        <v>31797</v>
      </c>
      <c r="B6799">
        <v>269.04000854492199</v>
      </c>
    </row>
    <row r="6800" spans="1:2" x14ac:dyDescent="0.25">
      <c r="A6800" s="5">
        <v>31798</v>
      </c>
      <c r="B6800">
        <v>267.83999633789102</v>
      </c>
    </row>
    <row r="6801" spans="1:2" x14ac:dyDescent="0.25">
      <c r="A6801" s="5">
        <v>31799</v>
      </c>
      <c r="B6801">
        <v>273.91000366210898</v>
      </c>
    </row>
    <row r="6802" spans="1:2" x14ac:dyDescent="0.25">
      <c r="A6802" s="5">
        <v>31800</v>
      </c>
      <c r="B6802">
        <v>270.10000610351602</v>
      </c>
    </row>
    <row r="6803" spans="1:2" x14ac:dyDescent="0.25">
      <c r="A6803" s="5">
        <v>31803</v>
      </c>
      <c r="B6803">
        <v>269.60998535156199</v>
      </c>
    </row>
    <row r="6804" spans="1:2" x14ac:dyDescent="0.25">
      <c r="A6804" s="5">
        <v>31804</v>
      </c>
      <c r="B6804">
        <v>273.75</v>
      </c>
    </row>
    <row r="6805" spans="1:2" x14ac:dyDescent="0.25">
      <c r="A6805" s="5">
        <v>31805</v>
      </c>
      <c r="B6805">
        <v>275.39999389648398</v>
      </c>
    </row>
    <row r="6806" spans="1:2" x14ac:dyDescent="0.25">
      <c r="A6806" s="5">
        <v>31806</v>
      </c>
      <c r="B6806">
        <v>274.239990234375</v>
      </c>
    </row>
    <row r="6807" spans="1:2" x14ac:dyDescent="0.25">
      <c r="A6807" s="5">
        <v>31807</v>
      </c>
      <c r="B6807">
        <v>274.07998657226602</v>
      </c>
    </row>
    <row r="6808" spans="1:2" x14ac:dyDescent="0.25">
      <c r="A6808" s="5">
        <v>31810</v>
      </c>
      <c r="B6808">
        <v>276.45001220703102</v>
      </c>
    </row>
    <row r="6809" spans="1:2" x14ac:dyDescent="0.25">
      <c r="A6809" s="5">
        <v>31811</v>
      </c>
      <c r="B6809">
        <v>275.989990234375</v>
      </c>
    </row>
    <row r="6810" spans="1:2" x14ac:dyDescent="0.25">
      <c r="A6810" s="5">
        <v>31812</v>
      </c>
      <c r="B6810">
        <v>279.64001464843801</v>
      </c>
    </row>
    <row r="6811" spans="1:2" x14ac:dyDescent="0.25">
      <c r="A6811" s="5">
        <v>31813</v>
      </c>
      <c r="B6811">
        <v>281.16000366210898</v>
      </c>
    </row>
    <row r="6812" spans="1:2" x14ac:dyDescent="0.25">
      <c r="A6812" s="5">
        <v>31814</v>
      </c>
      <c r="B6812">
        <v>280.04000854492199</v>
      </c>
    </row>
    <row r="6813" spans="1:2" x14ac:dyDescent="0.25">
      <c r="A6813" s="5">
        <v>31817</v>
      </c>
      <c r="B6813">
        <v>278.16000366210898</v>
      </c>
    </row>
    <row r="6814" spans="1:2" x14ac:dyDescent="0.25">
      <c r="A6814" s="5">
        <v>31818</v>
      </c>
      <c r="B6814">
        <v>275.07000732421898</v>
      </c>
    </row>
    <row r="6815" spans="1:2" x14ac:dyDescent="0.25">
      <c r="A6815" s="5">
        <v>31819</v>
      </c>
      <c r="B6815">
        <v>277.54000854492199</v>
      </c>
    </row>
    <row r="6816" spans="1:2" x14ac:dyDescent="0.25">
      <c r="A6816" s="5">
        <v>31820</v>
      </c>
      <c r="B6816">
        <v>275.61999511718801</v>
      </c>
    </row>
    <row r="6817" spans="1:2" x14ac:dyDescent="0.25">
      <c r="A6817" s="5">
        <v>31821</v>
      </c>
      <c r="B6817">
        <v>279.70001220703102</v>
      </c>
    </row>
    <row r="6818" spans="1:2" x14ac:dyDescent="0.25">
      <c r="A6818" s="5">
        <v>31825</v>
      </c>
      <c r="B6818">
        <v>285.489990234375</v>
      </c>
    </row>
    <row r="6819" spans="1:2" x14ac:dyDescent="0.25">
      <c r="A6819" s="5">
        <v>31826</v>
      </c>
      <c r="B6819">
        <v>285.42001342773398</v>
      </c>
    </row>
    <row r="6820" spans="1:2" x14ac:dyDescent="0.25">
      <c r="A6820" s="5">
        <v>31827</v>
      </c>
      <c r="B6820">
        <v>285.57000732421898</v>
      </c>
    </row>
    <row r="6821" spans="1:2" x14ac:dyDescent="0.25">
      <c r="A6821" s="5">
        <v>31828</v>
      </c>
      <c r="B6821">
        <v>285.48001098632801</v>
      </c>
    </row>
    <row r="6822" spans="1:2" x14ac:dyDescent="0.25">
      <c r="A6822" s="5">
        <v>31831</v>
      </c>
      <c r="B6822">
        <v>282.38000488281199</v>
      </c>
    </row>
    <row r="6823" spans="1:2" x14ac:dyDescent="0.25">
      <c r="A6823" s="5">
        <v>31832</v>
      </c>
      <c r="B6823">
        <v>282.88000488281199</v>
      </c>
    </row>
    <row r="6824" spans="1:2" x14ac:dyDescent="0.25">
      <c r="A6824" s="5">
        <v>31833</v>
      </c>
      <c r="B6824">
        <v>284</v>
      </c>
    </row>
    <row r="6825" spans="1:2" x14ac:dyDescent="0.25">
      <c r="A6825" s="5">
        <v>31834</v>
      </c>
      <c r="B6825">
        <v>282.95999145507801</v>
      </c>
    </row>
    <row r="6826" spans="1:2" x14ac:dyDescent="0.25">
      <c r="A6826" s="5">
        <v>31835</v>
      </c>
      <c r="B6826">
        <v>284.20001220703102</v>
      </c>
    </row>
    <row r="6827" spans="1:2" x14ac:dyDescent="0.25">
      <c r="A6827" s="5">
        <v>31838</v>
      </c>
      <c r="B6827">
        <v>283</v>
      </c>
    </row>
    <row r="6828" spans="1:2" x14ac:dyDescent="0.25">
      <c r="A6828" s="5">
        <v>31839</v>
      </c>
      <c r="B6828">
        <v>284.11999511718801</v>
      </c>
    </row>
    <row r="6829" spans="1:2" x14ac:dyDescent="0.25">
      <c r="A6829" s="5">
        <v>31840</v>
      </c>
      <c r="B6829">
        <v>288.61999511718801</v>
      </c>
    </row>
    <row r="6830" spans="1:2" x14ac:dyDescent="0.25">
      <c r="A6830" s="5">
        <v>31841</v>
      </c>
      <c r="B6830">
        <v>290.51998901367199</v>
      </c>
    </row>
    <row r="6831" spans="1:2" x14ac:dyDescent="0.25">
      <c r="A6831" s="5">
        <v>31842</v>
      </c>
      <c r="B6831">
        <v>290.66000366210898</v>
      </c>
    </row>
    <row r="6832" spans="1:2" x14ac:dyDescent="0.25">
      <c r="A6832" s="5">
        <v>31845</v>
      </c>
      <c r="B6832">
        <v>288.29998779296898</v>
      </c>
    </row>
    <row r="6833" spans="1:2" x14ac:dyDescent="0.25">
      <c r="A6833" s="5">
        <v>31846</v>
      </c>
      <c r="B6833">
        <v>290.85998535156199</v>
      </c>
    </row>
    <row r="6834" spans="1:2" x14ac:dyDescent="0.25">
      <c r="A6834" s="5">
        <v>31847</v>
      </c>
      <c r="B6834">
        <v>290.30999755859398</v>
      </c>
    </row>
    <row r="6835" spans="1:2" x14ac:dyDescent="0.25">
      <c r="A6835" s="5">
        <v>31848</v>
      </c>
      <c r="B6835">
        <v>291.22000122070301</v>
      </c>
    </row>
    <row r="6836" spans="1:2" x14ac:dyDescent="0.25">
      <c r="A6836" s="5">
        <v>31849</v>
      </c>
      <c r="B6836">
        <v>289.89001464843801</v>
      </c>
    </row>
    <row r="6837" spans="1:2" x14ac:dyDescent="0.25">
      <c r="A6837" s="5">
        <v>31852</v>
      </c>
      <c r="B6837">
        <v>288.23001098632801</v>
      </c>
    </row>
    <row r="6838" spans="1:2" x14ac:dyDescent="0.25">
      <c r="A6838" s="5">
        <v>31853</v>
      </c>
      <c r="B6838">
        <v>292.47000122070301</v>
      </c>
    </row>
    <row r="6839" spans="1:2" x14ac:dyDescent="0.25">
      <c r="A6839" s="5">
        <v>31854</v>
      </c>
      <c r="B6839">
        <v>292.77999877929699</v>
      </c>
    </row>
    <row r="6840" spans="1:2" x14ac:dyDescent="0.25">
      <c r="A6840" s="5">
        <v>31855</v>
      </c>
      <c r="B6840">
        <v>294.07998657226602</v>
      </c>
    </row>
    <row r="6841" spans="1:2" x14ac:dyDescent="0.25">
      <c r="A6841" s="5">
        <v>31856</v>
      </c>
      <c r="B6841">
        <v>298.17001342773398</v>
      </c>
    </row>
    <row r="6842" spans="1:2" x14ac:dyDescent="0.25">
      <c r="A6842" s="5">
        <v>31859</v>
      </c>
      <c r="B6842">
        <v>301.16000366210898</v>
      </c>
    </row>
    <row r="6843" spans="1:2" x14ac:dyDescent="0.25">
      <c r="A6843" s="5">
        <v>31860</v>
      </c>
      <c r="B6843">
        <v>301.64001464843801</v>
      </c>
    </row>
    <row r="6844" spans="1:2" x14ac:dyDescent="0.25">
      <c r="A6844" s="5">
        <v>31861</v>
      </c>
      <c r="B6844">
        <v>300.38000488281199</v>
      </c>
    </row>
    <row r="6845" spans="1:2" x14ac:dyDescent="0.25">
      <c r="A6845" s="5">
        <v>31862</v>
      </c>
      <c r="B6845">
        <v>300.92999267578102</v>
      </c>
    </row>
    <row r="6846" spans="1:2" x14ac:dyDescent="0.25">
      <c r="A6846" s="5">
        <v>31863</v>
      </c>
      <c r="B6846">
        <v>296.13000488281199</v>
      </c>
    </row>
    <row r="6847" spans="1:2" x14ac:dyDescent="0.25">
      <c r="A6847" s="5">
        <v>31866</v>
      </c>
      <c r="B6847">
        <v>289.20001220703102</v>
      </c>
    </row>
    <row r="6848" spans="1:2" x14ac:dyDescent="0.25">
      <c r="A6848" s="5">
        <v>31867</v>
      </c>
      <c r="B6848">
        <v>291.70001220703102</v>
      </c>
    </row>
    <row r="6849" spans="1:2" x14ac:dyDescent="0.25">
      <c r="A6849" s="5">
        <v>31868</v>
      </c>
      <c r="B6849">
        <v>292.38000488281199</v>
      </c>
    </row>
    <row r="6850" spans="1:2" x14ac:dyDescent="0.25">
      <c r="A6850" s="5">
        <v>31869</v>
      </c>
      <c r="B6850">
        <v>293.63000488281199</v>
      </c>
    </row>
    <row r="6851" spans="1:2" x14ac:dyDescent="0.25">
      <c r="A6851" s="5">
        <v>31870</v>
      </c>
      <c r="B6851">
        <v>300.41000366210898</v>
      </c>
    </row>
    <row r="6852" spans="1:2" x14ac:dyDescent="0.25">
      <c r="A6852" s="5">
        <v>31873</v>
      </c>
      <c r="B6852">
        <v>301.95001220703102</v>
      </c>
    </row>
    <row r="6853" spans="1:2" x14ac:dyDescent="0.25">
      <c r="A6853" s="5">
        <v>31874</v>
      </c>
      <c r="B6853">
        <v>296.69000244140602</v>
      </c>
    </row>
    <row r="6854" spans="1:2" x14ac:dyDescent="0.25">
      <c r="A6854" s="5">
        <v>31875</v>
      </c>
      <c r="B6854">
        <v>297.260009765625</v>
      </c>
    </row>
    <row r="6855" spans="1:2" x14ac:dyDescent="0.25">
      <c r="A6855" s="5">
        <v>31876</v>
      </c>
      <c r="B6855">
        <v>292.85998535156199</v>
      </c>
    </row>
    <row r="6856" spans="1:2" x14ac:dyDescent="0.25">
      <c r="A6856" s="5">
        <v>31877</v>
      </c>
      <c r="B6856">
        <v>292.489990234375</v>
      </c>
    </row>
    <row r="6857" spans="1:2" x14ac:dyDescent="0.25">
      <c r="A6857" s="5">
        <v>31880</v>
      </c>
      <c r="B6857">
        <v>285.61999511718801</v>
      </c>
    </row>
    <row r="6858" spans="1:2" x14ac:dyDescent="0.25">
      <c r="A6858" s="5">
        <v>31881</v>
      </c>
      <c r="B6858">
        <v>279.16000366210898</v>
      </c>
    </row>
    <row r="6859" spans="1:2" x14ac:dyDescent="0.25">
      <c r="A6859" s="5">
        <v>31882</v>
      </c>
      <c r="B6859">
        <v>284.44000244140602</v>
      </c>
    </row>
    <row r="6860" spans="1:2" x14ac:dyDescent="0.25">
      <c r="A6860" s="5">
        <v>31883</v>
      </c>
      <c r="B6860">
        <v>286.91000366210898</v>
      </c>
    </row>
    <row r="6861" spans="1:2" x14ac:dyDescent="0.25">
      <c r="A6861" s="5">
        <v>31887</v>
      </c>
      <c r="B6861">
        <v>286.08999633789102</v>
      </c>
    </row>
    <row r="6862" spans="1:2" x14ac:dyDescent="0.25">
      <c r="A6862" s="5">
        <v>31888</v>
      </c>
      <c r="B6862">
        <v>293.07000732421898</v>
      </c>
    </row>
    <row r="6863" spans="1:2" x14ac:dyDescent="0.25">
      <c r="A6863" s="5">
        <v>31889</v>
      </c>
      <c r="B6863">
        <v>287.19000244140602</v>
      </c>
    </row>
    <row r="6864" spans="1:2" x14ac:dyDescent="0.25">
      <c r="A6864" s="5">
        <v>31890</v>
      </c>
      <c r="B6864">
        <v>286.82000732421898</v>
      </c>
    </row>
    <row r="6865" spans="1:2" x14ac:dyDescent="0.25">
      <c r="A6865" s="5">
        <v>31891</v>
      </c>
      <c r="B6865">
        <v>281.51998901367199</v>
      </c>
    </row>
    <row r="6866" spans="1:2" x14ac:dyDescent="0.25">
      <c r="A6866" s="5">
        <v>31894</v>
      </c>
      <c r="B6866">
        <v>281.82998657226602</v>
      </c>
    </row>
    <row r="6867" spans="1:2" x14ac:dyDescent="0.25">
      <c r="A6867" s="5">
        <v>31895</v>
      </c>
      <c r="B6867">
        <v>282.510009765625</v>
      </c>
    </row>
    <row r="6868" spans="1:2" x14ac:dyDescent="0.25">
      <c r="A6868" s="5">
        <v>31896</v>
      </c>
      <c r="B6868">
        <v>284.57000732421898</v>
      </c>
    </row>
    <row r="6869" spans="1:2" x14ac:dyDescent="0.25">
      <c r="A6869" s="5">
        <v>31897</v>
      </c>
      <c r="B6869">
        <v>288.35998535156199</v>
      </c>
    </row>
    <row r="6870" spans="1:2" x14ac:dyDescent="0.25">
      <c r="A6870" s="5">
        <v>31898</v>
      </c>
      <c r="B6870">
        <v>288.02999877929699</v>
      </c>
    </row>
    <row r="6871" spans="1:2" x14ac:dyDescent="0.25">
      <c r="A6871" s="5">
        <v>31901</v>
      </c>
      <c r="B6871">
        <v>289.35998535156199</v>
      </c>
    </row>
    <row r="6872" spans="1:2" x14ac:dyDescent="0.25">
      <c r="A6872" s="5">
        <v>31902</v>
      </c>
      <c r="B6872">
        <v>295.33999633789102</v>
      </c>
    </row>
    <row r="6873" spans="1:2" x14ac:dyDescent="0.25">
      <c r="A6873" s="5">
        <v>31903</v>
      </c>
      <c r="B6873">
        <v>295.47000122070301</v>
      </c>
    </row>
    <row r="6874" spans="1:2" x14ac:dyDescent="0.25">
      <c r="A6874" s="5">
        <v>31904</v>
      </c>
      <c r="B6874">
        <v>294.70999145507801</v>
      </c>
    </row>
    <row r="6875" spans="1:2" x14ac:dyDescent="0.25">
      <c r="A6875" s="5">
        <v>31905</v>
      </c>
      <c r="B6875">
        <v>293.36999511718801</v>
      </c>
    </row>
    <row r="6876" spans="1:2" x14ac:dyDescent="0.25">
      <c r="A6876" s="5">
        <v>31908</v>
      </c>
      <c r="B6876">
        <v>291.57000732421898</v>
      </c>
    </row>
    <row r="6877" spans="1:2" x14ac:dyDescent="0.25">
      <c r="A6877" s="5">
        <v>31909</v>
      </c>
      <c r="B6877">
        <v>293.29998779296898</v>
      </c>
    </row>
    <row r="6878" spans="1:2" x14ac:dyDescent="0.25">
      <c r="A6878" s="5">
        <v>31910</v>
      </c>
      <c r="B6878">
        <v>293.98001098632801</v>
      </c>
    </row>
    <row r="6879" spans="1:2" x14ac:dyDescent="0.25">
      <c r="A6879" s="5">
        <v>31911</v>
      </c>
      <c r="B6879">
        <v>294.239990234375</v>
      </c>
    </row>
    <row r="6880" spans="1:2" x14ac:dyDescent="0.25">
      <c r="A6880" s="5">
        <v>31912</v>
      </c>
      <c r="B6880">
        <v>287.42999267578102</v>
      </c>
    </row>
    <row r="6881" spans="1:2" x14ac:dyDescent="0.25">
      <c r="A6881" s="5">
        <v>31915</v>
      </c>
      <c r="B6881">
        <v>286.64999389648398</v>
      </c>
    </row>
    <row r="6882" spans="1:2" x14ac:dyDescent="0.25">
      <c r="A6882" s="5">
        <v>31916</v>
      </c>
      <c r="B6882">
        <v>279.61999511718801</v>
      </c>
    </row>
    <row r="6883" spans="1:2" x14ac:dyDescent="0.25">
      <c r="A6883" s="5">
        <v>31917</v>
      </c>
      <c r="B6883">
        <v>278.20999145507801</v>
      </c>
    </row>
    <row r="6884" spans="1:2" x14ac:dyDescent="0.25">
      <c r="A6884" s="5">
        <v>31918</v>
      </c>
      <c r="B6884">
        <v>280.17001342773398</v>
      </c>
    </row>
    <row r="6885" spans="1:2" x14ac:dyDescent="0.25">
      <c r="A6885" s="5">
        <v>31919</v>
      </c>
      <c r="B6885">
        <v>282.16000366210898</v>
      </c>
    </row>
    <row r="6886" spans="1:2" x14ac:dyDescent="0.25">
      <c r="A6886" s="5">
        <v>31923</v>
      </c>
      <c r="B6886">
        <v>289.10998535156199</v>
      </c>
    </row>
    <row r="6887" spans="1:2" x14ac:dyDescent="0.25">
      <c r="A6887" s="5">
        <v>31924</v>
      </c>
      <c r="B6887">
        <v>288.73001098632801</v>
      </c>
    </row>
    <row r="6888" spans="1:2" x14ac:dyDescent="0.25">
      <c r="A6888" s="5">
        <v>31925</v>
      </c>
      <c r="B6888">
        <v>290.760009765625</v>
      </c>
    </row>
    <row r="6889" spans="1:2" x14ac:dyDescent="0.25">
      <c r="A6889" s="5">
        <v>31926</v>
      </c>
      <c r="B6889">
        <v>290.10000610351602</v>
      </c>
    </row>
    <row r="6890" spans="1:2" x14ac:dyDescent="0.25">
      <c r="A6890" s="5">
        <v>31929</v>
      </c>
      <c r="B6890">
        <v>289.82998657226602</v>
      </c>
    </row>
    <row r="6891" spans="1:2" x14ac:dyDescent="0.25">
      <c r="A6891" s="5">
        <v>31930</v>
      </c>
      <c r="B6891">
        <v>288.45999145507801</v>
      </c>
    </row>
    <row r="6892" spans="1:2" x14ac:dyDescent="0.25">
      <c r="A6892" s="5">
        <v>31931</v>
      </c>
      <c r="B6892">
        <v>293.47000122070301</v>
      </c>
    </row>
    <row r="6893" spans="1:2" x14ac:dyDescent="0.25">
      <c r="A6893" s="5">
        <v>31932</v>
      </c>
      <c r="B6893">
        <v>295.08999633789102</v>
      </c>
    </row>
    <row r="6894" spans="1:2" x14ac:dyDescent="0.25">
      <c r="A6894" s="5">
        <v>31933</v>
      </c>
      <c r="B6894">
        <v>293.45001220703102</v>
      </c>
    </row>
    <row r="6895" spans="1:2" x14ac:dyDescent="0.25">
      <c r="A6895" s="5">
        <v>31936</v>
      </c>
      <c r="B6895">
        <v>296.72000122070301</v>
      </c>
    </row>
    <row r="6896" spans="1:2" x14ac:dyDescent="0.25">
      <c r="A6896" s="5">
        <v>31937</v>
      </c>
      <c r="B6896">
        <v>297.27999877929699</v>
      </c>
    </row>
    <row r="6897" spans="1:2" x14ac:dyDescent="0.25">
      <c r="A6897" s="5">
        <v>31938</v>
      </c>
      <c r="B6897">
        <v>297.47000122070301</v>
      </c>
    </row>
    <row r="6898" spans="1:2" x14ac:dyDescent="0.25">
      <c r="A6898" s="5">
        <v>31939</v>
      </c>
      <c r="B6898">
        <v>298.73001098632801</v>
      </c>
    </row>
    <row r="6899" spans="1:2" x14ac:dyDescent="0.25">
      <c r="A6899" s="5">
        <v>31940</v>
      </c>
      <c r="B6899">
        <v>301.61999511718801</v>
      </c>
    </row>
    <row r="6900" spans="1:2" x14ac:dyDescent="0.25">
      <c r="A6900" s="5">
        <v>31943</v>
      </c>
      <c r="B6900">
        <v>303.14001464843801</v>
      </c>
    </row>
    <row r="6901" spans="1:2" x14ac:dyDescent="0.25">
      <c r="A6901" s="5">
        <v>31944</v>
      </c>
      <c r="B6901">
        <v>304.760009765625</v>
      </c>
    </row>
    <row r="6902" spans="1:2" x14ac:dyDescent="0.25">
      <c r="A6902" s="5">
        <v>31945</v>
      </c>
      <c r="B6902">
        <v>304.80999755859398</v>
      </c>
    </row>
    <row r="6903" spans="1:2" x14ac:dyDescent="0.25">
      <c r="A6903" s="5">
        <v>31946</v>
      </c>
      <c r="B6903">
        <v>305.69000244140602</v>
      </c>
    </row>
    <row r="6904" spans="1:2" x14ac:dyDescent="0.25">
      <c r="A6904" s="5">
        <v>31947</v>
      </c>
      <c r="B6904">
        <v>306.97000122070301</v>
      </c>
    </row>
    <row r="6905" spans="1:2" x14ac:dyDescent="0.25">
      <c r="A6905" s="5">
        <v>31950</v>
      </c>
      <c r="B6905">
        <v>309.64999389648398</v>
      </c>
    </row>
    <row r="6906" spans="1:2" x14ac:dyDescent="0.25">
      <c r="A6906" s="5">
        <v>31951</v>
      </c>
      <c r="B6906">
        <v>308.42999267578102</v>
      </c>
    </row>
    <row r="6907" spans="1:2" x14ac:dyDescent="0.25">
      <c r="A6907" s="5">
        <v>31952</v>
      </c>
      <c r="B6907">
        <v>306.85998535156199</v>
      </c>
    </row>
    <row r="6908" spans="1:2" x14ac:dyDescent="0.25">
      <c r="A6908" s="5">
        <v>31953</v>
      </c>
      <c r="B6908">
        <v>308.95999145507801</v>
      </c>
    </row>
    <row r="6909" spans="1:2" x14ac:dyDescent="0.25">
      <c r="A6909" s="5">
        <v>31954</v>
      </c>
      <c r="B6909">
        <v>307.16000366210898</v>
      </c>
    </row>
    <row r="6910" spans="1:2" x14ac:dyDescent="0.25">
      <c r="A6910" s="5">
        <v>31957</v>
      </c>
      <c r="B6910">
        <v>307.89999389648398</v>
      </c>
    </row>
    <row r="6911" spans="1:2" x14ac:dyDescent="0.25">
      <c r="A6911" s="5">
        <v>31958</v>
      </c>
      <c r="B6911">
        <v>304</v>
      </c>
    </row>
    <row r="6912" spans="1:2" x14ac:dyDescent="0.25">
      <c r="A6912" s="5">
        <v>31959</v>
      </c>
      <c r="B6912">
        <v>302.94000244140602</v>
      </c>
    </row>
    <row r="6913" spans="1:2" x14ac:dyDescent="0.25">
      <c r="A6913" s="5">
        <v>31960</v>
      </c>
      <c r="B6913">
        <v>305.63000488281199</v>
      </c>
    </row>
    <row r="6914" spans="1:2" x14ac:dyDescent="0.25">
      <c r="A6914" s="5">
        <v>31964</v>
      </c>
      <c r="B6914">
        <v>304.92001342773398</v>
      </c>
    </row>
    <row r="6915" spans="1:2" x14ac:dyDescent="0.25">
      <c r="A6915" s="5">
        <v>31965</v>
      </c>
      <c r="B6915">
        <v>307.39999389648398</v>
      </c>
    </row>
    <row r="6916" spans="1:2" x14ac:dyDescent="0.25">
      <c r="A6916" s="5">
        <v>31966</v>
      </c>
      <c r="B6916">
        <v>308.29000854492199</v>
      </c>
    </row>
    <row r="6917" spans="1:2" x14ac:dyDescent="0.25">
      <c r="A6917" s="5">
        <v>31967</v>
      </c>
      <c r="B6917">
        <v>307.51998901367199</v>
      </c>
    </row>
    <row r="6918" spans="1:2" x14ac:dyDescent="0.25">
      <c r="A6918" s="5">
        <v>31968</v>
      </c>
      <c r="B6918">
        <v>308.36999511718801</v>
      </c>
    </row>
    <row r="6919" spans="1:2" x14ac:dyDescent="0.25">
      <c r="A6919" s="5">
        <v>31971</v>
      </c>
      <c r="B6919">
        <v>307.63000488281199</v>
      </c>
    </row>
    <row r="6920" spans="1:2" x14ac:dyDescent="0.25">
      <c r="A6920" s="5">
        <v>31972</v>
      </c>
      <c r="B6920">
        <v>310.67999267578102</v>
      </c>
    </row>
    <row r="6921" spans="1:2" x14ac:dyDescent="0.25">
      <c r="A6921" s="5">
        <v>31973</v>
      </c>
      <c r="B6921">
        <v>310.42001342773398</v>
      </c>
    </row>
    <row r="6922" spans="1:2" x14ac:dyDescent="0.25">
      <c r="A6922" s="5">
        <v>31974</v>
      </c>
      <c r="B6922">
        <v>312.70001220703102</v>
      </c>
    </row>
    <row r="6923" spans="1:2" x14ac:dyDescent="0.25">
      <c r="A6923" s="5">
        <v>31975</v>
      </c>
      <c r="B6923">
        <v>314.58999633789102</v>
      </c>
    </row>
    <row r="6924" spans="1:2" x14ac:dyDescent="0.25">
      <c r="A6924" s="5">
        <v>31978</v>
      </c>
      <c r="B6924">
        <v>311.39001464843801</v>
      </c>
    </row>
    <row r="6925" spans="1:2" x14ac:dyDescent="0.25">
      <c r="A6925" s="5">
        <v>31979</v>
      </c>
      <c r="B6925">
        <v>308.54998779296898</v>
      </c>
    </row>
    <row r="6926" spans="1:2" x14ac:dyDescent="0.25">
      <c r="A6926" s="5">
        <v>31980</v>
      </c>
      <c r="B6926">
        <v>308.47000122070301</v>
      </c>
    </row>
    <row r="6927" spans="1:2" x14ac:dyDescent="0.25">
      <c r="A6927" s="5">
        <v>31981</v>
      </c>
      <c r="B6927">
        <v>307.80999755859398</v>
      </c>
    </row>
    <row r="6928" spans="1:2" x14ac:dyDescent="0.25">
      <c r="A6928" s="5">
        <v>31982</v>
      </c>
      <c r="B6928">
        <v>309.26998901367199</v>
      </c>
    </row>
    <row r="6929" spans="1:2" x14ac:dyDescent="0.25">
      <c r="A6929" s="5">
        <v>31985</v>
      </c>
      <c r="B6929">
        <v>310.64999389648398</v>
      </c>
    </row>
    <row r="6930" spans="1:2" x14ac:dyDescent="0.25">
      <c r="A6930" s="5">
        <v>31986</v>
      </c>
      <c r="B6930">
        <v>312.32998657226602</v>
      </c>
    </row>
    <row r="6931" spans="1:2" x14ac:dyDescent="0.25">
      <c r="A6931" s="5">
        <v>31987</v>
      </c>
      <c r="B6931">
        <v>315.64999389648398</v>
      </c>
    </row>
    <row r="6932" spans="1:2" x14ac:dyDescent="0.25">
      <c r="A6932" s="5">
        <v>31988</v>
      </c>
      <c r="B6932">
        <v>318.04998779296898</v>
      </c>
    </row>
    <row r="6933" spans="1:2" x14ac:dyDescent="0.25">
      <c r="A6933" s="5">
        <v>31989</v>
      </c>
      <c r="B6933">
        <v>318.66000366210898</v>
      </c>
    </row>
    <row r="6934" spans="1:2" x14ac:dyDescent="0.25">
      <c r="A6934" s="5">
        <v>31992</v>
      </c>
      <c r="B6934">
        <v>317.57000732421898</v>
      </c>
    </row>
    <row r="6935" spans="1:2" x14ac:dyDescent="0.25">
      <c r="A6935" s="5">
        <v>31993</v>
      </c>
      <c r="B6935">
        <v>316.23001098632801</v>
      </c>
    </row>
    <row r="6936" spans="1:2" x14ac:dyDescent="0.25">
      <c r="A6936" s="5">
        <v>31994</v>
      </c>
      <c r="B6936">
        <v>318.45001220703102</v>
      </c>
    </row>
    <row r="6937" spans="1:2" x14ac:dyDescent="0.25">
      <c r="A6937" s="5">
        <v>31995</v>
      </c>
      <c r="B6937">
        <v>322.08999633789102</v>
      </c>
    </row>
    <row r="6938" spans="1:2" x14ac:dyDescent="0.25">
      <c r="A6938" s="5">
        <v>31996</v>
      </c>
      <c r="B6938">
        <v>323</v>
      </c>
    </row>
    <row r="6939" spans="1:2" x14ac:dyDescent="0.25">
      <c r="A6939" s="5">
        <v>31999</v>
      </c>
      <c r="B6939">
        <v>328</v>
      </c>
    </row>
    <row r="6940" spans="1:2" x14ac:dyDescent="0.25">
      <c r="A6940" s="5">
        <v>32000</v>
      </c>
      <c r="B6940">
        <v>333.32998657226602</v>
      </c>
    </row>
    <row r="6941" spans="1:2" x14ac:dyDescent="0.25">
      <c r="A6941" s="5">
        <v>32001</v>
      </c>
      <c r="B6941">
        <v>332.39001464843801</v>
      </c>
    </row>
    <row r="6942" spans="1:2" x14ac:dyDescent="0.25">
      <c r="A6942" s="5">
        <v>32002</v>
      </c>
      <c r="B6942">
        <v>334.64999389648398</v>
      </c>
    </row>
    <row r="6943" spans="1:2" x14ac:dyDescent="0.25">
      <c r="A6943" s="5">
        <v>32003</v>
      </c>
      <c r="B6943">
        <v>333.989990234375</v>
      </c>
    </row>
    <row r="6944" spans="1:2" x14ac:dyDescent="0.25">
      <c r="A6944" s="5">
        <v>32006</v>
      </c>
      <c r="B6944">
        <v>334.10998535156199</v>
      </c>
    </row>
    <row r="6945" spans="1:2" x14ac:dyDescent="0.25">
      <c r="A6945" s="5">
        <v>32007</v>
      </c>
      <c r="B6945">
        <v>329.25</v>
      </c>
    </row>
    <row r="6946" spans="1:2" x14ac:dyDescent="0.25">
      <c r="A6946" s="5">
        <v>32008</v>
      </c>
      <c r="B6946">
        <v>329.82998657226602</v>
      </c>
    </row>
    <row r="6947" spans="1:2" x14ac:dyDescent="0.25">
      <c r="A6947" s="5">
        <v>32009</v>
      </c>
      <c r="B6947">
        <v>334.83999633789102</v>
      </c>
    </row>
    <row r="6948" spans="1:2" x14ac:dyDescent="0.25">
      <c r="A6948" s="5">
        <v>32010</v>
      </c>
      <c r="B6948">
        <v>335.89999389648398</v>
      </c>
    </row>
    <row r="6949" spans="1:2" x14ac:dyDescent="0.25">
      <c r="A6949" s="5">
        <v>32013</v>
      </c>
      <c r="B6949">
        <v>333.32998657226602</v>
      </c>
    </row>
    <row r="6950" spans="1:2" x14ac:dyDescent="0.25">
      <c r="A6950" s="5">
        <v>32014</v>
      </c>
      <c r="B6950">
        <v>336.76998901367199</v>
      </c>
    </row>
    <row r="6951" spans="1:2" x14ac:dyDescent="0.25">
      <c r="A6951" s="5">
        <v>32015</v>
      </c>
      <c r="B6951">
        <v>334.57000732421898</v>
      </c>
    </row>
    <row r="6952" spans="1:2" x14ac:dyDescent="0.25">
      <c r="A6952" s="5">
        <v>32016</v>
      </c>
      <c r="B6952">
        <v>331.38000488281199</v>
      </c>
    </row>
    <row r="6953" spans="1:2" x14ac:dyDescent="0.25">
      <c r="A6953" s="5">
        <v>32017</v>
      </c>
      <c r="B6953">
        <v>327.04000854492199</v>
      </c>
    </row>
    <row r="6954" spans="1:2" x14ac:dyDescent="0.25">
      <c r="A6954" s="5">
        <v>32020</v>
      </c>
      <c r="B6954">
        <v>329.79998779296898</v>
      </c>
    </row>
    <row r="6955" spans="1:2" x14ac:dyDescent="0.25">
      <c r="A6955" s="5">
        <v>32021</v>
      </c>
      <c r="B6955">
        <v>323.39999389648398</v>
      </c>
    </row>
    <row r="6956" spans="1:2" x14ac:dyDescent="0.25">
      <c r="A6956" s="5">
        <v>32022</v>
      </c>
      <c r="B6956">
        <v>321.67999267578102</v>
      </c>
    </row>
    <row r="6957" spans="1:2" x14ac:dyDescent="0.25">
      <c r="A6957" s="5">
        <v>32023</v>
      </c>
      <c r="B6957">
        <v>320.20999145507801</v>
      </c>
    </row>
    <row r="6958" spans="1:2" x14ac:dyDescent="0.25">
      <c r="A6958" s="5">
        <v>32024</v>
      </c>
      <c r="B6958">
        <v>316.70001220703102</v>
      </c>
    </row>
    <row r="6959" spans="1:2" x14ac:dyDescent="0.25">
      <c r="A6959" s="5">
        <v>32028</v>
      </c>
      <c r="B6959">
        <v>313.55999755859398</v>
      </c>
    </row>
    <row r="6960" spans="1:2" x14ac:dyDescent="0.25">
      <c r="A6960" s="5">
        <v>32029</v>
      </c>
      <c r="B6960">
        <v>313.92001342773398</v>
      </c>
    </row>
    <row r="6961" spans="1:2" x14ac:dyDescent="0.25">
      <c r="A6961" s="5">
        <v>32030</v>
      </c>
      <c r="B6961">
        <v>317.13000488281199</v>
      </c>
    </row>
    <row r="6962" spans="1:2" x14ac:dyDescent="0.25">
      <c r="A6962" s="5">
        <v>32031</v>
      </c>
      <c r="B6962">
        <v>321.98001098632801</v>
      </c>
    </row>
    <row r="6963" spans="1:2" x14ac:dyDescent="0.25">
      <c r="A6963" s="5">
        <v>32034</v>
      </c>
      <c r="B6963">
        <v>323.07998657226602</v>
      </c>
    </row>
    <row r="6964" spans="1:2" x14ac:dyDescent="0.25">
      <c r="A6964" s="5">
        <v>32035</v>
      </c>
      <c r="B6964">
        <v>317.739990234375</v>
      </c>
    </row>
    <row r="6965" spans="1:2" x14ac:dyDescent="0.25">
      <c r="A6965" s="5">
        <v>32036</v>
      </c>
      <c r="B6965">
        <v>314.85998535156199</v>
      </c>
    </row>
    <row r="6966" spans="1:2" x14ac:dyDescent="0.25">
      <c r="A6966" s="5">
        <v>32037</v>
      </c>
      <c r="B6966">
        <v>314.92999267578102</v>
      </c>
    </row>
    <row r="6967" spans="1:2" x14ac:dyDescent="0.25">
      <c r="A6967" s="5">
        <v>32038</v>
      </c>
      <c r="B6967">
        <v>314.85998535156199</v>
      </c>
    </row>
    <row r="6968" spans="1:2" x14ac:dyDescent="0.25">
      <c r="A6968" s="5">
        <v>32041</v>
      </c>
      <c r="B6968">
        <v>310.54000854492199</v>
      </c>
    </row>
    <row r="6969" spans="1:2" x14ac:dyDescent="0.25">
      <c r="A6969" s="5">
        <v>32042</v>
      </c>
      <c r="B6969">
        <v>319.5</v>
      </c>
    </row>
    <row r="6970" spans="1:2" x14ac:dyDescent="0.25">
      <c r="A6970" s="5">
        <v>32043</v>
      </c>
      <c r="B6970">
        <v>321.19000244140602</v>
      </c>
    </row>
    <row r="6971" spans="1:2" x14ac:dyDescent="0.25">
      <c r="A6971" s="5">
        <v>32044</v>
      </c>
      <c r="B6971">
        <v>319.72000122070301</v>
      </c>
    </row>
    <row r="6972" spans="1:2" x14ac:dyDescent="0.25">
      <c r="A6972" s="5">
        <v>32045</v>
      </c>
      <c r="B6972">
        <v>320.16000366210898</v>
      </c>
    </row>
    <row r="6973" spans="1:2" x14ac:dyDescent="0.25">
      <c r="A6973" s="5">
        <v>32048</v>
      </c>
      <c r="B6973">
        <v>323.20001220703102</v>
      </c>
    </row>
    <row r="6974" spans="1:2" x14ac:dyDescent="0.25">
      <c r="A6974" s="5">
        <v>32049</v>
      </c>
      <c r="B6974">
        <v>321.69000244140602</v>
      </c>
    </row>
    <row r="6975" spans="1:2" x14ac:dyDescent="0.25">
      <c r="A6975" s="5">
        <v>32050</v>
      </c>
      <c r="B6975">
        <v>321.82998657226602</v>
      </c>
    </row>
    <row r="6976" spans="1:2" x14ac:dyDescent="0.25">
      <c r="A6976" s="5">
        <v>32051</v>
      </c>
      <c r="B6976">
        <v>327.32998657226602</v>
      </c>
    </row>
    <row r="6977" spans="1:2" x14ac:dyDescent="0.25">
      <c r="A6977" s="5">
        <v>32052</v>
      </c>
      <c r="B6977">
        <v>328.07000732421898</v>
      </c>
    </row>
    <row r="6978" spans="1:2" x14ac:dyDescent="0.25">
      <c r="A6978" s="5">
        <v>32055</v>
      </c>
      <c r="B6978">
        <v>328.07998657226602</v>
      </c>
    </row>
    <row r="6979" spans="1:2" x14ac:dyDescent="0.25">
      <c r="A6979" s="5">
        <v>32056</v>
      </c>
      <c r="B6979">
        <v>319.22000122070301</v>
      </c>
    </row>
    <row r="6980" spans="1:2" x14ac:dyDescent="0.25">
      <c r="A6980" s="5">
        <v>32057</v>
      </c>
      <c r="B6980">
        <v>318.54000854492199</v>
      </c>
    </row>
    <row r="6981" spans="1:2" x14ac:dyDescent="0.25">
      <c r="A6981" s="5">
        <v>32058</v>
      </c>
      <c r="B6981">
        <v>314.16000366210898</v>
      </c>
    </row>
    <row r="6982" spans="1:2" x14ac:dyDescent="0.25">
      <c r="A6982" s="5">
        <v>32059</v>
      </c>
      <c r="B6982">
        <v>311.07000732421898</v>
      </c>
    </row>
    <row r="6983" spans="1:2" x14ac:dyDescent="0.25">
      <c r="A6983" s="5">
        <v>32062</v>
      </c>
      <c r="B6983">
        <v>309.39001464843801</v>
      </c>
    </row>
    <row r="6984" spans="1:2" x14ac:dyDescent="0.25">
      <c r="A6984" s="5">
        <v>32063</v>
      </c>
      <c r="B6984">
        <v>314.51998901367199</v>
      </c>
    </row>
    <row r="6985" spans="1:2" x14ac:dyDescent="0.25">
      <c r="A6985" s="5">
        <v>32064</v>
      </c>
      <c r="B6985">
        <v>305.23001098632801</v>
      </c>
    </row>
    <row r="6986" spans="1:2" x14ac:dyDescent="0.25">
      <c r="A6986" s="5">
        <v>32065</v>
      </c>
      <c r="B6986">
        <v>298.07998657226602</v>
      </c>
    </row>
    <row r="6987" spans="1:2" x14ac:dyDescent="0.25">
      <c r="A6987" s="5">
        <v>32066</v>
      </c>
      <c r="B6987">
        <v>282.70001220703102</v>
      </c>
    </row>
    <row r="6988" spans="1:2" x14ac:dyDescent="0.25">
      <c r="A6988" s="5">
        <v>32069</v>
      </c>
      <c r="B6988">
        <v>224.83999633789099</v>
      </c>
    </row>
    <row r="6989" spans="1:2" x14ac:dyDescent="0.25">
      <c r="A6989" s="5">
        <v>32070</v>
      </c>
      <c r="B6989">
        <v>236.830001831055</v>
      </c>
    </row>
    <row r="6990" spans="1:2" x14ac:dyDescent="0.25">
      <c r="A6990" s="5">
        <v>32071</v>
      </c>
      <c r="B6990">
        <v>258.38000488281199</v>
      </c>
    </row>
    <row r="6991" spans="1:2" x14ac:dyDescent="0.25">
      <c r="A6991" s="5">
        <v>32072</v>
      </c>
      <c r="B6991">
        <v>248.25</v>
      </c>
    </row>
    <row r="6992" spans="1:2" x14ac:dyDescent="0.25">
      <c r="A6992" s="5">
        <v>32073</v>
      </c>
      <c r="B6992">
        <v>248.22000122070301</v>
      </c>
    </row>
    <row r="6993" spans="1:2" x14ac:dyDescent="0.25">
      <c r="A6993" s="5">
        <v>32076</v>
      </c>
      <c r="B6993">
        <v>227.669998168945</v>
      </c>
    </row>
    <row r="6994" spans="1:2" x14ac:dyDescent="0.25">
      <c r="A6994" s="5">
        <v>32077</v>
      </c>
      <c r="B6994">
        <v>233.19000244140599</v>
      </c>
    </row>
    <row r="6995" spans="1:2" x14ac:dyDescent="0.25">
      <c r="A6995" s="5">
        <v>32078</v>
      </c>
      <c r="B6995">
        <v>233.27999877929699</v>
      </c>
    </row>
    <row r="6996" spans="1:2" x14ac:dyDescent="0.25">
      <c r="A6996" s="5">
        <v>32079</v>
      </c>
      <c r="B6996">
        <v>244.77000427246099</v>
      </c>
    </row>
    <row r="6997" spans="1:2" x14ac:dyDescent="0.25">
      <c r="A6997" s="5">
        <v>32080</v>
      </c>
      <c r="B6997">
        <v>251.78999328613301</v>
      </c>
    </row>
    <row r="6998" spans="1:2" x14ac:dyDescent="0.25">
      <c r="A6998" s="5">
        <v>32083</v>
      </c>
      <c r="B6998">
        <v>255.75</v>
      </c>
    </row>
    <row r="6999" spans="1:2" x14ac:dyDescent="0.25">
      <c r="A6999" s="5">
        <v>32084</v>
      </c>
      <c r="B6999">
        <v>250.82000732421901</v>
      </c>
    </row>
    <row r="7000" spans="1:2" x14ac:dyDescent="0.25">
      <c r="A7000" s="5">
        <v>32085</v>
      </c>
      <c r="B7000">
        <v>248.96000671386699</v>
      </c>
    </row>
    <row r="7001" spans="1:2" x14ac:dyDescent="0.25">
      <c r="A7001" s="5">
        <v>32086</v>
      </c>
      <c r="B7001">
        <v>254.47999572753901</v>
      </c>
    </row>
    <row r="7002" spans="1:2" x14ac:dyDescent="0.25">
      <c r="A7002" s="5">
        <v>32087</v>
      </c>
      <c r="B7002">
        <v>250.41000366210901</v>
      </c>
    </row>
    <row r="7003" spans="1:2" x14ac:dyDescent="0.25">
      <c r="A7003" s="5">
        <v>32090</v>
      </c>
      <c r="B7003">
        <v>243.169998168945</v>
      </c>
    </row>
    <row r="7004" spans="1:2" x14ac:dyDescent="0.25">
      <c r="A7004" s="5">
        <v>32091</v>
      </c>
      <c r="B7004">
        <v>239</v>
      </c>
    </row>
    <row r="7005" spans="1:2" x14ac:dyDescent="0.25">
      <c r="A7005" s="5">
        <v>32092</v>
      </c>
      <c r="B7005">
        <v>241.89999389648401</v>
      </c>
    </row>
    <row r="7006" spans="1:2" x14ac:dyDescent="0.25">
      <c r="A7006" s="5">
        <v>32093</v>
      </c>
      <c r="B7006">
        <v>248.52000427246099</v>
      </c>
    </row>
    <row r="7007" spans="1:2" x14ac:dyDescent="0.25">
      <c r="A7007" s="5">
        <v>32094</v>
      </c>
      <c r="B7007">
        <v>245.63999938964801</v>
      </c>
    </row>
    <row r="7008" spans="1:2" x14ac:dyDescent="0.25">
      <c r="A7008" s="5">
        <v>32097</v>
      </c>
      <c r="B7008">
        <v>246.75999450683599</v>
      </c>
    </row>
    <row r="7009" spans="1:2" x14ac:dyDescent="0.25">
      <c r="A7009" s="5">
        <v>32098</v>
      </c>
      <c r="B7009">
        <v>243.03999328613301</v>
      </c>
    </row>
    <row r="7010" spans="1:2" x14ac:dyDescent="0.25">
      <c r="A7010" s="5">
        <v>32099</v>
      </c>
      <c r="B7010">
        <v>245.55000305175801</v>
      </c>
    </row>
    <row r="7011" spans="1:2" x14ac:dyDescent="0.25">
      <c r="A7011" s="5">
        <v>32100</v>
      </c>
      <c r="B7011">
        <v>240.05000305175801</v>
      </c>
    </row>
    <row r="7012" spans="1:2" x14ac:dyDescent="0.25">
      <c r="A7012" s="5">
        <v>32101</v>
      </c>
      <c r="B7012">
        <v>242</v>
      </c>
    </row>
    <row r="7013" spans="1:2" x14ac:dyDescent="0.25">
      <c r="A7013" s="5">
        <v>32104</v>
      </c>
      <c r="B7013">
        <v>242.99000549316401</v>
      </c>
    </row>
    <row r="7014" spans="1:2" x14ac:dyDescent="0.25">
      <c r="A7014" s="5">
        <v>32105</v>
      </c>
      <c r="B7014">
        <v>246.38999938964801</v>
      </c>
    </row>
    <row r="7015" spans="1:2" x14ac:dyDescent="0.25">
      <c r="A7015" s="5">
        <v>32106</v>
      </c>
      <c r="B7015">
        <v>244.10000610351599</v>
      </c>
    </row>
    <row r="7016" spans="1:2" x14ac:dyDescent="0.25">
      <c r="A7016" s="5">
        <v>32108</v>
      </c>
      <c r="B7016">
        <v>240.33999633789099</v>
      </c>
    </row>
    <row r="7017" spans="1:2" x14ac:dyDescent="0.25">
      <c r="A7017" s="5">
        <v>32111</v>
      </c>
      <c r="B7017">
        <v>230.30000305175801</v>
      </c>
    </row>
    <row r="7018" spans="1:2" x14ac:dyDescent="0.25">
      <c r="A7018" s="5">
        <v>32112</v>
      </c>
      <c r="B7018">
        <v>232</v>
      </c>
    </row>
    <row r="7019" spans="1:2" x14ac:dyDescent="0.25">
      <c r="A7019" s="5">
        <v>32113</v>
      </c>
      <c r="B7019">
        <v>233.44999694824199</v>
      </c>
    </row>
    <row r="7020" spans="1:2" x14ac:dyDescent="0.25">
      <c r="A7020" s="5">
        <v>32114</v>
      </c>
      <c r="B7020">
        <v>225.21000671386699</v>
      </c>
    </row>
    <row r="7021" spans="1:2" x14ac:dyDescent="0.25">
      <c r="A7021" s="5">
        <v>32115</v>
      </c>
      <c r="B7021">
        <v>223.919998168945</v>
      </c>
    </row>
    <row r="7022" spans="1:2" x14ac:dyDescent="0.25">
      <c r="A7022" s="5">
        <v>32118</v>
      </c>
      <c r="B7022">
        <v>228.75999450683599</v>
      </c>
    </row>
    <row r="7023" spans="1:2" x14ac:dyDescent="0.25">
      <c r="A7023" s="5">
        <v>32119</v>
      </c>
      <c r="B7023">
        <v>234.91000366210901</v>
      </c>
    </row>
    <row r="7024" spans="1:2" x14ac:dyDescent="0.25">
      <c r="A7024" s="5">
        <v>32120</v>
      </c>
      <c r="B7024">
        <v>238.88999938964801</v>
      </c>
    </row>
    <row r="7025" spans="1:2" x14ac:dyDescent="0.25">
      <c r="A7025" s="5">
        <v>32121</v>
      </c>
      <c r="B7025">
        <v>233.57000732421901</v>
      </c>
    </row>
    <row r="7026" spans="1:2" x14ac:dyDescent="0.25">
      <c r="A7026" s="5">
        <v>32122</v>
      </c>
      <c r="B7026">
        <v>235.32000732421901</v>
      </c>
    </row>
    <row r="7027" spans="1:2" x14ac:dyDescent="0.25">
      <c r="A7027" s="5">
        <v>32125</v>
      </c>
      <c r="B7027">
        <v>242.19000244140599</v>
      </c>
    </row>
    <row r="7028" spans="1:2" x14ac:dyDescent="0.25">
      <c r="A7028" s="5">
        <v>32126</v>
      </c>
      <c r="B7028">
        <v>242.80999755859401</v>
      </c>
    </row>
    <row r="7029" spans="1:2" x14ac:dyDescent="0.25">
      <c r="A7029" s="5">
        <v>32127</v>
      </c>
      <c r="B7029">
        <v>248.080001831055</v>
      </c>
    </row>
    <row r="7030" spans="1:2" x14ac:dyDescent="0.25">
      <c r="A7030" s="5">
        <v>32128</v>
      </c>
      <c r="B7030">
        <v>242.97999572753901</v>
      </c>
    </row>
    <row r="7031" spans="1:2" x14ac:dyDescent="0.25">
      <c r="A7031" s="5">
        <v>32129</v>
      </c>
      <c r="B7031">
        <v>249.16000366210901</v>
      </c>
    </row>
    <row r="7032" spans="1:2" x14ac:dyDescent="0.25">
      <c r="A7032" s="5">
        <v>32132</v>
      </c>
      <c r="B7032">
        <v>249.53999328613301</v>
      </c>
    </row>
    <row r="7033" spans="1:2" x14ac:dyDescent="0.25">
      <c r="A7033" s="5">
        <v>32133</v>
      </c>
      <c r="B7033">
        <v>249.94999694824199</v>
      </c>
    </row>
    <row r="7034" spans="1:2" x14ac:dyDescent="0.25">
      <c r="A7034" s="5">
        <v>32134</v>
      </c>
      <c r="B7034">
        <v>253.16000366210901</v>
      </c>
    </row>
    <row r="7035" spans="1:2" x14ac:dyDescent="0.25">
      <c r="A7035" s="5">
        <v>32135</v>
      </c>
      <c r="B7035">
        <v>252.02999877929699</v>
      </c>
    </row>
    <row r="7036" spans="1:2" x14ac:dyDescent="0.25">
      <c r="A7036" s="5">
        <v>32139</v>
      </c>
      <c r="B7036">
        <v>245.57000732421901</v>
      </c>
    </row>
    <row r="7037" spans="1:2" x14ac:dyDescent="0.25">
      <c r="A7037" s="5">
        <v>32140</v>
      </c>
      <c r="B7037">
        <v>244.58999633789099</v>
      </c>
    </row>
    <row r="7038" spans="1:2" x14ac:dyDescent="0.25">
      <c r="A7038" s="5">
        <v>32141</v>
      </c>
      <c r="B7038">
        <v>247.86000061035199</v>
      </c>
    </row>
    <row r="7039" spans="1:2" x14ac:dyDescent="0.25">
      <c r="A7039" s="5">
        <v>32142</v>
      </c>
      <c r="B7039">
        <v>247.080001831055</v>
      </c>
    </row>
    <row r="7040" spans="1:2" x14ac:dyDescent="0.25">
      <c r="A7040" s="5">
        <v>32146</v>
      </c>
      <c r="B7040">
        <v>255.94000244140599</v>
      </c>
    </row>
    <row r="7041" spans="1:2" x14ac:dyDescent="0.25">
      <c r="A7041" s="5">
        <v>32147</v>
      </c>
      <c r="B7041">
        <v>258.63000488281199</v>
      </c>
    </row>
    <row r="7042" spans="1:2" x14ac:dyDescent="0.25">
      <c r="A7042" s="5">
        <v>32148</v>
      </c>
      <c r="B7042">
        <v>258.89001464843801</v>
      </c>
    </row>
    <row r="7043" spans="1:2" x14ac:dyDescent="0.25">
      <c r="A7043" s="5">
        <v>32149</v>
      </c>
      <c r="B7043">
        <v>261.07000732421898</v>
      </c>
    </row>
    <row r="7044" spans="1:2" x14ac:dyDescent="0.25">
      <c r="A7044" s="5">
        <v>32150</v>
      </c>
      <c r="B7044">
        <v>243.39999389648401</v>
      </c>
    </row>
    <row r="7045" spans="1:2" x14ac:dyDescent="0.25">
      <c r="A7045" s="5">
        <v>32153</v>
      </c>
      <c r="B7045">
        <v>247.49000549316401</v>
      </c>
    </row>
    <row r="7046" spans="1:2" x14ac:dyDescent="0.25">
      <c r="A7046" s="5">
        <v>32154</v>
      </c>
      <c r="B7046">
        <v>245.419998168945</v>
      </c>
    </row>
    <row r="7047" spans="1:2" x14ac:dyDescent="0.25">
      <c r="A7047" s="5">
        <v>32155</v>
      </c>
      <c r="B7047">
        <v>245.80999755859401</v>
      </c>
    </row>
    <row r="7048" spans="1:2" x14ac:dyDescent="0.25">
      <c r="A7048" s="5">
        <v>32156</v>
      </c>
      <c r="B7048">
        <v>245.88000488281199</v>
      </c>
    </row>
    <row r="7049" spans="1:2" x14ac:dyDescent="0.25">
      <c r="A7049" s="5">
        <v>32157</v>
      </c>
      <c r="B7049">
        <v>252.05000305175801</v>
      </c>
    </row>
    <row r="7050" spans="1:2" x14ac:dyDescent="0.25">
      <c r="A7050" s="5">
        <v>32160</v>
      </c>
      <c r="B7050">
        <v>251.88000488281199</v>
      </c>
    </row>
    <row r="7051" spans="1:2" x14ac:dyDescent="0.25">
      <c r="A7051" s="5">
        <v>32161</v>
      </c>
      <c r="B7051">
        <v>249.32000732421901</v>
      </c>
    </row>
    <row r="7052" spans="1:2" x14ac:dyDescent="0.25">
      <c r="A7052" s="5">
        <v>32162</v>
      </c>
      <c r="B7052">
        <v>242.63000488281199</v>
      </c>
    </row>
    <row r="7053" spans="1:2" x14ac:dyDescent="0.25">
      <c r="A7053" s="5">
        <v>32163</v>
      </c>
      <c r="B7053">
        <v>243.13999938964801</v>
      </c>
    </row>
    <row r="7054" spans="1:2" x14ac:dyDescent="0.25">
      <c r="A7054" s="5">
        <v>32164</v>
      </c>
      <c r="B7054">
        <v>246.5</v>
      </c>
    </row>
    <row r="7055" spans="1:2" x14ac:dyDescent="0.25">
      <c r="A7055" s="5">
        <v>32167</v>
      </c>
      <c r="B7055">
        <v>252.169998168945</v>
      </c>
    </row>
    <row r="7056" spans="1:2" x14ac:dyDescent="0.25">
      <c r="A7056" s="5">
        <v>32168</v>
      </c>
      <c r="B7056">
        <v>249.57000732421901</v>
      </c>
    </row>
    <row r="7057" spans="1:2" x14ac:dyDescent="0.25">
      <c r="A7057" s="5">
        <v>32169</v>
      </c>
      <c r="B7057">
        <v>249.38000488281199</v>
      </c>
    </row>
    <row r="7058" spans="1:2" x14ac:dyDescent="0.25">
      <c r="A7058" s="5">
        <v>32170</v>
      </c>
      <c r="B7058">
        <v>253.28999328613301</v>
      </c>
    </row>
    <row r="7059" spans="1:2" x14ac:dyDescent="0.25">
      <c r="A7059" s="5">
        <v>32171</v>
      </c>
      <c r="B7059">
        <v>257.07000732421898</v>
      </c>
    </row>
    <row r="7060" spans="1:2" x14ac:dyDescent="0.25">
      <c r="A7060" s="5">
        <v>32174</v>
      </c>
      <c r="B7060">
        <v>255.03999328613301</v>
      </c>
    </row>
    <row r="7061" spans="1:2" x14ac:dyDescent="0.25">
      <c r="A7061" s="5">
        <v>32175</v>
      </c>
      <c r="B7061">
        <v>255.57000732421901</v>
      </c>
    </row>
    <row r="7062" spans="1:2" x14ac:dyDescent="0.25">
      <c r="A7062" s="5">
        <v>32176</v>
      </c>
      <c r="B7062">
        <v>252.21000671386699</v>
      </c>
    </row>
    <row r="7063" spans="1:2" x14ac:dyDescent="0.25">
      <c r="A7063" s="5">
        <v>32177</v>
      </c>
      <c r="B7063">
        <v>252.21000671386699</v>
      </c>
    </row>
    <row r="7064" spans="1:2" x14ac:dyDescent="0.25">
      <c r="A7064" s="5">
        <v>32178</v>
      </c>
      <c r="B7064">
        <v>250.96000671386699</v>
      </c>
    </row>
    <row r="7065" spans="1:2" x14ac:dyDescent="0.25">
      <c r="A7065" s="5">
        <v>32181</v>
      </c>
      <c r="B7065">
        <v>249.10000610351599</v>
      </c>
    </row>
    <row r="7066" spans="1:2" x14ac:dyDescent="0.25">
      <c r="A7066" s="5">
        <v>32182</v>
      </c>
      <c r="B7066">
        <v>251.72000122070301</v>
      </c>
    </row>
    <row r="7067" spans="1:2" x14ac:dyDescent="0.25">
      <c r="A7067" s="5">
        <v>32183</v>
      </c>
      <c r="B7067">
        <v>256.66000366210898</v>
      </c>
    </row>
    <row r="7068" spans="1:2" x14ac:dyDescent="0.25">
      <c r="A7068" s="5">
        <v>32184</v>
      </c>
      <c r="B7068">
        <v>255.94999694824199</v>
      </c>
    </row>
    <row r="7069" spans="1:2" x14ac:dyDescent="0.25">
      <c r="A7069" s="5">
        <v>32185</v>
      </c>
      <c r="B7069">
        <v>257.63000488281199</v>
      </c>
    </row>
    <row r="7070" spans="1:2" x14ac:dyDescent="0.25">
      <c r="A7070" s="5">
        <v>32189</v>
      </c>
      <c r="B7070">
        <v>259.82998657226602</v>
      </c>
    </row>
    <row r="7071" spans="1:2" x14ac:dyDescent="0.25">
      <c r="A7071" s="5">
        <v>32190</v>
      </c>
      <c r="B7071">
        <v>259.20999145507801</v>
      </c>
    </row>
    <row r="7072" spans="1:2" x14ac:dyDescent="0.25">
      <c r="A7072" s="5">
        <v>32191</v>
      </c>
      <c r="B7072">
        <v>257.91000366210898</v>
      </c>
    </row>
    <row r="7073" spans="1:2" x14ac:dyDescent="0.25">
      <c r="A7073" s="5">
        <v>32192</v>
      </c>
      <c r="B7073">
        <v>261.60998535156199</v>
      </c>
    </row>
    <row r="7074" spans="1:2" x14ac:dyDescent="0.25">
      <c r="A7074" s="5">
        <v>32195</v>
      </c>
      <c r="B7074">
        <v>265.64001464843801</v>
      </c>
    </row>
    <row r="7075" spans="1:2" x14ac:dyDescent="0.25">
      <c r="A7075" s="5">
        <v>32196</v>
      </c>
      <c r="B7075">
        <v>265.01998901367199</v>
      </c>
    </row>
    <row r="7076" spans="1:2" x14ac:dyDescent="0.25">
      <c r="A7076" s="5">
        <v>32197</v>
      </c>
      <c r="B7076">
        <v>264.42999267578102</v>
      </c>
    </row>
    <row r="7077" spans="1:2" x14ac:dyDescent="0.25">
      <c r="A7077" s="5">
        <v>32198</v>
      </c>
      <c r="B7077">
        <v>261.57998657226602</v>
      </c>
    </row>
    <row r="7078" spans="1:2" x14ac:dyDescent="0.25">
      <c r="A7078" s="5">
        <v>32199</v>
      </c>
      <c r="B7078">
        <v>262.45999145507801</v>
      </c>
    </row>
    <row r="7079" spans="1:2" x14ac:dyDescent="0.25">
      <c r="A7079" s="5">
        <v>32202</v>
      </c>
      <c r="B7079">
        <v>267.82000732421898</v>
      </c>
    </row>
    <row r="7080" spans="1:2" x14ac:dyDescent="0.25">
      <c r="A7080" s="5">
        <v>32203</v>
      </c>
      <c r="B7080">
        <v>267.22000122070301</v>
      </c>
    </row>
    <row r="7081" spans="1:2" x14ac:dyDescent="0.25">
      <c r="A7081" s="5">
        <v>32204</v>
      </c>
      <c r="B7081">
        <v>267.98001098632801</v>
      </c>
    </row>
    <row r="7082" spans="1:2" x14ac:dyDescent="0.25">
      <c r="A7082" s="5">
        <v>32205</v>
      </c>
      <c r="B7082">
        <v>267.88000488281199</v>
      </c>
    </row>
    <row r="7083" spans="1:2" x14ac:dyDescent="0.25">
      <c r="A7083" s="5">
        <v>32206</v>
      </c>
      <c r="B7083">
        <v>267.29998779296898</v>
      </c>
    </row>
    <row r="7084" spans="1:2" x14ac:dyDescent="0.25">
      <c r="A7084" s="5">
        <v>32209</v>
      </c>
      <c r="B7084">
        <v>267.38000488281199</v>
      </c>
    </row>
    <row r="7085" spans="1:2" x14ac:dyDescent="0.25">
      <c r="A7085" s="5">
        <v>32210</v>
      </c>
      <c r="B7085">
        <v>269.42999267578102</v>
      </c>
    </row>
    <row r="7086" spans="1:2" x14ac:dyDescent="0.25">
      <c r="A7086" s="5">
        <v>32211</v>
      </c>
      <c r="B7086">
        <v>269.05999755859398</v>
      </c>
    </row>
    <row r="7087" spans="1:2" x14ac:dyDescent="0.25">
      <c r="A7087" s="5">
        <v>32212</v>
      </c>
      <c r="B7087">
        <v>263.83999633789102</v>
      </c>
    </row>
    <row r="7088" spans="1:2" x14ac:dyDescent="0.25">
      <c r="A7088" s="5">
        <v>32213</v>
      </c>
      <c r="B7088">
        <v>264.94000244140602</v>
      </c>
    </row>
    <row r="7089" spans="1:2" x14ac:dyDescent="0.25">
      <c r="A7089" s="5">
        <v>32216</v>
      </c>
      <c r="B7089">
        <v>266.36999511718801</v>
      </c>
    </row>
    <row r="7090" spans="1:2" x14ac:dyDescent="0.25">
      <c r="A7090" s="5">
        <v>32217</v>
      </c>
      <c r="B7090">
        <v>266.13000488281199</v>
      </c>
    </row>
    <row r="7091" spans="1:2" x14ac:dyDescent="0.25">
      <c r="A7091" s="5">
        <v>32218</v>
      </c>
      <c r="B7091">
        <v>268.64999389648398</v>
      </c>
    </row>
    <row r="7092" spans="1:2" x14ac:dyDescent="0.25">
      <c r="A7092" s="5">
        <v>32219</v>
      </c>
      <c r="B7092">
        <v>271.22000122070301</v>
      </c>
    </row>
    <row r="7093" spans="1:2" x14ac:dyDescent="0.25">
      <c r="A7093" s="5">
        <v>32220</v>
      </c>
      <c r="B7093">
        <v>271.11999511718801</v>
      </c>
    </row>
    <row r="7094" spans="1:2" x14ac:dyDescent="0.25">
      <c r="A7094" s="5">
        <v>32223</v>
      </c>
      <c r="B7094">
        <v>268.739990234375</v>
      </c>
    </row>
    <row r="7095" spans="1:2" x14ac:dyDescent="0.25">
      <c r="A7095" s="5">
        <v>32224</v>
      </c>
      <c r="B7095">
        <v>268.83999633789102</v>
      </c>
    </row>
    <row r="7096" spans="1:2" x14ac:dyDescent="0.25">
      <c r="A7096" s="5">
        <v>32225</v>
      </c>
      <c r="B7096">
        <v>268.91000366210898</v>
      </c>
    </row>
    <row r="7097" spans="1:2" x14ac:dyDescent="0.25">
      <c r="A7097" s="5">
        <v>32226</v>
      </c>
      <c r="B7097">
        <v>263.35000610351602</v>
      </c>
    </row>
    <row r="7098" spans="1:2" x14ac:dyDescent="0.25">
      <c r="A7098" s="5">
        <v>32227</v>
      </c>
      <c r="B7098">
        <v>258.510009765625</v>
      </c>
    </row>
    <row r="7099" spans="1:2" x14ac:dyDescent="0.25">
      <c r="A7099" s="5">
        <v>32230</v>
      </c>
      <c r="B7099">
        <v>258.05999755859398</v>
      </c>
    </row>
    <row r="7100" spans="1:2" x14ac:dyDescent="0.25">
      <c r="A7100" s="5">
        <v>32231</v>
      </c>
      <c r="B7100">
        <v>260.07000732421898</v>
      </c>
    </row>
    <row r="7101" spans="1:2" x14ac:dyDescent="0.25">
      <c r="A7101" s="5">
        <v>32232</v>
      </c>
      <c r="B7101">
        <v>258.07000732421898</v>
      </c>
    </row>
    <row r="7102" spans="1:2" x14ac:dyDescent="0.25">
      <c r="A7102" s="5">
        <v>32233</v>
      </c>
      <c r="B7102">
        <v>258.89001464843801</v>
      </c>
    </row>
    <row r="7103" spans="1:2" x14ac:dyDescent="0.25">
      <c r="A7103" s="5">
        <v>32237</v>
      </c>
      <c r="B7103">
        <v>256.08999633789102</v>
      </c>
    </row>
    <row r="7104" spans="1:2" x14ac:dyDescent="0.25">
      <c r="A7104" s="5">
        <v>32238</v>
      </c>
      <c r="B7104">
        <v>258.510009765625</v>
      </c>
    </row>
    <row r="7105" spans="1:2" x14ac:dyDescent="0.25">
      <c r="A7105" s="5">
        <v>32239</v>
      </c>
      <c r="B7105">
        <v>265.489990234375</v>
      </c>
    </row>
    <row r="7106" spans="1:2" x14ac:dyDescent="0.25">
      <c r="A7106" s="5">
        <v>32240</v>
      </c>
      <c r="B7106">
        <v>266.16000366210898</v>
      </c>
    </row>
    <row r="7107" spans="1:2" x14ac:dyDescent="0.25">
      <c r="A7107" s="5">
        <v>32241</v>
      </c>
      <c r="B7107">
        <v>269.42999267578102</v>
      </c>
    </row>
    <row r="7108" spans="1:2" x14ac:dyDescent="0.25">
      <c r="A7108" s="5">
        <v>32244</v>
      </c>
      <c r="B7108">
        <v>270.16000366210898</v>
      </c>
    </row>
    <row r="7109" spans="1:2" x14ac:dyDescent="0.25">
      <c r="A7109" s="5">
        <v>32245</v>
      </c>
      <c r="B7109">
        <v>271.36999511718801</v>
      </c>
    </row>
    <row r="7110" spans="1:2" x14ac:dyDescent="0.25">
      <c r="A7110" s="5">
        <v>32246</v>
      </c>
      <c r="B7110">
        <v>271.57998657226602</v>
      </c>
    </row>
    <row r="7111" spans="1:2" x14ac:dyDescent="0.25">
      <c r="A7111" s="5">
        <v>32247</v>
      </c>
      <c r="B7111">
        <v>259.75</v>
      </c>
    </row>
    <row r="7112" spans="1:2" x14ac:dyDescent="0.25">
      <c r="A7112" s="5">
        <v>32248</v>
      </c>
      <c r="B7112">
        <v>259.76998901367199</v>
      </c>
    </row>
    <row r="7113" spans="1:2" x14ac:dyDescent="0.25">
      <c r="A7113" s="5">
        <v>32251</v>
      </c>
      <c r="B7113">
        <v>259.20999145507801</v>
      </c>
    </row>
    <row r="7114" spans="1:2" x14ac:dyDescent="0.25">
      <c r="A7114" s="5">
        <v>32252</v>
      </c>
      <c r="B7114">
        <v>257.92001342773398</v>
      </c>
    </row>
    <row r="7115" spans="1:2" x14ac:dyDescent="0.25">
      <c r="A7115" s="5">
        <v>32253</v>
      </c>
      <c r="B7115">
        <v>256.13000488281199</v>
      </c>
    </row>
    <row r="7116" spans="1:2" x14ac:dyDescent="0.25">
      <c r="A7116" s="5">
        <v>32254</v>
      </c>
      <c r="B7116">
        <v>256.42001342773398</v>
      </c>
    </row>
    <row r="7117" spans="1:2" x14ac:dyDescent="0.25">
      <c r="A7117" s="5">
        <v>32255</v>
      </c>
      <c r="B7117">
        <v>260.14001464843801</v>
      </c>
    </row>
    <row r="7118" spans="1:2" x14ac:dyDescent="0.25">
      <c r="A7118" s="5">
        <v>32258</v>
      </c>
      <c r="B7118">
        <v>262.510009765625</v>
      </c>
    </row>
    <row r="7119" spans="1:2" x14ac:dyDescent="0.25">
      <c r="A7119" s="5">
        <v>32259</v>
      </c>
      <c r="B7119">
        <v>263.92999267578102</v>
      </c>
    </row>
    <row r="7120" spans="1:2" x14ac:dyDescent="0.25">
      <c r="A7120" s="5">
        <v>32260</v>
      </c>
      <c r="B7120">
        <v>263.79998779296898</v>
      </c>
    </row>
    <row r="7121" spans="1:2" x14ac:dyDescent="0.25">
      <c r="A7121" s="5">
        <v>32261</v>
      </c>
      <c r="B7121">
        <v>262.60998535156199</v>
      </c>
    </row>
    <row r="7122" spans="1:2" x14ac:dyDescent="0.25">
      <c r="A7122" s="5">
        <v>32262</v>
      </c>
      <c r="B7122">
        <v>261.32998657226602</v>
      </c>
    </row>
    <row r="7123" spans="1:2" x14ac:dyDescent="0.25">
      <c r="A7123" s="5">
        <v>32265</v>
      </c>
      <c r="B7123">
        <v>261.55999755859398</v>
      </c>
    </row>
    <row r="7124" spans="1:2" x14ac:dyDescent="0.25">
      <c r="A7124" s="5">
        <v>32266</v>
      </c>
      <c r="B7124">
        <v>263</v>
      </c>
    </row>
    <row r="7125" spans="1:2" x14ac:dyDescent="0.25">
      <c r="A7125" s="5">
        <v>32267</v>
      </c>
      <c r="B7125">
        <v>260.32000732421898</v>
      </c>
    </row>
    <row r="7126" spans="1:2" x14ac:dyDescent="0.25">
      <c r="A7126" s="5">
        <v>32268</v>
      </c>
      <c r="B7126">
        <v>258.79000854492199</v>
      </c>
    </row>
    <row r="7127" spans="1:2" x14ac:dyDescent="0.25">
      <c r="A7127" s="5">
        <v>32269</v>
      </c>
      <c r="B7127">
        <v>257.48001098632801</v>
      </c>
    </row>
    <row r="7128" spans="1:2" x14ac:dyDescent="0.25">
      <c r="A7128" s="5">
        <v>32272</v>
      </c>
      <c r="B7128">
        <v>256.54000854492199</v>
      </c>
    </row>
    <row r="7129" spans="1:2" x14ac:dyDescent="0.25">
      <c r="A7129" s="5">
        <v>32273</v>
      </c>
      <c r="B7129">
        <v>257.61999511718801</v>
      </c>
    </row>
    <row r="7130" spans="1:2" x14ac:dyDescent="0.25">
      <c r="A7130" s="5">
        <v>32274</v>
      </c>
      <c r="B7130">
        <v>253.30999755859401</v>
      </c>
    </row>
    <row r="7131" spans="1:2" x14ac:dyDescent="0.25">
      <c r="A7131" s="5">
        <v>32275</v>
      </c>
      <c r="B7131">
        <v>253.85000610351599</v>
      </c>
    </row>
    <row r="7132" spans="1:2" x14ac:dyDescent="0.25">
      <c r="A7132" s="5">
        <v>32276</v>
      </c>
      <c r="B7132">
        <v>256.77999877929699</v>
      </c>
    </row>
    <row r="7133" spans="1:2" x14ac:dyDescent="0.25">
      <c r="A7133" s="5">
        <v>32279</v>
      </c>
      <c r="B7133">
        <v>258.70999145507801</v>
      </c>
    </row>
    <row r="7134" spans="1:2" x14ac:dyDescent="0.25">
      <c r="A7134" s="5">
        <v>32280</v>
      </c>
      <c r="B7134">
        <v>255.38999938964801</v>
      </c>
    </row>
    <row r="7135" spans="1:2" x14ac:dyDescent="0.25">
      <c r="A7135" s="5">
        <v>32281</v>
      </c>
      <c r="B7135">
        <v>251.35000610351599</v>
      </c>
    </row>
    <row r="7136" spans="1:2" x14ac:dyDescent="0.25">
      <c r="A7136" s="5">
        <v>32282</v>
      </c>
      <c r="B7136">
        <v>252.57000732421901</v>
      </c>
    </row>
    <row r="7137" spans="1:2" x14ac:dyDescent="0.25">
      <c r="A7137" s="5">
        <v>32283</v>
      </c>
      <c r="B7137">
        <v>253.02000427246099</v>
      </c>
    </row>
    <row r="7138" spans="1:2" x14ac:dyDescent="0.25">
      <c r="A7138" s="5">
        <v>32286</v>
      </c>
      <c r="B7138">
        <v>250.830001831055</v>
      </c>
    </row>
    <row r="7139" spans="1:2" x14ac:dyDescent="0.25">
      <c r="A7139" s="5">
        <v>32287</v>
      </c>
      <c r="B7139">
        <v>253.50999450683599</v>
      </c>
    </row>
    <row r="7140" spans="1:2" x14ac:dyDescent="0.25">
      <c r="A7140" s="5">
        <v>32288</v>
      </c>
      <c r="B7140">
        <v>253.75999450683599</v>
      </c>
    </row>
    <row r="7141" spans="1:2" x14ac:dyDescent="0.25">
      <c r="A7141" s="5">
        <v>32289</v>
      </c>
      <c r="B7141">
        <v>254.63000488281199</v>
      </c>
    </row>
    <row r="7142" spans="1:2" x14ac:dyDescent="0.25">
      <c r="A7142" s="5">
        <v>32290</v>
      </c>
      <c r="B7142">
        <v>253.419998168945</v>
      </c>
    </row>
    <row r="7143" spans="1:2" x14ac:dyDescent="0.25">
      <c r="A7143" s="5">
        <v>32294</v>
      </c>
      <c r="B7143">
        <v>262.16000366210898</v>
      </c>
    </row>
    <row r="7144" spans="1:2" x14ac:dyDescent="0.25">
      <c r="A7144" s="5">
        <v>32295</v>
      </c>
      <c r="B7144">
        <v>266.69000244140602</v>
      </c>
    </row>
    <row r="7145" spans="1:2" x14ac:dyDescent="0.25">
      <c r="A7145" s="5">
        <v>32296</v>
      </c>
      <c r="B7145">
        <v>265.32998657226602</v>
      </c>
    </row>
    <row r="7146" spans="1:2" x14ac:dyDescent="0.25">
      <c r="A7146" s="5">
        <v>32297</v>
      </c>
      <c r="B7146">
        <v>266.45001220703102</v>
      </c>
    </row>
    <row r="7147" spans="1:2" x14ac:dyDescent="0.25">
      <c r="A7147" s="5">
        <v>32300</v>
      </c>
      <c r="B7147">
        <v>267.04998779296898</v>
      </c>
    </row>
    <row r="7148" spans="1:2" x14ac:dyDescent="0.25">
      <c r="A7148" s="5">
        <v>32301</v>
      </c>
      <c r="B7148">
        <v>265.17001342773398</v>
      </c>
    </row>
    <row r="7149" spans="1:2" x14ac:dyDescent="0.25">
      <c r="A7149" s="5">
        <v>32302</v>
      </c>
      <c r="B7149">
        <v>271.51998901367199</v>
      </c>
    </row>
    <row r="7150" spans="1:2" x14ac:dyDescent="0.25">
      <c r="A7150" s="5">
        <v>32303</v>
      </c>
      <c r="B7150">
        <v>270.20001220703102</v>
      </c>
    </row>
    <row r="7151" spans="1:2" x14ac:dyDescent="0.25">
      <c r="A7151" s="5">
        <v>32304</v>
      </c>
      <c r="B7151">
        <v>271.260009765625</v>
      </c>
    </row>
    <row r="7152" spans="1:2" x14ac:dyDescent="0.25">
      <c r="A7152" s="5">
        <v>32307</v>
      </c>
      <c r="B7152">
        <v>271.42999267578102</v>
      </c>
    </row>
    <row r="7153" spans="1:2" x14ac:dyDescent="0.25">
      <c r="A7153" s="5">
        <v>32308</v>
      </c>
      <c r="B7153">
        <v>274.29998779296898</v>
      </c>
    </row>
    <row r="7154" spans="1:2" x14ac:dyDescent="0.25">
      <c r="A7154" s="5">
        <v>32309</v>
      </c>
      <c r="B7154">
        <v>274.45001220703102</v>
      </c>
    </row>
    <row r="7155" spans="1:2" x14ac:dyDescent="0.25">
      <c r="A7155" s="5">
        <v>32310</v>
      </c>
      <c r="B7155">
        <v>269.76998901367199</v>
      </c>
    </row>
    <row r="7156" spans="1:2" x14ac:dyDescent="0.25">
      <c r="A7156" s="5">
        <v>32311</v>
      </c>
      <c r="B7156">
        <v>270.67999267578102</v>
      </c>
    </row>
    <row r="7157" spans="1:2" x14ac:dyDescent="0.25">
      <c r="A7157" s="5">
        <v>32314</v>
      </c>
      <c r="B7157">
        <v>268.94000244140602</v>
      </c>
    </row>
    <row r="7158" spans="1:2" x14ac:dyDescent="0.25">
      <c r="A7158" s="5">
        <v>32315</v>
      </c>
      <c r="B7158">
        <v>271.67001342773398</v>
      </c>
    </row>
    <row r="7159" spans="1:2" x14ac:dyDescent="0.25">
      <c r="A7159" s="5">
        <v>32316</v>
      </c>
      <c r="B7159">
        <v>275.66000366210898</v>
      </c>
    </row>
    <row r="7160" spans="1:2" x14ac:dyDescent="0.25">
      <c r="A7160" s="5">
        <v>32317</v>
      </c>
      <c r="B7160">
        <v>274.82000732421898</v>
      </c>
    </row>
    <row r="7161" spans="1:2" x14ac:dyDescent="0.25">
      <c r="A7161" s="5">
        <v>32318</v>
      </c>
      <c r="B7161">
        <v>273.77999877929699</v>
      </c>
    </row>
    <row r="7162" spans="1:2" x14ac:dyDescent="0.25">
      <c r="A7162" s="5">
        <v>32321</v>
      </c>
      <c r="B7162">
        <v>269.05999755859398</v>
      </c>
    </row>
    <row r="7163" spans="1:2" x14ac:dyDescent="0.25">
      <c r="A7163" s="5">
        <v>32322</v>
      </c>
      <c r="B7163">
        <v>272.30999755859398</v>
      </c>
    </row>
    <row r="7164" spans="1:2" x14ac:dyDescent="0.25">
      <c r="A7164" s="5">
        <v>32323</v>
      </c>
      <c r="B7164">
        <v>270.98001098632801</v>
      </c>
    </row>
    <row r="7165" spans="1:2" x14ac:dyDescent="0.25">
      <c r="A7165" s="5">
        <v>32324</v>
      </c>
      <c r="B7165">
        <v>273.5</v>
      </c>
    </row>
    <row r="7166" spans="1:2" x14ac:dyDescent="0.25">
      <c r="A7166" s="5">
        <v>32325</v>
      </c>
      <c r="B7166">
        <v>271.77999877929699</v>
      </c>
    </row>
    <row r="7167" spans="1:2" x14ac:dyDescent="0.25">
      <c r="A7167" s="5">
        <v>32329</v>
      </c>
      <c r="B7167">
        <v>275.80999755859398</v>
      </c>
    </row>
    <row r="7168" spans="1:2" x14ac:dyDescent="0.25">
      <c r="A7168" s="5">
        <v>32330</v>
      </c>
      <c r="B7168">
        <v>272.01998901367199</v>
      </c>
    </row>
    <row r="7169" spans="1:2" x14ac:dyDescent="0.25">
      <c r="A7169" s="5">
        <v>32331</v>
      </c>
      <c r="B7169">
        <v>271.77999877929699</v>
      </c>
    </row>
    <row r="7170" spans="1:2" x14ac:dyDescent="0.25">
      <c r="A7170" s="5">
        <v>32332</v>
      </c>
      <c r="B7170">
        <v>270.01998901367199</v>
      </c>
    </row>
    <row r="7171" spans="1:2" x14ac:dyDescent="0.25">
      <c r="A7171" s="5">
        <v>32335</v>
      </c>
      <c r="B7171">
        <v>270.54998779296898</v>
      </c>
    </row>
    <row r="7172" spans="1:2" x14ac:dyDescent="0.25">
      <c r="A7172" s="5">
        <v>32336</v>
      </c>
      <c r="B7172">
        <v>267.85000610351602</v>
      </c>
    </row>
    <row r="7173" spans="1:2" x14ac:dyDescent="0.25">
      <c r="A7173" s="5">
        <v>32337</v>
      </c>
      <c r="B7173">
        <v>269.32000732421898</v>
      </c>
    </row>
    <row r="7174" spans="1:2" x14ac:dyDescent="0.25">
      <c r="A7174" s="5">
        <v>32338</v>
      </c>
      <c r="B7174">
        <v>270.260009765625</v>
      </c>
    </row>
    <row r="7175" spans="1:2" x14ac:dyDescent="0.25">
      <c r="A7175" s="5">
        <v>32339</v>
      </c>
      <c r="B7175">
        <v>272.04998779296898</v>
      </c>
    </row>
    <row r="7176" spans="1:2" x14ac:dyDescent="0.25">
      <c r="A7176" s="5">
        <v>32342</v>
      </c>
      <c r="B7176">
        <v>270.510009765625</v>
      </c>
    </row>
    <row r="7177" spans="1:2" x14ac:dyDescent="0.25">
      <c r="A7177" s="5">
        <v>32343</v>
      </c>
      <c r="B7177">
        <v>268.47000122070301</v>
      </c>
    </row>
    <row r="7178" spans="1:2" x14ac:dyDescent="0.25">
      <c r="A7178" s="5">
        <v>32344</v>
      </c>
      <c r="B7178">
        <v>270</v>
      </c>
    </row>
    <row r="7179" spans="1:2" x14ac:dyDescent="0.25">
      <c r="A7179" s="5">
        <v>32345</v>
      </c>
      <c r="B7179">
        <v>266.66000366210898</v>
      </c>
    </row>
    <row r="7180" spans="1:2" x14ac:dyDescent="0.25">
      <c r="A7180" s="5">
        <v>32346</v>
      </c>
      <c r="B7180">
        <v>263.5</v>
      </c>
    </row>
    <row r="7181" spans="1:2" x14ac:dyDescent="0.25">
      <c r="A7181" s="5">
        <v>32349</v>
      </c>
      <c r="B7181">
        <v>264.67999267578102</v>
      </c>
    </row>
    <row r="7182" spans="1:2" x14ac:dyDescent="0.25">
      <c r="A7182" s="5">
        <v>32350</v>
      </c>
      <c r="B7182">
        <v>265.19000244140602</v>
      </c>
    </row>
    <row r="7183" spans="1:2" x14ac:dyDescent="0.25">
      <c r="A7183" s="5">
        <v>32351</v>
      </c>
      <c r="B7183">
        <v>262.5</v>
      </c>
    </row>
    <row r="7184" spans="1:2" x14ac:dyDescent="0.25">
      <c r="A7184" s="5">
        <v>32352</v>
      </c>
      <c r="B7184">
        <v>266.01998901367199</v>
      </c>
    </row>
    <row r="7185" spans="1:2" x14ac:dyDescent="0.25">
      <c r="A7185" s="5">
        <v>32353</v>
      </c>
      <c r="B7185">
        <v>272.01998901367199</v>
      </c>
    </row>
    <row r="7186" spans="1:2" x14ac:dyDescent="0.25">
      <c r="A7186" s="5">
        <v>32356</v>
      </c>
      <c r="B7186">
        <v>272.20999145507801</v>
      </c>
    </row>
    <row r="7187" spans="1:2" x14ac:dyDescent="0.25">
      <c r="A7187" s="5">
        <v>32357</v>
      </c>
      <c r="B7187">
        <v>272.05999755859398</v>
      </c>
    </row>
    <row r="7188" spans="1:2" x14ac:dyDescent="0.25">
      <c r="A7188" s="5">
        <v>32358</v>
      </c>
      <c r="B7188">
        <v>272.98001098632801</v>
      </c>
    </row>
    <row r="7189" spans="1:2" x14ac:dyDescent="0.25">
      <c r="A7189" s="5">
        <v>32359</v>
      </c>
      <c r="B7189">
        <v>271.92999267578102</v>
      </c>
    </row>
    <row r="7190" spans="1:2" x14ac:dyDescent="0.25">
      <c r="A7190" s="5">
        <v>32360</v>
      </c>
      <c r="B7190">
        <v>271.14999389648398</v>
      </c>
    </row>
    <row r="7191" spans="1:2" x14ac:dyDescent="0.25">
      <c r="A7191" s="5">
        <v>32363</v>
      </c>
      <c r="B7191">
        <v>269.98001098632801</v>
      </c>
    </row>
    <row r="7192" spans="1:2" x14ac:dyDescent="0.25">
      <c r="A7192" s="5">
        <v>32364</v>
      </c>
      <c r="B7192">
        <v>266.489990234375</v>
      </c>
    </row>
    <row r="7193" spans="1:2" x14ac:dyDescent="0.25">
      <c r="A7193" s="5">
        <v>32365</v>
      </c>
      <c r="B7193">
        <v>261.89999389648398</v>
      </c>
    </row>
    <row r="7194" spans="1:2" x14ac:dyDescent="0.25">
      <c r="A7194" s="5">
        <v>32366</v>
      </c>
      <c r="B7194">
        <v>262.75</v>
      </c>
    </row>
    <row r="7195" spans="1:2" x14ac:dyDescent="0.25">
      <c r="A7195" s="5">
        <v>32367</v>
      </c>
      <c r="B7195">
        <v>262.54998779296898</v>
      </c>
    </row>
    <row r="7196" spans="1:2" x14ac:dyDescent="0.25">
      <c r="A7196" s="5">
        <v>32370</v>
      </c>
      <c r="B7196">
        <v>258.69000244140602</v>
      </c>
    </row>
    <row r="7197" spans="1:2" x14ac:dyDescent="0.25">
      <c r="A7197" s="5">
        <v>32371</v>
      </c>
      <c r="B7197">
        <v>260.55999755859398</v>
      </c>
    </row>
    <row r="7198" spans="1:2" x14ac:dyDescent="0.25">
      <c r="A7198" s="5">
        <v>32372</v>
      </c>
      <c r="B7198">
        <v>260.76998901367199</v>
      </c>
    </row>
    <row r="7199" spans="1:2" x14ac:dyDescent="0.25">
      <c r="A7199" s="5">
        <v>32373</v>
      </c>
      <c r="B7199">
        <v>261.02999877929699</v>
      </c>
    </row>
    <row r="7200" spans="1:2" x14ac:dyDescent="0.25">
      <c r="A7200" s="5">
        <v>32374</v>
      </c>
      <c r="B7200">
        <v>260.239990234375</v>
      </c>
    </row>
    <row r="7201" spans="1:2" x14ac:dyDescent="0.25">
      <c r="A7201" s="5">
        <v>32377</v>
      </c>
      <c r="B7201">
        <v>256.98001098632801</v>
      </c>
    </row>
    <row r="7202" spans="1:2" x14ac:dyDescent="0.25">
      <c r="A7202" s="5">
        <v>32378</v>
      </c>
      <c r="B7202">
        <v>257.08999633789102</v>
      </c>
    </row>
    <row r="7203" spans="1:2" x14ac:dyDescent="0.25">
      <c r="A7203" s="5">
        <v>32379</v>
      </c>
      <c r="B7203">
        <v>261.13000488281199</v>
      </c>
    </row>
    <row r="7204" spans="1:2" x14ac:dyDescent="0.25">
      <c r="A7204" s="5">
        <v>32380</v>
      </c>
      <c r="B7204">
        <v>259.17999267578102</v>
      </c>
    </row>
    <row r="7205" spans="1:2" x14ac:dyDescent="0.25">
      <c r="A7205" s="5">
        <v>32381</v>
      </c>
      <c r="B7205">
        <v>259.67999267578102</v>
      </c>
    </row>
    <row r="7206" spans="1:2" x14ac:dyDescent="0.25">
      <c r="A7206" s="5">
        <v>32384</v>
      </c>
      <c r="B7206">
        <v>262.32998657226602</v>
      </c>
    </row>
    <row r="7207" spans="1:2" x14ac:dyDescent="0.25">
      <c r="A7207" s="5">
        <v>32385</v>
      </c>
      <c r="B7207">
        <v>262.510009765625</v>
      </c>
    </row>
    <row r="7208" spans="1:2" x14ac:dyDescent="0.25">
      <c r="A7208" s="5">
        <v>32386</v>
      </c>
      <c r="B7208">
        <v>261.51998901367199</v>
      </c>
    </row>
    <row r="7209" spans="1:2" x14ac:dyDescent="0.25">
      <c r="A7209" s="5">
        <v>32387</v>
      </c>
      <c r="B7209">
        <v>258.35000610351602</v>
      </c>
    </row>
    <row r="7210" spans="1:2" x14ac:dyDescent="0.25">
      <c r="A7210" s="5">
        <v>32388</v>
      </c>
      <c r="B7210">
        <v>264.48001098632801</v>
      </c>
    </row>
    <row r="7211" spans="1:2" x14ac:dyDescent="0.25">
      <c r="A7211" s="5">
        <v>32392</v>
      </c>
      <c r="B7211">
        <v>265.58999633789102</v>
      </c>
    </row>
    <row r="7212" spans="1:2" x14ac:dyDescent="0.25">
      <c r="A7212" s="5">
        <v>32393</v>
      </c>
      <c r="B7212">
        <v>265.86999511718801</v>
      </c>
    </row>
    <row r="7213" spans="1:2" x14ac:dyDescent="0.25">
      <c r="A7213" s="5">
        <v>32394</v>
      </c>
      <c r="B7213">
        <v>265.88000488281199</v>
      </c>
    </row>
    <row r="7214" spans="1:2" x14ac:dyDescent="0.25">
      <c r="A7214" s="5">
        <v>32395</v>
      </c>
      <c r="B7214">
        <v>266.83999633789102</v>
      </c>
    </row>
    <row r="7215" spans="1:2" x14ac:dyDescent="0.25">
      <c r="A7215" s="5">
        <v>32398</v>
      </c>
      <c r="B7215">
        <v>266.47000122070301</v>
      </c>
    </row>
    <row r="7216" spans="1:2" x14ac:dyDescent="0.25">
      <c r="A7216" s="5">
        <v>32399</v>
      </c>
      <c r="B7216">
        <v>267.42999267578102</v>
      </c>
    </row>
    <row r="7217" spans="1:2" x14ac:dyDescent="0.25">
      <c r="A7217" s="5">
        <v>32400</v>
      </c>
      <c r="B7217">
        <v>269.30999755859398</v>
      </c>
    </row>
    <row r="7218" spans="1:2" x14ac:dyDescent="0.25">
      <c r="A7218" s="5">
        <v>32401</v>
      </c>
      <c r="B7218">
        <v>268.13000488281199</v>
      </c>
    </row>
    <row r="7219" spans="1:2" x14ac:dyDescent="0.25">
      <c r="A7219" s="5">
        <v>32402</v>
      </c>
      <c r="B7219">
        <v>270.64999389648398</v>
      </c>
    </row>
    <row r="7220" spans="1:2" x14ac:dyDescent="0.25">
      <c r="A7220" s="5">
        <v>32405</v>
      </c>
      <c r="B7220">
        <v>268.82000732421898</v>
      </c>
    </row>
    <row r="7221" spans="1:2" x14ac:dyDescent="0.25">
      <c r="A7221" s="5">
        <v>32406</v>
      </c>
      <c r="B7221">
        <v>269.73001098632801</v>
      </c>
    </row>
    <row r="7222" spans="1:2" x14ac:dyDescent="0.25">
      <c r="A7222" s="5">
        <v>32407</v>
      </c>
      <c r="B7222">
        <v>270.16000366210898</v>
      </c>
    </row>
    <row r="7223" spans="1:2" x14ac:dyDescent="0.25">
      <c r="A7223" s="5">
        <v>32408</v>
      </c>
      <c r="B7223">
        <v>269.17999267578102</v>
      </c>
    </row>
    <row r="7224" spans="1:2" x14ac:dyDescent="0.25">
      <c r="A7224" s="5">
        <v>32409</v>
      </c>
      <c r="B7224">
        <v>269.760009765625</v>
      </c>
    </row>
    <row r="7225" spans="1:2" x14ac:dyDescent="0.25">
      <c r="A7225" s="5">
        <v>32412</v>
      </c>
      <c r="B7225">
        <v>268.88000488281199</v>
      </c>
    </row>
    <row r="7226" spans="1:2" x14ac:dyDescent="0.25">
      <c r="A7226" s="5">
        <v>32413</v>
      </c>
      <c r="B7226">
        <v>268.260009765625</v>
      </c>
    </row>
    <row r="7227" spans="1:2" x14ac:dyDescent="0.25">
      <c r="A7227" s="5">
        <v>32414</v>
      </c>
      <c r="B7227">
        <v>269.07998657226602</v>
      </c>
    </row>
    <row r="7228" spans="1:2" x14ac:dyDescent="0.25">
      <c r="A7228" s="5">
        <v>32415</v>
      </c>
      <c r="B7228">
        <v>272.58999633789102</v>
      </c>
    </row>
    <row r="7229" spans="1:2" x14ac:dyDescent="0.25">
      <c r="A7229" s="5">
        <v>32416</v>
      </c>
      <c r="B7229">
        <v>271.91000366210898</v>
      </c>
    </row>
    <row r="7230" spans="1:2" x14ac:dyDescent="0.25">
      <c r="A7230" s="5">
        <v>32419</v>
      </c>
      <c r="B7230">
        <v>271.38000488281199</v>
      </c>
    </row>
    <row r="7231" spans="1:2" x14ac:dyDescent="0.25">
      <c r="A7231" s="5">
        <v>32420</v>
      </c>
      <c r="B7231">
        <v>270.61999511718801</v>
      </c>
    </row>
    <row r="7232" spans="1:2" x14ac:dyDescent="0.25">
      <c r="A7232" s="5">
        <v>32421</v>
      </c>
      <c r="B7232">
        <v>271.85998535156199</v>
      </c>
    </row>
    <row r="7233" spans="1:2" x14ac:dyDescent="0.25">
      <c r="A7233" s="5">
        <v>32422</v>
      </c>
      <c r="B7233">
        <v>272.39001464843801</v>
      </c>
    </row>
    <row r="7234" spans="1:2" x14ac:dyDescent="0.25">
      <c r="A7234" s="5">
        <v>32423</v>
      </c>
      <c r="B7234">
        <v>278.07000732421898</v>
      </c>
    </row>
    <row r="7235" spans="1:2" x14ac:dyDescent="0.25">
      <c r="A7235" s="5">
        <v>32426</v>
      </c>
      <c r="B7235">
        <v>278.239990234375</v>
      </c>
    </row>
    <row r="7236" spans="1:2" x14ac:dyDescent="0.25">
      <c r="A7236" s="5">
        <v>32427</v>
      </c>
      <c r="B7236">
        <v>277.92999267578102</v>
      </c>
    </row>
    <row r="7237" spans="1:2" x14ac:dyDescent="0.25">
      <c r="A7237" s="5">
        <v>32428</v>
      </c>
      <c r="B7237">
        <v>273.98001098632801</v>
      </c>
    </row>
    <row r="7238" spans="1:2" x14ac:dyDescent="0.25">
      <c r="A7238" s="5">
        <v>32429</v>
      </c>
      <c r="B7238">
        <v>275.22000122070301</v>
      </c>
    </row>
    <row r="7239" spans="1:2" x14ac:dyDescent="0.25">
      <c r="A7239" s="5">
        <v>32430</v>
      </c>
      <c r="B7239">
        <v>275.5</v>
      </c>
    </row>
    <row r="7240" spans="1:2" x14ac:dyDescent="0.25">
      <c r="A7240" s="5">
        <v>32433</v>
      </c>
      <c r="B7240">
        <v>276.41000366210898</v>
      </c>
    </row>
    <row r="7241" spans="1:2" x14ac:dyDescent="0.25">
      <c r="A7241" s="5">
        <v>32434</v>
      </c>
      <c r="B7241">
        <v>279.38000488281199</v>
      </c>
    </row>
    <row r="7242" spans="1:2" x14ac:dyDescent="0.25">
      <c r="A7242" s="5">
        <v>32435</v>
      </c>
      <c r="B7242">
        <v>276.97000122070301</v>
      </c>
    </row>
    <row r="7243" spans="1:2" x14ac:dyDescent="0.25">
      <c r="A7243" s="5">
        <v>32436</v>
      </c>
      <c r="B7243">
        <v>282.88000488281199</v>
      </c>
    </row>
    <row r="7244" spans="1:2" x14ac:dyDescent="0.25">
      <c r="A7244" s="5">
        <v>32437</v>
      </c>
      <c r="B7244">
        <v>283.66000366210898</v>
      </c>
    </row>
    <row r="7245" spans="1:2" x14ac:dyDescent="0.25">
      <c r="A7245" s="5">
        <v>32440</v>
      </c>
      <c r="B7245">
        <v>282.27999877929699</v>
      </c>
    </row>
    <row r="7246" spans="1:2" x14ac:dyDescent="0.25">
      <c r="A7246" s="5">
        <v>32441</v>
      </c>
      <c r="B7246">
        <v>282.38000488281199</v>
      </c>
    </row>
    <row r="7247" spans="1:2" x14ac:dyDescent="0.25">
      <c r="A7247" s="5">
        <v>32442</v>
      </c>
      <c r="B7247">
        <v>281.38000488281199</v>
      </c>
    </row>
    <row r="7248" spans="1:2" x14ac:dyDescent="0.25">
      <c r="A7248" s="5">
        <v>32443</v>
      </c>
      <c r="B7248">
        <v>277.27999877929699</v>
      </c>
    </row>
    <row r="7249" spans="1:2" x14ac:dyDescent="0.25">
      <c r="A7249" s="5">
        <v>32444</v>
      </c>
      <c r="B7249">
        <v>278.52999877929699</v>
      </c>
    </row>
    <row r="7250" spans="1:2" x14ac:dyDescent="0.25">
      <c r="A7250" s="5">
        <v>32447</v>
      </c>
      <c r="B7250">
        <v>278.97000122070301</v>
      </c>
    </row>
    <row r="7251" spans="1:2" x14ac:dyDescent="0.25">
      <c r="A7251" s="5">
        <v>32448</v>
      </c>
      <c r="B7251">
        <v>279.05999755859398</v>
      </c>
    </row>
    <row r="7252" spans="1:2" x14ac:dyDescent="0.25">
      <c r="A7252" s="5">
        <v>32449</v>
      </c>
      <c r="B7252">
        <v>279.05999755859398</v>
      </c>
    </row>
    <row r="7253" spans="1:2" x14ac:dyDescent="0.25">
      <c r="A7253" s="5">
        <v>32450</v>
      </c>
      <c r="B7253">
        <v>279.20001220703102</v>
      </c>
    </row>
    <row r="7254" spans="1:2" x14ac:dyDescent="0.25">
      <c r="A7254" s="5">
        <v>32451</v>
      </c>
      <c r="B7254">
        <v>276.30999755859398</v>
      </c>
    </row>
    <row r="7255" spans="1:2" x14ac:dyDescent="0.25">
      <c r="A7255" s="5">
        <v>32454</v>
      </c>
      <c r="B7255">
        <v>273.92999267578102</v>
      </c>
    </row>
    <row r="7256" spans="1:2" x14ac:dyDescent="0.25">
      <c r="A7256" s="5">
        <v>32455</v>
      </c>
      <c r="B7256">
        <v>275.14999389648398</v>
      </c>
    </row>
    <row r="7257" spans="1:2" x14ac:dyDescent="0.25">
      <c r="A7257" s="5">
        <v>32456</v>
      </c>
      <c r="B7257">
        <v>273.32998657226602</v>
      </c>
    </row>
    <row r="7258" spans="1:2" x14ac:dyDescent="0.25">
      <c r="A7258" s="5">
        <v>32457</v>
      </c>
      <c r="B7258">
        <v>273.69000244140602</v>
      </c>
    </row>
    <row r="7259" spans="1:2" x14ac:dyDescent="0.25">
      <c r="A7259" s="5">
        <v>32458</v>
      </c>
      <c r="B7259">
        <v>267.92001342773398</v>
      </c>
    </row>
    <row r="7260" spans="1:2" x14ac:dyDescent="0.25">
      <c r="A7260" s="5">
        <v>32461</v>
      </c>
      <c r="B7260">
        <v>267.72000122070301</v>
      </c>
    </row>
    <row r="7261" spans="1:2" x14ac:dyDescent="0.25">
      <c r="A7261" s="5">
        <v>32462</v>
      </c>
      <c r="B7261">
        <v>268.33999633789102</v>
      </c>
    </row>
    <row r="7262" spans="1:2" x14ac:dyDescent="0.25">
      <c r="A7262" s="5">
        <v>32463</v>
      </c>
      <c r="B7262">
        <v>263.82000732421898</v>
      </c>
    </row>
    <row r="7263" spans="1:2" x14ac:dyDescent="0.25">
      <c r="A7263" s="5">
        <v>32464</v>
      </c>
      <c r="B7263">
        <v>264.60000610351602</v>
      </c>
    </row>
    <row r="7264" spans="1:2" x14ac:dyDescent="0.25">
      <c r="A7264" s="5">
        <v>32465</v>
      </c>
      <c r="B7264">
        <v>266.47000122070301</v>
      </c>
    </row>
    <row r="7265" spans="1:2" x14ac:dyDescent="0.25">
      <c r="A7265" s="5">
        <v>32468</v>
      </c>
      <c r="B7265">
        <v>266.22000122070301</v>
      </c>
    </row>
    <row r="7266" spans="1:2" x14ac:dyDescent="0.25">
      <c r="A7266" s="5">
        <v>32469</v>
      </c>
      <c r="B7266">
        <v>267.20999145507801</v>
      </c>
    </row>
    <row r="7267" spans="1:2" x14ac:dyDescent="0.25">
      <c r="A7267" s="5">
        <v>32470</v>
      </c>
      <c r="B7267">
        <v>269</v>
      </c>
    </row>
    <row r="7268" spans="1:2" x14ac:dyDescent="0.25">
      <c r="A7268" s="5">
        <v>32472</v>
      </c>
      <c r="B7268">
        <v>267.23001098632801</v>
      </c>
    </row>
    <row r="7269" spans="1:2" x14ac:dyDescent="0.25">
      <c r="A7269" s="5">
        <v>32475</v>
      </c>
      <c r="B7269">
        <v>268.64001464843801</v>
      </c>
    </row>
    <row r="7270" spans="1:2" x14ac:dyDescent="0.25">
      <c r="A7270" s="5">
        <v>32476</v>
      </c>
      <c r="B7270">
        <v>270.91000366210898</v>
      </c>
    </row>
    <row r="7271" spans="1:2" x14ac:dyDescent="0.25">
      <c r="A7271" s="5">
        <v>32477</v>
      </c>
      <c r="B7271">
        <v>273.70001220703102</v>
      </c>
    </row>
    <row r="7272" spans="1:2" x14ac:dyDescent="0.25">
      <c r="A7272" s="5">
        <v>32478</v>
      </c>
      <c r="B7272">
        <v>272.489990234375</v>
      </c>
    </row>
    <row r="7273" spans="1:2" x14ac:dyDescent="0.25">
      <c r="A7273" s="5">
        <v>32479</v>
      </c>
      <c r="B7273">
        <v>271.80999755859398</v>
      </c>
    </row>
    <row r="7274" spans="1:2" x14ac:dyDescent="0.25">
      <c r="A7274" s="5">
        <v>32482</v>
      </c>
      <c r="B7274">
        <v>274.92999267578102</v>
      </c>
    </row>
    <row r="7275" spans="1:2" x14ac:dyDescent="0.25">
      <c r="A7275" s="5">
        <v>32483</v>
      </c>
      <c r="B7275">
        <v>277.58999633789102</v>
      </c>
    </row>
    <row r="7276" spans="1:2" x14ac:dyDescent="0.25">
      <c r="A7276" s="5">
        <v>32484</v>
      </c>
      <c r="B7276">
        <v>278.13000488281199</v>
      </c>
    </row>
    <row r="7277" spans="1:2" x14ac:dyDescent="0.25">
      <c r="A7277" s="5">
        <v>32485</v>
      </c>
      <c r="B7277">
        <v>276.58999633789102</v>
      </c>
    </row>
    <row r="7278" spans="1:2" x14ac:dyDescent="0.25">
      <c r="A7278" s="5">
        <v>32486</v>
      </c>
      <c r="B7278">
        <v>277.02999877929699</v>
      </c>
    </row>
    <row r="7279" spans="1:2" x14ac:dyDescent="0.25">
      <c r="A7279" s="5">
        <v>32489</v>
      </c>
      <c r="B7279">
        <v>276.51998901367199</v>
      </c>
    </row>
    <row r="7280" spans="1:2" x14ac:dyDescent="0.25">
      <c r="A7280" s="5">
        <v>32490</v>
      </c>
      <c r="B7280">
        <v>276.30999755859398</v>
      </c>
    </row>
    <row r="7281" spans="1:2" x14ac:dyDescent="0.25">
      <c r="A7281" s="5">
        <v>32491</v>
      </c>
      <c r="B7281">
        <v>275.30999755859398</v>
      </c>
    </row>
    <row r="7282" spans="1:2" x14ac:dyDescent="0.25">
      <c r="A7282" s="5">
        <v>32492</v>
      </c>
      <c r="B7282">
        <v>274.27999877929699</v>
      </c>
    </row>
    <row r="7283" spans="1:2" x14ac:dyDescent="0.25">
      <c r="A7283" s="5">
        <v>32493</v>
      </c>
      <c r="B7283">
        <v>276.29000854492199</v>
      </c>
    </row>
    <row r="7284" spans="1:2" x14ac:dyDescent="0.25">
      <c r="A7284" s="5">
        <v>32496</v>
      </c>
      <c r="B7284">
        <v>278.91000366210898</v>
      </c>
    </row>
    <row r="7285" spans="1:2" x14ac:dyDescent="0.25">
      <c r="A7285" s="5">
        <v>32497</v>
      </c>
      <c r="B7285">
        <v>277.47000122070301</v>
      </c>
    </row>
    <row r="7286" spans="1:2" x14ac:dyDescent="0.25">
      <c r="A7286" s="5">
        <v>32498</v>
      </c>
      <c r="B7286">
        <v>277.38000488281199</v>
      </c>
    </row>
    <row r="7287" spans="1:2" x14ac:dyDescent="0.25">
      <c r="A7287" s="5">
        <v>32499</v>
      </c>
      <c r="B7287">
        <v>276.86999511718801</v>
      </c>
    </row>
    <row r="7288" spans="1:2" x14ac:dyDescent="0.25">
      <c r="A7288" s="5">
        <v>32500</v>
      </c>
      <c r="B7288">
        <v>277.86999511718801</v>
      </c>
    </row>
    <row r="7289" spans="1:2" x14ac:dyDescent="0.25">
      <c r="A7289" s="5">
        <v>32504</v>
      </c>
      <c r="B7289">
        <v>276.82998657226602</v>
      </c>
    </row>
    <row r="7290" spans="1:2" x14ac:dyDescent="0.25">
      <c r="A7290" s="5">
        <v>32505</v>
      </c>
      <c r="B7290">
        <v>277.07998657226602</v>
      </c>
    </row>
    <row r="7291" spans="1:2" x14ac:dyDescent="0.25">
      <c r="A7291" s="5">
        <v>32506</v>
      </c>
      <c r="B7291">
        <v>279.39999389648398</v>
      </c>
    </row>
    <row r="7292" spans="1:2" x14ac:dyDescent="0.25">
      <c r="A7292" s="5">
        <v>32507</v>
      </c>
      <c r="B7292">
        <v>277.72000122070301</v>
      </c>
    </row>
    <row r="7293" spans="1:2" x14ac:dyDescent="0.25">
      <c r="A7293" s="5">
        <v>32511</v>
      </c>
      <c r="B7293">
        <v>275.30999755859398</v>
      </c>
    </row>
    <row r="7294" spans="1:2" x14ac:dyDescent="0.25">
      <c r="A7294" s="5">
        <v>32512</v>
      </c>
      <c r="B7294">
        <v>279.42999267578102</v>
      </c>
    </row>
    <row r="7295" spans="1:2" x14ac:dyDescent="0.25">
      <c r="A7295" s="5">
        <v>32513</v>
      </c>
      <c r="B7295">
        <v>280.010009765625</v>
      </c>
    </row>
    <row r="7296" spans="1:2" x14ac:dyDescent="0.25">
      <c r="A7296" s="5">
        <v>32514</v>
      </c>
      <c r="B7296">
        <v>280.67001342773398</v>
      </c>
    </row>
    <row r="7297" spans="1:2" x14ac:dyDescent="0.25">
      <c r="A7297" s="5">
        <v>32517</v>
      </c>
      <c r="B7297">
        <v>280.98001098632801</v>
      </c>
    </row>
    <row r="7298" spans="1:2" x14ac:dyDescent="0.25">
      <c r="A7298" s="5">
        <v>32518</v>
      </c>
      <c r="B7298">
        <v>280.38000488281199</v>
      </c>
    </row>
    <row r="7299" spans="1:2" x14ac:dyDescent="0.25">
      <c r="A7299" s="5">
        <v>32519</v>
      </c>
      <c r="B7299">
        <v>282.010009765625</v>
      </c>
    </row>
    <row r="7300" spans="1:2" x14ac:dyDescent="0.25">
      <c r="A7300" s="5">
        <v>32520</v>
      </c>
      <c r="B7300">
        <v>283.17001342773398</v>
      </c>
    </row>
    <row r="7301" spans="1:2" x14ac:dyDescent="0.25">
      <c r="A7301" s="5">
        <v>32521</v>
      </c>
      <c r="B7301">
        <v>283.86999511718801</v>
      </c>
    </row>
    <row r="7302" spans="1:2" x14ac:dyDescent="0.25">
      <c r="A7302" s="5">
        <v>32524</v>
      </c>
      <c r="B7302">
        <v>284.14001464843801</v>
      </c>
    </row>
    <row r="7303" spans="1:2" x14ac:dyDescent="0.25">
      <c r="A7303" s="5">
        <v>32525</v>
      </c>
      <c r="B7303">
        <v>283.54998779296898</v>
      </c>
    </row>
    <row r="7304" spans="1:2" x14ac:dyDescent="0.25">
      <c r="A7304" s="5">
        <v>32526</v>
      </c>
      <c r="B7304">
        <v>286.52999877929699</v>
      </c>
    </row>
    <row r="7305" spans="1:2" x14ac:dyDescent="0.25">
      <c r="A7305" s="5">
        <v>32527</v>
      </c>
      <c r="B7305">
        <v>286.91000366210898</v>
      </c>
    </row>
    <row r="7306" spans="1:2" x14ac:dyDescent="0.25">
      <c r="A7306" s="5">
        <v>32528</v>
      </c>
      <c r="B7306">
        <v>286.63000488281199</v>
      </c>
    </row>
    <row r="7307" spans="1:2" x14ac:dyDescent="0.25">
      <c r="A7307" s="5">
        <v>32531</v>
      </c>
      <c r="B7307">
        <v>284.5</v>
      </c>
    </row>
    <row r="7308" spans="1:2" x14ac:dyDescent="0.25">
      <c r="A7308" s="5">
        <v>32532</v>
      </c>
      <c r="B7308">
        <v>288.489990234375</v>
      </c>
    </row>
    <row r="7309" spans="1:2" x14ac:dyDescent="0.25">
      <c r="A7309" s="5">
        <v>32533</v>
      </c>
      <c r="B7309">
        <v>289.14001464843801</v>
      </c>
    </row>
    <row r="7310" spans="1:2" x14ac:dyDescent="0.25">
      <c r="A7310" s="5">
        <v>32534</v>
      </c>
      <c r="B7310">
        <v>291.69000244140602</v>
      </c>
    </row>
    <row r="7311" spans="1:2" x14ac:dyDescent="0.25">
      <c r="A7311" s="5">
        <v>32535</v>
      </c>
      <c r="B7311">
        <v>293.82000732421898</v>
      </c>
    </row>
    <row r="7312" spans="1:2" x14ac:dyDescent="0.25">
      <c r="A7312" s="5">
        <v>32538</v>
      </c>
      <c r="B7312">
        <v>294.989990234375</v>
      </c>
    </row>
    <row r="7313" spans="1:2" x14ac:dyDescent="0.25">
      <c r="A7313" s="5">
        <v>32539</v>
      </c>
      <c r="B7313">
        <v>297.47000122070301</v>
      </c>
    </row>
    <row r="7314" spans="1:2" x14ac:dyDescent="0.25">
      <c r="A7314" s="5">
        <v>32540</v>
      </c>
      <c r="B7314">
        <v>297.08999633789102</v>
      </c>
    </row>
    <row r="7315" spans="1:2" x14ac:dyDescent="0.25">
      <c r="A7315" s="5">
        <v>32541</v>
      </c>
      <c r="B7315">
        <v>296.83999633789102</v>
      </c>
    </row>
    <row r="7316" spans="1:2" x14ac:dyDescent="0.25">
      <c r="A7316" s="5">
        <v>32542</v>
      </c>
      <c r="B7316">
        <v>296.97000122070301</v>
      </c>
    </row>
    <row r="7317" spans="1:2" x14ac:dyDescent="0.25">
      <c r="A7317" s="5">
        <v>32545</v>
      </c>
      <c r="B7317">
        <v>296.04000854492199</v>
      </c>
    </row>
    <row r="7318" spans="1:2" x14ac:dyDescent="0.25">
      <c r="A7318" s="5">
        <v>32546</v>
      </c>
      <c r="B7318">
        <v>299.63000488281199</v>
      </c>
    </row>
    <row r="7319" spans="1:2" x14ac:dyDescent="0.25">
      <c r="A7319" s="5">
        <v>32547</v>
      </c>
      <c r="B7319">
        <v>298.64999389648398</v>
      </c>
    </row>
    <row r="7320" spans="1:2" x14ac:dyDescent="0.25">
      <c r="A7320" s="5">
        <v>32548</v>
      </c>
      <c r="B7320">
        <v>296.05999755859398</v>
      </c>
    </row>
    <row r="7321" spans="1:2" x14ac:dyDescent="0.25">
      <c r="A7321" s="5">
        <v>32549</v>
      </c>
      <c r="B7321">
        <v>292.01998901367199</v>
      </c>
    </row>
    <row r="7322" spans="1:2" x14ac:dyDescent="0.25">
      <c r="A7322" s="5">
        <v>32552</v>
      </c>
      <c r="B7322">
        <v>292.54000854492199</v>
      </c>
    </row>
    <row r="7323" spans="1:2" x14ac:dyDescent="0.25">
      <c r="A7323" s="5">
        <v>32553</v>
      </c>
      <c r="B7323">
        <v>291.80999755859398</v>
      </c>
    </row>
    <row r="7324" spans="1:2" x14ac:dyDescent="0.25">
      <c r="A7324" s="5">
        <v>32554</v>
      </c>
      <c r="B7324">
        <v>294.239990234375</v>
      </c>
    </row>
    <row r="7325" spans="1:2" x14ac:dyDescent="0.25">
      <c r="A7325" s="5">
        <v>32555</v>
      </c>
      <c r="B7325">
        <v>294.80999755859398</v>
      </c>
    </row>
    <row r="7326" spans="1:2" x14ac:dyDescent="0.25">
      <c r="A7326" s="5">
        <v>32556</v>
      </c>
      <c r="B7326">
        <v>296.760009765625</v>
      </c>
    </row>
    <row r="7327" spans="1:2" x14ac:dyDescent="0.25">
      <c r="A7327" s="5">
        <v>32560</v>
      </c>
      <c r="B7327">
        <v>295.98001098632801</v>
      </c>
    </row>
    <row r="7328" spans="1:2" x14ac:dyDescent="0.25">
      <c r="A7328" s="5">
        <v>32561</v>
      </c>
      <c r="B7328">
        <v>290.91000366210898</v>
      </c>
    </row>
    <row r="7329" spans="1:2" x14ac:dyDescent="0.25">
      <c r="A7329" s="5">
        <v>32562</v>
      </c>
      <c r="B7329">
        <v>292.04998779296898</v>
      </c>
    </row>
    <row r="7330" spans="1:2" x14ac:dyDescent="0.25">
      <c r="A7330" s="5">
        <v>32563</v>
      </c>
      <c r="B7330">
        <v>287.13000488281199</v>
      </c>
    </row>
    <row r="7331" spans="1:2" x14ac:dyDescent="0.25">
      <c r="A7331" s="5">
        <v>32566</v>
      </c>
      <c r="B7331">
        <v>287.82000732421898</v>
      </c>
    </row>
    <row r="7332" spans="1:2" x14ac:dyDescent="0.25">
      <c r="A7332" s="5">
        <v>32567</v>
      </c>
      <c r="B7332">
        <v>288.85998535156199</v>
      </c>
    </row>
    <row r="7333" spans="1:2" x14ac:dyDescent="0.25">
      <c r="A7333" s="5">
        <v>32568</v>
      </c>
      <c r="B7333">
        <v>287.10998535156199</v>
      </c>
    </row>
    <row r="7334" spans="1:2" x14ac:dyDescent="0.25">
      <c r="A7334" s="5">
        <v>32569</v>
      </c>
      <c r="B7334">
        <v>289.95001220703102</v>
      </c>
    </row>
    <row r="7335" spans="1:2" x14ac:dyDescent="0.25">
      <c r="A7335" s="5">
        <v>32570</v>
      </c>
      <c r="B7335">
        <v>291.17999267578102</v>
      </c>
    </row>
    <row r="7336" spans="1:2" x14ac:dyDescent="0.25">
      <c r="A7336" s="5">
        <v>32573</v>
      </c>
      <c r="B7336">
        <v>294.80999755859398</v>
      </c>
    </row>
    <row r="7337" spans="1:2" x14ac:dyDescent="0.25">
      <c r="A7337" s="5">
        <v>32574</v>
      </c>
      <c r="B7337">
        <v>293.86999511718801</v>
      </c>
    </row>
    <row r="7338" spans="1:2" x14ac:dyDescent="0.25">
      <c r="A7338" s="5">
        <v>32575</v>
      </c>
      <c r="B7338">
        <v>294.07998657226602</v>
      </c>
    </row>
    <row r="7339" spans="1:2" x14ac:dyDescent="0.25">
      <c r="A7339" s="5">
        <v>32576</v>
      </c>
      <c r="B7339">
        <v>293.92999267578102</v>
      </c>
    </row>
    <row r="7340" spans="1:2" x14ac:dyDescent="0.25">
      <c r="A7340" s="5">
        <v>32577</v>
      </c>
      <c r="B7340">
        <v>292.88000488281199</v>
      </c>
    </row>
    <row r="7341" spans="1:2" x14ac:dyDescent="0.25">
      <c r="A7341" s="5">
        <v>32580</v>
      </c>
      <c r="B7341">
        <v>295.32000732421898</v>
      </c>
    </row>
    <row r="7342" spans="1:2" x14ac:dyDescent="0.25">
      <c r="A7342" s="5">
        <v>32581</v>
      </c>
      <c r="B7342">
        <v>295.14001464843801</v>
      </c>
    </row>
    <row r="7343" spans="1:2" x14ac:dyDescent="0.25">
      <c r="A7343" s="5">
        <v>32582</v>
      </c>
      <c r="B7343">
        <v>296.67001342773398</v>
      </c>
    </row>
    <row r="7344" spans="1:2" x14ac:dyDescent="0.25">
      <c r="A7344" s="5">
        <v>32583</v>
      </c>
      <c r="B7344">
        <v>299.44000244140602</v>
      </c>
    </row>
    <row r="7345" spans="1:2" x14ac:dyDescent="0.25">
      <c r="A7345" s="5">
        <v>32584</v>
      </c>
      <c r="B7345">
        <v>292.69000244140602</v>
      </c>
    </row>
    <row r="7346" spans="1:2" x14ac:dyDescent="0.25">
      <c r="A7346" s="5">
        <v>32587</v>
      </c>
      <c r="B7346">
        <v>289.92001342773398</v>
      </c>
    </row>
    <row r="7347" spans="1:2" x14ac:dyDescent="0.25">
      <c r="A7347" s="5">
        <v>32588</v>
      </c>
      <c r="B7347">
        <v>291.32998657226602</v>
      </c>
    </row>
    <row r="7348" spans="1:2" x14ac:dyDescent="0.25">
      <c r="A7348" s="5">
        <v>32589</v>
      </c>
      <c r="B7348">
        <v>290.489990234375</v>
      </c>
    </row>
    <row r="7349" spans="1:2" x14ac:dyDescent="0.25">
      <c r="A7349" s="5">
        <v>32590</v>
      </c>
      <c r="B7349">
        <v>288.98001098632801</v>
      </c>
    </row>
    <row r="7350" spans="1:2" x14ac:dyDescent="0.25">
      <c r="A7350" s="5">
        <v>32594</v>
      </c>
      <c r="B7350">
        <v>290.57000732421898</v>
      </c>
    </row>
    <row r="7351" spans="1:2" x14ac:dyDescent="0.25">
      <c r="A7351" s="5">
        <v>32595</v>
      </c>
      <c r="B7351">
        <v>291.58999633789102</v>
      </c>
    </row>
    <row r="7352" spans="1:2" x14ac:dyDescent="0.25">
      <c r="A7352" s="5">
        <v>32596</v>
      </c>
      <c r="B7352">
        <v>292.35000610351602</v>
      </c>
    </row>
    <row r="7353" spans="1:2" x14ac:dyDescent="0.25">
      <c r="A7353" s="5">
        <v>32597</v>
      </c>
      <c r="B7353">
        <v>292.51998901367199</v>
      </c>
    </row>
    <row r="7354" spans="1:2" x14ac:dyDescent="0.25">
      <c r="A7354" s="5">
        <v>32598</v>
      </c>
      <c r="B7354">
        <v>294.86999511718801</v>
      </c>
    </row>
    <row r="7355" spans="1:2" x14ac:dyDescent="0.25">
      <c r="A7355" s="5">
        <v>32601</v>
      </c>
      <c r="B7355">
        <v>296.39001464843801</v>
      </c>
    </row>
    <row r="7356" spans="1:2" x14ac:dyDescent="0.25">
      <c r="A7356" s="5">
        <v>32602</v>
      </c>
      <c r="B7356">
        <v>295.30999755859398</v>
      </c>
    </row>
    <row r="7357" spans="1:2" x14ac:dyDescent="0.25">
      <c r="A7357" s="5">
        <v>32603</v>
      </c>
      <c r="B7357">
        <v>296.239990234375</v>
      </c>
    </row>
    <row r="7358" spans="1:2" x14ac:dyDescent="0.25">
      <c r="A7358" s="5">
        <v>32604</v>
      </c>
      <c r="B7358">
        <v>295.29000854492199</v>
      </c>
    </row>
    <row r="7359" spans="1:2" x14ac:dyDescent="0.25">
      <c r="A7359" s="5">
        <v>32605</v>
      </c>
      <c r="B7359">
        <v>297.16000366210898</v>
      </c>
    </row>
    <row r="7360" spans="1:2" x14ac:dyDescent="0.25">
      <c r="A7360" s="5">
        <v>32608</v>
      </c>
      <c r="B7360">
        <v>297.10998535156199</v>
      </c>
    </row>
    <row r="7361" spans="1:2" x14ac:dyDescent="0.25">
      <c r="A7361" s="5">
        <v>32609</v>
      </c>
      <c r="B7361">
        <v>298.489990234375</v>
      </c>
    </row>
    <row r="7362" spans="1:2" x14ac:dyDescent="0.25">
      <c r="A7362" s="5">
        <v>32610</v>
      </c>
      <c r="B7362">
        <v>298.989990234375</v>
      </c>
    </row>
    <row r="7363" spans="1:2" x14ac:dyDescent="0.25">
      <c r="A7363" s="5">
        <v>32611</v>
      </c>
      <c r="B7363">
        <v>296.39999389648398</v>
      </c>
    </row>
    <row r="7364" spans="1:2" x14ac:dyDescent="0.25">
      <c r="A7364" s="5">
        <v>32612</v>
      </c>
      <c r="B7364">
        <v>301.35998535156199</v>
      </c>
    </row>
    <row r="7365" spans="1:2" x14ac:dyDescent="0.25">
      <c r="A7365" s="5">
        <v>32615</v>
      </c>
      <c r="B7365">
        <v>301.72000122070301</v>
      </c>
    </row>
    <row r="7366" spans="1:2" x14ac:dyDescent="0.25">
      <c r="A7366" s="5">
        <v>32616</v>
      </c>
      <c r="B7366">
        <v>306.01998901367199</v>
      </c>
    </row>
    <row r="7367" spans="1:2" x14ac:dyDescent="0.25">
      <c r="A7367" s="5">
        <v>32617</v>
      </c>
      <c r="B7367">
        <v>307.14999389648398</v>
      </c>
    </row>
    <row r="7368" spans="1:2" x14ac:dyDescent="0.25">
      <c r="A7368" s="5">
        <v>32618</v>
      </c>
      <c r="B7368">
        <v>306.19000244140602</v>
      </c>
    </row>
    <row r="7369" spans="1:2" x14ac:dyDescent="0.25">
      <c r="A7369" s="5">
        <v>32619</v>
      </c>
      <c r="B7369">
        <v>309.60998535156199</v>
      </c>
    </row>
    <row r="7370" spans="1:2" x14ac:dyDescent="0.25">
      <c r="A7370" s="5">
        <v>32622</v>
      </c>
      <c r="B7370">
        <v>308.69000244140602</v>
      </c>
    </row>
    <row r="7371" spans="1:2" x14ac:dyDescent="0.25">
      <c r="A7371" s="5">
        <v>32623</v>
      </c>
      <c r="B7371">
        <v>306.75</v>
      </c>
    </row>
    <row r="7372" spans="1:2" x14ac:dyDescent="0.25">
      <c r="A7372" s="5">
        <v>32624</v>
      </c>
      <c r="B7372">
        <v>306.92999267578102</v>
      </c>
    </row>
    <row r="7373" spans="1:2" x14ac:dyDescent="0.25">
      <c r="A7373" s="5">
        <v>32625</v>
      </c>
      <c r="B7373">
        <v>309.57998657226602</v>
      </c>
    </row>
    <row r="7374" spans="1:2" x14ac:dyDescent="0.25">
      <c r="A7374" s="5">
        <v>32626</v>
      </c>
      <c r="B7374">
        <v>309.64001464843801</v>
      </c>
    </row>
    <row r="7375" spans="1:2" x14ac:dyDescent="0.25">
      <c r="A7375" s="5">
        <v>32629</v>
      </c>
      <c r="B7375">
        <v>309.11999511718801</v>
      </c>
    </row>
    <row r="7376" spans="1:2" x14ac:dyDescent="0.25">
      <c r="A7376" s="5">
        <v>32630</v>
      </c>
      <c r="B7376">
        <v>308.11999511718801</v>
      </c>
    </row>
    <row r="7377" spans="1:2" x14ac:dyDescent="0.25">
      <c r="A7377" s="5">
        <v>32631</v>
      </c>
      <c r="B7377">
        <v>308.16000366210898</v>
      </c>
    </row>
    <row r="7378" spans="1:2" x14ac:dyDescent="0.25">
      <c r="A7378" s="5">
        <v>32632</v>
      </c>
      <c r="B7378">
        <v>307.76998901367199</v>
      </c>
    </row>
    <row r="7379" spans="1:2" x14ac:dyDescent="0.25">
      <c r="A7379" s="5">
        <v>32633</v>
      </c>
      <c r="B7379">
        <v>307.60998535156199</v>
      </c>
    </row>
    <row r="7380" spans="1:2" x14ac:dyDescent="0.25">
      <c r="A7380" s="5">
        <v>32636</v>
      </c>
      <c r="B7380">
        <v>306</v>
      </c>
    </row>
    <row r="7381" spans="1:2" x14ac:dyDescent="0.25">
      <c r="A7381" s="5">
        <v>32637</v>
      </c>
      <c r="B7381">
        <v>305.19000244140602</v>
      </c>
    </row>
    <row r="7382" spans="1:2" x14ac:dyDescent="0.25">
      <c r="A7382" s="5">
        <v>32638</v>
      </c>
      <c r="B7382">
        <v>305.79998779296898</v>
      </c>
    </row>
    <row r="7383" spans="1:2" x14ac:dyDescent="0.25">
      <c r="A7383" s="5">
        <v>32639</v>
      </c>
      <c r="B7383">
        <v>306.95001220703102</v>
      </c>
    </row>
    <row r="7384" spans="1:2" x14ac:dyDescent="0.25">
      <c r="A7384" s="5">
        <v>32640</v>
      </c>
      <c r="B7384">
        <v>313.83999633789102</v>
      </c>
    </row>
    <row r="7385" spans="1:2" x14ac:dyDescent="0.25">
      <c r="A7385" s="5">
        <v>32643</v>
      </c>
      <c r="B7385">
        <v>316.16000366210898</v>
      </c>
    </row>
    <row r="7386" spans="1:2" x14ac:dyDescent="0.25">
      <c r="A7386" s="5">
        <v>32644</v>
      </c>
      <c r="B7386">
        <v>315.27999877929699</v>
      </c>
    </row>
    <row r="7387" spans="1:2" x14ac:dyDescent="0.25">
      <c r="A7387" s="5">
        <v>32645</v>
      </c>
      <c r="B7387">
        <v>317.48001098632801</v>
      </c>
    </row>
    <row r="7388" spans="1:2" x14ac:dyDescent="0.25">
      <c r="A7388" s="5">
        <v>32646</v>
      </c>
      <c r="B7388">
        <v>317.97000122070301</v>
      </c>
    </row>
    <row r="7389" spans="1:2" x14ac:dyDescent="0.25">
      <c r="A7389" s="5">
        <v>32647</v>
      </c>
      <c r="B7389">
        <v>321.239990234375</v>
      </c>
    </row>
    <row r="7390" spans="1:2" x14ac:dyDescent="0.25">
      <c r="A7390" s="5">
        <v>32650</v>
      </c>
      <c r="B7390">
        <v>321.98001098632801</v>
      </c>
    </row>
    <row r="7391" spans="1:2" x14ac:dyDescent="0.25">
      <c r="A7391" s="5">
        <v>32651</v>
      </c>
      <c r="B7391">
        <v>318.32000732421898</v>
      </c>
    </row>
    <row r="7392" spans="1:2" x14ac:dyDescent="0.25">
      <c r="A7392" s="5">
        <v>32652</v>
      </c>
      <c r="B7392">
        <v>319.14001464843801</v>
      </c>
    </row>
    <row r="7393" spans="1:2" x14ac:dyDescent="0.25">
      <c r="A7393" s="5">
        <v>32653</v>
      </c>
      <c r="B7393">
        <v>319.17001342773398</v>
      </c>
    </row>
    <row r="7394" spans="1:2" x14ac:dyDescent="0.25">
      <c r="A7394" s="5">
        <v>32654</v>
      </c>
      <c r="B7394">
        <v>321.58999633789102</v>
      </c>
    </row>
    <row r="7395" spans="1:2" x14ac:dyDescent="0.25">
      <c r="A7395" s="5">
        <v>32658</v>
      </c>
      <c r="B7395">
        <v>319.04998779296898</v>
      </c>
    </row>
    <row r="7396" spans="1:2" x14ac:dyDescent="0.25">
      <c r="A7396" s="5">
        <v>32659</v>
      </c>
      <c r="B7396">
        <v>320.51998901367199</v>
      </c>
    </row>
    <row r="7397" spans="1:2" x14ac:dyDescent="0.25">
      <c r="A7397" s="5">
        <v>32660</v>
      </c>
      <c r="B7397">
        <v>321.97000122070301</v>
      </c>
    </row>
    <row r="7398" spans="1:2" x14ac:dyDescent="0.25">
      <c r="A7398" s="5">
        <v>32661</v>
      </c>
      <c r="B7398">
        <v>325.51998901367199</v>
      </c>
    </row>
    <row r="7399" spans="1:2" x14ac:dyDescent="0.25">
      <c r="A7399" s="5">
        <v>32664</v>
      </c>
      <c r="B7399">
        <v>322.02999877929699</v>
      </c>
    </row>
    <row r="7400" spans="1:2" x14ac:dyDescent="0.25">
      <c r="A7400" s="5">
        <v>32665</v>
      </c>
      <c r="B7400">
        <v>324.239990234375</v>
      </c>
    </row>
    <row r="7401" spans="1:2" x14ac:dyDescent="0.25">
      <c r="A7401" s="5">
        <v>32666</v>
      </c>
      <c r="B7401">
        <v>326.95001220703102</v>
      </c>
    </row>
    <row r="7402" spans="1:2" x14ac:dyDescent="0.25">
      <c r="A7402" s="5">
        <v>32667</v>
      </c>
      <c r="B7402">
        <v>326.75</v>
      </c>
    </row>
    <row r="7403" spans="1:2" x14ac:dyDescent="0.25">
      <c r="A7403" s="5">
        <v>32668</v>
      </c>
      <c r="B7403">
        <v>326.69000244140602</v>
      </c>
    </row>
    <row r="7404" spans="1:2" x14ac:dyDescent="0.25">
      <c r="A7404" s="5">
        <v>32671</v>
      </c>
      <c r="B7404">
        <v>326.239990234375</v>
      </c>
    </row>
    <row r="7405" spans="1:2" x14ac:dyDescent="0.25">
      <c r="A7405" s="5">
        <v>32672</v>
      </c>
      <c r="B7405">
        <v>323.91000366210898</v>
      </c>
    </row>
    <row r="7406" spans="1:2" x14ac:dyDescent="0.25">
      <c r="A7406" s="5">
        <v>32673</v>
      </c>
      <c r="B7406">
        <v>323.82998657226602</v>
      </c>
    </row>
    <row r="7407" spans="1:2" x14ac:dyDescent="0.25">
      <c r="A7407" s="5">
        <v>32674</v>
      </c>
      <c r="B7407">
        <v>320.07998657226602</v>
      </c>
    </row>
    <row r="7408" spans="1:2" x14ac:dyDescent="0.25">
      <c r="A7408" s="5">
        <v>32675</v>
      </c>
      <c r="B7408">
        <v>321.35000610351602</v>
      </c>
    </row>
    <row r="7409" spans="1:2" x14ac:dyDescent="0.25">
      <c r="A7409" s="5">
        <v>32678</v>
      </c>
      <c r="B7409">
        <v>321.89001464843801</v>
      </c>
    </row>
    <row r="7410" spans="1:2" x14ac:dyDescent="0.25">
      <c r="A7410" s="5">
        <v>32679</v>
      </c>
      <c r="B7410">
        <v>321.25</v>
      </c>
    </row>
    <row r="7411" spans="1:2" x14ac:dyDescent="0.25">
      <c r="A7411" s="5">
        <v>32680</v>
      </c>
      <c r="B7411">
        <v>320.48001098632801</v>
      </c>
    </row>
    <row r="7412" spans="1:2" x14ac:dyDescent="0.25">
      <c r="A7412" s="5">
        <v>32681</v>
      </c>
      <c r="B7412">
        <v>322.32000732421898</v>
      </c>
    </row>
    <row r="7413" spans="1:2" x14ac:dyDescent="0.25">
      <c r="A7413" s="5">
        <v>32682</v>
      </c>
      <c r="B7413">
        <v>328</v>
      </c>
    </row>
    <row r="7414" spans="1:2" x14ac:dyDescent="0.25">
      <c r="A7414" s="5">
        <v>32685</v>
      </c>
      <c r="B7414">
        <v>326.60000610351602</v>
      </c>
    </row>
    <row r="7415" spans="1:2" x14ac:dyDescent="0.25">
      <c r="A7415" s="5">
        <v>32686</v>
      </c>
      <c r="B7415">
        <v>328.44000244140602</v>
      </c>
    </row>
    <row r="7416" spans="1:2" x14ac:dyDescent="0.25">
      <c r="A7416" s="5">
        <v>32687</v>
      </c>
      <c r="B7416">
        <v>325.80999755859398</v>
      </c>
    </row>
    <row r="7417" spans="1:2" x14ac:dyDescent="0.25">
      <c r="A7417" s="5">
        <v>32688</v>
      </c>
      <c r="B7417">
        <v>319.67999267578102</v>
      </c>
    </row>
    <row r="7418" spans="1:2" x14ac:dyDescent="0.25">
      <c r="A7418" s="5">
        <v>32689</v>
      </c>
      <c r="B7418">
        <v>317.98001098632801</v>
      </c>
    </row>
    <row r="7419" spans="1:2" x14ac:dyDescent="0.25">
      <c r="A7419" s="5">
        <v>32692</v>
      </c>
      <c r="B7419">
        <v>319.23001098632801</v>
      </c>
    </row>
    <row r="7420" spans="1:2" x14ac:dyDescent="0.25">
      <c r="A7420" s="5">
        <v>32694</v>
      </c>
      <c r="B7420">
        <v>320.64001464843801</v>
      </c>
    </row>
    <row r="7421" spans="1:2" x14ac:dyDescent="0.25">
      <c r="A7421" s="5">
        <v>32695</v>
      </c>
      <c r="B7421">
        <v>321.54998779296898</v>
      </c>
    </row>
    <row r="7422" spans="1:2" x14ac:dyDescent="0.25">
      <c r="A7422" s="5">
        <v>32696</v>
      </c>
      <c r="B7422">
        <v>324.91000366210898</v>
      </c>
    </row>
    <row r="7423" spans="1:2" x14ac:dyDescent="0.25">
      <c r="A7423" s="5">
        <v>32699</v>
      </c>
      <c r="B7423">
        <v>327.07000732421898</v>
      </c>
    </row>
    <row r="7424" spans="1:2" x14ac:dyDescent="0.25">
      <c r="A7424" s="5">
        <v>32700</v>
      </c>
      <c r="B7424">
        <v>328.77999877929699</v>
      </c>
    </row>
    <row r="7425" spans="1:2" x14ac:dyDescent="0.25">
      <c r="A7425" s="5">
        <v>32701</v>
      </c>
      <c r="B7425">
        <v>329.80999755859398</v>
      </c>
    </row>
    <row r="7426" spans="1:2" x14ac:dyDescent="0.25">
      <c r="A7426" s="5">
        <v>32702</v>
      </c>
      <c r="B7426">
        <v>329.95001220703102</v>
      </c>
    </row>
    <row r="7427" spans="1:2" x14ac:dyDescent="0.25">
      <c r="A7427" s="5">
        <v>32703</v>
      </c>
      <c r="B7427">
        <v>331.83999633789102</v>
      </c>
    </row>
    <row r="7428" spans="1:2" x14ac:dyDescent="0.25">
      <c r="A7428" s="5">
        <v>32706</v>
      </c>
      <c r="B7428">
        <v>332.44000244140602</v>
      </c>
    </row>
    <row r="7429" spans="1:2" x14ac:dyDescent="0.25">
      <c r="A7429" s="5">
        <v>32707</v>
      </c>
      <c r="B7429">
        <v>331.35000610351602</v>
      </c>
    </row>
    <row r="7430" spans="1:2" x14ac:dyDescent="0.25">
      <c r="A7430" s="5">
        <v>32708</v>
      </c>
      <c r="B7430">
        <v>335.73001098632801</v>
      </c>
    </row>
    <row r="7431" spans="1:2" x14ac:dyDescent="0.25">
      <c r="A7431" s="5">
        <v>32709</v>
      </c>
      <c r="B7431">
        <v>333.510009765625</v>
      </c>
    </row>
    <row r="7432" spans="1:2" x14ac:dyDescent="0.25">
      <c r="A7432" s="5">
        <v>32710</v>
      </c>
      <c r="B7432">
        <v>335.89999389648398</v>
      </c>
    </row>
    <row r="7433" spans="1:2" x14ac:dyDescent="0.25">
      <c r="A7433" s="5">
        <v>32713</v>
      </c>
      <c r="B7433">
        <v>333.67001342773398</v>
      </c>
    </row>
    <row r="7434" spans="1:2" x14ac:dyDescent="0.25">
      <c r="A7434" s="5">
        <v>32714</v>
      </c>
      <c r="B7434">
        <v>333.88000488281199</v>
      </c>
    </row>
    <row r="7435" spans="1:2" x14ac:dyDescent="0.25">
      <c r="A7435" s="5">
        <v>32715</v>
      </c>
      <c r="B7435">
        <v>338.04998779296898</v>
      </c>
    </row>
    <row r="7436" spans="1:2" x14ac:dyDescent="0.25">
      <c r="A7436" s="5">
        <v>32716</v>
      </c>
      <c r="B7436">
        <v>341.989990234375</v>
      </c>
    </row>
    <row r="7437" spans="1:2" x14ac:dyDescent="0.25">
      <c r="A7437" s="5">
        <v>32717</v>
      </c>
      <c r="B7437">
        <v>342.14999389648398</v>
      </c>
    </row>
    <row r="7438" spans="1:2" x14ac:dyDescent="0.25">
      <c r="A7438" s="5">
        <v>32720</v>
      </c>
      <c r="B7438">
        <v>346.07998657226602</v>
      </c>
    </row>
    <row r="7439" spans="1:2" x14ac:dyDescent="0.25">
      <c r="A7439" s="5">
        <v>32721</v>
      </c>
      <c r="B7439">
        <v>343.75</v>
      </c>
    </row>
    <row r="7440" spans="1:2" x14ac:dyDescent="0.25">
      <c r="A7440" s="5">
        <v>32722</v>
      </c>
      <c r="B7440">
        <v>344.33999633789102</v>
      </c>
    </row>
    <row r="7441" spans="1:2" x14ac:dyDescent="0.25">
      <c r="A7441" s="5">
        <v>32723</v>
      </c>
      <c r="B7441">
        <v>344.739990234375</v>
      </c>
    </row>
    <row r="7442" spans="1:2" x14ac:dyDescent="0.25">
      <c r="A7442" s="5">
        <v>32724</v>
      </c>
      <c r="B7442">
        <v>343.92001342773398</v>
      </c>
    </row>
    <row r="7443" spans="1:2" x14ac:dyDescent="0.25">
      <c r="A7443" s="5">
        <v>32727</v>
      </c>
      <c r="B7443">
        <v>349.41000366210898</v>
      </c>
    </row>
    <row r="7444" spans="1:2" x14ac:dyDescent="0.25">
      <c r="A7444" s="5">
        <v>32728</v>
      </c>
      <c r="B7444">
        <v>349.35000610351602</v>
      </c>
    </row>
    <row r="7445" spans="1:2" x14ac:dyDescent="0.25">
      <c r="A7445" s="5">
        <v>32729</v>
      </c>
      <c r="B7445">
        <v>346.94000244140602</v>
      </c>
    </row>
    <row r="7446" spans="1:2" x14ac:dyDescent="0.25">
      <c r="A7446" s="5">
        <v>32730</v>
      </c>
      <c r="B7446">
        <v>348.25</v>
      </c>
    </row>
    <row r="7447" spans="1:2" x14ac:dyDescent="0.25">
      <c r="A7447" s="5">
        <v>32731</v>
      </c>
      <c r="B7447">
        <v>344.739990234375</v>
      </c>
    </row>
    <row r="7448" spans="1:2" x14ac:dyDescent="0.25">
      <c r="A7448" s="5">
        <v>32734</v>
      </c>
      <c r="B7448">
        <v>343.05999755859398</v>
      </c>
    </row>
    <row r="7449" spans="1:2" x14ac:dyDescent="0.25">
      <c r="A7449" s="5">
        <v>32735</v>
      </c>
      <c r="B7449">
        <v>344.70999145507801</v>
      </c>
    </row>
    <row r="7450" spans="1:2" x14ac:dyDescent="0.25">
      <c r="A7450" s="5">
        <v>32736</v>
      </c>
      <c r="B7450">
        <v>345.66000366210898</v>
      </c>
    </row>
    <row r="7451" spans="1:2" x14ac:dyDescent="0.25">
      <c r="A7451" s="5">
        <v>32737</v>
      </c>
      <c r="B7451">
        <v>344.45001220703102</v>
      </c>
    </row>
    <row r="7452" spans="1:2" x14ac:dyDescent="0.25">
      <c r="A7452" s="5">
        <v>32738</v>
      </c>
      <c r="B7452">
        <v>346.02999877929699</v>
      </c>
    </row>
    <row r="7453" spans="1:2" x14ac:dyDescent="0.25">
      <c r="A7453" s="5">
        <v>32741</v>
      </c>
      <c r="B7453">
        <v>340.67001342773398</v>
      </c>
    </row>
    <row r="7454" spans="1:2" x14ac:dyDescent="0.25">
      <c r="A7454" s="5">
        <v>32742</v>
      </c>
      <c r="B7454">
        <v>341.19000244140602</v>
      </c>
    </row>
    <row r="7455" spans="1:2" x14ac:dyDescent="0.25">
      <c r="A7455" s="5">
        <v>32743</v>
      </c>
      <c r="B7455">
        <v>344.70001220703102</v>
      </c>
    </row>
    <row r="7456" spans="1:2" x14ac:dyDescent="0.25">
      <c r="A7456" s="5">
        <v>32744</v>
      </c>
      <c r="B7456">
        <v>351.51998901367199</v>
      </c>
    </row>
    <row r="7457" spans="1:2" x14ac:dyDescent="0.25">
      <c r="A7457" s="5">
        <v>32745</v>
      </c>
      <c r="B7457">
        <v>350.51998901367199</v>
      </c>
    </row>
    <row r="7458" spans="1:2" x14ac:dyDescent="0.25">
      <c r="A7458" s="5">
        <v>32748</v>
      </c>
      <c r="B7458">
        <v>352.08999633789102</v>
      </c>
    </row>
    <row r="7459" spans="1:2" x14ac:dyDescent="0.25">
      <c r="A7459" s="5">
        <v>32749</v>
      </c>
      <c r="B7459">
        <v>349.83999633789102</v>
      </c>
    </row>
    <row r="7460" spans="1:2" x14ac:dyDescent="0.25">
      <c r="A7460" s="5">
        <v>32750</v>
      </c>
      <c r="B7460">
        <v>350.64999389648398</v>
      </c>
    </row>
    <row r="7461" spans="1:2" x14ac:dyDescent="0.25">
      <c r="A7461" s="5">
        <v>32751</v>
      </c>
      <c r="B7461">
        <v>351.45001220703102</v>
      </c>
    </row>
    <row r="7462" spans="1:2" x14ac:dyDescent="0.25">
      <c r="A7462" s="5">
        <v>32752</v>
      </c>
      <c r="B7462">
        <v>353.73001098632801</v>
      </c>
    </row>
    <row r="7463" spans="1:2" x14ac:dyDescent="0.25">
      <c r="A7463" s="5">
        <v>32756</v>
      </c>
      <c r="B7463">
        <v>352.55999755859398</v>
      </c>
    </row>
    <row r="7464" spans="1:2" x14ac:dyDescent="0.25">
      <c r="A7464" s="5">
        <v>32757</v>
      </c>
      <c r="B7464">
        <v>349.239990234375</v>
      </c>
    </row>
    <row r="7465" spans="1:2" x14ac:dyDescent="0.25">
      <c r="A7465" s="5">
        <v>32758</v>
      </c>
      <c r="B7465">
        <v>348.35000610351602</v>
      </c>
    </row>
    <row r="7466" spans="1:2" x14ac:dyDescent="0.25">
      <c r="A7466" s="5">
        <v>32759</v>
      </c>
      <c r="B7466">
        <v>348.760009765625</v>
      </c>
    </row>
    <row r="7467" spans="1:2" x14ac:dyDescent="0.25">
      <c r="A7467" s="5">
        <v>32762</v>
      </c>
      <c r="B7467">
        <v>347.66000366210898</v>
      </c>
    </row>
    <row r="7468" spans="1:2" x14ac:dyDescent="0.25">
      <c r="A7468" s="5">
        <v>32763</v>
      </c>
      <c r="B7468">
        <v>348.70001220703102</v>
      </c>
    </row>
    <row r="7469" spans="1:2" x14ac:dyDescent="0.25">
      <c r="A7469" s="5">
        <v>32764</v>
      </c>
      <c r="B7469">
        <v>345.45999145507801</v>
      </c>
    </row>
    <row r="7470" spans="1:2" x14ac:dyDescent="0.25">
      <c r="A7470" s="5">
        <v>32765</v>
      </c>
      <c r="B7470">
        <v>343.16000366210898</v>
      </c>
    </row>
    <row r="7471" spans="1:2" x14ac:dyDescent="0.25">
      <c r="A7471" s="5">
        <v>32766</v>
      </c>
      <c r="B7471">
        <v>345.05999755859398</v>
      </c>
    </row>
    <row r="7472" spans="1:2" x14ac:dyDescent="0.25">
      <c r="A7472" s="5">
        <v>32769</v>
      </c>
      <c r="B7472">
        <v>346.73001098632801</v>
      </c>
    </row>
    <row r="7473" spans="1:2" x14ac:dyDescent="0.25">
      <c r="A7473" s="5">
        <v>32770</v>
      </c>
      <c r="B7473">
        <v>346.54998779296898</v>
      </c>
    </row>
    <row r="7474" spans="1:2" x14ac:dyDescent="0.25">
      <c r="A7474" s="5">
        <v>32771</v>
      </c>
      <c r="B7474">
        <v>346.47000122070301</v>
      </c>
    </row>
    <row r="7475" spans="1:2" x14ac:dyDescent="0.25">
      <c r="A7475" s="5">
        <v>32772</v>
      </c>
      <c r="B7475">
        <v>345.70001220703102</v>
      </c>
    </row>
    <row r="7476" spans="1:2" x14ac:dyDescent="0.25">
      <c r="A7476" s="5">
        <v>32773</v>
      </c>
      <c r="B7476">
        <v>347.04998779296898</v>
      </c>
    </row>
    <row r="7477" spans="1:2" x14ac:dyDescent="0.25">
      <c r="A7477" s="5">
        <v>32776</v>
      </c>
      <c r="B7477">
        <v>344.23001098632801</v>
      </c>
    </row>
    <row r="7478" spans="1:2" x14ac:dyDescent="0.25">
      <c r="A7478" s="5">
        <v>32777</v>
      </c>
      <c r="B7478">
        <v>344.32998657226602</v>
      </c>
    </row>
    <row r="7479" spans="1:2" x14ac:dyDescent="0.25">
      <c r="A7479" s="5">
        <v>32778</v>
      </c>
      <c r="B7479">
        <v>345.10000610351602</v>
      </c>
    </row>
    <row r="7480" spans="1:2" x14ac:dyDescent="0.25">
      <c r="A7480" s="5">
        <v>32779</v>
      </c>
      <c r="B7480">
        <v>348.60000610351602</v>
      </c>
    </row>
    <row r="7481" spans="1:2" x14ac:dyDescent="0.25">
      <c r="A7481" s="5">
        <v>32780</v>
      </c>
      <c r="B7481">
        <v>349.14999389648398</v>
      </c>
    </row>
    <row r="7482" spans="1:2" x14ac:dyDescent="0.25">
      <c r="A7482" s="5">
        <v>32783</v>
      </c>
      <c r="B7482">
        <v>350.86999511718801</v>
      </c>
    </row>
    <row r="7483" spans="1:2" x14ac:dyDescent="0.25">
      <c r="A7483" s="5">
        <v>32784</v>
      </c>
      <c r="B7483">
        <v>354.70999145507801</v>
      </c>
    </row>
    <row r="7484" spans="1:2" x14ac:dyDescent="0.25">
      <c r="A7484" s="5">
        <v>32785</v>
      </c>
      <c r="B7484">
        <v>356.94000244140602</v>
      </c>
    </row>
    <row r="7485" spans="1:2" x14ac:dyDescent="0.25">
      <c r="A7485" s="5">
        <v>32786</v>
      </c>
      <c r="B7485">
        <v>356.97000122070301</v>
      </c>
    </row>
    <row r="7486" spans="1:2" x14ac:dyDescent="0.25">
      <c r="A7486" s="5">
        <v>32787</v>
      </c>
      <c r="B7486">
        <v>358.77999877929699</v>
      </c>
    </row>
    <row r="7487" spans="1:2" x14ac:dyDescent="0.25">
      <c r="A7487" s="5">
        <v>32790</v>
      </c>
      <c r="B7487">
        <v>359.79998779296898</v>
      </c>
    </row>
    <row r="7488" spans="1:2" x14ac:dyDescent="0.25">
      <c r="A7488" s="5">
        <v>32791</v>
      </c>
      <c r="B7488">
        <v>359.13000488281199</v>
      </c>
    </row>
    <row r="7489" spans="1:2" x14ac:dyDescent="0.25">
      <c r="A7489" s="5">
        <v>32792</v>
      </c>
      <c r="B7489">
        <v>356.989990234375</v>
      </c>
    </row>
    <row r="7490" spans="1:2" x14ac:dyDescent="0.25">
      <c r="A7490" s="5">
        <v>32793</v>
      </c>
      <c r="B7490">
        <v>355.39001464843801</v>
      </c>
    </row>
    <row r="7491" spans="1:2" x14ac:dyDescent="0.25">
      <c r="A7491" s="5">
        <v>32794</v>
      </c>
      <c r="B7491">
        <v>333.64999389648398</v>
      </c>
    </row>
    <row r="7492" spans="1:2" x14ac:dyDescent="0.25">
      <c r="A7492" s="5">
        <v>32797</v>
      </c>
      <c r="B7492">
        <v>342.85000610351602</v>
      </c>
    </row>
    <row r="7493" spans="1:2" x14ac:dyDescent="0.25">
      <c r="A7493" s="5">
        <v>32798</v>
      </c>
      <c r="B7493">
        <v>341.16000366210898</v>
      </c>
    </row>
    <row r="7494" spans="1:2" x14ac:dyDescent="0.25">
      <c r="A7494" s="5">
        <v>32799</v>
      </c>
      <c r="B7494">
        <v>341.760009765625</v>
      </c>
    </row>
    <row r="7495" spans="1:2" x14ac:dyDescent="0.25">
      <c r="A7495" s="5">
        <v>32800</v>
      </c>
      <c r="B7495">
        <v>347.13000488281199</v>
      </c>
    </row>
    <row r="7496" spans="1:2" x14ac:dyDescent="0.25">
      <c r="A7496" s="5">
        <v>32801</v>
      </c>
      <c r="B7496">
        <v>347.16000366210898</v>
      </c>
    </row>
    <row r="7497" spans="1:2" x14ac:dyDescent="0.25">
      <c r="A7497" s="5">
        <v>32804</v>
      </c>
      <c r="B7497">
        <v>344.82998657226602</v>
      </c>
    </row>
    <row r="7498" spans="1:2" x14ac:dyDescent="0.25">
      <c r="A7498" s="5">
        <v>32805</v>
      </c>
      <c r="B7498">
        <v>343.70001220703102</v>
      </c>
    </row>
    <row r="7499" spans="1:2" x14ac:dyDescent="0.25">
      <c r="A7499" s="5">
        <v>32806</v>
      </c>
      <c r="B7499">
        <v>342.5</v>
      </c>
    </row>
    <row r="7500" spans="1:2" x14ac:dyDescent="0.25">
      <c r="A7500" s="5">
        <v>32807</v>
      </c>
      <c r="B7500">
        <v>337.92999267578102</v>
      </c>
    </row>
    <row r="7501" spans="1:2" x14ac:dyDescent="0.25">
      <c r="A7501" s="5">
        <v>32808</v>
      </c>
      <c r="B7501">
        <v>335.05999755859398</v>
      </c>
    </row>
    <row r="7502" spans="1:2" x14ac:dyDescent="0.25">
      <c r="A7502" s="5">
        <v>32811</v>
      </c>
      <c r="B7502">
        <v>335.07000732421898</v>
      </c>
    </row>
    <row r="7503" spans="1:2" x14ac:dyDescent="0.25">
      <c r="A7503" s="5">
        <v>32812</v>
      </c>
      <c r="B7503">
        <v>340.35998535156199</v>
      </c>
    </row>
    <row r="7504" spans="1:2" x14ac:dyDescent="0.25">
      <c r="A7504" s="5">
        <v>32813</v>
      </c>
      <c r="B7504">
        <v>341.20001220703102</v>
      </c>
    </row>
    <row r="7505" spans="1:2" x14ac:dyDescent="0.25">
      <c r="A7505" s="5">
        <v>32814</v>
      </c>
      <c r="B7505">
        <v>338.48001098632801</v>
      </c>
    </row>
    <row r="7506" spans="1:2" x14ac:dyDescent="0.25">
      <c r="A7506" s="5">
        <v>32815</v>
      </c>
      <c r="B7506">
        <v>337.61999511718801</v>
      </c>
    </row>
    <row r="7507" spans="1:2" x14ac:dyDescent="0.25">
      <c r="A7507" s="5">
        <v>32818</v>
      </c>
      <c r="B7507">
        <v>332.60998535156199</v>
      </c>
    </row>
    <row r="7508" spans="1:2" x14ac:dyDescent="0.25">
      <c r="A7508" s="5">
        <v>32819</v>
      </c>
      <c r="B7508">
        <v>334.80999755859398</v>
      </c>
    </row>
    <row r="7509" spans="1:2" x14ac:dyDescent="0.25">
      <c r="A7509" s="5">
        <v>32820</v>
      </c>
      <c r="B7509">
        <v>338.14999389648398</v>
      </c>
    </row>
    <row r="7510" spans="1:2" x14ac:dyDescent="0.25">
      <c r="A7510" s="5">
        <v>32821</v>
      </c>
      <c r="B7510">
        <v>336.57000732421898</v>
      </c>
    </row>
    <row r="7511" spans="1:2" x14ac:dyDescent="0.25">
      <c r="A7511" s="5">
        <v>32822</v>
      </c>
      <c r="B7511">
        <v>339.10000610351602</v>
      </c>
    </row>
    <row r="7512" spans="1:2" x14ac:dyDescent="0.25">
      <c r="A7512" s="5">
        <v>32825</v>
      </c>
      <c r="B7512">
        <v>339.54998779296898</v>
      </c>
    </row>
    <row r="7513" spans="1:2" x14ac:dyDescent="0.25">
      <c r="A7513" s="5">
        <v>32826</v>
      </c>
      <c r="B7513">
        <v>337.989990234375</v>
      </c>
    </row>
    <row r="7514" spans="1:2" x14ac:dyDescent="0.25">
      <c r="A7514" s="5">
        <v>32827</v>
      </c>
      <c r="B7514">
        <v>340.54000854492199</v>
      </c>
    </row>
    <row r="7515" spans="1:2" x14ac:dyDescent="0.25">
      <c r="A7515" s="5">
        <v>32828</v>
      </c>
      <c r="B7515">
        <v>340.57998657226602</v>
      </c>
    </row>
    <row r="7516" spans="1:2" x14ac:dyDescent="0.25">
      <c r="A7516" s="5">
        <v>32829</v>
      </c>
      <c r="B7516">
        <v>341.60998535156199</v>
      </c>
    </row>
    <row r="7517" spans="1:2" x14ac:dyDescent="0.25">
      <c r="A7517" s="5">
        <v>32832</v>
      </c>
      <c r="B7517">
        <v>339.35000610351602</v>
      </c>
    </row>
    <row r="7518" spans="1:2" x14ac:dyDescent="0.25">
      <c r="A7518" s="5">
        <v>32833</v>
      </c>
      <c r="B7518">
        <v>339.58999633789102</v>
      </c>
    </row>
    <row r="7519" spans="1:2" x14ac:dyDescent="0.25">
      <c r="A7519" s="5">
        <v>32834</v>
      </c>
      <c r="B7519">
        <v>341.91000366210898</v>
      </c>
    </row>
    <row r="7520" spans="1:2" x14ac:dyDescent="0.25">
      <c r="A7520" s="5">
        <v>32836</v>
      </c>
      <c r="B7520">
        <v>343.97000122070301</v>
      </c>
    </row>
    <row r="7521" spans="1:2" x14ac:dyDescent="0.25">
      <c r="A7521" s="5">
        <v>32839</v>
      </c>
      <c r="B7521">
        <v>345.60998535156199</v>
      </c>
    </row>
    <row r="7522" spans="1:2" x14ac:dyDescent="0.25">
      <c r="A7522" s="5">
        <v>32840</v>
      </c>
      <c r="B7522">
        <v>345.76998901367199</v>
      </c>
    </row>
    <row r="7523" spans="1:2" x14ac:dyDescent="0.25">
      <c r="A7523" s="5">
        <v>32841</v>
      </c>
      <c r="B7523">
        <v>343.60000610351602</v>
      </c>
    </row>
    <row r="7524" spans="1:2" x14ac:dyDescent="0.25">
      <c r="A7524" s="5">
        <v>32842</v>
      </c>
      <c r="B7524">
        <v>345.989990234375</v>
      </c>
    </row>
    <row r="7525" spans="1:2" x14ac:dyDescent="0.25">
      <c r="A7525" s="5">
        <v>32843</v>
      </c>
      <c r="B7525">
        <v>350.63000488281199</v>
      </c>
    </row>
    <row r="7526" spans="1:2" x14ac:dyDescent="0.25">
      <c r="A7526" s="5">
        <v>32846</v>
      </c>
      <c r="B7526">
        <v>351.41000366210898</v>
      </c>
    </row>
    <row r="7527" spans="1:2" x14ac:dyDescent="0.25">
      <c r="A7527" s="5">
        <v>32847</v>
      </c>
      <c r="B7527">
        <v>349.57998657226602</v>
      </c>
    </row>
    <row r="7528" spans="1:2" x14ac:dyDescent="0.25">
      <c r="A7528" s="5">
        <v>32848</v>
      </c>
      <c r="B7528">
        <v>348.54998779296898</v>
      </c>
    </row>
    <row r="7529" spans="1:2" x14ac:dyDescent="0.25">
      <c r="A7529" s="5">
        <v>32849</v>
      </c>
      <c r="B7529">
        <v>347.58999633789102</v>
      </c>
    </row>
    <row r="7530" spans="1:2" x14ac:dyDescent="0.25">
      <c r="A7530" s="5">
        <v>32850</v>
      </c>
      <c r="B7530">
        <v>348.69000244140602</v>
      </c>
    </row>
    <row r="7531" spans="1:2" x14ac:dyDescent="0.25">
      <c r="A7531" s="5">
        <v>32853</v>
      </c>
      <c r="B7531">
        <v>348.55999755859398</v>
      </c>
    </row>
    <row r="7532" spans="1:2" x14ac:dyDescent="0.25">
      <c r="A7532" s="5">
        <v>32854</v>
      </c>
      <c r="B7532">
        <v>351.73001098632801</v>
      </c>
    </row>
    <row r="7533" spans="1:2" x14ac:dyDescent="0.25">
      <c r="A7533" s="5">
        <v>32855</v>
      </c>
      <c r="B7533">
        <v>352.75</v>
      </c>
    </row>
    <row r="7534" spans="1:2" x14ac:dyDescent="0.25">
      <c r="A7534" s="5">
        <v>32856</v>
      </c>
      <c r="B7534">
        <v>350.92999267578102</v>
      </c>
    </row>
    <row r="7535" spans="1:2" x14ac:dyDescent="0.25">
      <c r="A7535" s="5">
        <v>32857</v>
      </c>
      <c r="B7535">
        <v>350.14001464843801</v>
      </c>
    </row>
    <row r="7536" spans="1:2" x14ac:dyDescent="0.25">
      <c r="A7536" s="5">
        <v>32860</v>
      </c>
      <c r="B7536">
        <v>343.69000244140602</v>
      </c>
    </row>
    <row r="7537" spans="1:2" x14ac:dyDescent="0.25">
      <c r="A7537" s="5">
        <v>32861</v>
      </c>
      <c r="B7537">
        <v>342.45999145507801</v>
      </c>
    </row>
    <row r="7538" spans="1:2" x14ac:dyDescent="0.25">
      <c r="A7538" s="5">
        <v>32862</v>
      </c>
      <c r="B7538">
        <v>342.83999633789102</v>
      </c>
    </row>
    <row r="7539" spans="1:2" x14ac:dyDescent="0.25">
      <c r="A7539" s="5">
        <v>32863</v>
      </c>
      <c r="B7539">
        <v>344.77999877929699</v>
      </c>
    </row>
    <row r="7540" spans="1:2" x14ac:dyDescent="0.25">
      <c r="A7540" s="5">
        <v>32864</v>
      </c>
      <c r="B7540">
        <v>347.42001342773398</v>
      </c>
    </row>
    <row r="7541" spans="1:2" x14ac:dyDescent="0.25">
      <c r="A7541" s="5">
        <v>32868</v>
      </c>
      <c r="B7541">
        <v>346.80999755859398</v>
      </c>
    </row>
    <row r="7542" spans="1:2" x14ac:dyDescent="0.25">
      <c r="A7542" s="5">
        <v>32869</v>
      </c>
      <c r="B7542">
        <v>348.80999755859398</v>
      </c>
    </row>
    <row r="7543" spans="1:2" x14ac:dyDescent="0.25">
      <c r="A7543" s="5">
        <v>32870</v>
      </c>
      <c r="B7543">
        <v>350.67001342773398</v>
      </c>
    </row>
    <row r="7544" spans="1:2" x14ac:dyDescent="0.25">
      <c r="A7544" s="5">
        <v>32871</v>
      </c>
      <c r="B7544">
        <v>353.39999389648398</v>
      </c>
    </row>
    <row r="7545" spans="1:2" x14ac:dyDescent="0.25">
      <c r="A7545" s="5">
        <v>32875</v>
      </c>
      <c r="B7545">
        <v>359.69000244140602</v>
      </c>
    </row>
    <row r="7546" spans="1:2" x14ac:dyDescent="0.25">
      <c r="A7546" s="5">
        <v>32876</v>
      </c>
      <c r="B7546">
        <v>358.760009765625</v>
      </c>
    </row>
    <row r="7547" spans="1:2" x14ac:dyDescent="0.25">
      <c r="A7547" s="5">
        <v>32877</v>
      </c>
      <c r="B7547">
        <v>355.67001342773398</v>
      </c>
    </row>
    <row r="7548" spans="1:2" x14ac:dyDescent="0.25">
      <c r="A7548" s="5">
        <v>32878</v>
      </c>
      <c r="B7548">
        <v>352.20001220703102</v>
      </c>
    </row>
    <row r="7549" spans="1:2" x14ac:dyDescent="0.25">
      <c r="A7549" s="5">
        <v>32881</v>
      </c>
      <c r="B7549">
        <v>353.79000854492199</v>
      </c>
    </row>
    <row r="7550" spans="1:2" x14ac:dyDescent="0.25">
      <c r="A7550" s="5">
        <v>32882</v>
      </c>
      <c r="B7550">
        <v>349.61999511718801</v>
      </c>
    </row>
    <row r="7551" spans="1:2" x14ac:dyDescent="0.25">
      <c r="A7551" s="5">
        <v>32883</v>
      </c>
      <c r="B7551">
        <v>347.30999755859398</v>
      </c>
    </row>
    <row r="7552" spans="1:2" x14ac:dyDescent="0.25">
      <c r="A7552" s="5">
        <v>32884</v>
      </c>
      <c r="B7552">
        <v>348.52999877929699</v>
      </c>
    </row>
    <row r="7553" spans="1:2" x14ac:dyDescent="0.25">
      <c r="A7553" s="5">
        <v>32885</v>
      </c>
      <c r="B7553">
        <v>339.92999267578102</v>
      </c>
    </row>
    <row r="7554" spans="1:2" x14ac:dyDescent="0.25">
      <c r="A7554" s="5">
        <v>32888</v>
      </c>
      <c r="B7554">
        <v>337</v>
      </c>
    </row>
    <row r="7555" spans="1:2" x14ac:dyDescent="0.25">
      <c r="A7555" s="5">
        <v>32889</v>
      </c>
      <c r="B7555">
        <v>340.75</v>
      </c>
    </row>
    <row r="7556" spans="1:2" x14ac:dyDescent="0.25">
      <c r="A7556" s="5">
        <v>32890</v>
      </c>
      <c r="B7556">
        <v>337.39999389648398</v>
      </c>
    </row>
    <row r="7557" spans="1:2" x14ac:dyDescent="0.25">
      <c r="A7557" s="5">
        <v>32891</v>
      </c>
      <c r="B7557">
        <v>338.19000244140602</v>
      </c>
    </row>
    <row r="7558" spans="1:2" x14ac:dyDescent="0.25">
      <c r="A7558" s="5">
        <v>32892</v>
      </c>
      <c r="B7558">
        <v>339.14999389648398</v>
      </c>
    </row>
    <row r="7559" spans="1:2" x14ac:dyDescent="0.25">
      <c r="A7559" s="5">
        <v>32895</v>
      </c>
      <c r="B7559">
        <v>330.38000488281199</v>
      </c>
    </row>
    <row r="7560" spans="1:2" x14ac:dyDescent="0.25">
      <c r="A7560" s="5">
        <v>32896</v>
      </c>
      <c r="B7560">
        <v>331.60998535156199</v>
      </c>
    </row>
    <row r="7561" spans="1:2" x14ac:dyDescent="0.25">
      <c r="A7561" s="5">
        <v>32897</v>
      </c>
      <c r="B7561">
        <v>330.260009765625</v>
      </c>
    </row>
    <row r="7562" spans="1:2" x14ac:dyDescent="0.25">
      <c r="A7562" s="5">
        <v>32898</v>
      </c>
      <c r="B7562">
        <v>326.07998657226602</v>
      </c>
    </row>
    <row r="7563" spans="1:2" x14ac:dyDescent="0.25">
      <c r="A7563" s="5">
        <v>32899</v>
      </c>
      <c r="B7563">
        <v>325.79998779296898</v>
      </c>
    </row>
    <row r="7564" spans="1:2" x14ac:dyDescent="0.25">
      <c r="A7564" s="5">
        <v>32902</v>
      </c>
      <c r="B7564">
        <v>325.20001220703102</v>
      </c>
    </row>
    <row r="7565" spans="1:2" x14ac:dyDescent="0.25">
      <c r="A7565" s="5">
        <v>32903</v>
      </c>
      <c r="B7565">
        <v>322.98001098632801</v>
      </c>
    </row>
    <row r="7566" spans="1:2" x14ac:dyDescent="0.25">
      <c r="A7566" s="5">
        <v>32904</v>
      </c>
      <c r="B7566">
        <v>329.07998657226602</v>
      </c>
    </row>
    <row r="7567" spans="1:2" x14ac:dyDescent="0.25">
      <c r="A7567" s="5">
        <v>32905</v>
      </c>
      <c r="B7567">
        <v>328.79000854492199</v>
      </c>
    </row>
    <row r="7568" spans="1:2" x14ac:dyDescent="0.25">
      <c r="A7568" s="5">
        <v>32906</v>
      </c>
      <c r="B7568">
        <v>330.92001342773398</v>
      </c>
    </row>
    <row r="7569" spans="1:2" x14ac:dyDescent="0.25">
      <c r="A7569" s="5">
        <v>32909</v>
      </c>
      <c r="B7569">
        <v>331.85000610351602</v>
      </c>
    </row>
    <row r="7570" spans="1:2" x14ac:dyDescent="0.25">
      <c r="A7570" s="5">
        <v>32910</v>
      </c>
      <c r="B7570">
        <v>329.66000366210898</v>
      </c>
    </row>
    <row r="7571" spans="1:2" x14ac:dyDescent="0.25">
      <c r="A7571" s="5">
        <v>32911</v>
      </c>
      <c r="B7571">
        <v>333.75</v>
      </c>
    </row>
    <row r="7572" spans="1:2" x14ac:dyDescent="0.25">
      <c r="A7572" s="5">
        <v>32912</v>
      </c>
      <c r="B7572">
        <v>332.95999145507801</v>
      </c>
    </row>
    <row r="7573" spans="1:2" x14ac:dyDescent="0.25">
      <c r="A7573" s="5">
        <v>32913</v>
      </c>
      <c r="B7573">
        <v>333.61999511718801</v>
      </c>
    </row>
    <row r="7574" spans="1:2" x14ac:dyDescent="0.25">
      <c r="A7574" s="5">
        <v>32916</v>
      </c>
      <c r="B7574">
        <v>330.07998657226602</v>
      </c>
    </row>
    <row r="7575" spans="1:2" x14ac:dyDescent="0.25">
      <c r="A7575" s="5">
        <v>32917</v>
      </c>
      <c r="B7575">
        <v>331.01998901367199</v>
      </c>
    </row>
    <row r="7576" spans="1:2" x14ac:dyDescent="0.25">
      <c r="A7576" s="5">
        <v>32918</v>
      </c>
      <c r="B7576">
        <v>332.010009765625</v>
      </c>
    </row>
    <row r="7577" spans="1:2" x14ac:dyDescent="0.25">
      <c r="A7577" s="5">
        <v>32919</v>
      </c>
      <c r="B7577">
        <v>334.89001464843801</v>
      </c>
    </row>
    <row r="7578" spans="1:2" x14ac:dyDescent="0.25">
      <c r="A7578" s="5">
        <v>32920</v>
      </c>
      <c r="B7578">
        <v>332.72000122070301</v>
      </c>
    </row>
    <row r="7579" spans="1:2" x14ac:dyDescent="0.25">
      <c r="A7579" s="5">
        <v>32924</v>
      </c>
      <c r="B7579">
        <v>327.989990234375</v>
      </c>
    </row>
    <row r="7580" spans="1:2" x14ac:dyDescent="0.25">
      <c r="A7580" s="5">
        <v>32925</v>
      </c>
      <c r="B7580">
        <v>327.67001342773398</v>
      </c>
    </row>
    <row r="7581" spans="1:2" x14ac:dyDescent="0.25">
      <c r="A7581" s="5">
        <v>32926</v>
      </c>
      <c r="B7581">
        <v>325.70001220703102</v>
      </c>
    </row>
    <row r="7582" spans="1:2" x14ac:dyDescent="0.25">
      <c r="A7582" s="5">
        <v>32927</v>
      </c>
      <c r="B7582">
        <v>324.14999389648398</v>
      </c>
    </row>
    <row r="7583" spans="1:2" x14ac:dyDescent="0.25">
      <c r="A7583" s="5">
        <v>32930</v>
      </c>
      <c r="B7583">
        <v>328.67001342773398</v>
      </c>
    </row>
    <row r="7584" spans="1:2" x14ac:dyDescent="0.25">
      <c r="A7584" s="5">
        <v>32931</v>
      </c>
      <c r="B7584">
        <v>330.260009765625</v>
      </c>
    </row>
    <row r="7585" spans="1:2" x14ac:dyDescent="0.25">
      <c r="A7585" s="5">
        <v>32932</v>
      </c>
      <c r="B7585">
        <v>331.89001464843801</v>
      </c>
    </row>
    <row r="7586" spans="1:2" x14ac:dyDescent="0.25">
      <c r="A7586" s="5">
        <v>32933</v>
      </c>
      <c r="B7586">
        <v>332.739990234375</v>
      </c>
    </row>
    <row r="7587" spans="1:2" x14ac:dyDescent="0.25">
      <c r="A7587" s="5">
        <v>32934</v>
      </c>
      <c r="B7587">
        <v>335.54000854492199</v>
      </c>
    </row>
    <row r="7588" spans="1:2" x14ac:dyDescent="0.25">
      <c r="A7588" s="5">
        <v>32937</v>
      </c>
      <c r="B7588">
        <v>333.739990234375</v>
      </c>
    </row>
    <row r="7589" spans="1:2" x14ac:dyDescent="0.25">
      <c r="A7589" s="5">
        <v>32938</v>
      </c>
      <c r="B7589">
        <v>337.92999267578102</v>
      </c>
    </row>
    <row r="7590" spans="1:2" x14ac:dyDescent="0.25">
      <c r="A7590" s="5">
        <v>32939</v>
      </c>
      <c r="B7590">
        <v>336.95001220703102</v>
      </c>
    </row>
    <row r="7591" spans="1:2" x14ac:dyDescent="0.25">
      <c r="A7591" s="5">
        <v>32940</v>
      </c>
      <c r="B7591">
        <v>340.26998901367199</v>
      </c>
    </row>
    <row r="7592" spans="1:2" x14ac:dyDescent="0.25">
      <c r="A7592" s="5">
        <v>32941</v>
      </c>
      <c r="B7592">
        <v>337.92999267578102</v>
      </c>
    </row>
    <row r="7593" spans="1:2" x14ac:dyDescent="0.25">
      <c r="A7593" s="5">
        <v>32944</v>
      </c>
      <c r="B7593">
        <v>338.67001342773398</v>
      </c>
    </row>
    <row r="7594" spans="1:2" x14ac:dyDescent="0.25">
      <c r="A7594" s="5">
        <v>32945</v>
      </c>
      <c r="B7594">
        <v>336</v>
      </c>
    </row>
    <row r="7595" spans="1:2" x14ac:dyDescent="0.25">
      <c r="A7595" s="5">
        <v>32946</v>
      </c>
      <c r="B7595">
        <v>336.86999511718801</v>
      </c>
    </row>
    <row r="7596" spans="1:2" x14ac:dyDescent="0.25">
      <c r="A7596" s="5">
        <v>32947</v>
      </c>
      <c r="B7596">
        <v>338.07000732421898</v>
      </c>
    </row>
    <row r="7597" spans="1:2" x14ac:dyDescent="0.25">
      <c r="A7597" s="5">
        <v>32948</v>
      </c>
      <c r="B7597">
        <v>341.91000366210898</v>
      </c>
    </row>
    <row r="7598" spans="1:2" x14ac:dyDescent="0.25">
      <c r="A7598" s="5">
        <v>32951</v>
      </c>
      <c r="B7598">
        <v>343.52999877929699</v>
      </c>
    </row>
    <row r="7599" spans="1:2" x14ac:dyDescent="0.25">
      <c r="A7599" s="5">
        <v>32952</v>
      </c>
      <c r="B7599">
        <v>341.57000732421898</v>
      </c>
    </row>
    <row r="7600" spans="1:2" x14ac:dyDescent="0.25">
      <c r="A7600" s="5">
        <v>32953</v>
      </c>
      <c r="B7600">
        <v>339.739990234375</v>
      </c>
    </row>
    <row r="7601" spans="1:2" x14ac:dyDescent="0.25">
      <c r="A7601" s="5">
        <v>32954</v>
      </c>
      <c r="B7601">
        <v>335.69000244140602</v>
      </c>
    </row>
    <row r="7602" spans="1:2" x14ac:dyDescent="0.25">
      <c r="A7602" s="5">
        <v>32955</v>
      </c>
      <c r="B7602">
        <v>337.22000122070301</v>
      </c>
    </row>
    <row r="7603" spans="1:2" x14ac:dyDescent="0.25">
      <c r="A7603" s="5">
        <v>32958</v>
      </c>
      <c r="B7603">
        <v>337.63000488281199</v>
      </c>
    </row>
    <row r="7604" spans="1:2" x14ac:dyDescent="0.25">
      <c r="A7604" s="5">
        <v>32959</v>
      </c>
      <c r="B7604">
        <v>341.5</v>
      </c>
    </row>
    <row r="7605" spans="1:2" x14ac:dyDescent="0.25">
      <c r="A7605" s="5">
        <v>32960</v>
      </c>
      <c r="B7605">
        <v>342</v>
      </c>
    </row>
    <row r="7606" spans="1:2" x14ac:dyDescent="0.25">
      <c r="A7606" s="5">
        <v>32961</v>
      </c>
      <c r="B7606">
        <v>340.79000854492199</v>
      </c>
    </row>
    <row r="7607" spans="1:2" x14ac:dyDescent="0.25">
      <c r="A7607" s="5">
        <v>32962</v>
      </c>
      <c r="B7607">
        <v>339.94000244140602</v>
      </c>
    </row>
    <row r="7608" spans="1:2" x14ac:dyDescent="0.25">
      <c r="A7608" s="5">
        <v>32965</v>
      </c>
      <c r="B7608">
        <v>338.70001220703102</v>
      </c>
    </row>
    <row r="7609" spans="1:2" x14ac:dyDescent="0.25">
      <c r="A7609" s="5">
        <v>32966</v>
      </c>
      <c r="B7609">
        <v>343.64001464843801</v>
      </c>
    </row>
    <row r="7610" spans="1:2" x14ac:dyDescent="0.25">
      <c r="A7610" s="5">
        <v>32967</v>
      </c>
      <c r="B7610">
        <v>341.08999633789102</v>
      </c>
    </row>
    <row r="7611" spans="1:2" x14ac:dyDescent="0.25">
      <c r="A7611" s="5">
        <v>32968</v>
      </c>
      <c r="B7611">
        <v>340.73001098632801</v>
      </c>
    </row>
    <row r="7612" spans="1:2" x14ac:dyDescent="0.25">
      <c r="A7612" s="5">
        <v>32969</v>
      </c>
      <c r="B7612">
        <v>340.07998657226602</v>
      </c>
    </row>
    <row r="7613" spans="1:2" x14ac:dyDescent="0.25">
      <c r="A7613" s="5">
        <v>32972</v>
      </c>
      <c r="B7613">
        <v>341.36999511718801</v>
      </c>
    </row>
    <row r="7614" spans="1:2" x14ac:dyDescent="0.25">
      <c r="A7614" s="5">
        <v>32973</v>
      </c>
      <c r="B7614">
        <v>342.07000732421898</v>
      </c>
    </row>
    <row r="7615" spans="1:2" x14ac:dyDescent="0.25">
      <c r="A7615" s="5">
        <v>32974</v>
      </c>
      <c r="B7615">
        <v>341.92001342773398</v>
      </c>
    </row>
    <row r="7616" spans="1:2" x14ac:dyDescent="0.25">
      <c r="A7616" s="5">
        <v>32975</v>
      </c>
      <c r="B7616">
        <v>344.33999633789102</v>
      </c>
    </row>
    <row r="7617" spans="1:2" x14ac:dyDescent="0.25">
      <c r="A7617" s="5">
        <v>32979</v>
      </c>
      <c r="B7617">
        <v>344.739990234375</v>
      </c>
    </row>
    <row r="7618" spans="1:2" x14ac:dyDescent="0.25">
      <c r="A7618" s="5">
        <v>32980</v>
      </c>
      <c r="B7618">
        <v>344.67999267578102</v>
      </c>
    </row>
    <row r="7619" spans="1:2" x14ac:dyDescent="0.25">
      <c r="A7619" s="5">
        <v>32981</v>
      </c>
      <c r="B7619">
        <v>340.72000122070301</v>
      </c>
    </row>
    <row r="7620" spans="1:2" x14ac:dyDescent="0.25">
      <c r="A7620" s="5">
        <v>32982</v>
      </c>
      <c r="B7620">
        <v>338.08999633789102</v>
      </c>
    </row>
    <row r="7621" spans="1:2" x14ac:dyDescent="0.25">
      <c r="A7621" s="5">
        <v>32983</v>
      </c>
      <c r="B7621">
        <v>335.11999511718801</v>
      </c>
    </row>
    <row r="7622" spans="1:2" x14ac:dyDescent="0.25">
      <c r="A7622" s="5">
        <v>32986</v>
      </c>
      <c r="B7622">
        <v>331.04998779296898</v>
      </c>
    </row>
    <row r="7623" spans="1:2" x14ac:dyDescent="0.25">
      <c r="A7623" s="5">
        <v>32987</v>
      </c>
      <c r="B7623">
        <v>330.35998535156199</v>
      </c>
    </row>
    <row r="7624" spans="1:2" x14ac:dyDescent="0.25">
      <c r="A7624" s="5">
        <v>32988</v>
      </c>
      <c r="B7624">
        <v>332.02999877929699</v>
      </c>
    </row>
    <row r="7625" spans="1:2" x14ac:dyDescent="0.25">
      <c r="A7625" s="5">
        <v>32989</v>
      </c>
      <c r="B7625">
        <v>332.92001342773398</v>
      </c>
    </row>
    <row r="7626" spans="1:2" x14ac:dyDescent="0.25">
      <c r="A7626" s="5">
        <v>32990</v>
      </c>
      <c r="B7626">
        <v>329.10998535156199</v>
      </c>
    </row>
    <row r="7627" spans="1:2" x14ac:dyDescent="0.25">
      <c r="A7627" s="5">
        <v>32993</v>
      </c>
      <c r="B7627">
        <v>330.79998779296898</v>
      </c>
    </row>
    <row r="7628" spans="1:2" x14ac:dyDescent="0.25">
      <c r="A7628" s="5">
        <v>32994</v>
      </c>
      <c r="B7628">
        <v>332.25</v>
      </c>
    </row>
    <row r="7629" spans="1:2" x14ac:dyDescent="0.25">
      <c r="A7629" s="5">
        <v>32995</v>
      </c>
      <c r="B7629">
        <v>334.48001098632801</v>
      </c>
    </row>
    <row r="7630" spans="1:2" x14ac:dyDescent="0.25">
      <c r="A7630" s="5">
        <v>32996</v>
      </c>
      <c r="B7630">
        <v>335.57000732421898</v>
      </c>
    </row>
    <row r="7631" spans="1:2" x14ac:dyDescent="0.25">
      <c r="A7631" s="5">
        <v>32997</v>
      </c>
      <c r="B7631">
        <v>338.39001464843801</v>
      </c>
    </row>
    <row r="7632" spans="1:2" x14ac:dyDescent="0.25">
      <c r="A7632" s="5">
        <v>33000</v>
      </c>
      <c r="B7632">
        <v>340.52999877929699</v>
      </c>
    </row>
    <row r="7633" spans="1:2" x14ac:dyDescent="0.25">
      <c r="A7633" s="5">
        <v>33001</v>
      </c>
      <c r="B7633">
        <v>342.010009765625</v>
      </c>
    </row>
    <row r="7634" spans="1:2" x14ac:dyDescent="0.25">
      <c r="A7634" s="5">
        <v>33002</v>
      </c>
      <c r="B7634">
        <v>342.85998535156199</v>
      </c>
    </row>
    <row r="7635" spans="1:2" x14ac:dyDescent="0.25">
      <c r="A7635" s="5">
        <v>33003</v>
      </c>
      <c r="B7635">
        <v>343.82000732421898</v>
      </c>
    </row>
    <row r="7636" spans="1:2" x14ac:dyDescent="0.25">
      <c r="A7636" s="5">
        <v>33004</v>
      </c>
      <c r="B7636">
        <v>352</v>
      </c>
    </row>
    <row r="7637" spans="1:2" x14ac:dyDescent="0.25">
      <c r="A7637" s="5">
        <v>33007</v>
      </c>
      <c r="B7637">
        <v>354.75</v>
      </c>
    </row>
    <row r="7638" spans="1:2" x14ac:dyDescent="0.25">
      <c r="A7638" s="5">
        <v>33008</v>
      </c>
      <c r="B7638">
        <v>354.27999877929699</v>
      </c>
    </row>
    <row r="7639" spans="1:2" x14ac:dyDescent="0.25">
      <c r="A7639" s="5">
        <v>33009</v>
      </c>
      <c r="B7639">
        <v>354</v>
      </c>
    </row>
    <row r="7640" spans="1:2" x14ac:dyDescent="0.25">
      <c r="A7640" s="5">
        <v>33010</v>
      </c>
      <c r="B7640">
        <v>354.47000122070301</v>
      </c>
    </row>
    <row r="7641" spans="1:2" x14ac:dyDescent="0.25">
      <c r="A7641" s="5">
        <v>33011</v>
      </c>
      <c r="B7641">
        <v>354.64001464843801</v>
      </c>
    </row>
    <row r="7642" spans="1:2" x14ac:dyDescent="0.25">
      <c r="A7642" s="5">
        <v>33014</v>
      </c>
      <c r="B7642">
        <v>358</v>
      </c>
    </row>
    <row r="7643" spans="1:2" x14ac:dyDescent="0.25">
      <c r="A7643" s="5">
        <v>33015</v>
      </c>
      <c r="B7643">
        <v>358.42999267578102</v>
      </c>
    </row>
    <row r="7644" spans="1:2" x14ac:dyDescent="0.25">
      <c r="A7644" s="5">
        <v>33016</v>
      </c>
      <c r="B7644">
        <v>359.29000854492199</v>
      </c>
    </row>
    <row r="7645" spans="1:2" x14ac:dyDescent="0.25">
      <c r="A7645" s="5">
        <v>33017</v>
      </c>
      <c r="B7645">
        <v>358.41000366210898</v>
      </c>
    </row>
    <row r="7646" spans="1:2" x14ac:dyDescent="0.25">
      <c r="A7646" s="5">
        <v>33018</v>
      </c>
      <c r="B7646">
        <v>354.57998657226602</v>
      </c>
    </row>
    <row r="7647" spans="1:2" x14ac:dyDescent="0.25">
      <c r="A7647" s="5">
        <v>33022</v>
      </c>
      <c r="B7647">
        <v>360.64999389648398</v>
      </c>
    </row>
    <row r="7648" spans="1:2" x14ac:dyDescent="0.25">
      <c r="A7648" s="5">
        <v>33023</v>
      </c>
      <c r="B7648">
        <v>360.85998535156199</v>
      </c>
    </row>
    <row r="7649" spans="1:2" x14ac:dyDescent="0.25">
      <c r="A7649" s="5">
        <v>33024</v>
      </c>
      <c r="B7649">
        <v>361.23001098632801</v>
      </c>
    </row>
    <row r="7650" spans="1:2" x14ac:dyDescent="0.25">
      <c r="A7650" s="5">
        <v>33025</v>
      </c>
      <c r="B7650">
        <v>363.16000366210898</v>
      </c>
    </row>
    <row r="7651" spans="1:2" x14ac:dyDescent="0.25">
      <c r="A7651" s="5">
        <v>33028</v>
      </c>
      <c r="B7651">
        <v>367.39999389648398</v>
      </c>
    </row>
    <row r="7652" spans="1:2" x14ac:dyDescent="0.25">
      <c r="A7652" s="5">
        <v>33029</v>
      </c>
      <c r="B7652">
        <v>366.64001464843801</v>
      </c>
    </row>
    <row r="7653" spans="1:2" x14ac:dyDescent="0.25">
      <c r="A7653" s="5">
        <v>33030</v>
      </c>
      <c r="B7653">
        <v>364.95999145507801</v>
      </c>
    </row>
    <row r="7654" spans="1:2" x14ac:dyDescent="0.25">
      <c r="A7654" s="5">
        <v>33031</v>
      </c>
      <c r="B7654">
        <v>363.14999389648398</v>
      </c>
    </row>
    <row r="7655" spans="1:2" x14ac:dyDescent="0.25">
      <c r="A7655" s="5">
        <v>33032</v>
      </c>
      <c r="B7655">
        <v>358.70999145507801</v>
      </c>
    </row>
    <row r="7656" spans="1:2" x14ac:dyDescent="0.25">
      <c r="A7656" s="5">
        <v>33035</v>
      </c>
      <c r="B7656">
        <v>361.63000488281199</v>
      </c>
    </row>
    <row r="7657" spans="1:2" x14ac:dyDescent="0.25">
      <c r="A7657" s="5">
        <v>33036</v>
      </c>
      <c r="B7657">
        <v>366.25</v>
      </c>
    </row>
    <row r="7658" spans="1:2" x14ac:dyDescent="0.25">
      <c r="A7658" s="5">
        <v>33037</v>
      </c>
      <c r="B7658">
        <v>364.89999389648398</v>
      </c>
    </row>
    <row r="7659" spans="1:2" x14ac:dyDescent="0.25">
      <c r="A7659" s="5">
        <v>33038</v>
      </c>
      <c r="B7659">
        <v>362.89999389648398</v>
      </c>
    </row>
    <row r="7660" spans="1:2" x14ac:dyDescent="0.25">
      <c r="A7660" s="5">
        <v>33039</v>
      </c>
      <c r="B7660">
        <v>362.91000366210898</v>
      </c>
    </row>
    <row r="7661" spans="1:2" x14ac:dyDescent="0.25">
      <c r="A7661" s="5">
        <v>33042</v>
      </c>
      <c r="B7661">
        <v>356.88000488281199</v>
      </c>
    </row>
    <row r="7662" spans="1:2" x14ac:dyDescent="0.25">
      <c r="A7662" s="5">
        <v>33043</v>
      </c>
      <c r="B7662">
        <v>358.47000122070301</v>
      </c>
    </row>
    <row r="7663" spans="1:2" x14ac:dyDescent="0.25">
      <c r="A7663" s="5">
        <v>33044</v>
      </c>
      <c r="B7663">
        <v>359.10000610351602</v>
      </c>
    </row>
    <row r="7664" spans="1:2" x14ac:dyDescent="0.25">
      <c r="A7664" s="5">
        <v>33045</v>
      </c>
      <c r="B7664">
        <v>360.47000122070301</v>
      </c>
    </row>
    <row r="7665" spans="1:2" x14ac:dyDescent="0.25">
      <c r="A7665" s="5">
        <v>33046</v>
      </c>
      <c r="B7665">
        <v>355.42999267578102</v>
      </c>
    </row>
    <row r="7666" spans="1:2" x14ac:dyDescent="0.25">
      <c r="A7666" s="5">
        <v>33049</v>
      </c>
      <c r="B7666">
        <v>352.30999755859398</v>
      </c>
    </row>
    <row r="7667" spans="1:2" x14ac:dyDescent="0.25">
      <c r="A7667" s="5">
        <v>33050</v>
      </c>
      <c r="B7667">
        <v>352.05999755859398</v>
      </c>
    </row>
    <row r="7668" spans="1:2" x14ac:dyDescent="0.25">
      <c r="A7668" s="5">
        <v>33051</v>
      </c>
      <c r="B7668">
        <v>355.14001464843801</v>
      </c>
    </row>
    <row r="7669" spans="1:2" x14ac:dyDescent="0.25">
      <c r="A7669" s="5">
        <v>33052</v>
      </c>
      <c r="B7669">
        <v>357.63000488281199</v>
      </c>
    </row>
    <row r="7670" spans="1:2" x14ac:dyDescent="0.25">
      <c r="A7670" s="5">
        <v>33053</v>
      </c>
      <c r="B7670">
        <v>358.01998901367199</v>
      </c>
    </row>
    <row r="7671" spans="1:2" x14ac:dyDescent="0.25">
      <c r="A7671" s="5">
        <v>33056</v>
      </c>
      <c r="B7671">
        <v>359.54000854492199</v>
      </c>
    </row>
    <row r="7672" spans="1:2" x14ac:dyDescent="0.25">
      <c r="A7672" s="5">
        <v>33057</v>
      </c>
      <c r="B7672">
        <v>360.16000366210898</v>
      </c>
    </row>
    <row r="7673" spans="1:2" x14ac:dyDescent="0.25">
      <c r="A7673" s="5">
        <v>33059</v>
      </c>
      <c r="B7673">
        <v>355.67999267578102</v>
      </c>
    </row>
    <row r="7674" spans="1:2" x14ac:dyDescent="0.25">
      <c r="A7674" s="5">
        <v>33060</v>
      </c>
      <c r="B7674">
        <v>358.42001342773398</v>
      </c>
    </row>
    <row r="7675" spans="1:2" x14ac:dyDescent="0.25">
      <c r="A7675" s="5">
        <v>33063</v>
      </c>
      <c r="B7675">
        <v>359.51998901367199</v>
      </c>
    </row>
    <row r="7676" spans="1:2" x14ac:dyDescent="0.25">
      <c r="A7676" s="5">
        <v>33064</v>
      </c>
      <c r="B7676">
        <v>356.489990234375</v>
      </c>
    </row>
    <row r="7677" spans="1:2" x14ac:dyDescent="0.25">
      <c r="A7677" s="5">
        <v>33065</v>
      </c>
      <c r="B7677">
        <v>361.23001098632801</v>
      </c>
    </row>
    <row r="7678" spans="1:2" x14ac:dyDescent="0.25">
      <c r="A7678" s="5">
        <v>33066</v>
      </c>
      <c r="B7678">
        <v>365.44000244140602</v>
      </c>
    </row>
    <row r="7679" spans="1:2" x14ac:dyDescent="0.25">
      <c r="A7679" s="5">
        <v>33067</v>
      </c>
      <c r="B7679">
        <v>367.30999755859398</v>
      </c>
    </row>
    <row r="7680" spans="1:2" x14ac:dyDescent="0.25">
      <c r="A7680" s="5">
        <v>33070</v>
      </c>
      <c r="B7680">
        <v>368.95001220703102</v>
      </c>
    </row>
    <row r="7681" spans="1:2" x14ac:dyDescent="0.25">
      <c r="A7681" s="5">
        <v>33071</v>
      </c>
      <c r="B7681">
        <v>367.51998901367199</v>
      </c>
    </row>
    <row r="7682" spans="1:2" x14ac:dyDescent="0.25">
      <c r="A7682" s="5">
        <v>33072</v>
      </c>
      <c r="B7682">
        <v>364.22000122070301</v>
      </c>
    </row>
    <row r="7683" spans="1:2" x14ac:dyDescent="0.25">
      <c r="A7683" s="5">
        <v>33073</v>
      </c>
      <c r="B7683">
        <v>365.32000732421898</v>
      </c>
    </row>
    <row r="7684" spans="1:2" x14ac:dyDescent="0.25">
      <c r="A7684" s="5">
        <v>33074</v>
      </c>
      <c r="B7684">
        <v>361.60998535156199</v>
      </c>
    </row>
    <row r="7685" spans="1:2" x14ac:dyDescent="0.25">
      <c r="A7685" s="5">
        <v>33077</v>
      </c>
      <c r="B7685">
        <v>355.30999755859398</v>
      </c>
    </row>
    <row r="7686" spans="1:2" x14ac:dyDescent="0.25">
      <c r="A7686" s="5">
        <v>33078</v>
      </c>
      <c r="B7686">
        <v>355.79000854492199</v>
      </c>
    </row>
    <row r="7687" spans="1:2" x14ac:dyDescent="0.25">
      <c r="A7687" s="5">
        <v>33079</v>
      </c>
      <c r="B7687">
        <v>357.08999633789102</v>
      </c>
    </row>
    <row r="7688" spans="1:2" x14ac:dyDescent="0.25">
      <c r="A7688" s="5">
        <v>33080</v>
      </c>
      <c r="B7688">
        <v>355.91000366210898</v>
      </c>
    </row>
    <row r="7689" spans="1:2" x14ac:dyDescent="0.25">
      <c r="A7689" s="5">
        <v>33081</v>
      </c>
      <c r="B7689">
        <v>353.44000244140602</v>
      </c>
    </row>
    <row r="7690" spans="1:2" x14ac:dyDescent="0.25">
      <c r="A7690" s="5">
        <v>33084</v>
      </c>
      <c r="B7690">
        <v>355.54998779296898</v>
      </c>
    </row>
    <row r="7691" spans="1:2" x14ac:dyDescent="0.25">
      <c r="A7691" s="5">
        <v>33085</v>
      </c>
      <c r="B7691">
        <v>356.14999389648398</v>
      </c>
    </row>
    <row r="7692" spans="1:2" x14ac:dyDescent="0.25">
      <c r="A7692" s="5">
        <v>33086</v>
      </c>
      <c r="B7692">
        <v>355.51998901367199</v>
      </c>
    </row>
    <row r="7693" spans="1:2" x14ac:dyDescent="0.25">
      <c r="A7693" s="5">
        <v>33087</v>
      </c>
      <c r="B7693">
        <v>351.48001098632801</v>
      </c>
    </row>
    <row r="7694" spans="1:2" x14ac:dyDescent="0.25">
      <c r="A7694" s="5">
        <v>33088</v>
      </c>
      <c r="B7694">
        <v>344.85998535156199</v>
      </c>
    </row>
    <row r="7695" spans="1:2" x14ac:dyDescent="0.25">
      <c r="A7695" s="5">
        <v>33091</v>
      </c>
      <c r="B7695">
        <v>334.42999267578102</v>
      </c>
    </row>
    <row r="7696" spans="1:2" x14ac:dyDescent="0.25">
      <c r="A7696" s="5">
        <v>33092</v>
      </c>
      <c r="B7696">
        <v>334.82998657226602</v>
      </c>
    </row>
    <row r="7697" spans="1:2" x14ac:dyDescent="0.25">
      <c r="A7697" s="5">
        <v>33093</v>
      </c>
      <c r="B7697">
        <v>338.35000610351602</v>
      </c>
    </row>
    <row r="7698" spans="1:2" x14ac:dyDescent="0.25">
      <c r="A7698" s="5">
        <v>33094</v>
      </c>
      <c r="B7698">
        <v>339.94000244140602</v>
      </c>
    </row>
    <row r="7699" spans="1:2" x14ac:dyDescent="0.25">
      <c r="A7699" s="5">
        <v>33095</v>
      </c>
      <c r="B7699">
        <v>335.51998901367199</v>
      </c>
    </row>
    <row r="7700" spans="1:2" x14ac:dyDescent="0.25">
      <c r="A7700" s="5">
        <v>33098</v>
      </c>
      <c r="B7700">
        <v>338.83999633789102</v>
      </c>
    </row>
    <row r="7701" spans="1:2" x14ac:dyDescent="0.25">
      <c r="A7701" s="5">
        <v>33099</v>
      </c>
      <c r="B7701">
        <v>339.39001464843801</v>
      </c>
    </row>
    <row r="7702" spans="1:2" x14ac:dyDescent="0.25">
      <c r="A7702" s="5">
        <v>33100</v>
      </c>
      <c r="B7702">
        <v>340.05999755859398</v>
      </c>
    </row>
    <row r="7703" spans="1:2" x14ac:dyDescent="0.25">
      <c r="A7703" s="5">
        <v>33101</v>
      </c>
      <c r="B7703">
        <v>332.39001464843801</v>
      </c>
    </row>
    <row r="7704" spans="1:2" x14ac:dyDescent="0.25">
      <c r="A7704" s="5">
        <v>33102</v>
      </c>
      <c r="B7704">
        <v>327.82998657226602</v>
      </c>
    </row>
    <row r="7705" spans="1:2" x14ac:dyDescent="0.25">
      <c r="A7705" s="5">
        <v>33105</v>
      </c>
      <c r="B7705">
        <v>328.510009765625</v>
      </c>
    </row>
    <row r="7706" spans="1:2" x14ac:dyDescent="0.25">
      <c r="A7706" s="5">
        <v>33106</v>
      </c>
      <c r="B7706">
        <v>321.85998535156199</v>
      </c>
    </row>
    <row r="7707" spans="1:2" x14ac:dyDescent="0.25">
      <c r="A7707" s="5">
        <v>33107</v>
      </c>
      <c r="B7707">
        <v>316.54998779296898</v>
      </c>
    </row>
    <row r="7708" spans="1:2" x14ac:dyDescent="0.25">
      <c r="A7708" s="5">
        <v>33108</v>
      </c>
      <c r="B7708">
        <v>307.05999755859398</v>
      </c>
    </row>
    <row r="7709" spans="1:2" x14ac:dyDescent="0.25">
      <c r="A7709" s="5">
        <v>33109</v>
      </c>
      <c r="B7709">
        <v>311.510009765625</v>
      </c>
    </row>
    <row r="7710" spans="1:2" x14ac:dyDescent="0.25">
      <c r="A7710" s="5">
        <v>33112</v>
      </c>
      <c r="B7710">
        <v>321.44000244140602</v>
      </c>
    </row>
    <row r="7711" spans="1:2" x14ac:dyDescent="0.25">
      <c r="A7711" s="5">
        <v>33113</v>
      </c>
      <c r="B7711">
        <v>321.33999633789102</v>
      </c>
    </row>
    <row r="7712" spans="1:2" x14ac:dyDescent="0.25">
      <c r="A7712" s="5">
        <v>33114</v>
      </c>
      <c r="B7712">
        <v>324.19000244140602</v>
      </c>
    </row>
    <row r="7713" spans="1:2" x14ac:dyDescent="0.25">
      <c r="A7713" s="5">
        <v>33115</v>
      </c>
      <c r="B7713">
        <v>318.70999145507801</v>
      </c>
    </row>
    <row r="7714" spans="1:2" x14ac:dyDescent="0.25">
      <c r="A7714" s="5">
        <v>33116</v>
      </c>
      <c r="B7714">
        <v>322.55999755859398</v>
      </c>
    </row>
    <row r="7715" spans="1:2" x14ac:dyDescent="0.25">
      <c r="A7715" s="5">
        <v>33120</v>
      </c>
      <c r="B7715">
        <v>323.08999633789102</v>
      </c>
    </row>
    <row r="7716" spans="1:2" x14ac:dyDescent="0.25">
      <c r="A7716" s="5">
        <v>33121</v>
      </c>
      <c r="B7716">
        <v>324.39001464843801</v>
      </c>
    </row>
    <row r="7717" spans="1:2" x14ac:dyDescent="0.25">
      <c r="A7717" s="5">
        <v>33122</v>
      </c>
      <c r="B7717">
        <v>320.45999145507801</v>
      </c>
    </row>
    <row r="7718" spans="1:2" x14ac:dyDescent="0.25">
      <c r="A7718" s="5">
        <v>33123</v>
      </c>
      <c r="B7718">
        <v>323.39999389648398</v>
      </c>
    </row>
    <row r="7719" spans="1:2" x14ac:dyDescent="0.25">
      <c r="A7719" s="5">
        <v>33126</v>
      </c>
      <c r="B7719">
        <v>321.63000488281199</v>
      </c>
    </row>
    <row r="7720" spans="1:2" x14ac:dyDescent="0.25">
      <c r="A7720" s="5">
        <v>33127</v>
      </c>
      <c r="B7720">
        <v>321.04000854492199</v>
      </c>
    </row>
    <row r="7721" spans="1:2" x14ac:dyDescent="0.25">
      <c r="A7721" s="5">
        <v>33128</v>
      </c>
      <c r="B7721">
        <v>322.54000854492199</v>
      </c>
    </row>
    <row r="7722" spans="1:2" x14ac:dyDescent="0.25">
      <c r="A7722" s="5">
        <v>33129</v>
      </c>
      <c r="B7722">
        <v>318.64999389648398</v>
      </c>
    </row>
    <row r="7723" spans="1:2" x14ac:dyDescent="0.25">
      <c r="A7723" s="5">
        <v>33130</v>
      </c>
      <c r="B7723">
        <v>316.82998657226602</v>
      </c>
    </row>
    <row r="7724" spans="1:2" x14ac:dyDescent="0.25">
      <c r="A7724" s="5">
        <v>33133</v>
      </c>
      <c r="B7724">
        <v>317.76998901367199</v>
      </c>
    </row>
    <row r="7725" spans="1:2" x14ac:dyDescent="0.25">
      <c r="A7725" s="5">
        <v>33134</v>
      </c>
      <c r="B7725">
        <v>318.60000610351602</v>
      </c>
    </row>
    <row r="7726" spans="1:2" x14ac:dyDescent="0.25">
      <c r="A7726" s="5">
        <v>33135</v>
      </c>
      <c r="B7726">
        <v>316.60000610351602</v>
      </c>
    </row>
    <row r="7727" spans="1:2" x14ac:dyDescent="0.25">
      <c r="A7727" s="5">
        <v>33136</v>
      </c>
      <c r="B7727">
        <v>311.48001098632801</v>
      </c>
    </row>
    <row r="7728" spans="1:2" x14ac:dyDescent="0.25">
      <c r="A7728" s="5">
        <v>33137</v>
      </c>
      <c r="B7728">
        <v>311.32000732421898</v>
      </c>
    </row>
    <row r="7729" spans="1:2" x14ac:dyDescent="0.25">
      <c r="A7729" s="5">
        <v>33140</v>
      </c>
      <c r="B7729">
        <v>304.58999633789102</v>
      </c>
    </row>
    <row r="7730" spans="1:2" x14ac:dyDescent="0.25">
      <c r="A7730" s="5">
        <v>33141</v>
      </c>
      <c r="B7730">
        <v>308.260009765625</v>
      </c>
    </row>
    <row r="7731" spans="1:2" x14ac:dyDescent="0.25">
      <c r="A7731" s="5">
        <v>33142</v>
      </c>
      <c r="B7731">
        <v>305.05999755859398</v>
      </c>
    </row>
    <row r="7732" spans="1:2" x14ac:dyDescent="0.25">
      <c r="A7732" s="5">
        <v>33143</v>
      </c>
      <c r="B7732">
        <v>300.97000122070301</v>
      </c>
    </row>
    <row r="7733" spans="1:2" x14ac:dyDescent="0.25">
      <c r="A7733" s="5">
        <v>33144</v>
      </c>
      <c r="B7733">
        <v>306.04998779296898</v>
      </c>
    </row>
    <row r="7734" spans="1:2" x14ac:dyDescent="0.25">
      <c r="A7734" s="5">
        <v>33147</v>
      </c>
      <c r="B7734">
        <v>314.94000244140602</v>
      </c>
    </row>
    <row r="7735" spans="1:2" x14ac:dyDescent="0.25">
      <c r="A7735" s="5">
        <v>33148</v>
      </c>
      <c r="B7735">
        <v>315.20999145507801</v>
      </c>
    </row>
    <row r="7736" spans="1:2" x14ac:dyDescent="0.25">
      <c r="A7736" s="5">
        <v>33149</v>
      </c>
      <c r="B7736">
        <v>311.39999389648398</v>
      </c>
    </row>
    <row r="7737" spans="1:2" x14ac:dyDescent="0.25">
      <c r="A7737" s="5">
        <v>33150</v>
      </c>
      <c r="B7737">
        <v>312.69000244140602</v>
      </c>
    </row>
    <row r="7738" spans="1:2" x14ac:dyDescent="0.25">
      <c r="A7738" s="5">
        <v>33151</v>
      </c>
      <c r="B7738">
        <v>311.5</v>
      </c>
    </row>
    <row r="7739" spans="1:2" x14ac:dyDescent="0.25">
      <c r="A7739" s="5">
        <v>33154</v>
      </c>
      <c r="B7739">
        <v>313.48001098632801</v>
      </c>
    </row>
    <row r="7740" spans="1:2" x14ac:dyDescent="0.25">
      <c r="A7740" s="5">
        <v>33155</v>
      </c>
      <c r="B7740">
        <v>305.10000610351602</v>
      </c>
    </row>
    <row r="7741" spans="1:2" x14ac:dyDescent="0.25">
      <c r="A7741" s="5">
        <v>33156</v>
      </c>
      <c r="B7741">
        <v>300.39001464843801</v>
      </c>
    </row>
    <row r="7742" spans="1:2" x14ac:dyDescent="0.25">
      <c r="A7742" s="5">
        <v>33157</v>
      </c>
      <c r="B7742">
        <v>295.45999145507801</v>
      </c>
    </row>
    <row r="7743" spans="1:2" x14ac:dyDescent="0.25">
      <c r="A7743" s="5">
        <v>33158</v>
      </c>
      <c r="B7743">
        <v>300.02999877929699</v>
      </c>
    </row>
    <row r="7744" spans="1:2" x14ac:dyDescent="0.25">
      <c r="A7744" s="5">
        <v>33161</v>
      </c>
      <c r="B7744">
        <v>303.23001098632801</v>
      </c>
    </row>
    <row r="7745" spans="1:2" x14ac:dyDescent="0.25">
      <c r="A7745" s="5">
        <v>33162</v>
      </c>
      <c r="B7745">
        <v>298.92001342773398</v>
      </c>
    </row>
    <row r="7746" spans="1:2" x14ac:dyDescent="0.25">
      <c r="A7746" s="5">
        <v>33163</v>
      </c>
      <c r="B7746">
        <v>298.760009765625</v>
      </c>
    </row>
    <row r="7747" spans="1:2" x14ac:dyDescent="0.25">
      <c r="A7747" s="5">
        <v>33164</v>
      </c>
      <c r="B7747">
        <v>305.739990234375</v>
      </c>
    </row>
    <row r="7748" spans="1:2" x14ac:dyDescent="0.25">
      <c r="A7748" s="5">
        <v>33165</v>
      </c>
      <c r="B7748">
        <v>312.48001098632801</v>
      </c>
    </row>
    <row r="7749" spans="1:2" x14ac:dyDescent="0.25">
      <c r="A7749" s="5">
        <v>33168</v>
      </c>
      <c r="B7749">
        <v>314.760009765625</v>
      </c>
    </row>
    <row r="7750" spans="1:2" x14ac:dyDescent="0.25">
      <c r="A7750" s="5">
        <v>33169</v>
      </c>
      <c r="B7750">
        <v>312.35998535156199</v>
      </c>
    </row>
    <row r="7751" spans="1:2" x14ac:dyDescent="0.25">
      <c r="A7751" s="5">
        <v>33170</v>
      </c>
      <c r="B7751">
        <v>312.60000610351602</v>
      </c>
    </row>
    <row r="7752" spans="1:2" x14ac:dyDescent="0.25">
      <c r="A7752" s="5">
        <v>33171</v>
      </c>
      <c r="B7752">
        <v>310.17001342773398</v>
      </c>
    </row>
    <row r="7753" spans="1:2" x14ac:dyDescent="0.25">
      <c r="A7753" s="5">
        <v>33172</v>
      </c>
      <c r="B7753">
        <v>304.70999145507801</v>
      </c>
    </row>
    <row r="7754" spans="1:2" x14ac:dyDescent="0.25">
      <c r="A7754" s="5">
        <v>33175</v>
      </c>
      <c r="B7754">
        <v>301.88000488281199</v>
      </c>
    </row>
    <row r="7755" spans="1:2" x14ac:dyDescent="0.25">
      <c r="A7755" s="5">
        <v>33176</v>
      </c>
      <c r="B7755">
        <v>304.05999755859398</v>
      </c>
    </row>
    <row r="7756" spans="1:2" x14ac:dyDescent="0.25">
      <c r="A7756" s="5">
        <v>33177</v>
      </c>
      <c r="B7756">
        <v>304</v>
      </c>
    </row>
    <row r="7757" spans="1:2" x14ac:dyDescent="0.25">
      <c r="A7757" s="5">
        <v>33178</v>
      </c>
      <c r="B7757">
        <v>307.01998901367199</v>
      </c>
    </row>
    <row r="7758" spans="1:2" x14ac:dyDescent="0.25">
      <c r="A7758" s="5">
        <v>33179</v>
      </c>
      <c r="B7758">
        <v>311.85000610351602</v>
      </c>
    </row>
    <row r="7759" spans="1:2" x14ac:dyDescent="0.25">
      <c r="A7759" s="5">
        <v>33182</v>
      </c>
      <c r="B7759">
        <v>314.58999633789102</v>
      </c>
    </row>
    <row r="7760" spans="1:2" x14ac:dyDescent="0.25">
      <c r="A7760" s="5">
        <v>33183</v>
      </c>
      <c r="B7760">
        <v>311.61999511718801</v>
      </c>
    </row>
    <row r="7761" spans="1:2" x14ac:dyDescent="0.25">
      <c r="A7761" s="5">
        <v>33184</v>
      </c>
      <c r="B7761">
        <v>306.010009765625</v>
      </c>
    </row>
    <row r="7762" spans="1:2" x14ac:dyDescent="0.25">
      <c r="A7762" s="5">
        <v>33185</v>
      </c>
      <c r="B7762">
        <v>307.60998535156199</v>
      </c>
    </row>
    <row r="7763" spans="1:2" x14ac:dyDescent="0.25">
      <c r="A7763" s="5">
        <v>33186</v>
      </c>
      <c r="B7763">
        <v>313.739990234375</v>
      </c>
    </row>
    <row r="7764" spans="1:2" x14ac:dyDescent="0.25">
      <c r="A7764" s="5">
        <v>33189</v>
      </c>
      <c r="B7764">
        <v>319.48001098632801</v>
      </c>
    </row>
    <row r="7765" spans="1:2" x14ac:dyDescent="0.25">
      <c r="A7765" s="5">
        <v>33190</v>
      </c>
      <c r="B7765">
        <v>317.67001342773398</v>
      </c>
    </row>
    <row r="7766" spans="1:2" x14ac:dyDescent="0.25">
      <c r="A7766" s="5">
        <v>33191</v>
      </c>
      <c r="B7766">
        <v>320.39999389648398</v>
      </c>
    </row>
    <row r="7767" spans="1:2" x14ac:dyDescent="0.25">
      <c r="A7767" s="5">
        <v>33192</v>
      </c>
      <c r="B7767">
        <v>317.01998901367199</v>
      </c>
    </row>
    <row r="7768" spans="1:2" x14ac:dyDescent="0.25">
      <c r="A7768" s="5">
        <v>33193</v>
      </c>
      <c r="B7768">
        <v>317.11999511718801</v>
      </c>
    </row>
    <row r="7769" spans="1:2" x14ac:dyDescent="0.25">
      <c r="A7769" s="5">
        <v>33196</v>
      </c>
      <c r="B7769">
        <v>319.33999633789102</v>
      </c>
    </row>
    <row r="7770" spans="1:2" x14ac:dyDescent="0.25">
      <c r="A7770" s="5">
        <v>33197</v>
      </c>
      <c r="B7770">
        <v>315.30999755859398</v>
      </c>
    </row>
    <row r="7771" spans="1:2" x14ac:dyDescent="0.25">
      <c r="A7771" s="5">
        <v>33198</v>
      </c>
      <c r="B7771">
        <v>316.02999877929699</v>
      </c>
    </row>
    <row r="7772" spans="1:2" x14ac:dyDescent="0.25">
      <c r="A7772" s="5">
        <v>33200</v>
      </c>
      <c r="B7772">
        <v>315.10000610351602</v>
      </c>
    </row>
    <row r="7773" spans="1:2" x14ac:dyDescent="0.25">
      <c r="A7773" s="5">
        <v>33203</v>
      </c>
      <c r="B7773">
        <v>316.510009765625</v>
      </c>
    </row>
    <row r="7774" spans="1:2" x14ac:dyDescent="0.25">
      <c r="A7774" s="5">
        <v>33204</v>
      </c>
      <c r="B7774">
        <v>318.10000610351602</v>
      </c>
    </row>
    <row r="7775" spans="1:2" x14ac:dyDescent="0.25">
      <c r="A7775" s="5">
        <v>33205</v>
      </c>
      <c r="B7775">
        <v>317.95001220703102</v>
      </c>
    </row>
    <row r="7776" spans="1:2" x14ac:dyDescent="0.25">
      <c r="A7776" s="5">
        <v>33206</v>
      </c>
      <c r="B7776">
        <v>316.42001342773398</v>
      </c>
    </row>
    <row r="7777" spans="1:2" x14ac:dyDescent="0.25">
      <c r="A7777" s="5">
        <v>33207</v>
      </c>
      <c r="B7777">
        <v>322.22000122070301</v>
      </c>
    </row>
    <row r="7778" spans="1:2" x14ac:dyDescent="0.25">
      <c r="A7778" s="5">
        <v>33210</v>
      </c>
      <c r="B7778">
        <v>324.10000610351602</v>
      </c>
    </row>
    <row r="7779" spans="1:2" x14ac:dyDescent="0.25">
      <c r="A7779" s="5">
        <v>33211</v>
      </c>
      <c r="B7779">
        <v>326.35000610351602</v>
      </c>
    </row>
    <row r="7780" spans="1:2" x14ac:dyDescent="0.25">
      <c r="A7780" s="5">
        <v>33212</v>
      </c>
      <c r="B7780">
        <v>329.92001342773398</v>
      </c>
    </row>
    <row r="7781" spans="1:2" x14ac:dyDescent="0.25">
      <c r="A7781" s="5">
        <v>33213</v>
      </c>
      <c r="B7781">
        <v>329.07000732421898</v>
      </c>
    </row>
    <row r="7782" spans="1:2" x14ac:dyDescent="0.25">
      <c r="A7782" s="5">
        <v>33214</v>
      </c>
      <c r="B7782">
        <v>327.75</v>
      </c>
    </row>
    <row r="7783" spans="1:2" x14ac:dyDescent="0.25">
      <c r="A7783" s="5">
        <v>33217</v>
      </c>
      <c r="B7783">
        <v>328.89001464843801</v>
      </c>
    </row>
    <row r="7784" spans="1:2" x14ac:dyDescent="0.25">
      <c r="A7784" s="5">
        <v>33218</v>
      </c>
      <c r="B7784">
        <v>326.44000244140602</v>
      </c>
    </row>
    <row r="7785" spans="1:2" x14ac:dyDescent="0.25">
      <c r="A7785" s="5">
        <v>33219</v>
      </c>
      <c r="B7785">
        <v>330.19000244140602</v>
      </c>
    </row>
    <row r="7786" spans="1:2" x14ac:dyDescent="0.25">
      <c r="A7786" s="5">
        <v>33220</v>
      </c>
      <c r="B7786">
        <v>329.33999633789102</v>
      </c>
    </row>
    <row r="7787" spans="1:2" x14ac:dyDescent="0.25">
      <c r="A7787" s="5">
        <v>33221</v>
      </c>
      <c r="B7787">
        <v>326.82000732421898</v>
      </c>
    </row>
    <row r="7788" spans="1:2" x14ac:dyDescent="0.25">
      <c r="A7788" s="5">
        <v>33224</v>
      </c>
      <c r="B7788">
        <v>326.01998901367199</v>
      </c>
    </row>
    <row r="7789" spans="1:2" x14ac:dyDescent="0.25">
      <c r="A7789" s="5">
        <v>33225</v>
      </c>
      <c r="B7789">
        <v>330.04998779296898</v>
      </c>
    </row>
    <row r="7790" spans="1:2" x14ac:dyDescent="0.25">
      <c r="A7790" s="5">
        <v>33226</v>
      </c>
      <c r="B7790">
        <v>330.20001220703102</v>
      </c>
    </row>
    <row r="7791" spans="1:2" x14ac:dyDescent="0.25">
      <c r="A7791" s="5">
        <v>33227</v>
      </c>
      <c r="B7791">
        <v>330.11999511718801</v>
      </c>
    </row>
    <row r="7792" spans="1:2" x14ac:dyDescent="0.25">
      <c r="A7792" s="5">
        <v>33228</v>
      </c>
      <c r="B7792">
        <v>331.75</v>
      </c>
    </row>
    <row r="7793" spans="1:2" x14ac:dyDescent="0.25">
      <c r="A7793" s="5">
        <v>33231</v>
      </c>
      <c r="B7793">
        <v>329.89999389648398</v>
      </c>
    </row>
    <row r="7794" spans="1:2" x14ac:dyDescent="0.25">
      <c r="A7794" s="5">
        <v>33233</v>
      </c>
      <c r="B7794">
        <v>330.85000610351602</v>
      </c>
    </row>
    <row r="7795" spans="1:2" x14ac:dyDescent="0.25">
      <c r="A7795" s="5">
        <v>33234</v>
      </c>
      <c r="B7795">
        <v>328.29000854492199</v>
      </c>
    </row>
    <row r="7796" spans="1:2" x14ac:dyDescent="0.25">
      <c r="A7796" s="5">
        <v>33235</v>
      </c>
      <c r="B7796">
        <v>328.72000122070301</v>
      </c>
    </row>
    <row r="7797" spans="1:2" x14ac:dyDescent="0.25">
      <c r="A7797" s="5">
        <v>33238</v>
      </c>
      <c r="B7797">
        <v>330.22000122070301</v>
      </c>
    </row>
    <row r="7798" spans="1:2" x14ac:dyDescent="0.25">
      <c r="A7798" s="5">
        <v>33240</v>
      </c>
      <c r="B7798">
        <v>326.45001220703102</v>
      </c>
    </row>
    <row r="7799" spans="1:2" x14ac:dyDescent="0.25">
      <c r="A7799" s="5">
        <v>33241</v>
      </c>
      <c r="B7799">
        <v>321.91000366210898</v>
      </c>
    </row>
    <row r="7800" spans="1:2" x14ac:dyDescent="0.25">
      <c r="A7800" s="5">
        <v>33242</v>
      </c>
      <c r="B7800">
        <v>321</v>
      </c>
    </row>
    <row r="7801" spans="1:2" x14ac:dyDescent="0.25">
      <c r="A7801" s="5">
        <v>33245</v>
      </c>
      <c r="B7801">
        <v>315.44000244140602</v>
      </c>
    </row>
    <row r="7802" spans="1:2" x14ac:dyDescent="0.25">
      <c r="A7802" s="5">
        <v>33246</v>
      </c>
      <c r="B7802">
        <v>314.89999389648398</v>
      </c>
    </row>
    <row r="7803" spans="1:2" x14ac:dyDescent="0.25">
      <c r="A7803" s="5">
        <v>33247</v>
      </c>
      <c r="B7803">
        <v>311.489990234375</v>
      </c>
    </row>
    <row r="7804" spans="1:2" x14ac:dyDescent="0.25">
      <c r="A7804" s="5">
        <v>33248</v>
      </c>
      <c r="B7804">
        <v>314.52999877929699</v>
      </c>
    </row>
    <row r="7805" spans="1:2" x14ac:dyDescent="0.25">
      <c r="A7805" s="5">
        <v>33249</v>
      </c>
      <c r="B7805">
        <v>315.23001098632801</v>
      </c>
    </row>
    <row r="7806" spans="1:2" x14ac:dyDescent="0.25">
      <c r="A7806" s="5">
        <v>33252</v>
      </c>
      <c r="B7806">
        <v>312.489990234375</v>
      </c>
    </row>
    <row r="7807" spans="1:2" x14ac:dyDescent="0.25">
      <c r="A7807" s="5">
        <v>33253</v>
      </c>
      <c r="B7807">
        <v>313.73001098632801</v>
      </c>
    </row>
    <row r="7808" spans="1:2" x14ac:dyDescent="0.25">
      <c r="A7808" s="5">
        <v>33254</v>
      </c>
      <c r="B7808">
        <v>316.17001342773398</v>
      </c>
    </row>
    <row r="7809" spans="1:2" x14ac:dyDescent="0.25">
      <c r="A7809" s="5">
        <v>33255</v>
      </c>
      <c r="B7809">
        <v>327.97000122070301</v>
      </c>
    </row>
    <row r="7810" spans="1:2" x14ac:dyDescent="0.25">
      <c r="A7810" s="5">
        <v>33256</v>
      </c>
      <c r="B7810">
        <v>332.23001098632801</v>
      </c>
    </row>
    <row r="7811" spans="1:2" x14ac:dyDescent="0.25">
      <c r="A7811" s="5">
        <v>33259</v>
      </c>
      <c r="B7811">
        <v>331.05999755859398</v>
      </c>
    </row>
    <row r="7812" spans="1:2" x14ac:dyDescent="0.25">
      <c r="A7812" s="5">
        <v>33260</v>
      </c>
      <c r="B7812">
        <v>328.30999755859398</v>
      </c>
    </row>
    <row r="7813" spans="1:2" x14ac:dyDescent="0.25">
      <c r="A7813" s="5">
        <v>33261</v>
      </c>
      <c r="B7813">
        <v>330.20999145507801</v>
      </c>
    </row>
    <row r="7814" spans="1:2" x14ac:dyDescent="0.25">
      <c r="A7814" s="5">
        <v>33262</v>
      </c>
      <c r="B7814">
        <v>334.77999877929699</v>
      </c>
    </row>
    <row r="7815" spans="1:2" x14ac:dyDescent="0.25">
      <c r="A7815" s="5">
        <v>33263</v>
      </c>
      <c r="B7815">
        <v>336.07000732421898</v>
      </c>
    </row>
    <row r="7816" spans="1:2" x14ac:dyDescent="0.25">
      <c r="A7816" s="5">
        <v>33266</v>
      </c>
      <c r="B7816">
        <v>336.02999877929699</v>
      </c>
    </row>
    <row r="7817" spans="1:2" x14ac:dyDescent="0.25">
      <c r="A7817" s="5">
        <v>33267</v>
      </c>
      <c r="B7817">
        <v>335.83999633789102</v>
      </c>
    </row>
    <row r="7818" spans="1:2" x14ac:dyDescent="0.25">
      <c r="A7818" s="5">
        <v>33268</v>
      </c>
      <c r="B7818">
        <v>340.91000366210898</v>
      </c>
    </row>
    <row r="7819" spans="1:2" x14ac:dyDescent="0.25">
      <c r="A7819" s="5">
        <v>33269</v>
      </c>
      <c r="B7819">
        <v>343.92999267578102</v>
      </c>
    </row>
    <row r="7820" spans="1:2" x14ac:dyDescent="0.25">
      <c r="A7820" s="5">
        <v>33270</v>
      </c>
      <c r="B7820">
        <v>343.04998779296898</v>
      </c>
    </row>
    <row r="7821" spans="1:2" x14ac:dyDescent="0.25">
      <c r="A7821" s="5">
        <v>33273</v>
      </c>
      <c r="B7821">
        <v>348.33999633789102</v>
      </c>
    </row>
    <row r="7822" spans="1:2" x14ac:dyDescent="0.25">
      <c r="A7822" s="5">
        <v>33274</v>
      </c>
      <c r="B7822">
        <v>351.260009765625</v>
      </c>
    </row>
    <row r="7823" spans="1:2" x14ac:dyDescent="0.25">
      <c r="A7823" s="5">
        <v>33275</v>
      </c>
      <c r="B7823">
        <v>358.07000732421898</v>
      </c>
    </row>
    <row r="7824" spans="1:2" x14ac:dyDescent="0.25">
      <c r="A7824" s="5">
        <v>33276</v>
      </c>
      <c r="B7824">
        <v>356.51998901367199</v>
      </c>
    </row>
    <row r="7825" spans="1:2" x14ac:dyDescent="0.25">
      <c r="A7825" s="5">
        <v>33277</v>
      </c>
      <c r="B7825">
        <v>359.35000610351602</v>
      </c>
    </row>
    <row r="7826" spans="1:2" x14ac:dyDescent="0.25">
      <c r="A7826" s="5">
        <v>33280</v>
      </c>
      <c r="B7826">
        <v>368.57998657226602</v>
      </c>
    </row>
    <row r="7827" spans="1:2" x14ac:dyDescent="0.25">
      <c r="A7827" s="5">
        <v>33281</v>
      </c>
      <c r="B7827">
        <v>365.5</v>
      </c>
    </row>
    <row r="7828" spans="1:2" x14ac:dyDescent="0.25">
      <c r="A7828" s="5">
        <v>33282</v>
      </c>
      <c r="B7828">
        <v>369.01998901367199</v>
      </c>
    </row>
    <row r="7829" spans="1:2" x14ac:dyDescent="0.25">
      <c r="A7829" s="5">
        <v>33283</v>
      </c>
      <c r="B7829">
        <v>364.22000122070301</v>
      </c>
    </row>
    <row r="7830" spans="1:2" x14ac:dyDescent="0.25">
      <c r="A7830" s="5">
        <v>33284</v>
      </c>
      <c r="B7830">
        <v>369.05999755859398</v>
      </c>
    </row>
    <row r="7831" spans="1:2" x14ac:dyDescent="0.25">
      <c r="A7831" s="5">
        <v>33288</v>
      </c>
      <c r="B7831">
        <v>369.39001464843801</v>
      </c>
    </row>
    <row r="7832" spans="1:2" x14ac:dyDescent="0.25">
      <c r="A7832" s="5">
        <v>33289</v>
      </c>
      <c r="B7832">
        <v>365.14001464843801</v>
      </c>
    </row>
    <row r="7833" spans="1:2" x14ac:dyDescent="0.25">
      <c r="A7833" s="5">
        <v>33290</v>
      </c>
      <c r="B7833">
        <v>364.97000122070301</v>
      </c>
    </row>
    <row r="7834" spans="1:2" x14ac:dyDescent="0.25">
      <c r="A7834" s="5">
        <v>33291</v>
      </c>
      <c r="B7834">
        <v>365.64999389648398</v>
      </c>
    </row>
    <row r="7835" spans="1:2" x14ac:dyDescent="0.25">
      <c r="A7835" s="5">
        <v>33294</v>
      </c>
      <c r="B7835">
        <v>367.260009765625</v>
      </c>
    </row>
    <row r="7836" spans="1:2" x14ac:dyDescent="0.25">
      <c r="A7836" s="5">
        <v>33295</v>
      </c>
      <c r="B7836">
        <v>362.80999755859398</v>
      </c>
    </row>
    <row r="7837" spans="1:2" x14ac:dyDescent="0.25">
      <c r="A7837" s="5">
        <v>33296</v>
      </c>
      <c r="B7837">
        <v>367.739990234375</v>
      </c>
    </row>
    <row r="7838" spans="1:2" x14ac:dyDescent="0.25">
      <c r="A7838" s="5">
        <v>33297</v>
      </c>
      <c r="B7838">
        <v>367.07000732421898</v>
      </c>
    </row>
    <row r="7839" spans="1:2" x14ac:dyDescent="0.25">
      <c r="A7839" s="5">
        <v>33298</v>
      </c>
      <c r="B7839">
        <v>370.47000122070301</v>
      </c>
    </row>
    <row r="7840" spans="1:2" x14ac:dyDescent="0.25">
      <c r="A7840" s="5">
        <v>33301</v>
      </c>
      <c r="B7840">
        <v>369.32998657226602</v>
      </c>
    </row>
    <row r="7841" spans="1:2" x14ac:dyDescent="0.25">
      <c r="A7841" s="5">
        <v>33302</v>
      </c>
      <c r="B7841">
        <v>376.72000122070301</v>
      </c>
    </row>
    <row r="7842" spans="1:2" x14ac:dyDescent="0.25">
      <c r="A7842" s="5">
        <v>33303</v>
      </c>
      <c r="B7842">
        <v>376.17001342773398</v>
      </c>
    </row>
    <row r="7843" spans="1:2" x14ac:dyDescent="0.25">
      <c r="A7843" s="5">
        <v>33304</v>
      </c>
      <c r="B7843">
        <v>375.91000366210898</v>
      </c>
    </row>
    <row r="7844" spans="1:2" x14ac:dyDescent="0.25">
      <c r="A7844" s="5">
        <v>33305</v>
      </c>
      <c r="B7844">
        <v>374.95001220703102</v>
      </c>
    </row>
    <row r="7845" spans="1:2" x14ac:dyDescent="0.25">
      <c r="A7845" s="5">
        <v>33308</v>
      </c>
      <c r="B7845">
        <v>372.95999145507801</v>
      </c>
    </row>
    <row r="7846" spans="1:2" x14ac:dyDescent="0.25">
      <c r="A7846" s="5">
        <v>33309</v>
      </c>
      <c r="B7846">
        <v>370.02999877929699</v>
      </c>
    </row>
    <row r="7847" spans="1:2" x14ac:dyDescent="0.25">
      <c r="A7847" s="5">
        <v>33310</v>
      </c>
      <c r="B7847">
        <v>374.57000732421898</v>
      </c>
    </row>
    <row r="7848" spans="1:2" x14ac:dyDescent="0.25">
      <c r="A7848" s="5">
        <v>33311</v>
      </c>
      <c r="B7848">
        <v>373.5</v>
      </c>
    </row>
    <row r="7849" spans="1:2" x14ac:dyDescent="0.25">
      <c r="A7849" s="5">
        <v>33312</v>
      </c>
      <c r="B7849">
        <v>373.58999633789102</v>
      </c>
    </row>
    <row r="7850" spans="1:2" x14ac:dyDescent="0.25">
      <c r="A7850" s="5">
        <v>33315</v>
      </c>
      <c r="B7850">
        <v>372.10998535156199</v>
      </c>
    </row>
    <row r="7851" spans="1:2" x14ac:dyDescent="0.25">
      <c r="A7851" s="5">
        <v>33316</v>
      </c>
      <c r="B7851">
        <v>366.58999633789102</v>
      </c>
    </row>
    <row r="7852" spans="1:2" x14ac:dyDescent="0.25">
      <c r="A7852" s="5">
        <v>33317</v>
      </c>
      <c r="B7852">
        <v>367.92001342773398</v>
      </c>
    </row>
    <row r="7853" spans="1:2" x14ac:dyDescent="0.25">
      <c r="A7853" s="5">
        <v>33318</v>
      </c>
      <c r="B7853">
        <v>366.57998657226602</v>
      </c>
    </row>
    <row r="7854" spans="1:2" x14ac:dyDescent="0.25">
      <c r="A7854" s="5">
        <v>33319</v>
      </c>
      <c r="B7854">
        <v>367.48001098632801</v>
      </c>
    </row>
    <row r="7855" spans="1:2" x14ac:dyDescent="0.25">
      <c r="A7855" s="5">
        <v>33322</v>
      </c>
      <c r="B7855">
        <v>369.82998657226602</v>
      </c>
    </row>
    <row r="7856" spans="1:2" x14ac:dyDescent="0.25">
      <c r="A7856" s="5">
        <v>33323</v>
      </c>
      <c r="B7856">
        <v>376.29998779296898</v>
      </c>
    </row>
    <row r="7857" spans="1:2" x14ac:dyDescent="0.25">
      <c r="A7857" s="5">
        <v>33324</v>
      </c>
      <c r="B7857">
        <v>375.35000610351602</v>
      </c>
    </row>
    <row r="7858" spans="1:2" x14ac:dyDescent="0.25">
      <c r="A7858" s="5">
        <v>33325</v>
      </c>
      <c r="B7858">
        <v>375.22000122070301</v>
      </c>
    </row>
    <row r="7859" spans="1:2" x14ac:dyDescent="0.25">
      <c r="A7859" s="5">
        <v>33329</v>
      </c>
      <c r="B7859">
        <v>371.29998779296898</v>
      </c>
    </row>
    <row r="7860" spans="1:2" x14ac:dyDescent="0.25">
      <c r="A7860" s="5">
        <v>33330</v>
      </c>
      <c r="B7860">
        <v>379.5</v>
      </c>
    </row>
    <row r="7861" spans="1:2" x14ac:dyDescent="0.25">
      <c r="A7861" s="5">
        <v>33331</v>
      </c>
      <c r="B7861">
        <v>378.94000244140602</v>
      </c>
    </row>
    <row r="7862" spans="1:2" x14ac:dyDescent="0.25">
      <c r="A7862" s="5">
        <v>33332</v>
      </c>
      <c r="B7862">
        <v>379.76998901367199</v>
      </c>
    </row>
    <row r="7863" spans="1:2" x14ac:dyDescent="0.25">
      <c r="A7863" s="5">
        <v>33333</v>
      </c>
      <c r="B7863">
        <v>375.35998535156199</v>
      </c>
    </row>
    <row r="7864" spans="1:2" x14ac:dyDescent="0.25">
      <c r="A7864" s="5">
        <v>33336</v>
      </c>
      <c r="B7864">
        <v>378.66000366210898</v>
      </c>
    </row>
    <row r="7865" spans="1:2" x14ac:dyDescent="0.25">
      <c r="A7865" s="5">
        <v>33337</v>
      </c>
      <c r="B7865">
        <v>373.55999755859398</v>
      </c>
    </row>
    <row r="7866" spans="1:2" x14ac:dyDescent="0.25">
      <c r="A7866" s="5">
        <v>33338</v>
      </c>
      <c r="B7866">
        <v>373.14999389648398</v>
      </c>
    </row>
    <row r="7867" spans="1:2" x14ac:dyDescent="0.25">
      <c r="A7867" s="5">
        <v>33339</v>
      </c>
      <c r="B7867">
        <v>377.63000488281199</v>
      </c>
    </row>
    <row r="7868" spans="1:2" x14ac:dyDescent="0.25">
      <c r="A7868" s="5">
        <v>33340</v>
      </c>
      <c r="B7868">
        <v>380.39999389648398</v>
      </c>
    </row>
    <row r="7869" spans="1:2" x14ac:dyDescent="0.25">
      <c r="A7869" s="5">
        <v>33343</v>
      </c>
      <c r="B7869">
        <v>381.19000244140602</v>
      </c>
    </row>
    <row r="7870" spans="1:2" x14ac:dyDescent="0.25">
      <c r="A7870" s="5">
        <v>33344</v>
      </c>
      <c r="B7870">
        <v>387.61999511718801</v>
      </c>
    </row>
    <row r="7871" spans="1:2" x14ac:dyDescent="0.25">
      <c r="A7871" s="5">
        <v>33345</v>
      </c>
      <c r="B7871">
        <v>390.45001220703102</v>
      </c>
    </row>
    <row r="7872" spans="1:2" x14ac:dyDescent="0.25">
      <c r="A7872" s="5">
        <v>33346</v>
      </c>
      <c r="B7872">
        <v>388.45999145507801</v>
      </c>
    </row>
    <row r="7873" spans="1:2" x14ac:dyDescent="0.25">
      <c r="A7873" s="5">
        <v>33347</v>
      </c>
      <c r="B7873">
        <v>384.20001220703102</v>
      </c>
    </row>
    <row r="7874" spans="1:2" x14ac:dyDescent="0.25">
      <c r="A7874" s="5">
        <v>33350</v>
      </c>
      <c r="B7874">
        <v>380.95001220703102</v>
      </c>
    </row>
    <row r="7875" spans="1:2" x14ac:dyDescent="0.25">
      <c r="A7875" s="5">
        <v>33351</v>
      </c>
      <c r="B7875">
        <v>381.760009765625</v>
      </c>
    </row>
    <row r="7876" spans="1:2" x14ac:dyDescent="0.25">
      <c r="A7876" s="5">
        <v>33352</v>
      </c>
      <c r="B7876">
        <v>382.760009765625</v>
      </c>
    </row>
    <row r="7877" spans="1:2" x14ac:dyDescent="0.25">
      <c r="A7877" s="5">
        <v>33353</v>
      </c>
      <c r="B7877">
        <v>379.25</v>
      </c>
    </row>
    <row r="7878" spans="1:2" x14ac:dyDescent="0.25">
      <c r="A7878" s="5">
        <v>33354</v>
      </c>
      <c r="B7878">
        <v>379.01998901367199</v>
      </c>
    </row>
    <row r="7879" spans="1:2" x14ac:dyDescent="0.25">
      <c r="A7879" s="5">
        <v>33357</v>
      </c>
      <c r="B7879">
        <v>373.66000366210898</v>
      </c>
    </row>
    <row r="7880" spans="1:2" x14ac:dyDescent="0.25">
      <c r="A7880" s="5">
        <v>33358</v>
      </c>
      <c r="B7880">
        <v>375.33999633789102</v>
      </c>
    </row>
    <row r="7881" spans="1:2" x14ac:dyDescent="0.25">
      <c r="A7881" s="5">
        <v>33359</v>
      </c>
      <c r="B7881">
        <v>380.29000854492199</v>
      </c>
    </row>
    <row r="7882" spans="1:2" x14ac:dyDescent="0.25">
      <c r="A7882" s="5">
        <v>33360</v>
      </c>
      <c r="B7882">
        <v>380.51998901367199</v>
      </c>
    </row>
    <row r="7883" spans="1:2" x14ac:dyDescent="0.25">
      <c r="A7883" s="5">
        <v>33361</v>
      </c>
      <c r="B7883">
        <v>380.79998779296898</v>
      </c>
    </row>
    <row r="7884" spans="1:2" x14ac:dyDescent="0.25">
      <c r="A7884" s="5">
        <v>33364</v>
      </c>
      <c r="B7884">
        <v>380.07998657226602</v>
      </c>
    </row>
    <row r="7885" spans="1:2" x14ac:dyDescent="0.25">
      <c r="A7885" s="5">
        <v>33365</v>
      </c>
      <c r="B7885">
        <v>377.32000732421898</v>
      </c>
    </row>
    <row r="7886" spans="1:2" x14ac:dyDescent="0.25">
      <c r="A7886" s="5">
        <v>33366</v>
      </c>
      <c r="B7886">
        <v>378.510009765625</v>
      </c>
    </row>
    <row r="7887" spans="1:2" x14ac:dyDescent="0.25">
      <c r="A7887" s="5">
        <v>33367</v>
      </c>
      <c r="B7887">
        <v>383.25</v>
      </c>
    </row>
    <row r="7888" spans="1:2" x14ac:dyDescent="0.25">
      <c r="A7888" s="5">
        <v>33368</v>
      </c>
      <c r="B7888">
        <v>375.739990234375</v>
      </c>
    </row>
    <row r="7889" spans="1:2" x14ac:dyDescent="0.25">
      <c r="A7889" s="5">
        <v>33371</v>
      </c>
      <c r="B7889">
        <v>376.760009765625</v>
      </c>
    </row>
    <row r="7890" spans="1:2" x14ac:dyDescent="0.25">
      <c r="A7890" s="5">
        <v>33372</v>
      </c>
      <c r="B7890">
        <v>371.61999511718801</v>
      </c>
    </row>
    <row r="7891" spans="1:2" x14ac:dyDescent="0.25">
      <c r="A7891" s="5">
        <v>33373</v>
      </c>
      <c r="B7891">
        <v>368.57000732421898</v>
      </c>
    </row>
    <row r="7892" spans="1:2" x14ac:dyDescent="0.25">
      <c r="A7892" s="5">
        <v>33374</v>
      </c>
      <c r="B7892">
        <v>372.19000244140602</v>
      </c>
    </row>
    <row r="7893" spans="1:2" x14ac:dyDescent="0.25">
      <c r="A7893" s="5">
        <v>33375</v>
      </c>
      <c r="B7893">
        <v>372.39001464843801</v>
      </c>
    </row>
    <row r="7894" spans="1:2" x14ac:dyDescent="0.25">
      <c r="A7894" s="5">
        <v>33378</v>
      </c>
      <c r="B7894">
        <v>372.27999877929699</v>
      </c>
    </row>
    <row r="7895" spans="1:2" x14ac:dyDescent="0.25">
      <c r="A7895" s="5">
        <v>33379</v>
      </c>
      <c r="B7895">
        <v>375.35000610351602</v>
      </c>
    </row>
    <row r="7896" spans="1:2" x14ac:dyDescent="0.25">
      <c r="A7896" s="5">
        <v>33380</v>
      </c>
      <c r="B7896">
        <v>376.19000244140602</v>
      </c>
    </row>
    <row r="7897" spans="1:2" x14ac:dyDescent="0.25">
      <c r="A7897" s="5">
        <v>33381</v>
      </c>
      <c r="B7897">
        <v>374.95999145507801</v>
      </c>
    </row>
    <row r="7898" spans="1:2" x14ac:dyDescent="0.25">
      <c r="A7898" s="5">
        <v>33382</v>
      </c>
      <c r="B7898">
        <v>377.489990234375</v>
      </c>
    </row>
    <row r="7899" spans="1:2" x14ac:dyDescent="0.25">
      <c r="A7899" s="5">
        <v>33386</v>
      </c>
      <c r="B7899">
        <v>381.94000244140602</v>
      </c>
    </row>
    <row r="7900" spans="1:2" x14ac:dyDescent="0.25">
      <c r="A7900" s="5">
        <v>33387</v>
      </c>
      <c r="B7900">
        <v>382.79000854492199</v>
      </c>
    </row>
    <row r="7901" spans="1:2" x14ac:dyDescent="0.25">
      <c r="A7901" s="5">
        <v>33388</v>
      </c>
      <c r="B7901">
        <v>386.95999145507801</v>
      </c>
    </row>
    <row r="7902" spans="1:2" x14ac:dyDescent="0.25">
      <c r="A7902" s="5">
        <v>33389</v>
      </c>
      <c r="B7902">
        <v>389.82998657226602</v>
      </c>
    </row>
    <row r="7903" spans="1:2" x14ac:dyDescent="0.25">
      <c r="A7903" s="5">
        <v>33392</v>
      </c>
      <c r="B7903">
        <v>388.05999755859398</v>
      </c>
    </row>
    <row r="7904" spans="1:2" x14ac:dyDescent="0.25">
      <c r="A7904" s="5">
        <v>33393</v>
      </c>
      <c r="B7904">
        <v>387.739990234375</v>
      </c>
    </row>
    <row r="7905" spans="1:2" x14ac:dyDescent="0.25">
      <c r="A7905" s="5">
        <v>33394</v>
      </c>
      <c r="B7905">
        <v>385.08999633789102</v>
      </c>
    </row>
    <row r="7906" spans="1:2" x14ac:dyDescent="0.25">
      <c r="A7906" s="5">
        <v>33395</v>
      </c>
      <c r="B7906">
        <v>383.63000488281199</v>
      </c>
    </row>
    <row r="7907" spans="1:2" x14ac:dyDescent="0.25">
      <c r="A7907" s="5">
        <v>33396</v>
      </c>
      <c r="B7907">
        <v>379.42999267578102</v>
      </c>
    </row>
    <row r="7908" spans="1:2" x14ac:dyDescent="0.25">
      <c r="A7908" s="5">
        <v>33399</v>
      </c>
      <c r="B7908">
        <v>378.57000732421898</v>
      </c>
    </row>
    <row r="7909" spans="1:2" x14ac:dyDescent="0.25">
      <c r="A7909" s="5">
        <v>33400</v>
      </c>
      <c r="B7909">
        <v>381.04998779296898</v>
      </c>
    </row>
    <row r="7910" spans="1:2" x14ac:dyDescent="0.25">
      <c r="A7910" s="5">
        <v>33401</v>
      </c>
      <c r="B7910">
        <v>376.64999389648398</v>
      </c>
    </row>
    <row r="7911" spans="1:2" x14ac:dyDescent="0.25">
      <c r="A7911" s="5">
        <v>33402</v>
      </c>
      <c r="B7911">
        <v>377.63000488281199</v>
      </c>
    </row>
    <row r="7912" spans="1:2" x14ac:dyDescent="0.25">
      <c r="A7912" s="5">
        <v>33403</v>
      </c>
      <c r="B7912">
        <v>382.29000854492199</v>
      </c>
    </row>
    <row r="7913" spans="1:2" x14ac:dyDescent="0.25">
      <c r="A7913" s="5">
        <v>33406</v>
      </c>
      <c r="B7913">
        <v>380.13000488281199</v>
      </c>
    </row>
    <row r="7914" spans="1:2" x14ac:dyDescent="0.25">
      <c r="A7914" s="5">
        <v>33407</v>
      </c>
      <c r="B7914">
        <v>378.58999633789102</v>
      </c>
    </row>
    <row r="7915" spans="1:2" x14ac:dyDescent="0.25">
      <c r="A7915" s="5">
        <v>33408</v>
      </c>
      <c r="B7915">
        <v>375.08999633789102</v>
      </c>
    </row>
    <row r="7916" spans="1:2" x14ac:dyDescent="0.25">
      <c r="A7916" s="5">
        <v>33409</v>
      </c>
      <c r="B7916">
        <v>375.42001342773398</v>
      </c>
    </row>
    <row r="7917" spans="1:2" x14ac:dyDescent="0.25">
      <c r="A7917" s="5">
        <v>33410</v>
      </c>
      <c r="B7917">
        <v>377.75</v>
      </c>
    </row>
    <row r="7918" spans="1:2" x14ac:dyDescent="0.25">
      <c r="A7918" s="5">
        <v>33413</v>
      </c>
      <c r="B7918">
        <v>370.94000244140602</v>
      </c>
    </row>
    <row r="7919" spans="1:2" x14ac:dyDescent="0.25">
      <c r="A7919" s="5">
        <v>33414</v>
      </c>
      <c r="B7919">
        <v>370.64999389648398</v>
      </c>
    </row>
    <row r="7920" spans="1:2" x14ac:dyDescent="0.25">
      <c r="A7920" s="5">
        <v>33415</v>
      </c>
      <c r="B7920">
        <v>371.58999633789102</v>
      </c>
    </row>
    <row r="7921" spans="1:2" x14ac:dyDescent="0.25">
      <c r="A7921" s="5">
        <v>33416</v>
      </c>
      <c r="B7921">
        <v>374.39999389648398</v>
      </c>
    </row>
    <row r="7922" spans="1:2" x14ac:dyDescent="0.25">
      <c r="A7922" s="5">
        <v>33417</v>
      </c>
      <c r="B7922">
        <v>371.16000366210898</v>
      </c>
    </row>
    <row r="7923" spans="1:2" x14ac:dyDescent="0.25">
      <c r="A7923" s="5">
        <v>33420</v>
      </c>
      <c r="B7923">
        <v>377.92001342773398</v>
      </c>
    </row>
    <row r="7924" spans="1:2" x14ac:dyDescent="0.25">
      <c r="A7924" s="5">
        <v>33421</v>
      </c>
      <c r="B7924">
        <v>377.47000122070301</v>
      </c>
    </row>
    <row r="7925" spans="1:2" x14ac:dyDescent="0.25">
      <c r="A7925" s="5">
        <v>33422</v>
      </c>
      <c r="B7925">
        <v>373.32998657226602</v>
      </c>
    </row>
    <row r="7926" spans="1:2" x14ac:dyDescent="0.25">
      <c r="A7926" s="5">
        <v>33424</v>
      </c>
      <c r="B7926">
        <v>374.07998657226602</v>
      </c>
    </row>
    <row r="7927" spans="1:2" x14ac:dyDescent="0.25">
      <c r="A7927" s="5">
        <v>33427</v>
      </c>
      <c r="B7927">
        <v>377.94000244140602</v>
      </c>
    </row>
    <row r="7928" spans="1:2" x14ac:dyDescent="0.25">
      <c r="A7928" s="5">
        <v>33428</v>
      </c>
      <c r="B7928">
        <v>376.10998535156199</v>
      </c>
    </row>
    <row r="7929" spans="1:2" x14ac:dyDescent="0.25">
      <c r="A7929" s="5">
        <v>33429</v>
      </c>
      <c r="B7929">
        <v>375.739990234375</v>
      </c>
    </row>
    <row r="7930" spans="1:2" x14ac:dyDescent="0.25">
      <c r="A7930" s="5">
        <v>33430</v>
      </c>
      <c r="B7930">
        <v>376.97000122070301</v>
      </c>
    </row>
    <row r="7931" spans="1:2" x14ac:dyDescent="0.25">
      <c r="A7931" s="5">
        <v>33431</v>
      </c>
      <c r="B7931">
        <v>380.25</v>
      </c>
    </row>
    <row r="7932" spans="1:2" x14ac:dyDescent="0.25">
      <c r="A7932" s="5">
        <v>33434</v>
      </c>
      <c r="B7932">
        <v>382.39001464843801</v>
      </c>
    </row>
    <row r="7933" spans="1:2" x14ac:dyDescent="0.25">
      <c r="A7933" s="5">
        <v>33435</v>
      </c>
      <c r="B7933">
        <v>381.54000854492199</v>
      </c>
    </row>
    <row r="7934" spans="1:2" x14ac:dyDescent="0.25">
      <c r="A7934" s="5">
        <v>33436</v>
      </c>
      <c r="B7934">
        <v>381.17999267578102</v>
      </c>
    </row>
    <row r="7935" spans="1:2" x14ac:dyDescent="0.25">
      <c r="A7935" s="5">
        <v>33437</v>
      </c>
      <c r="B7935">
        <v>385.36999511718801</v>
      </c>
    </row>
    <row r="7936" spans="1:2" x14ac:dyDescent="0.25">
      <c r="A7936" s="5">
        <v>33438</v>
      </c>
      <c r="B7936">
        <v>384.22000122070301</v>
      </c>
    </row>
    <row r="7937" spans="1:2" x14ac:dyDescent="0.25">
      <c r="A7937" s="5">
        <v>33441</v>
      </c>
      <c r="B7937">
        <v>382.88000488281199</v>
      </c>
    </row>
    <row r="7938" spans="1:2" x14ac:dyDescent="0.25">
      <c r="A7938" s="5">
        <v>33442</v>
      </c>
      <c r="B7938">
        <v>379.42001342773398</v>
      </c>
    </row>
    <row r="7939" spans="1:2" x14ac:dyDescent="0.25">
      <c r="A7939" s="5">
        <v>33443</v>
      </c>
      <c r="B7939">
        <v>378.64001464843801</v>
      </c>
    </row>
    <row r="7940" spans="1:2" x14ac:dyDescent="0.25">
      <c r="A7940" s="5">
        <v>33444</v>
      </c>
      <c r="B7940">
        <v>380.95999145507801</v>
      </c>
    </row>
    <row r="7941" spans="1:2" x14ac:dyDescent="0.25">
      <c r="A7941" s="5">
        <v>33445</v>
      </c>
      <c r="B7941">
        <v>380.92999267578102</v>
      </c>
    </row>
    <row r="7942" spans="1:2" x14ac:dyDescent="0.25">
      <c r="A7942" s="5">
        <v>33448</v>
      </c>
      <c r="B7942">
        <v>383.14999389648398</v>
      </c>
    </row>
    <row r="7943" spans="1:2" x14ac:dyDescent="0.25">
      <c r="A7943" s="5">
        <v>33449</v>
      </c>
      <c r="B7943">
        <v>386.69000244140602</v>
      </c>
    </row>
    <row r="7944" spans="1:2" x14ac:dyDescent="0.25">
      <c r="A7944" s="5">
        <v>33450</v>
      </c>
      <c r="B7944">
        <v>387.80999755859398</v>
      </c>
    </row>
    <row r="7945" spans="1:2" x14ac:dyDescent="0.25">
      <c r="A7945" s="5">
        <v>33451</v>
      </c>
      <c r="B7945">
        <v>387.11999511718801</v>
      </c>
    </row>
    <row r="7946" spans="1:2" x14ac:dyDescent="0.25">
      <c r="A7946" s="5">
        <v>33452</v>
      </c>
      <c r="B7946">
        <v>387.17999267578102</v>
      </c>
    </row>
    <row r="7947" spans="1:2" x14ac:dyDescent="0.25">
      <c r="A7947" s="5">
        <v>33455</v>
      </c>
      <c r="B7947">
        <v>385.05999755859398</v>
      </c>
    </row>
    <row r="7948" spans="1:2" x14ac:dyDescent="0.25">
      <c r="A7948" s="5">
        <v>33456</v>
      </c>
      <c r="B7948">
        <v>390.61999511718801</v>
      </c>
    </row>
    <row r="7949" spans="1:2" x14ac:dyDescent="0.25">
      <c r="A7949" s="5">
        <v>33457</v>
      </c>
      <c r="B7949">
        <v>390.55999755859398</v>
      </c>
    </row>
    <row r="7950" spans="1:2" x14ac:dyDescent="0.25">
      <c r="A7950" s="5">
        <v>33458</v>
      </c>
      <c r="B7950">
        <v>389.32000732421898</v>
      </c>
    </row>
    <row r="7951" spans="1:2" x14ac:dyDescent="0.25">
      <c r="A7951" s="5">
        <v>33459</v>
      </c>
      <c r="B7951">
        <v>387.11999511718801</v>
      </c>
    </row>
    <row r="7952" spans="1:2" x14ac:dyDescent="0.25">
      <c r="A7952" s="5">
        <v>33462</v>
      </c>
      <c r="B7952">
        <v>388.01998901367199</v>
      </c>
    </row>
    <row r="7953" spans="1:2" x14ac:dyDescent="0.25">
      <c r="A7953" s="5">
        <v>33463</v>
      </c>
      <c r="B7953">
        <v>389.61999511718801</v>
      </c>
    </row>
    <row r="7954" spans="1:2" x14ac:dyDescent="0.25">
      <c r="A7954" s="5">
        <v>33464</v>
      </c>
      <c r="B7954">
        <v>389.89999389648398</v>
      </c>
    </row>
    <row r="7955" spans="1:2" x14ac:dyDescent="0.25">
      <c r="A7955" s="5">
        <v>33465</v>
      </c>
      <c r="B7955">
        <v>389.32998657226602</v>
      </c>
    </row>
    <row r="7956" spans="1:2" x14ac:dyDescent="0.25">
      <c r="A7956" s="5">
        <v>33466</v>
      </c>
      <c r="B7956">
        <v>385.57998657226602</v>
      </c>
    </row>
    <row r="7957" spans="1:2" x14ac:dyDescent="0.25">
      <c r="A7957" s="5">
        <v>33469</v>
      </c>
      <c r="B7957">
        <v>376.47000122070301</v>
      </c>
    </row>
    <row r="7958" spans="1:2" x14ac:dyDescent="0.25">
      <c r="A7958" s="5">
        <v>33470</v>
      </c>
      <c r="B7958">
        <v>379.42999267578102</v>
      </c>
    </row>
    <row r="7959" spans="1:2" x14ac:dyDescent="0.25">
      <c r="A7959" s="5">
        <v>33471</v>
      </c>
      <c r="B7959">
        <v>390.58999633789102</v>
      </c>
    </row>
    <row r="7960" spans="1:2" x14ac:dyDescent="0.25">
      <c r="A7960" s="5">
        <v>33472</v>
      </c>
      <c r="B7960">
        <v>391.32998657226602</v>
      </c>
    </row>
    <row r="7961" spans="1:2" x14ac:dyDescent="0.25">
      <c r="A7961" s="5">
        <v>33473</v>
      </c>
      <c r="B7961">
        <v>394.17001342773398</v>
      </c>
    </row>
    <row r="7962" spans="1:2" x14ac:dyDescent="0.25">
      <c r="A7962" s="5">
        <v>33476</v>
      </c>
      <c r="B7962">
        <v>393.85000610351602</v>
      </c>
    </row>
    <row r="7963" spans="1:2" x14ac:dyDescent="0.25">
      <c r="A7963" s="5">
        <v>33477</v>
      </c>
      <c r="B7963">
        <v>393.05999755859398</v>
      </c>
    </row>
    <row r="7964" spans="1:2" x14ac:dyDescent="0.25">
      <c r="A7964" s="5">
        <v>33478</v>
      </c>
      <c r="B7964">
        <v>396.64001464843801</v>
      </c>
    </row>
    <row r="7965" spans="1:2" x14ac:dyDescent="0.25">
      <c r="A7965" s="5">
        <v>33479</v>
      </c>
      <c r="B7965">
        <v>396.47000122070301</v>
      </c>
    </row>
    <row r="7966" spans="1:2" x14ac:dyDescent="0.25">
      <c r="A7966" s="5">
        <v>33480</v>
      </c>
      <c r="B7966">
        <v>395.42999267578102</v>
      </c>
    </row>
    <row r="7967" spans="1:2" x14ac:dyDescent="0.25">
      <c r="A7967" s="5">
        <v>33484</v>
      </c>
      <c r="B7967">
        <v>392.14999389648398</v>
      </c>
    </row>
    <row r="7968" spans="1:2" x14ac:dyDescent="0.25">
      <c r="A7968" s="5">
        <v>33485</v>
      </c>
      <c r="B7968">
        <v>389.97000122070301</v>
      </c>
    </row>
    <row r="7969" spans="1:2" x14ac:dyDescent="0.25">
      <c r="A7969" s="5">
        <v>33486</v>
      </c>
      <c r="B7969">
        <v>389.14001464843801</v>
      </c>
    </row>
    <row r="7970" spans="1:2" x14ac:dyDescent="0.25">
      <c r="A7970" s="5">
        <v>33487</v>
      </c>
      <c r="B7970">
        <v>389.10000610351602</v>
      </c>
    </row>
    <row r="7971" spans="1:2" x14ac:dyDescent="0.25">
      <c r="A7971" s="5">
        <v>33490</v>
      </c>
      <c r="B7971">
        <v>388.57000732421898</v>
      </c>
    </row>
    <row r="7972" spans="1:2" x14ac:dyDescent="0.25">
      <c r="A7972" s="5">
        <v>33491</v>
      </c>
      <c r="B7972">
        <v>384.55999755859398</v>
      </c>
    </row>
    <row r="7973" spans="1:2" x14ac:dyDescent="0.25">
      <c r="A7973" s="5">
        <v>33492</v>
      </c>
      <c r="B7973">
        <v>385.08999633789102</v>
      </c>
    </row>
    <row r="7974" spans="1:2" x14ac:dyDescent="0.25">
      <c r="A7974" s="5">
        <v>33493</v>
      </c>
      <c r="B7974">
        <v>387.33999633789102</v>
      </c>
    </row>
    <row r="7975" spans="1:2" x14ac:dyDescent="0.25">
      <c r="A7975" s="5">
        <v>33494</v>
      </c>
      <c r="B7975">
        <v>383.58999633789102</v>
      </c>
    </row>
    <row r="7976" spans="1:2" x14ac:dyDescent="0.25">
      <c r="A7976" s="5">
        <v>33497</v>
      </c>
      <c r="B7976">
        <v>385.77999877929699</v>
      </c>
    </row>
    <row r="7977" spans="1:2" x14ac:dyDescent="0.25">
      <c r="A7977" s="5">
        <v>33498</v>
      </c>
      <c r="B7977">
        <v>385.5</v>
      </c>
    </row>
    <row r="7978" spans="1:2" x14ac:dyDescent="0.25">
      <c r="A7978" s="5">
        <v>33499</v>
      </c>
      <c r="B7978">
        <v>386.94000244140602</v>
      </c>
    </row>
    <row r="7979" spans="1:2" x14ac:dyDescent="0.25">
      <c r="A7979" s="5">
        <v>33500</v>
      </c>
      <c r="B7979">
        <v>387.55999755859398</v>
      </c>
    </row>
    <row r="7980" spans="1:2" x14ac:dyDescent="0.25">
      <c r="A7980" s="5">
        <v>33501</v>
      </c>
      <c r="B7980">
        <v>387.92001342773398</v>
      </c>
    </row>
    <row r="7981" spans="1:2" x14ac:dyDescent="0.25">
      <c r="A7981" s="5">
        <v>33504</v>
      </c>
      <c r="B7981">
        <v>385.92001342773398</v>
      </c>
    </row>
    <row r="7982" spans="1:2" x14ac:dyDescent="0.25">
      <c r="A7982" s="5">
        <v>33505</v>
      </c>
      <c r="B7982">
        <v>387.70999145507801</v>
      </c>
    </row>
    <row r="7983" spans="1:2" x14ac:dyDescent="0.25">
      <c r="A7983" s="5">
        <v>33506</v>
      </c>
      <c r="B7983">
        <v>386.88000488281199</v>
      </c>
    </row>
    <row r="7984" spans="1:2" x14ac:dyDescent="0.25">
      <c r="A7984" s="5">
        <v>33507</v>
      </c>
      <c r="B7984">
        <v>386.489990234375</v>
      </c>
    </row>
    <row r="7985" spans="1:2" x14ac:dyDescent="0.25">
      <c r="A7985" s="5">
        <v>33508</v>
      </c>
      <c r="B7985">
        <v>385.89999389648398</v>
      </c>
    </row>
    <row r="7986" spans="1:2" x14ac:dyDescent="0.25">
      <c r="A7986" s="5">
        <v>33511</v>
      </c>
      <c r="B7986">
        <v>387.85998535156199</v>
      </c>
    </row>
    <row r="7987" spans="1:2" x14ac:dyDescent="0.25">
      <c r="A7987" s="5">
        <v>33512</v>
      </c>
      <c r="B7987">
        <v>389.20001220703102</v>
      </c>
    </row>
    <row r="7988" spans="1:2" x14ac:dyDescent="0.25">
      <c r="A7988" s="5">
        <v>33513</v>
      </c>
      <c r="B7988">
        <v>388.260009765625</v>
      </c>
    </row>
    <row r="7989" spans="1:2" x14ac:dyDescent="0.25">
      <c r="A7989" s="5">
        <v>33514</v>
      </c>
      <c r="B7989">
        <v>384.47000122070301</v>
      </c>
    </row>
    <row r="7990" spans="1:2" x14ac:dyDescent="0.25">
      <c r="A7990" s="5">
        <v>33515</v>
      </c>
      <c r="B7990">
        <v>381.25</v>
      </c>
    </row>
    <row r="7991" spans="1:2" x14ac:dyDescent="0.25">
      <c r="A7991" s="5">
        <v>33518</v>
      </c>
      <c r="B7991">
        <v>379.5</v>
      </c>
    </row>
    <row r="7992" spans="1:2" x14ac:dyDescent="0.25">
      <c r="A7992" s="5">
        <v>33519</v>
      </c>
      <c r="B7992">
        <v>380.67001342773398</v>
      </c>
    </row>
    <row r="7993" spans="1:2" x14ac:dyDescent="0.25">
      <c r="A7993" s="5">
        <v>33520</v>
      </c>
      <c r="B7993">
        <v>376.79998779296898</v>
      </c>
    </row>
    <row r="7994" spans="1:2" x14ac:dyDescent="0.25">
      <c r="A7994" s="5">
        <v>33521</v>
      </c>
      <c r="B7994">
        <v>380.54998779296898</v>
      </c>
    </row>
    <row r="7995" spans="1:2" x14ac:dyDescent="0.25">
      <c r="A7995" s="5">
        <v>33522</v>
      </c>
      <c r="B7995">
        <v>381.45001220703102</v>
      </c>
    </row>
    <row r="7996" spans="1:2" x14ac:dyDescent="0.25">
      <c r="A7996" s="5">
        <v>33525</v>
      </c>
      <c r="B7996">
        <v>386.47000122070301</v>
      </c>
    </row>
    <row r="7997" spans="1:2" x14ac:dyDescent="0.25">
      <c r="A7997" s="5">
        <v>33526</v>
      </c>
      <c r="B7997">
        <v>391.010009765625</v>
      </c>
    </row>
    <row r="7998" spans="1:2" x14ac:dyDescent="0.25">
      <c r="A7998" s="5">
        <v>33527</v>
      </c>
      <c r="B7998">
        <v>392.79998779296898</v>
      </c>
    </row>
    <row r="7999" spans="1:2" x14ac:dyDescent="0.25">
      <c r="A7999" s="5">
        <v>33528</v>
      </c>
      <c r="B7999">
        <v>391.92001342773398</v>
      </c>
    </row>
    <row r="8000" spans="1:2" x14ac:dyDescent="0.25">
      <c r="A8000" s="5">
        <v>33529</v>
      </c>
      <c r="B8000">
        <v>392.5</v>
      </c>
    </row>
    <row r="8001" spans="1:2" x14ac:dyDescent="0.25">
      <c r="A8001" s="5">
        <v>33532</v>
      </c>
      <c r="B8001">
        <v>390.01998901367199</v>
      </c>
    </row>
    <row r="8002" spans="1:2" x14ac:dyDescent="0.25">
      <c r="A8002" s="5">
        <v>33533</v>
      </c>
      <c r="B8002">
        <v>387.82998657226602</v>
      </c>
    </row>
    <row r="8003" spans="1:2" x14ac:dyDescent="0.25">
      <c r="A8003" s="5">
        <v>33534</v>
      </c>
      <c r="B8003">
        <v>387.94000244140602</v>
      </c>
    </row>
    <row r="8004" spans="1:2" x14ac:dyDescent="0.25">
      <c r="A8004" s="5">
        <v>33535</v>
      </c>
      <c r="B8004">
        <v>385.07000732421898</v>
      </c>
    </row>
    <row r="8005" spans="1:2" x14ac:dyDescent="0.25">
      <c r="A8005" s="5">
        <v>33536</v>
      </c>
      <c r="B8005">
        <v>384.20001220703102</v>
      </c>
    </row>
    <row r="8006" spans="1:2" x14ac:dyDescent="0.25">
      <c r="A8006" s="5">
        <v>33539</v>
      </c>
      <c r="B8006">
        <v>389.51998901367199</v>
      </c>
    </row>
    <row r="8007" spans="1:2" x14ac:dyDescent="0.25">
      <c r="A8007" s="5">
        <v>33540</v>
      </c>
      <c r="B8007">
        <v>391.48001098632801</v>
      </c>
    </row>
    <row r="8008" spans="1:2" x14ac:dyDescent="0.25">
      <c r="A8008" s="5">
        <v>33541</v>
      </c>
      <c r="B8008">
        <v>392.95999145507801</v>
      </c>
    </row>
    <row r="8009" spans="1:2" x14ac:dyDescent="0.25">
      <c r="A8009" s="5">
        <v>33542</v>
      </c>
      <c r="B8009">
        <v>392.45001220703102</v>
      </c>
    </row>
    <row r="8010" spans="1:2" x14ac:dyDescent="0.25">
      <c r="A8010" s="5">
        <v>33543</v>
      </c>
      <c r="B8010">
        <v>391.32000732421898</v>
      </c>
    </row>
    <row r="8011" spans="1:2" x14ac:dyDescent="0.25">
      <c r="A8011" s="5">
        <v>33546</v>
      </c>
      <c r="B8011">
        <v>390.27999877929699</v>
      </c>
    </row>
    <row r="8012" spans="1:2" x14ac:dyDescent="0.25">
      <c r="A8012" s="5">
        <v>33547</v>
      </c>
      <c r="B8012">
        <v>388.70999145507801</v>
      </c>
    </row>
    <row r="8013" spans="1:2" x14ac:dyDescent="0.25">
      <c r="A8013" s="5">
        <v>33548</v>
      </c>
      <c r="B8013">
        <v>389.97000122070301</v>
      </c>
    </row>
    <row r="8014" spans="1:2" x14ac:dyDescent="0.25">
      <c r="A8014" s="5">
        <v>33549</v>
      </c>
      <c r="B8014">
        <v>393.72000122070301</v>
      </c>
    </row>
    <row r="8015" spans="1:2" x14ac:dyDescent="0.25">
      <c r="A8015" s="5">
        <v>33550</v>
      </c>
      <c r="B8015">
        <v>392.89001464843801</v>
      </c>
    </row>
    <row r="8016" spans="1:2" x14ac:dyDescent="0.25">
      <c r="A8016" s="5">
        <v>33553</v>
      </c>
      <c r="B8016">
        <v>393.11999511718801</v>
      </c>
    </row>
    <row r="8017" spans="1:2" x14ac:dyDescent="0.25">
      <c r="A8017" s="5">
        <v>33554</v>
      </c>
      <c r="B8017">
        <v>396.739990234375</v>
      </c>
    </row>
    <row r="8018" spans="1:2" x14ac:dyDescent="0.25">
      <c r="A8018" s="5">
        <v>33555</v>
      </c>
      <c r="B8018">
        <v>397.41000366210898</v>
      </c>
    </row>
    <row r="8019" spans="1:2" x14ac:dyDescent="0.25">
      <c r="A8019" s="5">
        <v>33556</v>
      </c>
      <c r="B8019">
        <v>397.14999389648398</v>
      </c>
    </row>
    <row r="8020" spans="1:2" x14ac:dyDescent="0.25">
      <c r="A8020" s="5">
        <v>33557</v>
      </c>
      <c r="B8020">
        <v>382.61999511718801</v>
      </c>
    </row>
    <row r="8021" spans="1:2" x14ac:dyDescent="0.25">
      <c r="A8021" s="5">
        <v>33560</v>
      </c>
      <c r="B8021">
        <v>385.239990234375</v>
      </c>
    </row>
    <row r="8022" spans="1:2" x14ac:dyDescent="0.25">
      <c r="A8022" s="5">
        <v>33561</v>
      </c>
      <c r="B8022">
        <v>379.42001342773398</v>
      </c>
    </row>
    <row r="8023" spans="1:2" x14ac:dyDescent="0.25">
      <c r="A8023" s="5">
        <v>33562</v>
      </c>
      <c r="B8023">
        <v>378.52999877929699</v>
      </c>
    </row>
    <row r="8024" spans="1:2" x14ac:dyDescent="0.25">
      <c r="A8024" s="5">
        <v>33563</v>
      </c>
      <c r="B8024">
        <v>380.05999755859398</v>
      </c>
    </row>
    <row r="8025" spans="1:2" x14ac:dyDescent="0.25">
      <c r="A8025" s="5">
        <v>33564</v>
      </c>
      <c r="B8025">
        <v>376.14001464843801</v>
      </c>
    </row>
    <row r="8026" spans="1:2" x14ac:dyDescent="0.25">
      <c r="A8026" s="5">
        <v>33567</v>
      </c>
      <c r="B8026">
        <v>375.33999633789102</v>
      </c>
    </row>
    <row r="8027" spans="1:2" x14ac:dyDescent="0.25">
      <c r="A8027" s="5">
        <v>33568</v>
      </c>
      <c r="B8027">
        <v>377.95999145507801</v>
      </c>
    </row>
    <row r="8028" spans="1:2" x14ac:dyDescent="0.25">
      <c r="A8028" s="5">
        <v>33569</v>
      </c>
      <c r="B8028">
        <v>376.54998779296898</v>
      </c>
    </row>
    <row r="8029" spans="1:2" x14ac:dyDescent="0.25">
      <c r="A8029" s="5">
        <v>33571</v>
      </c>
      <c r="B8029">
        <v>375.22000122070301</v>
      </c>
    </row>
    <row r="8030" spans="1:2" x14ac:dyDescent="0.25">
      <c r="A8030" s="5">
        <v>33574</v>
      </c>
      <c r="B8030">
        <v>381.39999389648398</v>
      </c>
    </row>
    <row r="8031" spans="1:2" x14ac:dyDescent="0.25">
      <c r="A8031" s="5">
        <v>33575</v>
      </c>
      <c r="B8031">
        <v>380.95999145507801</v>
      </c>
    </row>
    <row r="8032" spans="1:2" x14ac:dyDescent="0.25">
      <c r="A8032" s="5">
        <v>33576</v>
      </c>
      <c r="B8032">
        <v>380.07000732421898</v>
      </c>
    </row>
    <row r="8033" spans="1:2" x14ac:dyDescent="0.25">
      <c r="A8033" s="5">
        <v>33577</v>
      </c>
      <c r="B8033">
        <v>377.39001464843801</v>
      </c>
    </row>
    <row r="8034" spans="1:2" x14ac:dyDescent="0.25">
      <c r="A8034" s="5">
        <v>33578</v>
      </c>
      <c r="B8034">
        <v>379.10000610351602</v>
      </c>
    </row>
    <row r="8035" spans="1:2" x14ac:dyDescent="0.25">
      <c r="A8035" s="5">
        <v>33581</v>
      </c>
      <c r="B8035">
        <v>378.260009765625</v>
      </c>
    </row>
    <row r="8036" spans="1:2" x14ac:dyDescent="0.25">
      <c r="A8036" s="5">
        <v>33582</v>
      </c>
      <c r="B8036">
        <v>377.89999389648398</v>
      </c>
    </row>
    <row r="8037" spans="1:2" x14ac:dyDescent="0.25">
      <c r="A8037" s="5">
        <v>33583</v>
      </c>
      <c r="B8037">
        <v>377.70001220703102</v>
      </c>
    </row>
    <row r="8038" spans="1:2" x14ac:dyDescent="0.25">
      <c r="A8038" s="5">
        <v>33584</v>
      </c>
      <c r="B8038">
        <v>381.54998779296898</v>
      </c>
    </row>
    <row r="8039" spans="1:2" x14ac:dyDescent="0.25">
      <c r="A8039" s="5">
        <v>33585</v>
      </c>
      <c r="B8039">
        <v>384.47000122070301</v>
      </c>
    </row>
    <row r="8040" spans="1:2" x14ac:dyDescent="0.25">
      <c r="A8040" s="5">
        <v>33588</v>
      </c>
      <c r="B8040">
        <v>384.45999145507801</v>
      </c>
    </row>
    <row r="8041" spans="1:2" x14ac:dyDescent="0.25">
      <c r="A8041" s="5">
        <v>33589</v>
      </c>
      <c r="B8041">
        <v>382.739990234375</v>
      </c>
    </row>
    <row r="8042" spans="1:2" x14ac:dyDescent="0.25">
      <c r="A8042" s="5">
        <v>33590</v>
      </c>
      <c r="B8042">
        <v>383.48001098632801</v>
      </c>
    </row>
    <row r="8043" spans="1:2" x14ac:dyDescent="0.25">
      <c r="A8043" s="5">
        <v>33591</v>
      </c>
      <c r="B8043">
        <v>382.51998901367199</v>
      </c>
    </row>
    <row r="8044" spans="1:2" x14ac:dyDescent="0.25">
      <c r="A8044" s="5">
        <v>33592</v>
      </c>
      <c r="B8044">
        <v>387.04000854492199</v>
      </c>
    </row>
    <row r="8045" spans="1:2" x14ac:dyDescent="0.25">
      <c r="A8045" s="5">
        <v>33595</v>
      </c>
      <c r="B8045">
        <v>396.82000732421898</v>
      </c>
    </row>
    <row r="8046" spans="1:2" x14ac:dyDescent="0.25">
      <c r="A8046" s="5">
        <v>33596</v>
      </c>
      <c r="B8046">
        <v>399.32998657226602</v>
      </c>
    </row>
    <row r="8047" spans="1:2" x14ac:dyDescent="0.25">
      <c r="A8047" s="5">
        <v>33598</v>
      </c>
      <c r="B8047">
        <v>404.83999633789102</v>
      </c>
    </row>
    <row r="8048" spans="1:2" x14ac:dyDescent="0.25">
      <c r="A8048" s="5">
        <v>33599</v>
      </c>
      <c r="B8048">
        <v>406.45999145507801</v>
      </c>
    </row>
    <row r="8049" spans="1:2" x14ac:dyDescent="0.25">
      <c r="A8049" s="5">
        <v>33602</v>
      </c>
      <c r="B8049">
        <v>415.14001464843801</v>
      </c>
    </row>
    <row r="8050" spans="1:2" x14ac:dyDescent="0.25">
      <c r="A8050" s="5">
        <v>33603</v>
      </c>
      <c r="B8050">
        <v>417.08999633789102</v>
      </c>
    </row>
    <row r="8051" spans="1:2" x14ac:dyDescent="0.25">
      <c r="A8051" s="5">
        <v>33605</v>
      </c>
      <c r="B8051">
        <v>417.260009765625</v>
      </c>
    </row>
    <row r="8052" spans="1:2" x14ac:dyDescent="0.25">
      <c r="A8052" s="5">
        <v>33606</v>
      </c>
      <c r="B8052">
        <v>419.33999633789102</v>
      </c>
    </row>
    <row r="8053" spans="1:2" x14ac:dyDescent="0.25">
      <c r="A8053" s="5">
        <v>33609</v>
      </c>
      <c r="B8053">
        <v>417.95999145507801</v>
      </c>
    </row>
    <row r="8054" spans="1:2" x14ac:dyDescent="0.25">
      <c r="A8054" s="5">
        <v>33610</v>
      </c>
      <c r="B8054">
        <v>417.39999389648398</v>
      </c>
    </row>
    <row r="8055" spans="1:2" x14ac:dyDescent="0.25">
      <c r="A8055" s="5">
        <v>33611</v>
      </c>
      <c r="B8055">
        <v>418.10000610351602</v>
      </c>
    </row>
    <row r="8056" spans="1:2" x14ac:dyDescent="0.25">
      <c r="A8056" s="5">
        <v>33612</v>
      </c>
      <c r="B8056">
        <v>417.60998535156199</v>
      </c>
    </row>
    <row r="8057" spans="1:2" x14ac:dyDescent="0.25">
      <c r="A8057" s="5">
        <v>33613</v>
      </c>
      <c r="B8057">
        <v>415.10000610351602</v>
      </c>
    </row>
    <row r="8058" spans="1:2" x14ac:dyDescent="0.25">
      <c r="A8058" s="5">
        <v>33616</v>
      </c>
      <c r="B8058">
        <v>414.33999633789102</v>
      </c>
    </row>
    <row r="8059" spans="1:2" x14ac:dyDescent="0.25">
      <c r="A8059" s="5">
        <v>33617</v>
      </c>
      <c r="B8059">
        <v>420.44000244140602</v>
      </c>
    </row>
    <row r="8060" spans="1:2" x14ac:dyDescent="0.25">
      <c r="A8060" s="5">
        <v>33618</v>
      </c>
      <c r="B8060">
        <v>420.76998901367199</v>
      </c>
    </row>
    <row r="8061" spans="1:2" x14ac:dyDescent="0.25">
      <c r="A8061" s="5">
        <v>33619</v>
      </c>
      <c r="B8061">
        <v>418.20999145507801</v>
      </c>
    </row>
    <row r="8062" spans="1:2" x14ac:dyDescent="0.25">
      <c r="A8062" s="5">
        <v>33620</v>
      </c>
      <c r="B8062">
        <v>418.85998535156199</v>
      </c>
    </row>
    <row r="8063" spans="1:2" x14ac:dyDescent="0.25">
      <c r="A8063" s="5">
        <v>33623</v>
      </c>
      <c r="B8063">
        <v>416.35998535156199</v>
      </c>
    </row>
    <row r="8064" spans="1:2" x14ac:dyDescent="0.25">
      <c r="A8064" s="5">
        <v>33624</v>
      </c>
      <c r="B8064">
        <v>412.64001464843801</v>
      </c>
    </row>
    <row r="8065" spans="1:2" x14ac:dyDescent="0.25">
      <c r="A8065" s="5">
        <v>33625</v>
      </c>
      <c r="B8065">
        <v>418.13000488281199</v>
      </c>
    </row>
    <row r="8066" spans="1:2" x14ac:dyDescent="0.25">
      <c r="A8066" s="5">
        <v>33626</v>
      </c>
      <c r="B8066">
        <v>414.95999145507801</v>
      </c>
    </row>
    <row r="8067" spans="1:2" x14ac:dyDescent="0.25">
      <c r="A8067" s="5">
        <v>33627</v>
      </c>
      <c r="B8067">
        <v>415.48001098632801</v>
      </c>
    </row>
    <row r="8068" spans="1:2" x14ac:dyDescent="0.25">
      <c r="A8068" s="5">
        <v>33630</v>
      </c>
      <c r="B8068">
        <v>414.989990234375</v>
      </c>
    </row>
    <row r="8069" spans="1:2" x14ac:dyDescent="0.25">
      <c r="A8069" s="5">
        <v>33631</v>
      </c>
      <c r="B8069">
        <v>414.95999145507801</v>
      </c>
    </row>
    <row r="8070" spans="1:2" x14ac:dyDescent="0.25">
      <c r="A8070" s="5">
        <v>33632</v>
      </c>
      <c r="B8070">
        <v>410.33999633789102</v>
      </c>
    </row>
    <row r="8071" spans="1:2" x14ac:dyDescent="0.25">
      <c r="A8071" s="5">
        <v>33633</v>
      </c>
      <c r="B8071">
        <v>411.61999511718801</v>
      </c>
    </row>
    <row r="8072" spans="1:2" x14ac:dyDescent="0.25">
      <c r="A8072" s="5">
        <v>33634</v>
      </c>
      <c r="B8072">
        <v>408.77999877929699</v>
      </c>
    </row>
    <row r="8073" spans="1:2" x14ac:dyDescent="0.25">
      <c r="A8073" s="5">
        <v>33637</v>
      </c>
      <c r="B8073">
        <v>409.52999877929699</v>
      </c>
    </row>
    <row r="8074" spans="1:2" x14ac:dyDescent="0.25">
      <c r="A8074" s="5">
        <v>33638</v>
      </c>
      <c r="B8074">
        <v>413.85000610351602</v>
      </c>
    </row>
    <row r="8075" spans="1:2" x14ac:dyDescent="0.25">
      <c r="A8075" s="5">
        <v>33639</v>
      </c>
      <c r="B8075">
        <v>413.83999633789102</v>
      </c>
    </row>
    <row r="8076" spans="1:2" x14ac:dyDescent="0.25">
      <c r="A8076" s="5">
        <v>33640</v>
      </c>
      <c r="B8076">
        <v>413.82000732421898</v>
      </c>
    </row>
    <row r="8077" spans="1:2" x14ac:dyDescent="0.25">
      <c r="A8077" s="5">
        <v>33641</v>
      </c>
      <c r="B8077">
        <v>411.08999633789102</v>
      </c>
    </row>
    <row r="8078" spans="1:2" x14ac:dyDescent="0.25">
      <c r="A8078" s="5">
        <v>33644</v>
      </c>
      <c r="B8078">
        <v>413.76998901367199</v>
      </c>
    </row>
    <row r="8079" spans="1:2" x14ac:dyDescent="0.25">
      <c r="A8079" s="5">
        <v>33645</v>
      </c>
      <c r="B8079">
        <v>413.760009765625</v>
      </c>
    </row>
    <row r="8080" spans="1:2" x14ac:dyDescent="0.25">
      <c r="A8080" s="5">
        <v>33646</v>
      </c>
      <c r="B8080">
        <v>417.13000488281199</v>
      </c>
    </row>
    <row r="8081" spans="1:2" x14ac:dyDescent="0.25">
      <c r="A8081" s="5">
        <v>33647</v>
      </c>
      <c r="B8081">
        <v>413.69000244140602</v>
      </c>
    </row>
    <row r="8082" spans="1:2" x14ac:dyDescent="0.25">
      <c r="A8082" s="5">
        <v>33648</v>
      </c>
      <c r="B8082">
        <v>412.48001098632801</v>
      </c>
    </row>
    <row r="8083" spans="1:2" x14ac:dyDescent="0.25">
      <c r="A8083" s="5">
        <v>33652</v>
      </c>
      <c r="B8083">
        <v>407.38000488281199</v>
      </c>
    </row>
    <row r="8084" spans="1:2" x14ac:dyDescent="0.25">
      <c r="A8084" s="5">
        <v>33653</v>
      </c>
      <c r="B8084">
        <v>408.260009765625</v>
      </c>
    </row>
    <row r="8085" spans="1:2" x14ac:dyDescent="0.25">
      <c r="A8085" s="5">
        <v>33654</v>
      </c>
      <c r="B8085">
        <v>413.89999389648398</v>
      </c>
    </row>
    <row r="8086" spans="1:2" x14ac:dyDescent="0.25">
      <c r="A8086" s="5">
        <v>33655</v>
      </c>
      <c r="B8086">
        <v>411.42999267578102</v>
      </c>
    </row>
    <row r="8087" spans="1:2" x14ac:dyDescent="0.25">
      <c r="A8087" s="5">
        <v>33658</v>
      </c>
      <c r="B8087">
        <v>412.26998901367199</v>
      </c>
    </row>
    <row r="8088" spans="1:2" x14ac:dyDescent="0.25">
      <c r="A8088" s="5">
        <v>33659</v>
      </c>
      <c r="B8088">
        <v>410.45001220703102</v>
      </c>
    </row>
    <row r="8089" spans="1:2" x14ac:dyDescent="0.25">
      <c r="A8089" s="5">
        <v>33660</v>
      </c>
      <c r="B8089">
        <v>415.35000610351602</v>
      </c>
    </row>
    <row r="8090" spans="1:2" x14ac:dyDescent="0.25">
      <c r="A8090" s="5">
        <v>33661</v>
      </c>
      <c r="B8090">
        <v>413.85998535156199</v>
      </c>
    </row>
    <row r="8091" spans="1:2" x14ac:dyDescent="0.25">
      <c r="A8091" s="5">
        <v>33662</v>
      </c>
      <c r="B8091">
        <v>412.70001220703102</v>
      </c>
    </row>
    <row r="8092" spans="1:2" x14ac:dyDescent="0.25">
      <c r="A8092" s="5">
        <v>33665</v>
      </c>
      <c r="B8092">
        <v>412.45001220703102</v>
      </c>
    </row>
    <row r="8093" spans="1:2" x14ac:dyDescent="0.25">
      <c r="A8093" s="5">
        <v>33666</v>
      </c>
      <c r="B8093">
        <v>412.85000610351602</v>
      </c>
    </row>
    <row r="8094" spans="1:2" x14ac:dyDescent="0.25">
      <c r="A8094" s="5">
        <v>33667</v>
      </c>
      <c r="B8094">
        <v>409.32998657226602</v>
      </c>
    </row>
    <row r="8095" spans="1:2" x14ac:dyDescent="0.25">
      <c r="A8095" s="5">
        <v>33668</v>
      </c>
      <c r="B8095">
        <v>406.510009765625</v>
      </c>
    </row>
    <row r="8096" spans="1:2" x14ac:dyDescent="0.25">
      <c r="A8096" s="5">
        <v>33669</v>
      </c>
      <c r="B8096">
        <v>404.44000244140602</v>
      </c>
    </row>
    <row r="8097" spans="1:2" x14ac:dyDescent="0.25">
      <c r="A8097" s="5">
        <v>33672</v>
      </c>
      <c r="B8097">
        <v>405.20999145507801</v>
      </c>
    </row>
    <row r="8098" spans="1:2" x14ac:dyDescent="0.25">
      <c r="A8098" s="5">
        <v>33673</v>
      </c>
      <c r="B8098">
        <v>406.89001464843801</v>
      </c>
    </row>
    <row r="8099" spans="1:2" x14ac:dyDescent="0.25">
      <c r="A8099" s="5">
        <v>33674</v>
      </c>
      <c r="B8099">
        <v>404.02999877929699</v>
      </c>
    </row>
    <row r="8100" spans="1:2" x14ac:dyDescent="0.25">
      <c r="A8100" s="5">
        <v>33675</v>
      </c>
      <c r="B8100">
        <v>403.89001464843801</v>
      </c>
    </row>
    <row r="8101" spans="1:2" x14ac:dyDescent="0.25">
      <c r="A8101" s="5">
        <v>33676</v>
      </c>
      <c r="B8101">
        <v>405.83999633789102</v>
      </c>
    </row>
    <row r="8102" spans="1:2" x14ac:dyDescent="0.25">
      <c r="A8102" s="5">
        <v>33679</v>
      </c>
      <c r="B8102">
        <v>406.39001464843801</v>
      </c>
    </row>
    <row r="8103" spans="1:2" x14ac:dyDescent="0.25">
      <c r="A8103" s="5">
        <v>33680</v>
      </c>
      <c r="B8103">
        <v>409.57998657226602</v>
      </c>
    </row>
    <row r="8104" spans="1:2" x14ac:dyDescent="0.25">
      <c r="A8104" s="5">
        <v>33681</v>
      </c>
      <c r="B8104">
        <v>409.14999389648398</v>
      </c>
    </row>
    <row r="8105" spans="1:2" x14ac:dyDescent="0.25">
      <c r="A8105" s="5">
        <v>33682</v>
      </c>
      <c r="B8105">
        <v>409.79998779296898</v>
      </c>
    </row>
    <row r="8106" spans="1:2" x14ac:dyDescent="0.25">
      <c r="A8106" s="5">
        <v>33683</v>
      </c>
      <c r="B8106">
        <v>411.29998779296898</v>
      </c>
    </row>
    <row r="8107" spans="1:2" x14ac:dyDescent="0.25">
      <c r="A8107" s="5">
        <v>33686</v>
      </c>
      <c r="B8107">
        <v>409.91000366210898</v>
      </c>
    </row>
    <row r="8108" spans="1:2" x14ac:dyDescent="0.25">
      <c r="A8108" s="5">
        <v>33687</v>
      </c>
      <c r="B8108">
        <v>408.88000488281199</v>
      </c>
    </row>
    <row r="8109" spans="1:2" x14ac:dyDescent="0.25">
      <c r="A8109" s="5">
        <v>33688</v>
      </c>
      <c r="B8109">
        <v>407.51998901367199</v>
      </c>
    </row>
    <row r="8110" spans="1:2" x14ac:dyDescent="0.25">
      <c r="A8110" s="5">
        <v>33689</v>
      </c>
      <c r="B8110">
        <v>407.85998535156199</v>
      </c>
    </row>
    <row r="8111" spans="1:2" x14ac:dyDescent="0.25">
      <c r="A8111" s="5">
        <v>33690</v>
      </c>
      <c r="B8111">
        <v>403.5</v>
      </c>
    </row>
    <row r="8112" spans="1:2" x14ac:dyDescent="0.25">
      <c r="A8112" s="5">
        <v>33693</v>
      </c>
      <c r="B8112">
        <v>403</v>
      </c>
    </row>
    <row r="8113" spans="1:2" x14ac:dyDescent="0.25">
      <c r="A8113" s="5">
        <v>33694</v>
      </c>
      <c r="B8113">
        <v>403.69000244140602</v>
      </c>
    </row>
    <row r="8114" spans="1:2" x14ac:dyDescent="0.25">
      <c r="A8114" s="5">
        <v>33695</v>
      </c>
      <c r="B8114">
        <v>404.23001098632801</v>
      </c>
    </row>
    <row r="8115" spans="1:2" x14ac:dyDescent="0.25">
      <c r="A8115" s="5">
        <v>33696</v>
      </c>
      <c r="B8115">
        <v>400.5</v>
      </c>
    </row>
    <row r="8116" spans="1:2" x14ac:dyDescent="0.25">
      <c r="A8116" s="5">
        <v>33697</v>
      </c>
      <c r="B8116">
        <v>401.54998779296898</v>
      </c>
    </row>
    <row r="8117" spans="1:2" x14ac:dyDescent="0.25">
      <c r="A8117" s="5">
        <v>33700</v>
      </c>
      <c r="B8117">
        <v>405.58999633789102</v>
      </c>
    </row>
    <row r="8118" spans="1:2" x14ac:dyDescent="0.25">
      <c r="A8118" s="5">
        <v>33701</v>
      </c>
      <c r="B8118">
        <v>398.05999755859398</v>
      </c>
    </row>
    <row r="8119" spans="1:2" x14ac:dyDescent="0.25">
      <c r="A8119" s="5">
        <v>33702</v>
      </c>
      <c r="B8119">
        <v>394.5</v>
      </c>
    </row>
    <row r="8120" spans="1:2" x14ac:dyDescent="0.25">
      <c r="A8120" s="5">
        <v>33703</v>
      </c>
      <c r="B8120">
        <v>400.64001464843801</v>
      </c>
    </row>
    <row r="8121" spans="1:2" x14ac:dyDescent="0.25">
      <c r="A8121" s="5">
        <v>33704</v>
      </c>
      <c r="B8121">
        <v>404.29000854492199</v>
      </c>
    </row>
    <row r="8122" spans="1:2" x14ac:dyDescent="0.25">
      <c r="A8122" s="5">
        <v>33707</v>
      </c>
      <c r="B8122">
        <v>406.07998657226602</v>
      </c>
    </row>
    <row r="8123" spans="1:2" x14ac:dyDescent="0.25">
      <c r="A8123" s="5">
        <v>33708</v>
      </c>
      <c r="B8123">
        <v>412.39001464843801</v>
      </c>
    </row>
    <row r="8124" spans="1:2" x14ac:dyDescent="0.25">
      <c r="A8124" s="5">
        <v>33709</v>
      </c>
      <c r="B8124">
        <v>416.27999877929699</v>
      </c>
    </row>
    <row r="8125" spans="1:2" x14ac:dyDescent="0.25">
      <c r="A8125" s="5">
        <v>33710</v>
      </c>
      <c r="B8125">
        <v>416.04000854492199</v>
      </c>
    </row>
    <row r="8126" spans="1:2" x14ac:dyDescent="0.25">
      <c r="A8126" s="5">
        <v>33714</v>
      </c>
      <c r="B8126">
        <v>410.17999267578102</v>
      </c>
    </row>
    <row r="8127" spans="1:2" x14ac:dyDescent="0.25">
      <c r="A8127" s="5">
        <v>33715</v>
      </c>
      <c r="B8127">
        <v>410.260009765625</v>
      </c>
    </row>
    <row r="8128" spans="1:2" x14ac:dyDescent="0.25">
      <c r="A8128" s="5">
        <v>33716</v>
      </c>
      <c r="B8128">
        <v>409.80999755859398</v>
      </c>
    </row>
    <row r="8129" spans="1:2" x14ac:dyDescent="0.25">
      <c r="A8129" s="5">
        <v>33717</v>
      </c>
      <c r="B8129">
        <v>411.60000610351602</v>
      </c>
    </row>
    <row r="8130" spans="1:2" x14ac:dyDescent="0.25">
      <c r="A8130" s="5">
        <v>33718</v>
      </c>
      <c r="B8130">
        <v>409.01998901367199</v>
      </c>
    </row>
    <row r="8131" spans="1:2" x14ac:dyDescent="0.25">
      <c r="A8131" s="5">
        <v>33721</v>
      </c>
      <c r="B8131">
        <v>408.45001220703102</v>
      </c>
    </row>
    <row r="8132" spans="1:2" x14ac:dyDescent="0.25">
      <c r="A8132" s="5">
        <v>33722</v>
      </c>
      <c r="B8132">
        <v>409.10998535156199</v>
      </c>
    </row>
    <row r="8133" spans="1:2" x14ac:dyDescent="0.25">
      <c r="A8133" s="5">
        <v>33723</v>
      </c>
      <c r="B8133">
        <v>412.01998901367199</v>
      </c>
    </row>
    <row r="8134" spans="1:2" x14ac:dyDescent="0.25">
      <c r="A8134" s="5">
        <v>33724</v>
      </c>
      <c r="B8134">
        <v>414.95001220703102</v>
      </c>
    </row>
    <row r="8135" spans="1:2" x14ac:dyDescent="0.25">
      <c r="A8135" s="5">
        <v>33725</v>
      </c>
      <c r="B8135">
        <v>412.52999877929699</v>
      </c>
    </row>
    <row r="8136" spans="1:2" x14ac:dyDescent="0.25">
      <c r="A8136" s="5">
        <v>33728</v>
      </c>
      <c r="B8136">
        <v>416.91000366210898</v>
      </c>
    </row>
    <row r="8137" spans="1:2" x14ac:dyDescent="0.25">
      <c r="A8137" s="5">
        <v>33729</v>
      </c>
      <c r="B8137">
        <v>416.83999633789102</v>
      </c>
    </row>
    <row r="8138" spans="1:2" x14ac:dyDescent="0.25">
      <c r="A8138" s="5">
        <v>33730</v>
      </c>
      <c r="B8138">
        <v>416.79000854492199</v>
      </c>
    </row>
    <row r="8139" spans="1:2" x14ac:dyDescent="0.25">
      <c r="A8139" s="5">
        <v>33731</v>
      </c>
      <c r="B8139">
        <v>415.85000610351602</v>
      </c>
    </row>
    <row r="8140" spans="1:2" x14ac:dyDescent="0.25">
      <c r="A8140" s="5">
        <v>33732</v>
      </c>
      <c r="B8140">
        <v>416.04998779296898</v>
      </c>
    </row>
    <row r="8141" spans="1:2" x14ac:dyDescent="0.25">
      <c r="A8141" s="5">
        <v>33735</v>
      </c>
      <c r="B8141">
        <v>418.489990234375</v>
      </c>
    </row>
    <row r="8142" spans="1:2" x14ac:dyDescent="0.25">
      <c r="A8142" s="5">
        <v>33736</v>
      </c>
      <c r="B8142">
        <v>416.29000854492199</v>
      </c>
    </row>
    <row r="8143" spans="1:2" x14ac:dyDescent="0.25">
      <c r="A8143" s="5">
        <v>33737</v>
      </c>
      <c r="B8143">
        <v>416.45001220703102</v>
      </c>
    </row>
    <row r="8144" spans="1:2" x14ac:dyDescent="0.25">
      <c r="A8144" s="5">
        <v>33738</v>
      </c>
      <c r="B8144">
        <v>413.14001464843801</v>
      </c>
    </row>
    <row r="8145" spans="1:2" x14ac:dyDescent="0.25">
      <c r="A8145" s="5">
        <v>33739</v>
      </c>
      <c r="B8145">
        <v>410.08999633789102</v>
      </c>
    </row>
    <row r="8146" spans="1:2" x14ac:dyDescent="0.25">
      <c r="A8146" s="5">
        <v>33742</v>
      </c>
      <c r="B8146">
        <v>412.80999755859398</v>
      </c>
    </row>
    <row r="8147" spans="1:2" x14ac:dyDescent="0.25">
      <c r="A8147" s="5">
        <v>33743</v>
      </c>
      <c r="B8147">
        <v>416.36999511718801</v>
      </c>
    </row>
    <row r="8148" spans="1:2" x14ac:dyDescent="0.25">
      <c r="A8148" s="5">
        <v>33744</v>
      </c>
      <c r="B8148">
        <v>415.39001464843801</v>
      </c>
    </row>
    <row r="8149" spans="1:2" x14ac:dyDescent="0.25">
      <c r="A8149" s="5">
        <v>33745</v>
      </c>
      <c r="B8149">
        <v>412.60000610351602</v>
      </c>
    </row>
    <row r="8150" spans="1:2" x14ac:dyDescent="0.25">
      <c r="A8150" s="5">
        <v>33746</v>
      </c>
      <c r="B8150">
        <v>414.01998901367199</v>
      </c>
    </row>
    <row r="8151" spans="1:2" x14ac:dyDescent="0.25">
      <c r="A8151" s="5">
        <v>33750</v>
      </c>
      <c r="B8151">
        <v>411.41000366210898</v>
      </c>
    </row>
    <row r="8152" spans="1:2" x14ac:dyDescent="0.25">
      <c r="A8152" s="5">
        <v>33751</v>
      </c>
      <c r="B8152">
        <v>412.17001342773398</v>
      </c>
    </row>
    <row r="8153" spans="1:2" x14ac:dyDescent="0.25">
      <c r="A8153" s="5">
        <v>33752</v>
      </c>
      <c r="B8153">
        <v>416.739990234375</v>
      </c>
    </row>
    <row r="8154" spans="1:2" x14ac:dyDescent="0.25">
      <c r="A8154" s="5">
        <v>33753</v>
      </c>
      <c r="B8154">
        <v>415.35000610351602</v>
      </c>
    </row>
    <row r="8155" spans="1:2" x14ac:dyDescent="0.25">
      <c r="A8155" s="5">
        <v>33756</v>
      </c>
      <c r="B8155">
        <v>417.29998779296898</v>
      </c>
    </row>
    <row r="8156" spans="1:2" x14ac:dyDescent="0.25">
      <c r="A8156" s="5">
        <v>33757</v>
      </c>
      <c r="B8156">
        <v>413.5</v>
      </c>
    </row>
    <row r="8157" spans="1:2" x14ac:dyDescent="0.25">
      <c r="A8157" s="5">
        <v>33758</v>
      </c>
      <c r="B8157">
        <v>414.58999633789102</v>
      </c>
    </row>
    <row r="8158" spans="1:2" x14ac:dyDescent="0.25">
      <c r="A8158" s="5">
        <v>33759</v>
      </c>
      <c r="B8158">
        <v>413.260009765625</v>
      </c>
    </row>
    <row r="8159" spans="1:2" x14ac:dyDescent="0.25">
      <c r="A8159" s="5">
        <v>33760</v>
      </c>
      <c r="B8159">
        <v>413.48001098632801</v>
      </c>
    </row>
    <row r="8160" spans="1:2" x14ac:dyDescent="0.25">
      <c r="A8160" s="5">
        <v>33763</v>
      </c>
      <c r="B8160">
        <v>413.35998535156199</v>
      </c>
    </row>
    <row r="8161" spans="1:2" x14ac:dyDescent="0.25">
      <c r="A8161" s="5">
        <v>33764</v>
      </c>
      <c r="B8161">
        <v>410.05999755859398</v>
      </c>
    </row>
    <row r="8162" spans="1:2" x14ac:dyDescent="0.25">
      <c r="A8162" s="5">
        <v>33765</v>
      </c>
      <c r="B8162">
        <v>407.25</v>
      </c>
    </row>
    <row r="8163" spans="1:2" x14ac:dyDescent="0.25">
      <c r="A8163" s="5">
        <v>33766</v>
      </c>
      <c r="B8163">
        <v>409.04998779296898</v>
      </c>
    </row>
    <row r="8164" spans="1:2" x14ac:dyDescent="0.25">
      <c r="A8164" s="5">
        <v>33767</v>
      </c>
      <c r="B8164">
        <v>409.760009765625</v>
      </c>
    </row>
    <row r="8165" spans="1:2" x14ac:dyDescent="0.25">
      <c r="A8165" s="5">
        <v>33770</v>
      </c>
      <c r="B8165">
        <v>410.29000854492199</v>
      </c>
    </row>
    <row r="8166" spans="1:2" x14ac:dyDescent="0.25">
      <c r="A8166" s="5">
        <v>33771</v>
      </c>
      <c r="B8166">
        <v>408.32000732421898</v>
      </c>
    </row>
    <row r="8167" spans="1:2" x14ac:dyDescent="0.25">
      <c r="A8167" s="5">
        <v>33772</v>
      </c>
      <c r="B8167">
        <v>402.260009765625</v>
      </c>
    </row>
    <row r="8168" spans="1:2" x14ac:dyDescent="0.25">
      <c r="A8168" s="5">
        <v>33773</v>
      </c>
      <c r="B8168">
        <v>400.95999145507801</v>
      </c>
    </row>
    <row r="8169" spans="1:2" x14ac:dyDescent="0.25">
      <c r="A8169" s="5">
        <v>33774</v>
      </c>
      <c r="B8169">
        <v>403.67001342773398</v>
      </c>
    </row>
    <row r="8170" spans="1:2" x14ac:dyDescent="0.25">
      <c r="A8170" s="5">
        <v>33777</v>
      </c>
      <c r="B8170">
        <v>403.39999389648398</v>
      </c>
    </row>
    <row r="8171" spans="1:2" x14ac:dyDescent="0.25">
      <c r="A8171" s="5">
        <v>33778</v>
      </c>
      <c r="B8171">
        <v>404.04000854492199</v>
      </c>
    </row>
    <row r="8172" spans="1:2" x14ac:dyDescent="0.25">
      <c r="A8172" s="5">
        <v>33779</v>
      </c>
      <c r="B8172">
        <v>403.83999633789102</v>
      </c>
    </row>
    <row r="8173" spans="1:2" x14ac:dyDescent="0.25">
      <c r="A8173" s="5">
        <v>33780</v>
      </c>
      <c r="B8173">
        <v>403.11999511718801</v>
      </c>
    </row>
    <row r="8174" spans="1:2" x14ac:dyDescent="0.25">
      <c r="A8174" s="5">
        <v>33781</v>
      </c>
      <c r="B8174">
        <v>403.45001220703102</v>
      </c>
    </row>
    <row r="8175" spans="1:2" x14ac:dyDescent="0.25">
      <c r="A8175" s="5">
        <v>33784</v>
      </c>
      <c r="B8175">
        <v>408.94000244140602</v>
      </c>
    </row>
    <row r="8176" spans="1:2" x14ac:dyDescent="0.25">
      <c r="A8176" s="5">
        <v>33785</v>
      </c>
      <c r="B8176">
        <v>408.14001464843801</v>
      </c>
    </row>
    <row r="8177" spans="1:2" x14ac:dyDescent="0.25">
      <c r="A8177" s="5">
        <v>33786</v>
      </c>
      <c r="B8177">
        <v>412.88000488281199</v>
      </c>
    </row>
    <row r="8178" spans="1:2" x14ac:dyDescent="0.25">
      <c r="A8178" s="5">
        <v>33787</v>
      </c>
      <c r="B8178">
        <v>411.76998901367199</v>
      </c>
    </row>
    <row r="8179" spans="1:2" x14ac:dyDescent="0.25">
      <c r="A8179" s="5">
        <v>33791</v>
      </c>
      <c r="B8179">
        <v>413.83999633789102</v>
      </c>
    </row>
    <row r="8180" spans="1:2" x14ac:dyDescent="0.25">
      <c r="A8180" s="5">
        <v>33792</v>
      </c>
      <c r="B8180">
        <v>409.16000366210898</v>
      </c>
    </row>
    <row r="8181" spans="1:2" x14ac:dyDescent="0.25">
      <c r="A8181" s="5">
        <v>33793</v>
      </c>
      <c r="B8181">
        <v>410.27999877929699</v>
      </c>
    </row>
    <row r="8182" spans="1:2" x14ac:dyDescent="0.25">
      <c r="A8182" s="5">
        <v>33794</v>
      </c>
      <c r="B8182">
        <v>414.23001098632801</v>
      </c>
    </row>
    <row r="8183" spans="1:2" x14ac:dyDescent="0.25">
      <c r="A8183" s="5">
        <v>33795</v>
      </c>
      <c r="B8183">
        <v>414.61999511718801</v>
      </c>
    </row>
    <row r="8184" spans="1:2" x14ac:dyDescent="0.25">
      <c r="A8184" s="5">
        <v>33798</v>
      </c>
      <c r="B8184">
        <v>414.86999511718801</v>
      </c>
    </row>
    <row r="8185" spans="1:2" x14ac:dyDescent="0.25">
      <c r="A8185" s="5">
        <v>33799</v>
      </c>
      <c r="B8185">
        <v>417.67999267578102</v>
      </c>
    </row>
    <row r="8186" spans="1:2" x14ac:dyDescent="0.25">
      <c r="A8186" s="5">
        <v>33800</v>
      </c>
      <c r="B8186">
        <v>417.10000610351602</v>
      </c>
    </row>
    <row r="8187" spans="1:2" x14ac:dyDescent="0.25">
      <c r="A8187" s="5">
        <v>33801</v>
      </c>
      <c r="B8187">
        <v>417.54000854492199</v>
      </c>
    </row>
    <row r="8188" spans="1:2" x14ac:dyDescent="0.25">
      <c r="A8188" s="5">
        <v>33802</v>
      </c>
      <c r="B8188">
        <v>415.61999511718801</v>
      </c>
    </row>
    <row r="8189" spans="1:2" x14ac:dyDescent="0.25">
      <c r="A8189" s="5">
        <v>33805</v>
      </c>
      <c r="B8189">
        <v>413.75</v>
      </c>
    </row>
    <row r="8190" spans="1:2" x14ac:dyDescent="0.25">
      <c r="A8190" s="5">
        <v>33806</v>
      </c>
      <c r="B8190">
        <v>413.760009765625</v>
      </c>
    </row>
    <row r="8191" spans="1:2" x14ac:dyDescent="0.25">
      <c r="A8191" s="5">
        <v>33807</v>
      </c>
      <c r="B8191">
        <v>410.92999267578102</v>
      </c>
    </row>
    <row r="8192" spans="1:2" x14ac:dyDescent="0.25">
      <c r="A8192" s="5">
        <v>33808</v>
      </c>
      <c r="B8192">
        <v>412.07998657226602</v>
      </c>
    </row>
    <row r="8193" spans="1:2" x14ac:dyDescent="0.25">
      <c r="A8193" s="5">
        <v>33809</v>
      </c>
      <c r="B8193">
        <v>411.60000610351602</v>
      </c>
    </row>
    <row r="8194" spans="1:2" x14ac:dyDescent="0.25">
      <c r="A8194" s="5">
        <v>33812</v>
      </c>
      <c r="B8194">
        <v>411.54000854492199</v>
      </c>
    </row>
    <row r="8195" spans="1:2" x14ac:dyDescent="0.25">
      <c r="A8195" s="5">
        <v>33813</v>
      </c>
      <c r="B8195">
        <v>417.51998901367199</v>
      </c>
    </row>
    <row r="8196" spans="1:2" x14ac:dyDescent="0.25">
      <c r="A8196" s="5">
        <v>33814</v>
      </c>
      <c r="B8196">
        <v>422.23001098632801</v>
      </c>
    </row>
    <row r="8197" spans="1:2" x14ac:dyDescent="0.25">
      <c r="A8197" s="5">
        <v>33815</v>
      </c>
      <c r="B8197">
        <v>423.92001342773398</v>
      </c>
    </row>
    <row r="8198" spans="1:2" x14ac:dyDescent="0.25">
      <c r="A8198" s="5">
        <v>33816</v>
      </c>
      <c r="B8198">
        <v>424.20999145507801</v>
      </c>
    </row>
    <row r="8199" spans="1:2" x14ac:dyDescent="0.25">
      <c r="A8199" s="5">
        <v>33819</v>
      </c>
      <c r="B8199">
        <v>425.08999633789102</v>
      </c>
    </row>
    <row r="8200" spans="1:2" x14ac:dyDescent="0.25">
      <c r="A8200" s="5">
        <v>33820</v>
      </c>
      <c r="B8200">
        <v>424.35998535156199</v>
      </c>
    </row>
    <row r="8201" spans="1:2" x14ac:dyDescent="0.25">
      <c r="A8201" s="5">
        <v>33821</v>
      </c>
      <c r="B8201">
        <v>422.19000244140602</v>
      </c>
    </row>
    <row r="8202" spans="1:2" x14ac:dyDescent="0.25">
      <c r="A8202" s="5">
        <v>33822</v>
      </c>
      <c r="B8202">
        <v>420.58999633789102</v>
      </c>
    </row>
    <row r="8203" spans="1:2" x14ac:dyDescent="0.25">
      <c r="A8203" s="5">
        <v>33823</v>
      </c>
      <c r="B8203">
        <v>418.88000488281199</v>
      </c>
    </row>
    <row r="8204" spans="1:2" x14ac:dyDescent="0.25">
      <c r="A8204" s="5">
        <v>33826</v>
      </c>
      <c r="B8204">
        <v>419.42001342773398</v>
      </c>
    </row>
    <row r="8205" spans="1:2" x14ac:dyDescent="0.25">
      <c r="A8205" s="5">
        <v>33827</v>
      </c>
      <c r="B8205">
        <v>418.89999389648398</v>
      </c>
    </row>
    <row r="8206" spans="1:2" x14ac:dyDescent="0.25">
      <c r="A8206" s="5">
        <v>33828</v>
      </c>
      <c r="B8206">
        <v>417.77999877929699</v>
      </c>
    </row>
    <row r="8207" spans="1:2" x14ac:dyDescent="0.25">
      <c r="A8207" s="5">
        <v>33829</v>
      </c>
      <c r="B8207">
        <v>417.73001098632801</v>
      </c>
    </row>
    <row r="8208" spans="1:2" x14ac:dyDescent="0.25">
      <c r="A8208" s="5">
        <v>33830</v>
      </c>
      <c r="B8208">
        <v>419.91000366210898</v>
      </c>
    </row>
    <row r="8209" spans="1:2" x14ac:dyDescent="0.25">
      <c r="A8209" s="5">
        <v>33833</v>
      </c>
      <c r="B8209">
        <v>420.739990234375</v>
      </c>
    </row>
    <row r="8210" spans="1:2" x14ac:dyDescent="0.25">
      <c r="A8210" s="5">
        <v>33834</v>
      </c>
      <c r="B8210">
        <v>421.33999633789102</v>
      </c>
    </row>
    <row r="8211" spans="1:2" x14ac:dyDescent="0.25">
      <c r="A8211" s="5">
        <v>33835</v>
      </c>
      <c r="B8211">
        <v>418.19000244140602</v>
      </c>
    </row>
    <row r="8212" spans="1:2" x14ac:dyDescent="0.25">
      <c r="A8212" s="5">
        <v>33836</v>
      </c>
      <c r="B8212">
        <v>418.260009765625</v>
      </c>
    </row>
    <row r="8213" spans="1:2" x14ac:dyDescent="0.25">
      <c r="A8213" s="5">
        <v>33837</v>
      </c>
      <c r="B8213">
        <v>414.85000610351602</v>
      </c>
    </row>
    <row r="8214" spans="1:2" x14ac:dyDescent="0.25">
      <c r="A8214" s="5">
        <v>33840</v>
      </c>
      <c r="B8214">
        <v>410.72000122070301</v>
      </c>
    </row>
    <row r="8215" spans="1:2" x14ac:dyDescent="0.25">
      <c r="A8215" s="5">
        <v>33841</v>
      </c>
      <c r="B8215">
        <v>411.60998535156199</v>
      </c>
    </row>
    <row r="8216" spans="1:2" x14ac:dyDescent="0.25">
      <c r="A8216" s="5">
        <v>33842</v>
      </c>
      <c r="B8216">
        <v>413.510009765625</v>
      </c>
    </row>
    <row r="8217" spans="1:2" x14ac:dyDescent="0.25">
      <c r="A8217" s="5">
        <v>33843</v>
      </c>
      <c r="B8217">
        <v>413.52999877929699</v>
      </c>
    </row>
    <row r="8218" spans="1:2" x14ac:dyDescent="0.25">
      <c r="A8218" s="5">
        <v>33844</v>
      </c>
      <c r="B8218">
        <v>414.83999633789102</v>
      </c>
    </row>
    <row r="8219" spans="1:2" x14ac:dyDescent="0.25">
      <c r="A8219" s="5">
        <v>33847</v>
      </c>
      <c r="B8219">
        <v>414.02999877929699</v>
      </c>
    </row>
    <row r="8220" spans="1:2" x14ac:dyDescent="0.25">
      <c r="A8220" s="5">
        <v>33848</v>
      </c>
      <c r="B8220">
        <v>416.07000732421898</v>
      </c>
    </row>
    <row r="8221" spans="1:2" x14ac:dyDescent="0.25">
      <c r="A8221" s="5">
        <v>33849</v>
      </c>
      <c r="B8221">
        <v>417.98001098632801</v>
      </c>
    </row>
    <row r="8222" spans="1:2" x14ac:dyDescent="0.25">
      <c r="A8222" s="5">
        <v>33850</v>
      </c>
      <c r="B8222">
        <v>417.98001098632801</v>
      </c>
    </row>
    <row r="8223" spans="1:2" x14ac:dyDescent="0.25">
      <c r="A8223" s="5">
        <v>33851</v>
      </c>
      <c r="B8223">
        <v>417.07998657226602</v>
      </c>
    </row>
    <row r="8224" spans="1:2" x14ac:dyDescent="0.25">
      <c r="A8224" s="5">
        <v>33855</v>
      </c>
      <c r="B8224">
        <v>414.44000244140602</v>
      </c>
    </row>
    <row r="8225" spans="1:2" x14ac:dyDescent="0.25">
      <c r="A8225" s="5">
        <v>33856</v>
      </c>
      <c r="B8225">
        <v>416.35998535156199</v>
      </c>
    </row>
    <row r="8226" spans="1:2" x14ac:dyDescent="0.25">
      <c r="A8226" s="5">
        <v>33857</v>
      </c>
      <c r="B8226">
        <v>419.95001220703102</v>
      </c>
    </row>
    <row r="8227" spans="1:2" x14ac:dyDescent="0.25">
      <c r="A8227" s="5">
        <v>33858</v>
      </c>
      <c r="B8227">
        <v>419.57998657226602</v>
      </c>
    </row>
    <row r="8228" spans="1:2" x14ac:dyDescent="0.25">
      <c r="A8228" s="5">
        <v>33861</v>
      </c>
      <c r="B8228">
        <v>425.26998901367199</v>
      </c>
    </row>
    <row r="8229" spans="1:2" x14ac:dyDescent="0.25">
      <c r="A8229" s="5">
        <v>33862</v>
      </c>
      <c r="B8229">
        <v>419.76998901367199</v>
      </c>
    </row>
    <row r="8230" spans="1:2" x14ac:dyDescent="0.25">
      <c r="A8230" s="5">
        <v>33863</v>
      </c>
      <c r="B8230">
        <v>419.92001342773398</v>
      </c>
    </row>
    <row r="8231" spans="1:2" x14ac:dyDescent="0.25">
      <c r="A8231" s="5">
        <v>33864</v>
      </c>
      <c r="B8231">
        <v>419.92999267578102</v>
      </c>
    </row>
    <row r="8232" spans="1:2" x14ac:dyDescent="0.25">
      <c r="A8232" s="5">
        <v>33865</v>
      </c>
      <c r="B8232">
        <v>422.92999267578102</v>
      </c>
    </row>
    <row r="8233" spans="1:2" x14ac:dyDescent="0.25">
      <c r="A8233" s="5">
        <v>33868</v>
      </c>
      <c r="B8233">
        <v>422.14001464843801</v>
      </c>
    </row>
    <row r="8234" spans="1:2" x14ac:dyDescent="0.25">
      <c r="A8234" s="5">
        <v>33869</v>
      </c>
      <c r="B8234">
        <v>417.14001464843801</v>
      </c>
    </row>
    <row r="8235" spans="1:2" x14ac:dyDescent="0.25">
      <c r="A8235" s="5">
        <v>33870</v>
      </c>
      <c r="B8235">
        <v>417.44000244140602</v>
      </c>
    </row>
    <row r="8236" spans="1:2" x14ac:dyDescent="0.25">
      <c r="A8236" s="5">
        <v>33871</v>
      </c>
      <c r="B8236">
        <v>418.47000122070301</v>
      </c>
    </row>
    <row r="8237" spans="1:2" x14ac:dyDescent="0.25">
      <c r="A8237" s="5">
        <v>33872</v>
      </c>
      <c r="B8237">
        <v>414.35000610351602</v>
      </c>
    </row>
    <row r="8238" spans="1:2" x14ac:dyDescent="0.25">
      <c r="A8238" s="5">
        <v>33875</v>
      </c>
      <c r="B8238">
        <v>416.61999511718801</v>
      </c>
    </row>
    <row r="8239" spans="1:2" x14ac:dyDescent="0.25">
      <c r="A8239" s="5">
        <v>33876</v>
      </c>
      <c r="B8239">
        <v>416.79998779296898</v>
      </c>
    </row>
    <row r="8240" spans="1:2" x14ac:dyDescent="0.25">
      <c r="A8240" s="5">
        <v>33877</v>
      </c>
      <c r="B8240">
        <v>417.79998779296898</v>
      </c>
    </row>
    <row r="8241" spans="1:2" x14ac:dyDescent="0.25">
      <c r="A8241" s="5">
        <v>33878</v>
      </c>
      <c r="B8241">
        <v>416.29000854492199</v>
      </c>
    </row>
    <row r="8242" spans="1:2" x14ac:dyDescent="0.25">
      <c r="A8242" s="5">
        <v>33879</v>
      </c>
      <c r="B8242">
        <v>410.47000122070301</v>
      </c>
    </row>
    <row r="8243" spans="1:2" x14ac:dyDescent="0.25">
      <c r="A8243" s="5">
        <v>33882</v>
      </c>
      <c r="B8243">
        <v>407.57000732421898</v>
      </c>
    </row>
    <row r="8244" spans="1:2" x14ac:dyDescent="0.25">
      <c r="A8244" s="5">
        <v>33883</v>
      </c>
      <c r="B8244">
        <v>407.17999267578102</v>
      </c>
    </row>
    <row r="8245" spans="1:2" x14ac:dyDescent="0.25">
      <c r="A8245" s="5">
        <v>33884</v>
      </c>
      <c r="B8245">
        <v>404.25</v>
      </c>
    </row>
    <row r="8246" spans="1:2" x14ac:dyDescent="0.25">
      <c r="A8246" s="5">
        <v>33885</v>
      </c>
      <c r="B8246">
        <v>407.75</v>
      </c>
    </row>
    <row r="8247" spans="1:2" x14ac:dyDescent="0.25">
      <c r="A8247" s="5">
        <v>33886</v>
      </c>
      <c r="B8247">
        <v>402.66000366210898</v>
      </c>
    </row>
    <row r="8248" spans="1:2" x14ac:dyDescent="0.25">
      <c r="A8248" s="5">
        <v>33889</v>
      </c>
      <c r="B8248">
        <v>407.44000244140602</v>
      </c>
    </row>
    <row r="8249" spans="1:2" x14ac:dyDescent="0.25">
      <c r="A8249" s="5">
        <v>33890</v>
      </c>
      <c r="B8249">
        <v>409.29998779296898</v>
      </c>
    </row>
    <row r="8250" spans="1:2" x14ac:dyDescent="0.25">
      <c r="A8250" s="5">
        <v>33891</v>
      </c>
      <c r="B8250">
        <v>409.36999511718801</v>
      </c>
    </row>
    <row r="8251" spans="1:2" x14ac:dyDescent="0.25">
      <c r="A8251" s="5">
        <v>33892</v>
      </c>
      <c r="B8251">
        <v>409.60000610351602</v>
      </c>
    </row>
    <row r="8252" spans="1:2" x14ac:dyDescent="0.25">
      <c r="A8252" s="5">
        <v>33893</v>
      </c>
      <c r="B8252">
        <v>411.73001098632801</v>
      </c>
    </row>
    <row r="8253" spans="1:2" x14ac:dyDescent="0.25">
      <c r="A8253" s="5">
        <v>33896</v>
      </c>
      <c r="B8253">
        <v>414.98001098632801</v>
      </c>
    </row>
    <row r="8254" spans="1:2" x14ac:dyDescent="0.25">
      <c r="A8254" s="5">
        <v>33897</v>
      </c>
      <c r="B8254">
        <v>415.48001098632801</v>
      </c>
    </row>
    <row r="8255" spans="1:2" x14ac:dyDescent="0.25">
      <c r="A8255" s="5">
        <v>33898</v>
      </c>
      <c r="B8255">
        <v>415.67001342773398</v>
      </c>
    </row>
    <row r="8256" spans="1:2" x14ac:dyDescent="0.25">
      <c r="A8256" s="5">
        <v>33899</v>
      </c>
      <c r="B8256">
        <v>414.89999389648398</v>
      </c>
    </row>
    <row r="8257" spans="1:2" x14ac:dyDescent="0.25">
      <c r="A8257" s="5">
        <v>33900</v>
      </c>
      <c r="B8257">
        <v>414.10000610351602</v>
      </c>
    </row>
    <row r="8258" spans="1:2" x14ac:dyDescent="0.25">
      <c r="A8258" s="5">
        <v>33903</v>
      </c>
      <c r="B8258">
        <v>418.16000366210898</v>
      </c>
    </row>
    <row r="8259" spans="1:2" x14ac:dyDescent="0.25">
      <c r="A8259" s="5">
        <v>33904</v>
      </c>
      <c r="B8259">
        <v>418.489990234375</v>
      </c>
    </row>
    <row r="8260" spans="1:2" x14ac:dyDescent="0.25">
      <c r="A8260" s="5">
        <v>33905</v>
      </c>
      <c r="B8260">
        <v>420.13000488281199</v>
      </c>
    </row>
    <row r="8261" spans="1:2" x14ac:dyDescent="0.25">
      <c r="A8261" s="5">
        <v>33906</v>
      </c>
      <c r="B8261">
        <v>420.85998535156199</v>
      </c>
    </row>
    <row r="8262" spans="1:2" x14ac:dyDescent="0.25">
      <c r="A8262" s="5">
        <v>33907</v>
      </c>
      <c r="B8262">
        <v>418.67999267578102</v>
      </c>
    </row>
    <row r="8263" spans="1:2" x14ac:dyDescent="0.25">
      <c r="A8263" s="5">
        <v>33910</v>
      </c>
      <c r="B8263">
        <v>422.75</v>
      </c>
    </row>
    <row r="8264" spans="1:2" x14ac:dyDescent="0.25">
      <c r="A8264" s="5">
        <v>33911</v>
      </c>
      <c r="B8264">
        <v>419.92001342773398</v>
      </c>
    </row>
    <row r="8265" spans="1:2" x14ac:dyDescent="0.25">
      <c r="A8265" s="5">
        <v>33912</v>
      </c>
      <c r="B8265">
        <v>417.10998535156199</v>
      </c>
    </row>
    <row r="8266" spans="1:2" x14ac:dyDescent="0.25">
      <c r="A8266" s="5">
        <v>33913</v>
      </c>
      <c r="B8266">
        <v>418.33999633789102</v>
      </c>
    </row>
    <row r="8267" spans="1:2" x14ac:dyDescent="0.25">
      <c r="A8267" s="5">
        <v>33914</v>
      </c>
      <c r="B8267">
        <v>417.57998657226602</v>
      </c>
    </row>
    <row r="8268" spans="1:2" x14ac:dyDescent="0.25">
      <c r="A8268" s="5">
        <v>33917</v>
      </c>
      <c r="B8268">
        <v>418.58999633789102</v>
      </c>
    </row>
    <row r="8269" spans="1:2" x14ac:dyDescent="0.25">
      <c r="A8269" s="5">
        <v>33918</v>
      </c>
      <c r="B8269">
        <v>418.61999511718801</v>
      </c>
    </row>
    <row r="8270" spans="1:2" x14ac:dyDescent="0.25">
      <c r="A8270" s="5">
        <v>33919</v>
      </c>
      <c r="B8270">
        <v>422.20001220703102</v>
      </c>
    </row>
    <row r="8271" spans="1:2" x14ac:dyDescent="0.25">
      <c r="A8271" s="5">
        <v>33920</v>
      </c>
      <c r="B8271">
        <v>422.86999511718801</v>
      </c>
    </row>
    <row r="8272" spans="1:2" x14ac:dyDescent="0.25">
      <c r="A8272" s="5">
        <v>33921</v>
      </c>
      <c r="B8272">
        <v>422.42999267578102</v>
      </c>
    </row>
    <row r="8273" spans="1:2" x14ac:dyDescent="0.25">
      <c r="A8273" s="5">
        <v>33924</v>
      </c>
      <c r="B8273">
        <v>420.67999267578102</v>
      </c>
    </row>
    <row r="8274" spans="1:2" x14ac:dyDescent="0.25">
      <c r="A8274" s="5">
        <v>33925</v>
      </c>
      <c r="B8274">
        <v>419.26998901367199</v>
      </c>
    </row>
    <row r="8275" spans="1:2" x14ac:dyDescent="0.25">
      <c r="A8275" s="5">
        <v>33926</v>
      </c>
      <c r="B8275">
        <v>422.85000610351602</v>
      </c>
    </row>
    <row r="8276" spans="1:2" x14ac:dyDescent="0.25">
      <c r="A8276" s="5">
        <v>33927</v>
      </c>
      <c r="B8276">
        <v>423.60998535156199</v>
      </c>
    </row>
    <row r="8277" spans="1:2" x14ac:dyDescent="0.25">
      <c r="A8277" s="5">
        <v>33928</v>
      </c>
      <c r="B8277">
        <v>426.64999389648398</v>
      </c>
    </row>
    <row r="8278" spans="1:2" x14ac:dyDescent="0.25">
      <c r="A8278" s="5">
        <v>33931</v>
      </c>
      <c r="B8278">
        <v>425.11999511718801</v>
      </c>
    </row>
    <row r="8279" spans="1:2" x14ac:dyDescent="0.25">
      <c r="A8279" s="5">
        <v>33932</v>
      </c>
      <c r="B8279">
        <v>427.58999633789102</v>
      </c>
    </row>
    <row r="8280" spans="1:2" x14ac:dyDescent="0.25">
      <c r="A8280" s="5">
        <v>33933</v>
      </c>
      <c r="B8280">
        <v>429.19000244140602</v>
      </c>
    </row>
    <row r="8281" spans="1:2" x14ac:dyDescent="0.25">
      <c r="A8281" s="5">
        <v>33935</v>
      </c>
      <c r="B8281">
        <v>430.16000366210898</v>
      </c>
    </row>
    <row r="8282" spans="1:2" x14ac:dyDescent="0.25">
      <c r="A8282" s="5">
        <v>33938</v>
      </c>
      <c r="B8282">
        <v>431.35000610351602</v>
      </c>
    </row>
    <row r="8283" spans="1:2" x14ac:dyDescent="0.25">
      <c r="A8283" s="5">
        <v>33939</v>
      </c>
      <c r="B8283">
        <v>430.77999877929699</v>
      </c>
    </row>
    <row r="8284" spans="1:2" x14ac:dyDescent="0.25">
      <c r="A8284" s="5">
        <v>33940</v>
      </c>
      <c r="B8284">
        <v>429.89001464843801</v>
      </c>
    </row>
    <row r="8285" spans="1:2" x14ac:dyDescent="0.25">
      <c r="A8285" s="5">
        <v>33941</v>
      </c>
      <c r="B8285">
        <v>429.91000366210898</v>
      </c>
    </row>
    <row r="8286" spans="1:2" x14ac:dyDescent="0.25">
      <c r="A8286" s="5">
        <v>33942</v>
      </c>
      <c r="B8286">
        <v>432.05999755859398</v>
      </c>
    </row>
    <row r="8287" spans="1:2" x14ac:dyDescent="0.25">
      <c r="A8287" s="5">
        <v>33945</v>
      </c>
      <c r="B8287">
        <v>435.30999755859398</v>
      </c>
    </row>
    <row r="8288" spans="1:2" x14ac:dyDescent="0.25">
      <c r="A8288" s="5">
        <v>33946</v>
      </c>
      <c r="B8288">
        <v>436.989990234375</v>
      </c>
    </row>
    <row r="8289" spans="1:2" x14ac:dyDescent="0.25">
      <c r="A8289" s="5">
        <v>33947</v>
      </c>
      <c r="B8289">
        <v>435.64999389648398</v>
      </c>
    </row>
    <row r="8290" spans="1:2" x14ac:dyDescent="0.25">
      <c r="A8290" s="5">
        <v>33948</v>
      </c>
      <c r="B8290">
        <v>434.64001464843801</v>
      </c>
    </row>
    <row r="8291" spans="1:2" x14ac:dyDescent="0.25">
      <c r="A8291" s="5">
        <v>33949</v>
      </c>
      <c r="B8291">
        <v>433.73001098632801</v>
      </c>
    </row>
    <row r="8292" spans="1:2" x14ac:dyDescent="0.25">
      <c r="A8292" s="5">
        <v>33952</v>
      </c>
      <c r="B8292">
        <v>432.83999633789102</v>
      </c>
    </row>
    <row r="8293" spans="1:2" x14ac:dyDescent="0.25">
      <c r="A8293" s="5">
        <v>33953</v>
      </c>
      <c r="B8293">
        <v>432.57000732421898</v>
      </c>
    </row>
    <row r="8294" spans="1:2" x14ac:dyDescent="0.25">
      <c r="A8294" s="5">
        <v>33954</v>
      </c>
      <c r="B8294">
        <v>431.51998901367199</v>
      </c>
    </row>
    <row r="8295" spans="1:2" x14ac:dyDescent="0.25">
      <c r="A8295" s="5">
        <v>33955</v>
      </c>
      <c r="B8295">
        <v>435.42999267578102</v>
      </c>
    </row>
    <row r="8296" spans="1:2" x14ac:dyDescent="0.25">
      <c r="A8296" s="5">
        <v>33956</v>
      </c>
      <c r="B8296">
        <v>441.27999877929699</v>
      </c>
    </row>
    <row r="8297" spans="1:2" x14ac:dyDescent="0.25">
      <c r="A8297" s="5">
        <v>33959</v>
      </c>
      <c r="B8297">
        <v>440.70001220703102</v>
      </c>
    </row>
    <row r="8298" spans="1:2" x14ac:dyDescent="0.25">
      <c r="A8298" s="5">
        <v>33960</v>
      </c>
      <c r="B8298">
        <v>440.30999755859398</v>
      </c>
    </row>
    <row r="8299" spans="1:2" x14ac:dyDescent="0.25">
      <c r="A8299" s="5">
        <v>33961</v>
      </c>
      <c r="B8299">
        <v>439.02999877929699</v>
      </c>
    </row>
    <row r="8300" spans="1:2" x14ac:dyDescent="0.25">
      <c r="A8300" s="5">
        <v>33962</v>
      </c>
      <c r="B8300">
        <v>439.76998901367199</v>
      </c>
    </row>
    <row r="8301" spans="1:2" x14ac:dyDescent="0.25">
      <c r="A8301" s="5">
        <v>33966</v>
      </c>
      <c r="B8301">
        <v>439.14999389648398</v>
      </c>
    </row>
    <row r="8302" spans="1:2" x14ac:dyDescent="0.25">
      <c r="A8302" s="5">
        <v>33967</v>
      </c>
      <c r="B8302">
        <v>437.98001098632801</v>
      </c>
    </row>
    <row r="8303" spans="1:2" x14ac:dyDescent="0.25">
      <c r="A8303" s="5">
        <v>33968</v>
      </c>
      <c r="B8303">
        <v>438.82000732421898</v>
      </c>
    </row>
    <row r="8304" spans="1:2" x14ac:dyDescent="0.25">
      <c r="A8304" s="5">
        <v>33969</v>
      </c>
      <c r="B8304">
        <v>435.70999145507801</v>
      </c>
    </row>
    <row r="8305" spans="1:2" x14ac:dyDescent="0.25">
      <c r="A8305" s="5">
        <v>33973</v>
      </c>
      <c r="B8305">
        <v>435.38000488281199</v>
      </c>
    </row>
    <row r="8306" spans="1:2" x14ac:dyDescent="0.25">
      <c r="A8306" s="5">
        <v>33974</v>
      </c>
      <c r="B8306">
        <v>434.33999633789102</v>
      </c>
    </row>
    <row r="8307" spans="1:2" x14ac:dyDescent="0.25">
      <c r="A8307" s="5">
        <v>33975</v>
      </c>
      <c r="B8307">
        <v>434.51998901367199</v>
      </c>
    </row>
    <row r="8308" spans="1:2" x14ac:dyDescent="0.25">
      <c r="A8308" s="5">
        <v>33976</v>
      </c>
      <c r="B8308">
        <v>430.73001098632801</v>
      </c>
    </row>
    <row r="8309" spans="1:2" x14ac:dyDescent="0.25">
      <c r="A8309" s="5">
        <v>33977</v>
      </c>
      <c r="B8309">
        <v>429.04998779296898</v>
      </c>
    </row>
    <row r="8310" spans="1:2" x14ac:dyDescent="0.25">
      <c r="A8310" s="5">
        <v>33980</v>
      </c>
      <c r="B8310">
        <v>430.95001220703102</v>
      </c>
    </row>
    <row r="8311" spans="1:2" x14ac:dyDescent="0.25">
      <c r="A8311" s="5">
        <v>33981</v>
      </c>
      <c r="B8311">
        <v>431.04000854492199</v>
      </c>
    </row>
    <row r="8312" spans="1:2" x14ac:dyDescent="0.25">
      <c r="A8312" s="5">
        <v>33982</v>
      </c>
      <c r="B8312">
        <v>433.02999877929699</v>
      </c>
    </row>
    <row r="8313" spans="1:2" x14ac:dyDescent="0.25">
      <c r="A8313" s="5">
        <v>33983</v>
      </c>
      <c r="B8313">
        <v>435.94000244140602</v>
      </c>
    </row>
    <row r="8314" spans="1:2" x14ac:dyDescent="0.25">
      <c r="A8314" s="5">
        <v>33984</v>
      </c>
      <c r="B8314">
        <v>437.14999389648398</v>
      </c>
    </row>
    <row r="8315" spans="1:2" x14ac:dyDescent="0.25">
      <c r="A8315" s="5">
        <v>33987</v>
      </c>
      <c r="B8315">
        <v>436.83999633789102</v>
      </c>
    </row>
    <row r="8316" spans="1:2" x14ac:dyDescent="0.25">
      <c r="A8316" s="5">
        <v>33988</v>
      </c>
      <c r="B8316">
        <v>435.13000488281199</v>
      </c>
    </row>
    <row r="8317" spans="1:2" x14ac:dyDescent="0.25">
      <c r="A8317" s="5">
        <v>33989</v>
      </c>
      <c r="B8317">
        <v>433.36999511718801</v>
      </c>
    </row>
    <row r="8318" spans="1:2" x14ac:dyDescent="0.25">
      <c r="A8318" s="5">
        <v>33990</v>
      </c>
      <c r="B8318">
        <v>435.489990234375</v>
      </c>
    </row>
    <row r="8319" spans="1:2" x14ac:dyDescent="0.25">
      <c r="A8319" s="5">
        <v>33991</v>
      </c>
      <c r="B8319">
        <v>436.10998535156199</v>
      </c>
    </row>
    <row r="8320" spans="1:2" x14ac:dyDescent="0.25">
      <c r="A8320" s="5">
        <v>33994</v>
      </c>
      <c r="B8320">
        <v>440.010009765625</v>
      </c>
    </row>
    <row r="8321" spans="1:2" x14ac:dyDescent="0.25">
      <c r="A8321" s="5">
        <v>33995</v>
      </c>
      <c r="B8321">
        <v>439.95001220703102</v>
      </c>
    </row>
    <row r="8322" spans="1:2" x14ac:dyDescent="0.25">
      <c r="A8322" s="5">
        <v>33996</v>
      </c>
      <c r="B8322">
        <v>438.10998535156199</v>
      </c>
    </row>
    <row r="8323" spans="1:2" x14ac:dyDescent="0.25">
      <c r="A8323" s="5">
        <v>33997</v>
      </c>
      <c r="B8323">
        <v>438.66000366210898</v>
      </c>
    </row>
    <row r="8324" spans="1:2" x14ac:dyDescent="0.25">
      <c r="A8324" s="5">
        <v>33998</v>
      </c>
      <c r="B8324">
        <v>438.77999877929699</v>
      </c>
    </row>
    <row r="8325" spans="1:2" x14ac:dyDescent="0.25">
      <c r="A8325" s="5">
        <v>34001</v>
      </c>
      <c r="B8325">
        <v>442.51998901367199</v>
      </c>
    </row>
    <row r="8326" spans="1:2" x14ac:dyDescent="0.25">
      <c r="A8326" s="5">
        <v>34002</v>
      </c>
      <c r="B8326">
        <v>442.54998779296898</v>
      </c>
    </row>
    <row r="8327" spans="1:2" x14ac:dyDescent="0.25">
      <c r="A8327" s="5">
        <v>34003</v>
      </c>
      <c r="B8327">
        <v>447.20001220703102</v>
      </c>
    </row>
    <row r="8328" spans="1:2" x14ac:dyDescent="0.25">
      <c r="A8328" s="5">
        <v>34004</v>
      </c>
      <c r="B8328">
        <v>449.55999755859398</v>
      </c>
    </row>
    <row r="8329" spans="1:2" x14ac:dyDescent="0.25">
      <c r="A8329" s="5">
        <v>34005</v>
      </c>
      <c r="B8329">
        <v>448.92999267578102</v>
      </c>
    </row>
    <row r="8330" spans="1:2" x14ac:dyDescent="0.25">
      <c r="A8330" s="5">
        <v>34008</v>
      </c>
      <c r="B8330">
        <v>447.85000610351602</v>
      </c>
    </row>
    <row r="8331" spans="1:2" x14ac:dyDescent="0.25">
      <c r="A8331" s="5">
        <v>34009</v>
      </c>
      <c r="B8331">
        <v>445.32998657226602</v>
      </c>
    </row>
    <row r="8332" spans="1:2" x14ac:dyDescent="0.25">
      <c r="A8332" s="5">
        <v>34010</v>
      </c>
      <c r="B8332">
        <v>446.23001098632801</v>
      </c>
    </row>
    <row r="8333" spans="1:2" x14ac:dyDescent="0.25">
      <c r="A8333" s="5">
        <v>34011</v>
      </c>
      <c r="B8333">
        <v>447.66000366210898</v>
      </c>
    </row>
    <row r="8334" spans="1:2" x14ac:dyDescent="0.25">
      <c r="A8334" s="5">
        <v>34012</v>
      </c>
      <c r="B8334">
        <v>444.57998657226602</v>
      </c>
    </row>
    <row r="8335" spans="1:2" x14ac:dyDescent="0.25">
      <c r="A8335" s="5">
        <v>34016</v>
      </c>
      <c r="B8335">
        <v>433.91000366210898</v>
      </c>
    </row>
    <row r="8336" spans="1:2" x14ac:dyDescent="0.25">
      <c r="A8336" s="5">
        <v>34017</v>
      </c>
      <c r="B8336">
        <v>433.29998779296898</v>
      </c>
    </row>
    <row r="8337" spans="1:2" x14ac:dyDescent="0.25">
      <c r="A8337" s="5">
        <v>34018</v>
      </c>
      <c r="B8337">
        <v>431.89999389648398</v>
      </c>
    </row>
    <row r="8338" spans="1:2" x14ac:dyDescent="0.25">
      <c r="A8338" s="5">
        <v>34019</v>
      </c>
      <c r="B8338">
        <v>434.22000122070301</v>
      </c>
    </row>
    <row r="8339" spans="1:2" x14ac:dyDescent="0.25">
      <c r="A8339" s="5">
        <v>34022</v>
      </c>
      <c r="B8339">
        <v>435.239990234375</v>
      </c>
    </row>
    <row r="8340" spans="1:2" x14ac:dyDescent="0.25">
      <c r="A8340" s="5">
        <v>34023</v>
      </c>
      <c r="B8340">
        <v>434.79998779296898</v>
      </c>
    </row>
    <row r="8341" spans="1:2" x14ac:dyDescent="0.25">
      <c r="A8341" s="5">
        <v>34024</v>
      </c>
      <c r="B8341">
        <v>440.86999511718801</v>
      </c>
    </row>
    <row r="8342" spans="1:2" x14ac:dyDescent="0.25">
      <c r="A8342" s="5">
        <v>34025</v>
      </c>
      <c r="B8342">
        <v>442.33999633789102</v>
      </c>
    </row>
    <row r="8343" spans="1:2" x14ac:dyDescent="0.25">
      <c r="A8343" s="5">
        <v>34026</v>
      </c>
      <c r="B8343">
        <v>443.38000488281199</v>
      </c>
    </row>
    <row r="8344" spans="1:2" x14ac:dyDescent="0.25">
      <c r="A8344" s="5">
        <v>34029</v>
      </c>
      <c r="B8344">
        <v>442.010009765625</v>
      </c>
    </row>
    <row r="8345" spans="1:2" x14ac:dyDescent="0.25">
      <c r="A8345" s="5">
        <v>34030</v>
      </c>
      <c r="B8345">
        <v>447.89999389648398</v>
      </c>
    </row>
    <row r="8346" spans="1:2" x14ac:dyDescent="0.25">
      <c r="A8346" s="5">
        <v>34031</v>
      </c>
      <c r="B8346">
        <v>449.260009765625</v>
      </c>
    </row>
    <row r="8347" spans="1:2" x14ac:dyDescent="0.25">
      <c r="A8347" s="5">
        <v>34032</v>
      </c>
      <c r="B8347">
        <v>447.33999633789102</v>
      </c>
    </row>
    <row r="8348" spans="1:2" x14ac:dyDescent="0.25">
      <c r="A8348" s="5">
        <v>34033</v>
      </c>
      <c r="B8348">
        <v>446.10998535156199</v>
      </c>
    </row>
    <row r="8349" spans="1:2" x14ac:dyDescent="0.25">
      <c r="A8349" s="5">
        <v>34036</v>
      </c>
      <c r="B8349">
        <v>454.70999145507801</v>
      </c>
    </row>
    <row r="8350" spans="1:2" x14ac:dyDescent="0.25">
      <c r="A8350" s="5">
        <v>34037</v>
      </c>
      <c r="B8350">
        <v>454.39999389648398</v>
      </c>
    </row>
    <row r="8351" spans="1:2" x14ac:dyDescent="0.25">
      <c r="A8351" s="5">
        <v>34038</v>
      </c>
      <c r="B8351">
        <v>456.32998657226602</v>
      </c>
    </row>
    <row r="8352" spans="1:2" x14ac:dyDescent="0.25">
      <c r="A8352" s="5">
        <v>34039</v>
      </c>
      <c r="B8352">
        <v>453.72000122070301</v>
      </c>
    </row>
    <row r="8353" spans="1:2" x14ac:dyDescent="0.25">
      <c r="A8353" s="5">
        <v>34040</v>
      </c>
      <c r="B8353">
        <v>449.82998657226602</v>
      </c>
    </row>
    <row r="8354" spans="1:2" x14ac:dyDescent="0.25">
      <c r="A8354" s="5">
        <v>34043</v>
      </c>
      <c r="B8354">
        <v>451.42999267578102</v>
      </c>
    </row>
    <row r="8355" spans="1:2" x14ac:dyDescent="0.25">
      <c r="A8355" s="5">
        <v>34044</v>
      </c>
      <c r="B8355">
        <v>451.36999511718801</v>
      </c>
    </row>
    <row r="8356" spans="1:2" x14ac:dyDescent="0.25">
      <c r="A8356" s="5">
        <v>34045</v>
      </c>
      <c r="B8356">
        <v>448.30999755859398</v>
      </c>
    </row>
    <row r="8357" spans="1:2" x14ac:dyDescent="0.25">
      <c r="A8357" s="5">
        <v>34046</v>
      </c>
      <c r="B8357">
        <v>451.89001464843801</v>
      </c>
    </row>
    <row r="8358" spans="1:2" x14ac:dyDescent="0.25">
      <c r="A8358" s="5">
        <v>34047</v>
      </c>
      <c r="B8358">
        <v>450.17999267578102</v>
      </c>
    </row>
    <row r="8359" spans="1:2" x14ac:dyDescent="0.25">
      <c r="A8359" s="5">
        <v>34050</v>
      </c>
      <c r="B8359">
        <v>448.88000488281199</v>
      </c>
    </row>
    <row r="8360" spans="1:2" x14ac:dyDescent="0.25">
      <c r="A8360" s="5">
        <v>34051</v>
      </c>
      <c r="B8360">
        <v>448.760009765625</v>
      </c>
    </row>
    <row r="8361" spans="1:2" x14ac:dyDescent="0.25">
      <c r="A8361" s="5">
        <v>34052</v>
      </c>
      <c r="B8361">
        <v>448.07000732421898</v>
      </c>
    </row>
    <row r="8362" spans="1:2" x14ac:dyDescent="0.25">
      <c r="A8362" s="5">
        <v>34053</v>
      </c>
      <c r="B8362">
        <v>450.88000488281199</v>
      </c>
    </row>
    <row r="8363" spans="1:2" x14ac:dyDescent="0.25">
      <c r="A8363" s="5">
        <v>34054</v>
      </c>
      <c r="B8363">
        <v>447.77999877929699</v>
      </c>
    </row>
    <row r="8364" spans="1:2" x14ac:dyDescent="0.25">
      <c r="A8364" s="5">
        <v>34057</v>
      </c>
      <c r="B8364">
        <v>450.76998901367199</v>
      </c>
    </row>
    <row r="8365" spans="1:2" x14ac:dyDescent="0.25">
      <c r="A8365" s="5">
        <v>34058</v>
      </c>
      <c r="B8365">
        <v>451.97000122070301</v>
      </c>
    </row>
    <row r="8366" spans="1:2" x14ac:dyDescent="0.25">
      <c r="A8366" s="5">
        <v>34059</v>
      </c>
      <c r="B8366">
        <v>451.67001342773398</v>
      </c>
    </row>
    <row r="8367" spans="1:2" x14ac:dyDescent="0.25">
      <c r="A8367" s="5">
        <v>34060</v>
      </c>
      <c r="B8367">
        <v>450.29998779296898</v>
      </c>
    </row>
    <row r="8368" spans="1:2" x14ac:dyDescent="0.25">
      <c r="A8368" s="5">
        <v>34061</v>
      </c>
      <c r="B8368">
        <v>441.39001464843801</v>
      </c>
    </row>
    <row r="8369" spans="1:2" x14ac:dyDescent="0.25">
      <c r="A8369" s="5">
        <v>34064</v>
      </c>
      <c r="B8369">
        <v>442.29000854492199</v>
      </c>
    </row>
    <row r="8370" spans="1:2" x14ac:dyDescent="0.25">
      <c r="A8370" s="5">
        <v>34065</v>
      </c>
      <c r="B8370">
        <v>441.16000366210898</v>
      </c>
    </row>
    <row r="8371" spans="1:2" x14ac:dyDescent="0.25">
      <c r="A8371" s="5">
        <v>34066</v>
      </c>
      <c r="B8371">
        <v>442.73001098632801</v>
      </c>
    </row>
    <row r="8372" spans="1:2" x14ac:dyDescent="0.25">
      <c r="A8372" s="5">
        <v>34067</v>
      </c>
      <c r="B8372">
        <v>441.83999633789102</v>
      </c>
    </row>
    <row r="8373" spans="1:2" x14ac:dyDescent="0.25">
      <c r="A8373" s="5">
        <v>34071</v>
      </c>
      <c r="B8373">
        <v>448.36999511718801</v>
      </c>
    </row>
    <row r="8374" spans="1:2" x14ac:dyDescent="0.25">
      <c r="A8374" s="5">
        <v>34072</v>
      </c>
      <c r="B8374">
        <v>449.22000122070301</v>
      </c>
    </row>
    <row r="8375" spans="1:2" x14ac:dyDescent="0.25">
      <c r="A8375" s="5">
        <v>34073</v>
      </c>
      <c r="B8375">
        <v>448.66000366210898</v>
      </c>
    </row>
    <row r="8376" spans="1:2" x14ac:dyDescent="0.25">
      <c r="A8376" s="5">
        <v>34074</v>
      </c>
      <c r="B8376">
        <v>448.39999389648398</v>
      </c>
    </row>
    <row r="8377" spans="1:2" x14ac:dyDescent="0.25">
      <c r="A8377" s="5">
        <v>34075</v>
      </c>
      <c r="B8377">
        <v>448.94000244140602</v>
      </c>
    </row>
    <row r="8378" spans="1:2" x14ac:dyDescent="0.25">
      <c r="A8378" s="5">
        <v>34078</v>
      </c>
      <c r="B8378">
        <v>447.45999145507801</v>
      </c>
    </row>
    <row r="8379" spans="1:2" x14ac:dyDescent="0.25">
      <c r="A8379" s="5">
        <v>34079</v>
      </c>
      <c r="B8379">
        <v>445.10000610351602</v>
      </c>
    </row>
    <row r="8380" spans="1:2" x14ac:dyDescent="0.25">
      <c r="A8380" s="5">
        <v>34080</v>
      </c>
      <c r="B8380">
        <v>443.63000488281199</v>
      </c>
    </row>
    <row r="8381" spans="1:2" x14ac:dyDescent="0.25">
      <c r="A8381" s="5">
        <v>34081</v>
      </c>
      <c r="B8381">
        <v>439.45999145507801</v>
      </c>
    </row>
    <row r="8382" spans="1:2" x14ac:dyDescent="0.25">
      <c r="A8382" s="5">
        <v>34082</v>
      </c>
      <c r="B8382">
        <v>437.02999877929699</v>
      </c>
    </row>
    <row r="8383" spans="1:2" x14ac:dyDescent="0.25">
      <c r="A8383" s="5">
        <v>34085</v>
      </c>
      <c r="B8383">
        <v>433.54000854492199</v>
      </c>
    </row>
    <row r="8384" spans="1:2" x14ac:dyDescent="0.25">
      <c r="A8384" s="5">
        <v>34086</v>
      </c>
      <c r="B8384">
        <v>438.010009765625</v>
      </c>
    </row>
    <row r="8385" spans="1:2" x14ac:dyDescent="0.25">
      <c r="A8385" s="5">
        <v>34087</v>
      </c>
      <c r="B8385">
        <v>438.01998901367199</v>
      </c>
    </row>
    <row r="8386" spans="1:2" x14ac:dyDescent="0.25">
      <c r="A8386" s="5">
        <v>34088</v>
      </c>
      <c r="B8386">
        <v>438.89001464843801</v>
      </c>
    </row>
    <row r="8387" spans="1:2" x14ac:dyDescent="0.25">
      <c r="A8387" s="5">
        <v>34089</v>
      </c>
      <c r="B8387">
        <v>440.19000244140602</v>
      </c>
    </row>
    <row r="8388" spans="1:2" x14ac:dyDescent="0.25">
      <c r="A8388" s="5">
        <v>34092</v>
      </c>
      <c r="B8388">
        <v>442.45999145507801</v>
      </c>
    </row>
    <row r="8389" spans="1:2" x14ac:dyDescent="0.25">
      <c r="A8389" s="5">
        <v>34093</v>
      </c>
      <c r="B8389">
        <v>444.04998779296898</v>
      </c>
    </row>
    <row r="8390" spans="1:2" x14ac:dyDescent="0.25">
      <c r="A8390" s="5">
        <v>34094</v>
      </c>
      <c r="B8390">
        <v>444.51998901367199</v>
      </c>
    </row>
    <row r="8391" spans="1:2" x14ac:dyDescent="0.25">
      <c r="A8391" s="5">
        <v>34095</v>
      </c>
      <c r="B8391">
        <v>443.260009765625</v>
      </c>
    </row>
    <row r="8392" spans="1:2" x14ac:dyDescent="0.25">
      <c r="A8392" s="5">
        <v>34096</v>
      </c>
      <c r="B8392">
        <v>442.30999755859398</v>
      </c>
    </row>
    <row r="8393" spans="1:2" x14ac:dyDescent="0.25">
      <c r="A8393" s="5">
        <v>34099</v>
      </c>
      <c r="B8393">
        <v>442.79998779296898</v>
      </c>
    </row>
    <row r="8394" spans="1:2" x14ac:dyDescent="0.25">
      <c r="A8394" s="5">
        <v>34100</v>
      </c>
      <c r="B8394">
        <v>444.35998535156199</v>
      </c>
    </row>
    <row r="8395" spans="1:2" x14ac:dyDescent="0.25">
      <c r="A8395" s="5">
        <v>34101</v>
      </c>
      <c r="B8395">
        <v>444.79998779296898</v>
      </c>
    </row>
    <row r="8396" spans="1:2" x14ac:dyDescent="0.25">
      <c r="A8396" s="5">
        <v>34102</v>
      </c>
      <c r="B8396">
        <v>439.23001098632801</v>
      </c>
    </row>
    <row r="8397" spans="1:2" x14ac:dyDescent="0.25">
      <c r="A8397" s="5">
        <v>34103</v>
      </c>
      <c r="B8397">
        <v>439.55999755859398</v>
      </c>
    </row>
    <row r="8398" spans="1:2" x14ac:dyDescent="0.25">
      <c r="A8398" s="5">
        <v>34106</v>
      </c>
      <c r="B8398">
        <v>440.36999511718801</v>
      </c>
    </row>
    <row r="8399" spans="1:2" x14ac:dyDescent="0.25">
      <c r="A8399" s="5">
        <v>34107</v>
      </c>
      <c r="B8399">
        <v>440.32000732421898</v>
      </c>
    </row>
    <row r="8400" spans="1:2" x14ac:dyDescent="0.25">
      <c r="A8400" s="5">
        <v>34108</v>
      </c>
      <c r="B8400">
        <v>447.57000732421898</v>
      </c>
    </row>
    <row r="8401" spans="1:2" x14ac:dyDescent="0.25">
      <c r="A8401" s="5">
        <v>34109</v>
      </c>
      <c r="B8401">
        <v>450.58999633789102</v>
      </c>
    </row>
    <row r="8402" spans="1:2" x14ac:dyDescent="0.25">
      <c r="A8402" s="5">
        <v>34110</v>
      </c>
      <c r="B8402">
        <v>445.83999633789102</v>
      </c>
    </row>
    <row r="8403" spans="1:2" x14ac:dyDescent="0.25">
      <c r="A8403" s="5">
        <v>34113</v>
      </c>
      <c r="B8403">
        <v>448</v>
      </c>
    </row>
    <row r="8404" spans="1:2" x14ac:dyDescent="0.25">
      <c r="A8404" s="5">
        <v>34114</v>
      </c>
      <c r="B8404">
        <v>448.85000610351602</v>
      </c>
    </row>
    <row r="8405" spans="1:2" x14ac:dyDescent="0.25">
      <c r="A8405" s="5">
        <v>34115</v>
      </c>
      <c r="B8405">
        <v>453.44000244140602</v>
      </c>
    </row>
    <row r="8406" spans="1:2" x14ac:dyDescent="0.25">
      <c r="A8406" s="5">
        <v>34116</v>
      </c>
      <c r="B8406">
        <v>452.41000366210898</v>
      </c>
    </row>
    <row r="8407" spans="1:2" x14ac:dyDescent="0.25">
      <c r="A8407" s="5">
        <v>34117</v>
      </c>
      <c r="B8407">
        <v>450.19000244140602</v>
      </c>
    </row>
    <row r="8408" spans="1:2" x14ac:dyDescent="0.25">
      <c r="A8408" s="5">
        <v>34121</v>
      </c>
      <c r="B8408">
        <v>453.82998657226602</v>
      </c>
    </row>
    <row r="8409" spans="1:2" x14ac:dyDescent="0.25">
      <c r="A8409" s="5">
        <v>34122</v>
      </c>
      <c r="B8409">
        <v>453.85000610351602</v>
      </c>
    </row>
    <row r="8410" spans="1:2" x14ac:dyDescent="0.25">
      <c r="A8410" s="5">
        <v>34123</v>
      </c>
      <c r="B8410">
        <v>452.489990234375</v>
      </c>
    </row>
    <row r="8411" spans="1:2" x14ac:dyDescent="0.25">
      <c r="A8411" s="5">
        <v>34124</v>
      </c>
      <c r="B8411">
        <v>450.05999755859398</v>
      </c>
    </row>
    <row r="8412" spans="1:2" x14ac:dyDescent="0.25">
      <c r="A8412" s="5">
        <v>34127</v>
      </c>
      <c r="B8412">
        <v>447.69000244140602</v>
      </c>
    </row>
    <row r="8413" spans="1:2" x14ac:dyDescent="0.25">
      <c r="A8413" s="5">
        <v>34128</v>
      </c>
      <c r="B8413">
        <v>444.70999145507801</v>
      </c>
    </row>
    <row r="8414" spans="1:2" x14ac:dyDescent="0.25">
      <c r="A8414" s="5">
        <v>34129</v>
      </c>
      <c r="B8414">
        <v>445.77999877929699</v>
      </c>
    </row>
    <row r="8415" spans="1:2" x14ac:dyDescent="0.25">
      <c r="A8415" s="5">
        <v>34130</v>
      </c>
      <c r="B8415">
        <v>445.38000488281199</v>
      </c>
    </row>
    <row r="8416" spans="1:2" x14ac:dyDescent="0.25">
      <c r="A8416" s="5">
        <v>34131</v>
      </c>
      <c r="B8416">
        <v>447.260009765625</v>
      </c>
    </row>
    <row r="8417" spans="1:2" x14ac:dyDescent="0.25">
      <c r="A8417" s="5">
        <v>34134</v>
      </c>
      <c r="B8417">
        <v>447.70999145507801</v>
      </c>
    </row>
    <row r="8418" spans="1:2" x14ac:dyDescent="0.25">
      <c r="A8418" s="5">
        <v>34135</v>
      </c>
      <c r="B8418">
        <v>446.26998901367199</v>
      </c>
    </row>
    <row r="8419" spans="1:2" x14ac:dyDescent="0.25">
      <c r="A8419" s="5">
        <v>34136</v>
      </c>
      <c r="B8419">
        <v>447.42999267578102</v>
      </c>
    </row>
    <row r="8420" spans="1:2" x14ac:dyDescent="0.25">
      <c r="A8420" s="5">
        <v>34137</v>
      </c>
      <c r="B8420">
        <v>448.54000854492199</v>
      </c>
    </row>
    <row r="8421" spans="1:2" x14ac:dyDescent="0.25">
      <c r="A8421" s="5">
        <v>34138</v>
      </c>
      <c r="B8421">
        <v>443.67999267578102</v>
      </c>
    </row>
    <row r="8422" spans="1:2" x14ac:dyDescent="0.25">
      <c r="A8422" s="5">
        <v>34141</v>
      </c>
      <c r="B8422">
        <v>446.22000122070301</v>
      </c>
    </row>
    <row r="8423" spans="1:2" x14ac:dyDescent="0.25">
      <c r="A8423" s="5">
        <v>34142</v>
      </c>
      <c r="B8423">
        <v>445.92999267578102</v>
      </c>
    </row>
    <row r="8424" spans="1:2" x14ac:dyDescent="0.25">
      <c r="A8424" s="5">
        <v>34143</v>
      </c>
      <c r="B8424">
        <v>443.19000244140602</v>
      </c>
    </row>
    <row r="8425" spans="1:2" x14ac:dyDescent="0.25">
      <c r="A8425" s="5">
        <v>34144</v>
      </c>
      <c r="B8425">
        <v>446.61999511718801</v>
      </c>
    </row>
    <row r="8426" spans="1:2" x14ac:dyDescent="0.25">
      <c r="A8426" s="5">
        <v>34145</v>
      </c>
      <c r="B8426">
        <v>447.60000610351602</v>
      </c>
    </row>
    <row r="8427" spans="1:2" x14ac:dyDescent="0.25">
      <c r="A8427" s="5">
        <v>34148</v>
      </c>
      <c r="B8427">
        <v>451.85000610351602</v>
      </c>
    </row>
    <row r="8428" spans="1:2" x14ac:dyDescent="0.25">
      <c r="A8428" s="5">
        <v>34149</v>
      </c>
      <c r="B8428">
        <v>450.69000244140602</v>
      </c>
    </row>
    <row r="8429" spans="1:2" x14ac:dyDescent="0.25">
      <c r="A8429" s="5">
        <v>34150</v>
      </c>
      <c r="B8429">
        <v>450.52999877929699</v>
      </c>
    </row>
    <row r="8430" spans="1:2" x14ac:dyDescent="0.25">
      <c r="A8430" s="5">
        <v>34151</v>
      </c>
      <c r="B8430">
        <v>449.01998901367199</v>
      </c>
    </row>
    <row r="8431" spans="1:2" x14ac:dyDescent="0.25">
      <c r="A8431" s="5">
        <v>34152</v>
      </c>
      <c r="B8431">
        <v>445.83999633789102</v>
      </c>
    </row>
    <row r="8432" spans="1:2" x14ac:dyDescent="0.25">
      <c r="A8432" s="5">
        <v>34156</v>
      </c>
      <c r="B8432">
        <v>441.42999267578102</v>
      </c>
    </row>
    <row r="8433" spans="1:2" x14ac:dyDescent="0.25">
      <c r="A8433" s="5">
        <v>34157</v>
      </c>
      <c r="B8433">
        <v>442.82998657226602</v>
      </c>
    </row>
    <row r="8434" spans="1:2" x14ac:dyDescent="0.25">
      <c r="A8434" s="5">
        <v>34158</v>
      </c>
      <c r="B8434">
        <v>448.64001464843801</v>
      </c>
    </row>
    <row r="8435" spans="1:2" x14ac:dyDescent="0.25">
      <c r="A8435" s="5">
        <v>34159</v>
      </c>
      <c r="B8435">
        <v>448.10998535156199</v>
      </c>
    </row>
    <row r="8436" spans="1:2" x14ac:dyDescent="0.25">
      <c r="A8436" s="5">
        <v>34162</v>
      </c>
      <c r="B8436">
        <v>448.98001098632801</v>
      </c>
    </row>
    <row r="8437" spans="1:2" x14ac:dyDescent="0.25">
      <c r="A8437" s="5">
        <v>34163</v>
      </c>
      <c r="B8437">
        <v>448.08999633789102</v>
      </c>
    </row>
    <row r="8438" spans="1:2" x14ac:dyDescent="0.25">
      <c r="A8438" s="5">
        <v>34164</v>
      </c>
      <c r="B8438">
        <v>450.07998657226602</v>
      </c>
    </row>
    <row r="8439" spans="1:2" x14ac:dyDescent="0.25">
      <c r="A8439" s="5">
        <v>34165</v>
      </c>
      <c r="B8439">
        <v>449.22000122070301</v>
      </c>
    </row>
    <row r="8440" spans="1:2" x14ac:dyDescent="0.25">
      <c r="A8440" s="5">
        <v>34166</v>
      </c>
      <c r="B8440">
        <v>445.75</v>
      </c>
    </row>
    <row r="8441" spans="1:2" x14ac:dyDescent="0.25">
      <c r="A8441" s="5">
        <v>34169</v>
      </c>
      <c r="B8441">
        <v>446.02999877929699</v>
      </c>
    </row>
    <row r="8442" spans="1:2" x14ac:dyDescent="0.25">
      <c r="A8442" s="5">
        <v>34170</v>
      </c>
      <c r="B8442">
        <v>447.30999755859398</v>
      </c>
    </row>
    <row r="8443" spans="1:2" x14ac:dyDescent="0.25">
      <c r="A8443" s="5">
        <v>34171</v>
      </c>
      <c r="B8443">
        <v>447.17999267578102</v>
      </c>
    </row>
    <row r="8444" spans="1:2" x14ac:dyDescent="0.25">
      <c r="A8444" s="5">
        <v>34172</v>
      </c>
      <c r="B8444">
        <v>444.510009765625</v>
      </c>
    </row>
    <row r="8445" spans="1:2" x14ac:dyDescent="0.25">
      <c r="A8445" s="5">
        <v>34173</v>
      </c>
      <c r="B8445">
        <v>447.10000610351602</v>
      </c>
    </row>
    <row r="8446" spans="1:2" x14ac:dyDescent="0.25">
      <c r="A8446" s="5">
        <v>34176</v>
      </c>
      <c r="B8446">
        <v>449.08999633789102</v>
      </c>
    </row>
    <row r="8447" spans="1:2" x14ac:dyDescent="0.25">
      <c r="A8447" s="5">
        <v>34177</v>
      </c>
      <c r="B8447">
        <v>448.239990234375</v>
      </c>
    </row>
    <row r="8448" spans="1:2" x14ac:dyDescent="0.25">
      <c r="A8448" s="5">
        <v>34178</v>
      </c>
      <c r="B8448">
        <v>447.19000244140602</v>
      </c>
    </row>
    <row r="8449" spans="1:2" x14ac:dyDescent="0.25">
      <c r="A8449" s="5">
        <v>34179</v>
      </c>
      <c r="B8449">
        <v>450.239990234375</v>
      </c>
    </row>
    <row r="8450" spans="1:2" x14ac:dyDescent="0.25">
      <c r="A8450" s="5">
        <v>34180</v>
      </c>
      <c r="B8450">
        <v>448.13000488281199</v>
      </c>
    </row>
    <row r="8451" spans="1:2" x14ac:dyDescent="0.25">
      <c r="A8451" s="5">
        <v>34183</v>
      </c>
      <c r="B8451">
        <v>450.14999389648398</v>
      </c>
    </row>
    <row r="8452" spans="1:2" x14ac:dyDescent="0.25">
      <c r="A8452" s="5">
        <v>34184</v>
      </c>
      <c r="B8452">
        <v>449.26998901367199</v>
      </c>
    </row>
    <row r="8453" spans="1:2" x14ac:dyDescent="0.25">
      <c r="A8453" s="5">
        <v>34185</v>
      </c>
      <c r="B8453">
        <v>448.54000854492199</v>
      </c>
    </row>
    <row r="8454" spans="1:2" x14ac:dyDescent="0.25">
      <c r="A8454" s="5">
        <v>34186</v>
      </c>
      <c r="B8454">
        <v>448.13000488281199</v>
      </c>
    </row>
    <row r="8455" spans="1:2" x14ac:dyDescent="0.25">
      <c r="A8455" s="5">
        <v>34187</v>
      </c>
      <c r="B8455">
        <v>448.67999267578102</v>
      </c>
    </row>
    <row r="8456" spans="1:2" x14ac:dyDescent="0.25">
      <c r="A8456" s="5">
        <v>34190</v>
      </c>
      <c r="B8456">
        <v>450.72000122070301</v>
      </c>
    </row>
    <row r="8457" spans="1:2" x14ac:dyDescent="0.25">
      <c r="A8457" s="5">
        <v>34191</v>
      </c>
      <c r="B8457">
        <v>449.45001220703102</v>
      </c>
    </row>
    <row r="8458" spans="1:2" x14ac:dyDescent="0.25">
      <c r="A8458" s="5">
        <v>34192</v>
      </c>
      <c r="B8458">
        <v>450.45999145507801</v>
      </c>
    </row>
    <row r="8459" spans="1:2" x14ac:dyDescent="0.25">
      <c r="A8459" s="5">
        <v>34193</v>
      </c>
      <c r="B8459">
        <v>448.95999145507801</v>
      </c>
    </row>
    <row r="8460" spans="1:2" x14ac:dyDescent="0.25">
      <c r="A8460" s="5">
        <v>34194</v>
      </c>
      <c r="B8460">
        <v>450.14001464843801</v>
      </c>
    </row>
    <row r="8461" spans="1:2" x14ac:dyDescent="0.25">
      <c r="A8461" s="5">
        <v>34197</v>
      </c>
      <c r="B8461">
        <v>452.38000488281199</v>
      </c>
    </row>
    <row r="8462" spans="1:2" x14ac:dyDescent="0.25">
      <c r="A8462" s="5">
        <v>34198</v>
      </c>
      <c r="B8462">
        <v>453.13000488281199</v>
      </c>
    </row>
    <row r="8463" spans="1:2" x14ac:dyDescent="0.25">
      <c r="A8463" s="5">
        <v>34199</v>
      </c>
      <c r="B8463">
        <v>456.04000854492199</v>
      </c>
    </row>
    <row r="8464" spans="1:2" x14ac:dyDescent="0.25">
      <c r="A8464" s="5">
        <v>34200</v>
      </c>
      <c r="B8464">
        <v>456.42999267578102</v>
      </c>
    </row>
    <row r="8465" spans="1:2" x14ac:dyDescent="0.25">
      <c r="A8465" s="5">
        <v>34201</v>
      </c>
      <c r="B8465">
        <v>456.16000366210898</v>
      </c>
    </row>
    <row r="8466" spans="1:2" x14ac:dyDescent="0.25">
      <c r="A8466" s="5">
        <v>34204</v>
      </c>
      <c r="B8466">
        <v>455.23001098632801</v>
      </c>
    </row>
    <row r="8467" spans="1:2" x14ac:dyDescent="0.25">
      <c r="A8467" s="5">
        <v>34205</v>
      </c>
      <c r="B8467">
        <v>459.76998901367199</v>
      </c>
    </row>
    <row r="8468" spans="1:2" x14ac:dyDescent="0.25">
      <c r="A8468" s="5">
        <v>34206</v>
      </c>
      <c r="B8468">
        <v>460.13000488281199</v>
      </c>
    </row>
    <row r="8469" spans="1:2" x14ac:dyDescent="0.25">
      <c r="A8469" s="5">
        <v>34207</v>
      </c>
      <c r="B8469">
        <v>461.04000854492199</v>
      </c>
    </row>
    <row r="8470" spans="1:2" x14ac:dyDescent="0.25">
      <c r="A8470" s="5">
        <v>34208</v>
      </c>
      <c r="B8470">
        <v>460.54000854492199</v>
      </c>
    </row>
    <row r="8471" spans="1:2" x14ac:dyDescent="0.25">
      <c r="A8471" s="5">
        <v>34211</v>
      </c>
      <c r="B8471">
        <v>461.89999389648398</v>
      </c>
    </row>
    <row r="8472" spans="1:2" x14ac:dyDescent="0.25">
      <c r="A8472" s="5">
        <v>34212</v>
      </c>
      <c r="B8472">
        <v>463.55999755859398</v>
      </c>
    </row>
    <row r="8473" spans="1:2" x14ac:dyDescent="0.25">
      <c r="A8473" s="5">
        <v>34213</v>
      </c>
      <c r="B8473">
        <v>463.14999389648398</v>
      </c>
    </row>
    <row r="8474" spans="1:2" x14ac:dyDescent="0.25">
      <c r="A8474" s="5">
        <v>34214</v>
      </c>
      <c r="B8474">
        <v>461.29998779296898</v>
      </c>
    </row>
    <row r="8475" spans="1:2" x14ac:dyDescent="0.25">
      <c r="A8475" s="5">
        <v>34215</v>
      </c>
      <c r="B8475">
        <v>461.33999633789102</v>
      </c>
    </row>
    <row r="8476" spans="1:2" x14ac:dyDescent="0.25">
      <c r="A8476" s="5">
        <v>34219</v>
      </c>
      <c r="B8476">
        <v>458.51998901367199</v>
      </c>
    </row>
    <row r="8477" spans="1:2" x14ac:dyDescent="0.25">
      <c r="A8477" s="5">
        <v>34220</v>
      </c>
      <c r="B8477">
        <v>456.64999389648398</v>
      </c>
    </row>
    <row r="8478" spans="1:2" x14ac:dyDescent="0.25">
      <c r="A8478" s="5">
        <v>34221</v>
      </c>
      <c r="B8478">
        <v>457.5</v>
      </c>
    </row>
    <row r="8479" spans="1:2" x14ac:dyDescent="0.25">
      <c r="A8479" s="5">
        <v>34222</v>
      </c>
      <c r="B8479">
        <v>461.72000122070301</v>
      </c>
    </row>
    <row r="8480" spans="1:2" x14ac:dyDescent="0.25">
      <c r="A8480" s="5">
        <v>34225</v>
      </c>
      <c r="B8480">
        <v>462.05999755859398</v>
      </c>
    </row>
    <row r="8481" spans="1:2" x14ac:dyDescent="0.25">
      <c r="A8481" s="5">
        <v>34226</v>
      </c>
      <c r="B8481">
        <v>459.89999389648398</v>
      </c>
    </row>
    <row r="8482" spans="1:2" x14ac:dyDescent="0.25">
      <c r="A8482" s="5">
        <v>34227</v>
      </c>
      <c r="B8482">
        <v>461.60000610351602</v>
      </c>
    </row>
    <row r="8483" spans="1:2" x14ac:dyDescent="0.25">
      <c r="A8483" s="5">
        <v>34228</v>
      </c>
      <c r="B8483">
        <v>459.42999267578102</v>
      </c>
    </row>
    <row r="8484" spans="1:2" x14ac:dyDescent="0.25">
      <c r="A8484" s="5">
        <v>34229</v>
      </c>
      <c r="B8484">
        <v>458.82998657226602</v>
      </c>
    </row>
    <row r="8485" spans="1:2" x14ac:dyDescent="0.25">
      <c r="A8485" s="5">
        <v>34232</v>
      </c>
      <c r="B8485">
        <v>455.04998779296898</v>
      </c>
    </row>
    <row r="8486" spans="1:2" x14ac:dyDescent="0.25">
      <c r="A8486" s="5">
        <v>34233</v>
      </c>
      <c r="B8486">
        <v>452.95001220703102</v>
      </c>
    </row>
    <row r="8487" spans="1:2" x14ac:dyDescent="0.25">
      <c r="A8487" s="5">
        <v>34234</v>
      </c>
      <c r="B8487">
        <v>456.20001220703102</v>
      </c>
    </row>
    <row r="8488" spans="1:2" x14ac:dyDescent="0.25">
      <c r="A8488" s="5">
        <v>34235</v>
      </c>
      <c r="B8488">
        <v>457.739990234375</v>
      </c>
    </row>
    <row r="8489" spans="1:2" x14ac:dyDescent="0.25">
      <c r="A8489" s="5">
        <v>34236</v>
      </c>
      <c r="B8489">
        <v>457.63000488281199</v>
      </c>
    </row>
    <row r="8490" spans="1:2" x14ac:dyDescent="0.25">
      <c r="A8490" s="5">
        <v>34239</v>
      </c>
      <c r="B8490">
        <v>461.79998779296898</v>
      </c>
    </row>
    <row r="8491" spans="1:2" x14ac:dyDescent="0.25">
      <c r="A8491" s="5">
        <v>34240</v>
      </c>
      <c r="B8491">
        <v>461.52999877929699</v>
      </c>
    </row>
    <row r="8492" spans="1:2" x14ac:dyDescent="0.25">
      <c r="A8492" s="5">
        <v>34241</v>
      </c>
      <c r="B8492">
        <v>460.10998535156199</v>
      </c>
    </row>
    <row r="8493" spans="1:2" x14ac:dyDescent="0.25">
      <c r="A8493" s="5">
        <v>34242</v>
      </c>
      <c r="B8493">
        <v>458.92999267578102</v>
      </c>
    </row>
    <row r="8494" spans="1:2" x14ac:dyDescent="0.25">
      <c r="A8494" s="5">
        <v>34243</v>
      </c>
      <c r="B8494">
        <v>461.27999877929699</v>
      </c>
    </row>
    <row r="8495" spans="1:2" x14ac:dyDescent="0.25">
      <c r="A8495" s="5">
        <v>34246</v>
      </c>
      <c r="B8495">
        <v>461.33999633789102</v>
      </c>
    </row>
    <row r="8496" spans="1:2" x14ac:dyDescent="0.25">
      <c r="A8496" s="5">
        <v>34247</v>
      </c>
      <c r="B8496">
        <v>461.20001220703102</v>
      </c>
    </row>
    <row r="8497" spans="1:2" x14ac:dyDescent="0.25">
      <c r="A8497" s="5">
        <v>34248</v>
      </c>
      <c r="B8497">
        <v>460.739990234375</v>
      </c>
    </row>
    <row r="8498" spans="1:2" x14ac:dyDescent="0.25">
      <c r="A8498" s="5">
        <v>34249</v>
      </c>
      <c r="B8498">
        <v>459.17999267578102</v>
      </c>
    </row>
    <row r="8499" spans="1:2" x14ac:dyDescent="0.25">
      <c r="A8499" s="5">
        <v>34250</v>
      </c>
      <c r="B8499">
        <v>460.30999755859398</v>
      </c>
    </row>
    <row r="8500" spans="1:2" x14ac:dyDescent="0.25">
      <c r="A8500" s="5">
        <v>34253</v>
      </c>
      <c r="B8500">
        <v>460.88000488281199</v>
      </c>
    </row>
    <row r="8501" spans="1:2" x14ac:dyDescent="0.25">
      <c r="A8501" s="5">
        <v>34254</v>
      </c>
      <c r="B8501">
        <v>461.11999511718801</v>
      </c>
    </row>
    <row r="8502" spans="1:2" x14ac:dyDescent="0.25">
      <c r="A8502" s="5">
        <v>34255</v>
      </c>
      <c r="B8502">
        <v>461.489990234375</v>
      </c>
    </row>
    <row r="8503" spans="1:2" x14ac:dyDescent="0.25">
      <c r="A8503" s="5">
        <v>34256</v>
      </c>
      <c r="B8503">
        <v>466.82998657226602</v>
      </c>
    </row>
    <row r="8504" spans="1:2" x14ac:dyDescent="0.25">
      <c r="A8504" s="5">
        <v>34257</v>
      </c>
      <c r="B8504">
        <v>469.5</v>
      </c>
    </row>
    <row r="8505" spans="1:2" x14ac:dyDescent="0.25">
      <c r="A8505" s="5">
        <v>34260</v>
      </c>
      <c r="B8505">
        <v>468.45001220703102</v>
      </c>
    </row>
    <row r="8506" spans="1:2" x14ac:dyDescent="0.25">
      <c r="A8506" s="5">
        <v>34261</v>
      </c>
      <c r="B8506">
        <v>466.20999145507801</v>
      </c>
    </row>
    <row r="8507" spans="1:2" x14ac:dyDescent="0.25">
      <c r="A8507" s="5">
        <v>34262</v>
      </c>
      <c r="B8507">
        <v>466.07000732421898</v>
      </c>
    </row>
    <row r="8508" spans="1:2" x14ac:dyDescent="0.25">
      <c r="A8508" s="5">
        <v>34263</v>
      </c>
      <c r="B8508">
        <v>465.35998535156199</v>
      </c>
    </row>
    <row r="8509" spans="1:2" x14ac:dyDescent="0.25">
      <c r="A8509" s="5">
        <v>34264</v>
      </c>
      <c r="B8509">
        <v>463.26998901367199</v>
      </c>
    </row>
    <row r="8510" spans="1:2" x14ac:dyDescent="0.25">
      <c r="A8510" s="5">
        <v>34267</v>
      </c>
      <c r="B8510">
        <v>464.20001220703102</v>
      </c>
    </row>
    <row r="8511" spans="1:2" x14ac:dyDescent="0.25">
      <c r="A8511" s="5">
        <v>34268</v>
      </c>
      <c r="B8511">
        <v>464.29998779296898</v>
      </c>
    </row>
    <row r="8512" spans="1:2" x14ac:dyDescent="0.25">
      <c r="A8512" s="5">
        <v>34269</v>
      </c>
      <c r="B8512">
        <v>464.60998535156199</v>
      </c>
    </row>
    <row r="8513" spans="1:2" x14ac:dyDescent="0.25">
      <c r="A8513" s="5">
        <v>34270</v>
      </c>
      <c r="B8513">
        <v>467.73001098632801</v>
      </c>
    </row>
    <row r="8514" spans="1:2" x14ac:dyDescent="0.25">
      <c r="A8514" s="5">
        <v>34271</v>
      </c>
      <c r="B8514">
        <v>467.82998657226602</v>
      </c>
    </row>
    <row r="8515" spans="1:2" x14ac:dyDescent="0.25">
      <c r="A8515" s="5">
        <v>34274</v>
      </c>
      <c r="B8515">
        <v>469.10000610351602</v>
      </c>
    </row>
    <row r="8516" spans="1:2" x14ac:dyDescent="0.25">
      <c r="A8516" s="5">
        <v>34275</v>
      </c>
      <c r="B8516">
        <v>468.44000244140602</v>
      </c>
    </row>
    <row r="8517" spans="1:2" x14ac:dyDescent="0.25">
      <c r="A8517" s="5">
        <v>34276</v>
      </c>
      <c r="B8517">
        <v>463.01998901367199</v>
      </c>
    </row>
    <row r="8518" spans="1:2" x14ac:dyDescent="0.25">
      <c r="A8518" s="5">
        <v>34277</v>
      </c>
      <c r="B8518">
        <v>457.489990234375</v>
      </c>
    </row>
    <row r="8519" spans="1:2" x14ac:dyDescent="0.25">
      <c r="A8519" s="5">
        <v>34278</v>
      </c>
      <c r="B8519">
        <v>459.57000732421898</v>
      </c>
    </row>
    <row r="8520" spans="1:2" x14ac:dyDescent="0.25">
      <c r="A8520" s="5">
        <v>34281</v>
      </c>
      <c r="B8520">
        <v>460.20999145507801</v>
      </c>
    </row>
    <row r="8521" spans="1:2" x14ac:dyDescent="0.25">
      <c r="A8521" s="5">
        <v>34282</v>
      </c>
      <c r="B8521">
        <v>460.32998657226602</v>
      </c>
    </row>
    <row r="8522" spans="1:2" x14ac:dyDescent="0.25">
      <c r="A8522" s="5">
        <v>34283</v>
      </c>
      <c r="B8522">
        <v>463.72000122070301</v>
      </c>
    </row>
    <row r="8523" spans="1:2" x14ac:dyDescent="0.25">
      <c r="A8523" s="5">
        <v>34284</v>
      </c>
      <c r="B8523">
        <v>462.64001464843801</v>
      </c>
    </row>
    <row r="8524" spans="1:2" x14ac:dyDescent="0.25">
      <c r="A8524" s="5">
        <v>34285</v>
      </c>
      <c r="B8524">
        <v>465.39001464843801</v>
      </c>
    </row>
    <row r="8525" spans="1:2" x14ac:dyDescent="0.25">
      <c r="A8525" s="5">
        <v>34288</v>
      </c>
      <c r="B8525">
        <v>463.75</v>
      </c>
    </row>
    <row r="8526" spans="1:2" x14ac:dyDescent="0.25">
      <c r="A8526" s="5">
        <v>34289</v>
      </c>
      <c r="B8526">
        <v>466.739990234375</v>
      </c>
    </row>
    <row r="8527" spans="1:2" x14ac:dyDescent="0.25">
      <c r="A8527" s="5">
        <v>34290</v>
      </c>
      <c r="B8527">
        <v>464.80999755859398</v>
      </c>
    </row>
    <row r="8528" spans="1:2" x14ac:dyDescent="0.25">
      <c r="A8528" s="5">
        <v>34291</v>
      </c>
      <c r="B8528">
        <v>463.61999511718801</v>
      </c>
    </row>
    <row r="8529" spans="1:2" x14ac:dyDescent="0.25">
      <c r="A8529" s="5">
        <v>34292</v>
      </c>
      <c r="B8529">
        <v>462.60000610351602</v>
      </c>
    </row>
    <row r="8530" spans="1:2" x14ac:dyDescent="0.25">
      <c r="A8530" s="5">
        <v>34295</v>
      </c>
      <c r="B8530">
        <v>459.13000488281199</v>
      </c>
    </row>
    <row r="8531" spans="1:2" x14ac:dyDescent="0.25">
      <c r="A8531" s="5">
        <v>34296</v>
      </c>
      <c r="B8531">
        <v>461.02999877929699</v>
      </c>
    </row>
    <row r="8532" spans="1:2" x14ac:dyDescent="0.25">
      <c r="A8532" s="5">
        <v>34297</v>
      </c>
      <c r="B8532">
        <v>462.35998535156199</v>
      </c>
    </row>
    <row r="8533" spans="1:2" x14ac:dyDescent="0.25">
      <c r="A8533" s="5">
        <v>34299</v>
      </c>
      <c r="B8533">
        <v>463.05999755859398</v>
      </c>
    </row>
    <row r="8534" spans="1:2" x14ac:dyDescent="0.25">
      <c r="A8534" s="5">
        <v>34302</v>
      </c>
      <c r="B8534">
        <v>461.89999389648398</v>
      </c>
    </row>
    <row r="8535" spans="1:2" x14ac:dyDescent="0.25">
      <c r="A8535" s="5">
        <v>34303</v>
      </c>
      <c r="B8535">
        <v>461.79000854492199</v>
      </c>
    </row>
    <row r="8536" spans="1:2" x14ac:dyDescent="0.25">
      <c r="A8536" s="5">
        <v>34304</v>
      </c>
      <c r="B8536">
        <v>461.89001464843801</v>
      </c>
    </row>
    <row r="8537" spans="1:2" x14ac:dyDescent="0.25">
      <c r="A8537" s="5">
        <v>34305</v>
      </c>
      <c r="B8537">
        <v>463.10998535156199</v>
      </c>
    </row>
    <row r="8538" spans="1:2" x14ac:dyDescent="0.25">
      <c r="A8538" s="5">
        <v>34306</v>
      </c>
      <c r="B8538">
        <v>464.89001464843801</v>
      </c>
    </row>
    <row r="8539" spans="1:2" x14ac:dyDescent="0.25">
      <c r="A8539" s="5">
        <v>34309</v>
      </c>
      <c r="B8539">
        <v>466.42999267578102</v>
      </c>
    </row>
    <row r="8540" spans="1:2" x14ac:dyDescent="0.25">
      <c r="A8540" s="5">
        <v>34310</v>
      </c>
      <c r="B8540">
        <v>466.760009765625</v>
      </c>
    </row>
    <row r="8541" spans="1:2" x14ac:dyDescent="0.25">
      <c r="A8541" s="5">
        <v>34311</v>
      </c>
      <c r="B8541">
        <v>466.29000854492199</v>
      </c>
    </row>
    <row r="8542" spans="1:2" x14ac:dyDescent="0.25">
      <c r="A8542" s="5">
        <v>34312</v>
      </c>
      <c r="B8542">
        <v>464.17999267578102</v>
      </c>
    </row>
    <row r="8543" spans="1:2" x14ac:dyDescent="0.25">
      <c r="A8543" s="5">
        <v>34313</v>
      </c>
      <c r="B8543">
        <v>463.92999267578102</v>
      </c>
    </row>
    <row r="8544" spans="1:2" x14ac:dyDescent="0.25">
      <c r="A8544" s="5">
        <v>34316</v>
      </c>
      <c r="B8544">
        <v>465.70001220703102</v>
      </c>
    </row>
    <row r="8545" spans="1:2" x14ac:dyDescent="0.25">
      <c r="A8545" s="5">
        <v>34317</v>
      </c>
      <c r="B8545">
        <v>463.05999755859398</v>
      </c>
    </row>
    <row r="8546" spans="1:2" x14ac:dyDescent="0.25">
      <c r="A8546" s="5">
        <v>34318</v>
      </c>
      <c r="B8546">
        <v>461.83999633789102</v>
      </c>
    </row>
    <row r="8547" spans="1:2" x14ac:dyDescent="0.25">
      <c r="A8547" s="5">
        <v>34319</v>
      </c>
      <c r="B8547">
        <v>463.33999633789102</v>
      </c>
    </row>
    <row r="8548" spans="1:2" x14ac:dyDescent="0.25">
      <c r="A8548" s="5">
        <v>34320</v>
      </c>
      <c r="B8548">
        <v>466.38000488281199</v>
      </c>
    </row>
    <row r="8549" spans="1:2" x14ac:dyDescent="0.25">
      <c r="A8549" s="5">
        <v>34323</v>
      </c>
      <c r="B8549">
        <v>465.85000610351602</v>
      </c>
    </row>
    <row r="8550" spans="1:2" x14ac:dyDescent="0.25">
      <c r="A8550" s="5">
        <v>34324</v>
      </c>
      <c r="B8550">
        <v>465.29998779296898</v>
      </c>
    </row>
    <row r="8551" spans="1:2" x14ac:dyDescent="0.25">
      <c r="A8551" s="5">
        <v>34325</v>
      </c>
      <c r="B8551">
        <v>467.32000732421898</v>
      </c>
    </row>
    <row r="8552" spans="1:2" x14ac:dyDescent="0.25">
      <c r="A8552" s="5">
        <v>34326</v>
      </c>
      <c r="B8552">
        <v>467.38000488281199</v>
      </c>
    </row>
    <row r="8553" spans="1:2" x14ac:dyDescent="0.25">
      <c r="A8553" s="5">
        <v>34330</v>
      </c>
      <c r="B8553">
        <v>470.54000854492199</v>
      </c>
    </row>
    <row r="8554" spans="1:2" x14ac:dyDescent="0.25">
      <c r="A8554" s="5">
        <v>34331</v>
      </c>
      <c r="B8554">
        <v>470.94000244140602</v>
      </c>
    </row>
    <row r="8555" spans="1:2" x14ac:dyDescent="0.25">
      <c r="A8555" s="5">
        <v>34332</v>
      </c>
      <c r="B8555">
        <v>470.57998657226602</v>
      </c>
    </row>
    <row r="8556" spans="1:2" x14ac:dyDescent="0.25">
      <c r="A8556" s="5">
        <v>34333</v>
      </c>
      <c r="B8556">
        <v>468.64001464843801</v>
      </c>
    </row>
    <row r="8557" spans="1:2" x14ac:dyDescent="0.25">
      <c r="A8557" s="5">
        <v>34334</v>
      </c>
      <c r="B8557">
        <v>466.45001220703102</v>
      </c>
    </row>
    <row r="8558" spans="1:2" x14ac:dyDescent="0.25">
      <c r="A8558" s="5">
        <v>34337</v>
      </c>
      <c r="B8558">
        <v>465.44000244140602</v>
      </c>
    </row>
    <row r="8559" spans="1:2" x14ac:dyDescent="0.25">
      <c r="A8559" s="5">
        <v>34338</v>
      </c>
      <c r="B8559">
        <v>466.89001464843801</v>
      </c>
    </row>
    <row r="8560" spans="1:2" x14ac:dyDescent="0.25">
      <c r="A8560" s="5">
        <v>34339</v>
      </c>
      <c r="B8560">
        <v>467.54998779296898</v>
      </c>
    </row>
    <row r="8561" spans="1:2" x14ac:dyDescent="0.25">
      <c r="A8561" s="5">
        <v>34340</v>
      </c>
      <c r="B8561">
        <v>467.11999511718801</v>
      </c>
    </row>
    <row r="8562" spans="1:2" x14ac:dyDescent="0.25">
      <c r="A8562" s="5">
        <v>34341</v>
      </c>
      <c r="B8562">
        <v>469.89999389648398</v>
      </c>
    </row>
    <row r="8563" spans="1:2" x14ac:dyDescent="0.25">
      <c r="A8563" s="5">
        <v>34344</v>
      </c>
      <c r="B8563">
        <v>475.26998901367199</v>
      </c>
    </row>
    <row r="8564" spans="1:2" x14ac:dyDescent="0.25">
      <c r="A8564" s="5">
        <v>34345</v>
      </c>
      <c r="B8564">
        <v>474.13000488281199</v>
      </c>
    </row>
    <row r="8565" spans="1:2" x14ac:dyDescent="0.25">
      <c r="A8565" s="5">
        <v>34346</v>
      </c>
      <c r="B8565">
        <v>474.17001342773398</v>
      </c>
    </row>
    <row r="8566" spans="1:2" x14ac:dyDescent="0.25">
      <c r="A8566" s="5">
        <v>34347</v>
      </c>
      <c r="B8566">
        <v>472.47000122070301</v>
      </c>
    </row>
    <row r="8567" spans="1:2" x14ac:dyDescent="0.25">
      <c r="A8567" s="5">
        <v>34348</v>
      </c>
      <c r="B8567">
        <v>474.91000366210898</v>
      </c>
    </row>
    <row r="8568" spans="1:2" x14ac:dyDescent="0.25">
      <c r="A8568" s="5">
        <v>34351</v>
      </c>
      <c r="B8568">
        <v>473.29998779296898</v>
      </c>
    </row>
    <row r="8569" spans="1:2" x14ac:dyDescent="0.25">
      <c r="A8569" s="5">
        <v>34352</v>
      </c>
      <c r="B8569">
        <v>474.25</v>
      </c>
    </row>
    <row r="8570" spans="1:2" x14ac:dyDescent="0.25">
      <c r="A8570" s="5">
        <v>34353</v>
      </c>
      <c r="B8570">
        <v>474.29998779296898</v>
      </c>
    </row>
    <row r="8571" spans="1:2" x14ac:dyDescent="0.25">
      <c r="A8571" s="5">
        <v>34354</v>
      </c>
      <c r="B8571">
        <v>474.98001098632801</v>
      </c>
    </row>
    <row r="8572" spans="1:2" x14ac:dyDescent="0.25">
      <c r="A8572" s="5">
        <v>34355</v>
      </c>
      <c r="B8572">
        <v>474.72000122070301</v>
      </c>
    </row>
    <row r="8573" spans="1:2" x14ac:dyDescent="0.25">
      <c r="A8573" s="5">
        <v>34358</v>
      </c>
      <c r="B8573">
        <v>471.97000122070301</v>
      </c>
    </row>
    <row r="8574" spans="1:2" x14ac:dyDescent="0.25">
      <c r="A8574" s="5">
        <v>34359</v>
      </c>
      <c r="B8574">
        <v>470.92001342773398</v>
      </c>
    </row>
    <row r="8575" spans="1:2" x14ac:dyDescent="0.25">
      <c r="A8575" s="5">
        <v>34360</v>
      </c>
      <c r="B8575">
        <v>473.20001220703102</v>
      </c>
    </row>
    <row r="8576" spans="1:2" x14ac:dyDescent="0.25">
      <c r="A8576" s="5">
        <v>34361</v>
      </c>
      <c r="B8576">
        <v>477.04998779296898</v>
      </c>
    </row>
    <row r="8577" spans="1:2" x14ac:dyDescent="0.25">
      <c r="A8577" s="5">
        <v>34362</v>
      </c>
      <c r="B8577">
        <v>478.70001220703102</v>
      </c>
    </row>
    <row r="8578" spans="1:2" x14ac:dyDescent="0.25">
      <c r="A8578" s="5">
        <v>34365</v>
      </c>
      <c r="B8578">
        <v>481.60998535156199</v>
      </c>
    </row>
    <row r="8579" spans="1:2" x14ac:dyDescent="0.25">
      <c r="A8579" s="5">
        <v>34366</v>
      </c>
      <c r="B8579">
        <v>479.61999511718801</v>
      </c>
    </row>
    <row r="8580" spans="1:2" x14ac:dyDescent="0.25">
      <c r="A8580" s="5">
        <v>34367</v>
      </c>
      <c r="B8580">
        <v>482</v>
      </c>
    </row>
    <row r="8581" spans="1:2" x14ac:dyDescent="0.25">
      <c r="A8581" s="5">
        <v>34368</v>
      </c>
      <c r="B8581">
        <v>480.70999145507801</v>
      </c>
    </row>
    <row r="8582" spans="1:2" x14ac:dyDescent="0.25">
      <c r="A8582" s="5">
        <v>34369</v>
      </c>
      <c r="B8582">
        <v>469.80999755859398</v>
      </c>
    </row>
    <row r="8583" spans="1:2" x14ac:dyDescent="0.25">
      <c r="A8583" s="5">
        <v>34372</v>
      </c>
      <c r="B8583">
        <v>471.760009765625</v>
      </c>
    </row>
    <row r="8584" spans="1:2" x14ac:dyDescent="0.25">
      <c r="A8584" s="5">
        <v>34373</v>
      </c>
      <c r="B8584">
        <v>471.04998779296898</v>
      </c>
    </row>
    <row r="8585" spans="1:2" x14ac:dyDescent="0.25">
      <c r="A8585" s="5">
        <v>34374</v>
      </c>
      <c r="B8585">
        <v>472.76998901367199</v>
      </c>
    </row>
    <row r="8586" spans="1:2" x14ac:dyDescent="0.25">
      <c r="A8586" s="5">
        <v>34375</v>
      </c>
      <c r="B8586">
        <v>468.92999267578102</v>
      </c>
    </row>
    <row r="8587" spans="1:2" x14ac:dyDescent="0.25">
      <c r="A8587" s="5">
        <v>34376</v>
      </c>
      <c r="B8587">
        <v>470.17999267578102</v>
      </c>
    </row>
    <row r="8588" spans="1:2" x14ac:dyDescent="0.25">
      <c r="A8588" s="5">
        <v>34379</v>
      </c>
      <c r="B8588">
        <v>470.23001098632801</v>
      </c>
    </row>
    <row r="8589" spans="1:2" x14ac:dyDescent="0.25">
      <c r="A8589" s="5">
        <v>34380</v>
      </c>
      <c r="B8589">
        <v>472.51998901367199</v>
      </c>
    </row>
    <row r="8590" spans="1:2" x14ac:dyDescent="0.25">
      <c r="A8590" s="5">
        <v>34381</v>
      </c>
      <c r="B8590">
        <v>472.79000854492199</v>
      </c>
    </row>
    <row r="8591" spans="1:2" x14ac:dyDescent="0.25">
      <c r="A8591" s="5">
        <v>34382</v>
      </c>
      <c r="B8591">
        <v>470.33999633789102</v>
      </c>
    </row>
    <row r="8592" spans="1:2" x14ac:dyDescent="0.25">
      <c r="A8592" s="5">
        <v>34383</v>
      </c>
      <c r="B8592">
        <v>467.69000244140602</v>
      </c>
    </row>
    <row r="8593" spans="1:2" x14ac:dyDescent="0.25">
      <c r="A8593" s="5">
        <v>34387</v>
      </c>
      <c r="B8593">
        <v>471.45999145507801</v>
      </c>
    </row>
    <row r="8594" spans="1:2" x14ac:dyDescent="0.25">
      <c r="A8594" s="5">
        <v>34388</v>
      </c>
      <c r="B8594">
        <v>470.69000244140602</v>
      </c>
    </row>
    <row r="8595" spans="1:2" x14ac:dyDescent="0.25">
      <c r="A8595" s="5">
        <v>34389</v>
      </c>
      <c r="B8595">
        <v>464.260009765625</v>
      </c>
    </row>
    <row r="8596" spans="1:2" x14ac:dyDescent="0.25">
      <c r="A8596" s="5">
        <v>34390</v>
      </c>
      <c r="B8596">
        <v>466.07000732421898</v>
      </c>
    </row>
    <row r="8597" spans="1:2" x14ac:dyDescent="0.25">
      <c r="A8597" s="5">
        <v>34393</v>
      </c>
      <c r="B8597">
        <v>467.14001464843801</v>
      </c>
    </row>
    <row r="8598" spans="1:2" x14ac:dyDescent="0.25">
      <c r="A8598" s="5">
        <v>34394</v>
      </c>
      <c r="B8598">
        <v>464.44000244140602</v>
      </c>
    </row>
    <row r="8599" spans="1:2" x14ac:dyDescent="0.25">
      <c r="A8599" s="5">
        <v>34395</v>
      </c>
      <c r="B8599">
        <v>464.80999755859398</v>
      </c>
    </row>
    <row r="8600" spans="1:2" x14ac:dyDescent="0.25">
      <c r="A8600" s="5">
        <v>34396</v>
      </c>
      <c r="B8600">
        <v>463.010009765625</v>
      </c>
    </row>
    <row r="8601" spans="1:2" x14ac:dyDescent="0.25">
      <c r="A8601" s="5">
        <v>34397</v>
      </c>
      <c r="B8601">
        <v>464.739990234375</v>
      </c>
    </row>
    <row r="8602" spans="1:2" x14ac:dyDescent="0.25">
      <c r="A8602" s="5">
        <v>34400</v>
      </c>
      <c r="B8602">
        <v>466.91000366210898</v>
      </c>
    </row>
    <row r="8603" spans="1:2" x14ac:dyDescent="0.25">
      <c r="A8603" s="5">
        <v>34401</v>
      </c>
      <c r="B8603">
        <v>465.88000488281199</v>
      </c>
    </row>
    <row r="8604" spans="1:2" x14ac:dyDescent="0.25">
      <c r="A8604" s="5">
        <v>34402</v>
      </c>
      <c r="B8604">
        <v>467.05999755859398</v>
      </c>
    </row>
    <row r="8605" spans="1:2" x14ac:dyDescent="0.25">
      <c r="A8605" s="5">
        <v>34403</v>
      </c>
      <c r="B8605">
        <v>463.89999389648398</v>
      </c>
    </row>
    <row r="8606" spans="1:2" x14ac:dyDescent="0.25">
      <c r="A8606" s="5">
        <v>34404</v>
      </c>
      <c r="B8606">
        <v>466.44000244140602</v>
      </c>
    </row>
    <row r="8607" spans="1:2" x14ac:dyDescent="0.25">
      <c r="A8607" s="5">
        <v>34407</v>
      </c>
      <c r="B8607">
        <v>467.39001464843801</v>
      </c>
    </row>
    <row r="8608" spans="1:2" x14ac:dyDescent="0.25">
      <c r="A8608" s="5">
        <v>34408</v>
      </c>
      <c r="B8608">
        <v>467.010009765625</v>
      </c>
    </row>
    <row r="8609" spans="1:2" x14ac:dyDescent="0.25">
      <c r="A8609" s="5">
        <v>34409</v>
      </c>
      <c r="B8609">
        <v>469.42001342773398</v>
      </c>
    </row>
    <row r="8610" spans="1:2" x14ac:dyDescent="0.25">
      <c r="A8610" s="5">
        <v>34410</v>
      </c>
      <c r="B8610">
        <v>470.89999389648398</v>
      </c>
    </row>
    <row r="8611" spans="1:2" x14ac:dyDescent="0.25">
      <c r="A8611" s="5">
        <v>34411</v>
      </c>
      <c r="B8611">
        <v>471.05999755859398</v>
      </c>
    </row>
    <row r="8612" spans="1:2" x14ac:dyDescent="0.25">
      <c r="A8612" s="5">
        <v>34414</v>
      </c>
      <c r="B8612">
        <v>468.54000854492199</v>
      </c>
    </row>
    <row r="8613" spans="1:2" x14ac:dyDescent="0.25">
      <c r="A8613" s="5">
        <v>34415</v>
      </c>
      <c r="B8613">
        <v>468.79998779296898</v>
      </c>
    </row>
    <row r="8614" spans="1:2" x14ac:dyDescent="0.25">
      <c r="A8614" s="5">
        <v>34416</v>
      </c>
      <c r="B8614">
        <v>468.54000854492199</v>
      </c>
    </row>
    <row r="8615" spans="1:2" x14ac:dyDescent="0.25">
      <c r="A8615" s="5">
        <v>34417</v>
      </c>
      <c r="B8615">
        <v>464.35000610351602</v>
      </c>
    </row>
    <row r="8616" spans="1:2" x14ac:dyDescent="0.25">
      <c r="A8616" s="5">
        <v>34418</v>
      </c>
      <c r="B8616">
        <v>460.57998657226602</v>
      </c>
    </row>
    <row r="8617" spans="1:2" x14ac:dyDescent="0.25">
      <c r="A8617" s="5">
        <v>34421</v>
      </c>
      <c r="B8617">
        <v>460</v>
      </c>
    </row>
    <row r="8618" spans="1:2" x14ac:dyDescent="0.25">
      <c r="A8618" s="5">
        <v>34422</v>
      </c>
      <c r="B8618">
        <v>452.48001098632801</v>
      </c>
    </row>
    <row r="8619" spans="1:2" x14ac:dyDescent="0.25">
      <c r="A8619" s="5">
        <v>34423</v>
      </c>
      <c r="B8619">
        <v>445.54998779296898</v>
      </c>
    </row>
    <row r="8620" spans="1:2" x14ac:dyDescent="0.25">
      <c r="A8620" s="5">
        <v>34424</v>
      </c>
      <c r="B8620">
        <v>445.76998901367199</v>
      </c>
    </row>
    <row r="8621" spans="1:2" x14ac:dyDescent="0.25">
      <c r="A8621" s="5">
        <v>34428</v>
      </c>
      <c r="B8621">
        <v>438.92001342773398</v>
      </c>
    </row>
    <row r="8622" spans="1:2" x14ac:dyDescent="0.25">
      <c r="A8622" s="5">
        <v>34429</v>
      </c>
      <c r="B8622">
        <v>448.29000854492199</v>
      </c>
    </row>
    <row r="8623" spans="1:2" x14ac:dyDescent="0.25">
      <c r="A8623" s="5">
        <v>34430</v>
      </c>
      <c r="B8623">
        <v>448.04998779296898</v>
      </c>
    </row>
    <row r="8624" spans="1:2" x14ac:dyDescent="0.25">
      <c r="A8624" s="5">
        <v>34431</v>
      </c>
      <c r="B8624">
        <v>450.88000488281199</v>
      </c>
    </row>
    <row r="8625" spans="1:2" x14ac:dyDescent="0.25">
      <c r="A8625" s="5">
        <v>34432</v>
      </c>
      <c r="B8625">
        <v>447.10000610351602</v>
      </c>
    </row>
    <row r="8626" spans="1:2" x14ac:dyDescent="0.25">
      <c r="A8626" s="5">
        <v>34435</v>
      </c>
      <c r="B8626">
        <v>449.86999511718801</v>
      </c>
    </row>
    <row r="8627" spans="1:2" x14ac:dyDescent="0.25">
      <c r="A8627" s="5">
        <v>34436</v>
      </c>
      <c r="B8627">
        <v>447.57000732421898</v>
      </c>
    </row>
    <row r="8628" spans="1:2" x14ac:dyDescent="0.25">
      <c r="A8628" s="5">
        <v>34437</v>
      </c>
      <c r="B8628">
        <v>446.260009765625</v>
      </c>
    </row>
    <row r="8629" spans="1:2" x14ac:dyDescent="0.25">
      <c r="A8629" s="5">
        <v>34438</v>
      </c>
      <c r="B8629">
        <v>446.38000488281199</v>
      </c>
    </row>
    <row r="8630" spans="1:2" x14ac:dyDescent="0.25">
      <c r="A8630" s="5">
        <v>34439</v>
      </c>
      <c r="B8630">
        <v>446.17999267578102</v>
      </c>
    </row>
    <row r="8631" spans="1:2" x14ac:dyDescent="0.25">
      <c r="A8631" s="5">
        <v>34442</v>
      </c>
      <c r="B8631">
        <v>442.45999145507801</v>
      </c>
    </row>
    <row r="8632" spans="1:2" x14ac:dyDescent="0.25">
      <c r="A8632" s="5">
        <v>34443</v>
      </c>
      <c r="B8632">
        <v>442.54000854492199</v>
      </c>
    </row>
    <row r="8633" spans="1:2" x14ac:dyDescent="0.25">
      <c r="A8633" s="5">
        <v>34444</v>
      </c>
      <c r="B8633">
        <v>441.95999145507801</v>
      </c>
    </row>
    <row r="8634" spans="1:2" x14ac:dyDescent="0.25">
      <c r="A8634" s="5">
        <v>34445</v>
      </c>
      <c r="B8634">
        <v>448.73001098632801</v>
      </c>
    </row>
    <row r="8635" spans="1:2" x14ac:dyDescent="0.25">
      <c r="A8635" s="5">
        <v>34446</v>
      </c>
      <c r="B8635">
        <v>447.63000488281199</v>
      </c>
    </row>
    <row r="8636" spans="1:2" x14ac:dyDescent="0.25">
      <c r="A8636" s="5">
        <v>34449</v>
      </c>
      <c r="B8636">
        <v>452.70999145507801</v>
      </c>
    </row>
    <row r="8637" spans="1:2" x14ac:dyDescent="0.25">
      <c r="A8637" s="5">
        <v>34450</v>
      </c>
      <c r="B8637">
        <v>451.86999511718801</v>
      </c>
    </row>
    <row r="8638" spans="1:2" x14ac:dyDescent="0.25">
      <c r="A8638" s="5">
        <v>34452</v>
      </c>
      <c r="B8638">
        <v>449.10000610351602</v>
      </c>
    </row>
    <row r="8639" spans="1:2" x14ac:dyDescent="0.25">
      <c r="A8639" s="5">
        <v>34453</v>
      </c>
      <c r="B8639">
        <v>450.91000366210898</v>
      </c>
    </row>
    <row r="8640" spans="1:2" x14ac:dyDescent="0.25">
      <c r="A8640" s="5">
        <v>34456</v>
      </c>
      <c r="B8640">
        <v>453.01998901367199</v>
      </c>
    </row>
    <row r="8641" spans="1:2" x14ac:dyDescent="0.25">
      <c r="A8641" s="5">
        <v>34457</v>
      </c>
      <c r="B8641">
        <v>453.02999877929699</v>
      </c>
    </row>
    <row r="8642" spans="1:2" x14ac:dyDescent="0.25">
      <c r="A8642" s="5">
        <v>34458</v>
      </c>
      <c r="B8642">
        <v>451.72000122070301</v>
      </c>
    </row>
    <row r="8643" spans="1:2" x14ac:dyDescent="0.25">
      <c r="A8643" s="5">
        <v>34459</v>
      </c>
      <c r="B8643">
        <v>451.38000488281199</v>
      </c>
    </row>
    <row r="8644" spans="1:2" x14ac:dyDescent="0.25">
      <c r="A8644" s="5">
        <v>34460</v>
      </c>
      <c r="B8644">
        <v>447.82000732421898</v>
      </c>
    </row>
    <row r="8645" spans="1:2" x14ac:dyDescent="0.25">
      <c r="A8645" s="5">
        <v>34463</v>
      </c>
      <c r="B8645">
        <v>442.32000732421898</v>
      </c>
    </row>
    <row r="8646" spans="1:2" x14ac:dyDescent="0.25">
      <c r="A8646" s="5">
        <v>34464</v>
      </c>
      <c r="B8646">
        <v>446.010009765625</v>
      </c>
    </row>
    <row r="8647" spans="1:2" x14ac:dyDescent="0.25">
      <c r="A8647" s="5">
        <v>34465</v>
      </c>
      <c r="B8647">
        <v>441.489990234375</v>
      </c>
    </row>
    <row r="8648" spans="1:2" x14ac:dyDescent="0.25">
      <c r="A8648" s="5">
        <v>34466</v>
      </c>
      <c r="B8648">
        <v>443.75</v>
      </c>
    </row>
    <row r="8649" spans="1:2" x14ac:dyDescent="0.25">
      <c r="A8649" s="5">
        <v>34467</v>
      </c>
      <c r="B8649">
        <v>444.14001464843801</v>
      </c>
    </row>
    <row r="8650" spans="1:2" x14ac:dyDescent="0.25">
      <c r="A8650" s="5">
        <v>34470</v>
      </c>
      <c r="B8650">
        <v>444.489990234375</v>
      </c>
    </row>
    <row r="8651" spans="1:2" x14ac:dyDescent="0.25">
      <c r="A8651" s="5">
        <v>34471</v>
      </c>
      <c r="B8651">
        <v>449.36999511718801</v>
      </c>
    </row>
    <row r="8652" spans="1:2" x14ac:dyDescent="0.25">
      <c r="A8652" s="5">
        <v>34472</v>
      </c>
      <c r="B8652">
        <v>453.69000244140602</v>
      </c>
    </row>
    <row r="8653" spans="1:2" x14ac:dyDescent="0.25">
      <c r="A8653" s="5">
        <v>34473</v>
      </c>
      <c r="B8653">
        <v>456.48001098632801</v>
      </c>
    </row>
    <row r="8654" spans="1:2" x14ac:dyDescent="0.25">
      <c r="A8654" s="5">
        <v>34474</v>
      </c>
      <c r="B8654">
        <v>454.92001342773398</v>
      </c>
    </row>
    <row r="8655" spans="1:2" x14ac:dyDescent="0.25">
      <c r="A8655" s="5">
        <v>34477</v>
      </c>
      <c r="B8655">
        <v>453.20001220703102</v>
      </c>
    </row>
    <row r="8656" spans="1:2" x14ac:dyDescent="0.25">
      <c r="A8656" s="5">
        <v>34478</v>
      </c>
      <c r="B8656">
        <v>454.80999755859398</v>
      </c>
    </row>
    <row r="8657" spans="1:2" x14ac:dyDescent="0.25">
      <c r="A8657" s="5">
        <v>34479</v>
      </c>
      <c r="B8657">
        <v>456.33999633789102</v>
      </c>
    </row>
    <row r="8658" spans="1:2" x14ac:dyDescent="0.25">
      <c r="A8658" s="5">
        <v>34480</v>
      </c>
      <c r="B8658">
        <v>457.05999755859398</v>
      </c>
    </row>
    <row r="8659" spans="1:2" x14ac:dyDescent="0.25">
      <c r="A8659" s="5">
        <v>34481</v>
      </c>
      <c r="B8659">
        <v>457.32998657226602</v>
      </c>
    </row>
    <row r="8660" spans="1:2" x14ac:dyDescent="0.25">
      <c r="A8660" s="5">
        <v>34485</v>
      </c>
      <c r="B8660">
        <v>456.5</v>
      </c>
    </row>
    <row r="8661" spans="1:2" x14ac:dyDescent="0.25">
      <c r="A8661" s="5">
        <v>34486</v>
      </c>
      <c r="B8661">
        <v>457.63000488281199</v>
      </c>
    </row>
    <row r="8662" spans="1:2" x14ac:dyDescent="0.25">
      <c r="A8662" s="5">
        <v>34487</v>
      </c>
      <c r="B8662">
        <v>457.64999389648398</v>
      </c>
    </row>
    <row r="8663" spans="1:2" x14ac:dyDescent="0.25">
      <c r="A8663" s="5">
        <v>34488</v>
      </c>
      <c r="B8663">
        <v>460.13000488281199</v>
      </c>
    </row>
    <row r="8664" spans="1:2" x14ac:dyDescent="0.25">
      <c r="A8664" s="5">
        <v>34491</v>
      </c>
      <c r="B8664">
        <v>458.88000488281199</v>
      </c>
    </row>
    <row r="8665" spans="1:2" x14ac:dyDescent="0.25">
      <c r="A8665" s="5">
        <v>34492</v>
      </c>
      <c r="B8665">
        <v>458.20999145507801</v>
      </c>
    </row>
    <row r="8666" spans="1:2" x14ac:dyDescent="0.25">
      <c r="A8666" s="5">
        <v>34493</v>
      </c>
      <c r="B8666">
        <v>457.05999755859398</v>
      </c>
    </row>
    <row r="8667" spans="1:2" x14ac:dyDescent="0.25">
      <c r="A8667" s="5">
        <v>34494</v>
      </c>
      <c r="B8667">
        <v>457.85998535156199</v>
      </c>
    </row>
    <row r="8668" spans="1:2" x14ac:dyDescent="0.25">
      <c r="A8668" s="5">
        <v>34495</v>
      </c>
      <c r="B8668">
        <v>458.67001342773398</v>
      </c>
    </row>
    <row r="8669" spans="1:2" x14ac:dyDescent="0.25">
      <c r="A8669" s="5">
        <v>34498</v>
      </c>
      <c r="B8669">
        <v>459.10000610351602</v>
      </c>
    </row>
    <row r="8670" spans="1:2" x14ac:dyDescent="0.25">
      <c r="A8670" s="5">
        <v>34499</v>
      </c>
      <c r="B8670">
        <v>462.36999511718801</v>
      </c>
    </row>
    <row r="8671" spans="1:2" x14ac:dyDescent="0.25">
      <c r="A8671" s="5">
        <v>34500</v>
      </c>
      <c r="B8671">
        <v>460.60998535156199</v>
      </c>
    </row>
    <row r="8672" spans="1:2" x14ac:dyDescent="0.25">
      <c r="A8672" s="5">
        <v>34501</v>
      </c>
      <c r="B8672">
        <v>461.92999267578102</v>
      </c>
    </row>
    <row r="8673" spans="1:2" x14ac:dyDescent="0.25">
      <c r="A8673" s="5">
        <v>34502</v>
      </c>
      <c r="B8673">
        <v>458.45001220703102</v>
      </c>
    </row>
    <row r="8674" spans="1:2" x14ac:dyDescent="0.25">
      <c r="A8674" s="5">
        <v>34505</v>
      </c>
      <c r="B8674">
        <v>455.48001098632801</v>
      </c>
    </row>
    <row r="8675" spans="1:2" x14ac:dyDescent="0.25">
      <c r="A8675" s="5">
        <v>34506</v>
      </c>
      <c r="B8675">
        <v>451.33999633789102</v>
      </c>
    </row>
    <row r="8676" spans="1:2" x14ac:dyDescent="0.25">
      <c r="A8676" s="5">
        <v>34507</v>
      </c>
      <c r="B8676">
        <v>453.08999633789102</v>
      </c>
    </row>
    <row r="8677" spans="1:2" x14ac:dyDescent="0.25">
      <c r="A8677" s="5">
        <v>34508</v>
      </c>
      <c r="B8677">
        <v>449.63000488281199</v>
      </c>
    </row>
    <row r="8678" spans="1:2" x14ac:dyDescent="0.25">
      <c r="A8678" s="5">
        <v>34509</v>
      </c>
      <c r="B8678">
        <v>442.79998779296898</v>
      </c>
    </row>
    <row r="8679" spans="1:2" x14ac:dyDescent="0.25">
      <c r="A8679" s="5">
        <v>34512</v>
      </c>
      <c r="B8679">
        <v>447.30999755859398</v>
      </c>
    </row>
    <row r="8680" spans="1:2" x14ac:dyDescent="0.25">
      <c r="A8680" s="5">
        <v>34513</v>
      </c>
      <c r="B8680">
        <v>446.07000732421898</v>
      </c>
    </row>
    <row r="8681" spans="1:2" x14ac:dyDescent="0.25">
      <c r="A8681" s="5">
        <v>34514</v>
      </c>
      <c r="B8681">
        <v>447.63000488281199</v>
      </c>
    </row>
    <row r="8682" spans="1:2" x14ac:dyDescent="0.25">
      <c r="A8682" s="5">
        <v>34515</v>
      </c>
      <c r="B8682">
        <v>444.26998901367199</v>
      </c>
    </row>
    <row r="8683" spans="1:2" x14ac:dyDescent="0.25">
      <c r="A8683" s="5">
        <v>34516</v>
      </c>
      <c r="B8683">
        <v>446.20001220703102</v>
      </c>
    </row>
    <row r="8684" spans="1:2" x14ac:dyDescent="0.25">
      <c r="A8684" s="5">
        <v>34520</v>
      </c>
      <c r="B8684">
        <v>446.36999511718801</v>
      </c>
    </row>
    <row r="8685" spans="1:2" x14ac:dyDescent="0.25">
      <c r="A8685" s="5">
        <v>34521</v>
      </c>
      <c r="B8685">
        <v>446.13000488281199</v>
      </c>
    </row>
    <row r="8686" spans="1:2" x14ac:dyDescent="0.25">
      <c r="A8686" s="5">
        <v>34522</v>
      </c>
      <c r="B8686">
        <v>448.38000488281199</v>
      </c>
    </row>
    <row r="8687" spans="1:2" x14ac:dyDescent="0.25">
      <c r="A8687" s="5">
        <v>34523</v>
      </c>
      <c r="B8687">
        <v>449.54998779296898</v>
      </c>
    </row>
    <row r="8688" spans="1:2" x14ac:dyDescent="0.25">
      <c r="A8688" s="5">
        <v>34526</v>
      </c>
      <c r="B8688">
        <v>448.05999755859398</v>
      </c>
    </row>
    <row r="8689" spans="1:2" x14ac:dyDescent="0.25">
      <c r="A8689" s="5">
        <v>34527</v>
      </c>
      <c r="B8689">
        <v>447.95001220703102</v>
      </c>
    </row>
    <row r="8690" spans="1:2" x14ac:dyDescent="0.25">
      <c r="A8690" s="5">
        <v>34528</v>
      </c>
      <c r="B8690">
        <v>448.73001098632801</v>
      </c>
    </row>
    <row r="8691" spans="1:2" x14ac:dyDescent="0.25">
      <c r="A8691" s="5">
        <v>34529</v>
      </c>
      <c r="B8691">
        <v>453.41000366210898</v>
      </c>
    </row>
    <row r="8692" spans="1:2" x14ac:dyDescent="0.25">
      <c r="A8692" s="5">
        <v>34530</v>
      </c>
      <c r="B8692">
        <v>454.16000366210898</v>
      </c>
    </row>
    <row r="8693" spans="1:2" x14ac:dyDescent="0.25">
      <c r="A8693" s="5">
        <v>34533</v>
      </c>
      <c r="B8693">
        <v>455.22000122070301</v>
      </c>
    </row>
    <row r="8694" spans="1:2" x14ac:dyDescent="0.25">
      <c r="A8694" s="5">
        <v>34534</v>
      </c>
      <c r="B8694">
        <v>453.85998535156199</v>
      </c>
    </row>
    <row r="8695" spans="1:2" x14ac:dyDescent="0.25">
      <c r="A8695" s="5">
        <v>34535</v>
      </c>
      <c r="B8695">
        <v>451.60000610351602</v>
      </c>
    </row>
    <row r="8696" spans="1:2" x14ac:dyDescent="0.25">
      <c r="A8696" s="5">
        <v>34536</v>
      </c>
      <c r="B8696">
        <v>452.60998535156199</v>
      </c>
    </row>
    <row r="8697" spans="1:2" x14ac:dyDescent="0.25">
      <c r="A8697" s="5">
        <v>34537</v>
      </c>
      <c r="B8697">
        <v>453.10998535156199</v>
      </c>
    </row>
    <row r="8698" spans="1:2" x14ac:dyDescent="0.25">
      <c r="A8698" s="5">
        <v>34540</v>
      </c>
      <c r="B8698">
        <v>454.25</v>
      </c>
    </row>
    <row r="8699" spans="1:2" x14ac:dyDescent="0.25">
      <c r="A8699" s="5">
        <v>34541</v>
      </c>
      <c r="B8699">
        <v>453.35998535156199</v>
      </c>
    </row>
    <row r="8700" spans="1:2" x14ac:dyDescent="0.25">
      <c r="A8700" s="5">
        <v>34542</v>
      </c>
      <c r="B8700">
        <v>452.57000732421898</v>
      </c>
    </row>
    <row r="8701" spans="1:2" x14ac:dyDescent="0.25">
      <c r="A8701" s="5">
        <v>34543</v>
      </c>
      <c r="B8701">
        <v>454.239990234375</v>
      </c>
    </row>
    <row r="8702" spans="1:2" x14ac:dyDescent="0.25">
      <c r="A8702" s="5">
        <v>34544</v>
      </c>
      <c r="B8702">
        <v>458.260009765625</v>
      </c>
    </row>
    <row r="8703" spans="1:2" x14ac:dyDescent="0.25">
      <c r="A8703" s="5">
        <v>34547</v>
      </c>
      <c r="B8703">
        <v>461.010009765625</v>
      </c>
    </row>
    <row r="8704" spans="1:2" x14ac:dyDescent="0.25">
      <c r="A8704" s="5">
        <v>34548</v>
      </c>
      <c r="B8704">
        <v>460.55999755859398</v>
      </c>
    </row>
    <row r="8705" spans="1:2" x14ac:dyDescent="0.25">
      <c r="A8705" s="5">
        <v>34549</v>
      </c>
      <c r="B8705">
        <v>461.45001220703102</v>
      </c>
    </row>
    <row r="8706" spans="1:2" x14ac:dyDescent="0.25">
      <c r="A8706" s="5">
        <v>34550</v>
      </c>
      <c r="B8706">
        <v>458.39999389648398</v>
      </c>
    </row>
    <row r="8707" spans="1:2" x14ac:dyDescent="0.25">
      <c r="A8707" s="5">
        <v>34551</v>
      </c>
      <c r="B8707">
        <v>457.08999633789102</v>
      </c>
    </row>
    <row r="8708" spans="1:2" x14ac:dyDescent="0.25">
      <c r="A8708" s="5">
        <v>34554</v>
      </c>
      <c r="B8708">
        <v>457.89001464843801</v>
      </c>
    </row>
    <row r="8709" spans="1:2" x14ac:dyDescent="0.25">
      <c r="A8709" s="5">
        <v>34555</v>
      </c>
      <c r="B8709">
        <v>457.92001342773398</v>
      </c>
    </row>
    <row r="8710" spans="1:2" x14ac:dyDescent="0.25">
      <c r="A8710" s="5">
        <v>34556</v>
      </c>
      <c r="B8710">
        <v>460.29998779296898</v>
      </c>
    </row>
    <row r="8711" spans="1:2" x14ac:dyDescent="0.25">
      <c r="A8711" s="5">
        <v>34557</v>
      </c>
      <c r="B8711">
        <v>458.88000488281199</v>
      </c>
    </row>
    <row r="8712" spans="1:2" x14ac:dyDescent="0.25">
      <c r="A8712" s="5">
        <v>34558</v>
      </c>
      <c r="B8712">
        <v>461.94000244140602</v>
      </c>
    </row>
    <row r="8713" spans="1:2" x14ac:dyDescent="0.25">
      <c r="A8713" s="5">
        <v>34561</v>
      </c>
      <c r="B8713">
        <v>461.23001098632801</v>
      </c>
    </row>
    <row r="8714" spans="1:2" x14ac:dyDescent="0.25">
      <c r="A8714" s="5">
        <v>34562</v>
      </c>
      <c r="B8714">
        <v>465.010009765625</v>
      </c>
    </row>
    <row r="8715" spans="1:2" x14ac:dyDescent="0.25">
      <c r="A8715" s="5">
        <v>34563</v>
      </c>
      <c r="B8715">
        <v>465.17001342773398</v>
      </c>
    </row>
    <row r="8716" spans="1:2" x14ac:dyDescent="0.25">
      <c r="A8716" s="5">
        <v>34564</v>
      </c>
      <c r="B8716">
        <v>463.17001342773398</v>
      </c>
    </row>
    <row r="8717" spans="1:2" x14ac:dyDescent="0.25">
      <c r="A8717" s="5">
        <v>34565</v>
      </c>
      <c r="B8717">
        <v>463.67999267578102</v>
      </c>
    </row>
    <row r="8718" spans="1:2" x14ac:dyDescent="0.25">
      <c r="A8718" s="5">
        <v>34568</v>
      </c>
      <c r="B8718">
        <v>462.32000732421898</v>
      </c>
    </row>
    <row r="8719" spans="1:2" x14ac:dyDescent="0.25">
      <c r="A8719" s="5">
        <v>34569</v>
      </c>
      <c r="B8719">
        <v>464.510009765625</v>
      </c>
    </row>
    <row r="8720" spans="1:2" x14ac:dyDescent="0.25">
      <c r="A8720" s="5">
        <v>34570</v>
      </c>
      <c r="B8720">
        <v>469.02999877929699</v>
      </c>
    </row>
    <row r="8721" spans="1:2" x14ac:dyDescent="0.25">
      <c r="A8721" s="5">
        <v>34571</v>
      </c>
      <c r="B8721">
        <v>468.07998657226602</v>
      </c>
    </row>
    <row r="8722" spans="1:2" x14ac:dyDescent="0.25">
      <c r="A8722" s="5">
        <v>34572</v>
      </c>
      <c r="B8722">
        <v>473.79998779296898</v>
      </c>
    </row>
    <row r="8723" spans="1:2" x14ac:dyDescent="0.25">
      <c r="A8723" s="5">
        <v>34575</v>
      </c>
      <c r="B8723">
        <v>474.58999633789102</v>
      </c>
    </row>
    <row r="8724" spans="1:2" x14ac:dyDescent="0.25">
      <c r="A8724" s="5">
        <v>34576</v>
      </c>
      <c r="B8724">
        <v>476.07000732421898</v>
      </c>
    </row>
    <row r="8725" spans="1:2" x14ac:dyDescent="0.25">
      <c r="A8725" s="5">
        <v>34577</v>
      </c>
      <c r="B8725">
        <v>475.489990234375</v>
      </c>
    </row>
    <row r="8726" spans="1:2" x14ac:dyDescent="0.25">
      <c r="A8726" s="5">
        <v>34578</v>
      </c>
      <c r="B8726">
        <v>473.17001342773398</v>
      </c>
    </row>
    <row r="8727" spans="1:2" x14ac:dyDescent="0.25">
      <c r="A8727" s="5">
        <v>34579</v>
      </c>
      <c r="B8727">
        <v>470.989990234375</v>
      </c>
    </row>
    <row r="8728" spans="1:2" x14ac:dyDescent="0.25">
      <c r="A8728" s="5">
        <v>34583</v>
      </c>
      <c r="B8728">
        <v>471.85998535156199</v>
      </c>
    </row>
    <row r="8729" spans="1:2" x14ac:dyDescent="0.25">
      <c r="A8729" s="5">
        <v>34584</v>
      </c>
      <c r="B8729">
        <v>470.989990234375</v>
      </c>
    </row>
    <row r="8730" spans="1:2" x14ac:dyDescent="0.25">
      <c r="A8730" s="5">
        <v>34585</v>
      </c>
      <c r="B8730">
        <v>473.14001464843801</v>
      </c>
    </row>
    <row r="8731" spans="1:2" x14ac:dyDescent="0.25">
      <c r="A8731" s="5">
        <v>34586</v>
      </c>
      <c r="B8731">
        <v>468.17999267578102</v>
      </c>
    </row>
    <row r="8732" spans="1:2" x14ac:dyDescent="0.25">
      <c r="A8732" s="5">
        <v>34589</v>
      </c>
      <c r="B8732">
        <v>466.20999145507801</v>
      </c>
    </row>
    <row r="8733" spans="1:2" x14ac:dyDescent="0.25">
      <c r="A8733" s="5">
        <v>34590</v>
      </c>
      <c r="B8733">
        <v>467.510009765625</v>
      </c>
    </row>
    <row r="8734" spans="1:2" x14ac:dyDescent="0.25">
      <c r="A8734" s="5">
        <v>34591</v>
      </c>
      <c r="B8734">
        <v>468.79998779296898</v>
      </c>
    </row>
    <row r="8735" spans="1:2" x14ac:dyDescent="0.25">
      <c r="A8735" s="5">
        <v>34592</v>
      </c>
      <c r="B8735">
        <v>474.80999755859398</v>
      </c>
    </row>
    <row r="8736" spans="1:2" x14ac:dyDescent="0.25">
      <c r="A8736" s="5">
        <v>34593</v>
      </c>
      <c r="B8736">
        <v>471.19000244140602</v>
      </c>
    </row>
    <row r="8737" spans="1:2" x14ac:dyDescent="0.25">
      <c r="A8737" s="5">
        <v>34596</v>
      </c>
      <c r="B8737">
        <v>470.85000610351602</v>
      </c>
    </row>
    <row r="8738" spans="1:2" x14ac:dyDescent="0.25">
      <c r="A8738" s="5">
        <v>34597</v>
      </c>
      <c r="B8738">
        <v>463.35998535156199</v>
      </c>
    </row>
    <row r="8739" spans="1:2" x14ac:dyDescent="0.25">
      <c r="A8739" s="5">
        <v>34598</v>
      </c>
      <c r="B8739">
        <v>461.45999145507801</v>
      </c>
    </row>
    <row r="8740" spans="1:2" x14ac:dyDescent="0.25">
      <c r="A8740" s="5">
        <v>34599</v>
      </c>
      <c r="B8740">
        <v>461.26998901367199</v>
      </c>
    </row>
    <row r="8741" spans="1:2" x14ac:dyDescent="0.25">
      <c r="A8741" s="5">
        <v>34600</v>
      </c>
      <c r="B8741">
        <v>459.67001342773398</v>
      </c>
    </row>
    <row r="8742" spans="1:2" x14ac:dyDescent="0.25">
      <c r="A8742" s="5">
        <v>34603</v>
      </c>
      <c r="B8742">
        <v>460.82000732421898</v>
      </c>
    </row>
    <row r="8743" spans="1:2" x14ac:dyDescent="0.25">
      <c r="A8743" s="5">
        <v>34604</v>
      </c>
      <c r="B8743">
        <v>462.04998779296898</v>
      </c>
    </row>
    <row r="8744" spans="1:2" x14ac:dyDescent="0.25">
      <c r="A8744" s="5">
        <v>34605</v>
      </c>
      <c r="B8744">
        <v>464.83999633789102</v>
      </c>
    </row>
    <row r="8745" spans="1:2" x14ac:dyDescent="0.25">
      <c r="A8745" s="5">
        <v>34606</v>
      </c>
      <c r="B8745">
        <v>462.239990234375</v>
      </c>
    </row>
    <row r="8746" spans="1:2" x14ac:dyDescent="0.25">
      <c r="A8746" s="5">
        <v>34607</v>
      </c>
      <c r="B8746">
        <v>462.70999145507801</v>
      </c>
    </row>
    <row r="8747" spans="1:2" x14ac:dyDescent="0.25">
      <c r="A8747" s="5">
        <v>34610</v>
      </c>
      <c r="B8747">
        <v>461.739990234375</v>
      </c>
    </row>
    <row r="8748" spans="1:2" x14ac:dyDescent="0.25">
      <c r="A8748" s="5">
        <v>34611</v>
      </c>
      <c r="B8748">
        <v>454.58999633789102</v>
      </c>
    </row>
    <row r="8749" spans="1:2" x14ac:dyDescent="0.25">
      <c r="A8749" s="5">
        <v>34612</v>
      </c>
      <c r="B8749">
        <v>453.51998901367199</v>
      </c>
    </row>
    <row r="8750" spans="1:2" x14ac:dyDescent="0.25">
      <c r="A8750" s="5">
        <v>34613</v>
      </c>
      <c r="B8750">
        <v>452.35998535156199</v>
      </c>
    </row>
    <row r="8751" spans="1:2" x14ac:dyDescent="0.25">
      <c r="A8751" s="5">
        <v>34614</v>
      </c>
      <c r="B8751">
        <v>455.10000610351602</v>
      </c>
    </row>
    <row r="8752" spans="1:2" x14ac:dyDescent="0.25">
      <c r="A8752" s="5">
        <v>34617</v>
      </c>
      <c r="B8752">
        <v>459.04000854492199</v>
      </c>
    </row>
    <row r="8753" spans="1:2" x14ac:dyDescent="0.25">
      <c r="A8753" s="5">
        <v>34618</v>
      </c>
      <c r="B8753">
        <v>465.79000854492199</v>
      </c>
    </row>
    <row r="8754" spans="1:2" x14ac:dyDescent="0.25">
      <c r="A8754" s="5">
        <v>34619</v>
      </c>
      <c r="B8754">
        <v>465.47000122070301</v>
      </c>
    </row>
    <row r="8755" spans="1:2" x14ac:dyDescent="0.25">
      <c r="A8755" s="5">
        <v>34620</v>
      </c>
      <c r="B8755">
        <v>467.79000854492199</v>
      </c>
    </row>
    <row r="8756" spans="1:2" x14ac:dyDescent="0.25">
      <c r="A8756" s="5">
        <v>34621</v>
      </c>
      <c r="B8756">
        <v>469.10000610351602</v>
      </c>
    </row>
    <row r="8757" spans="1:2" x14ac:dyDescent="0.25">
      <c r="A8757" s="5">
        <v>34624</v>
      </c>
      <c r="B8757">
        <v>468.95999145507801</v>
      </c>
    </row>
    <row r="8758" spans="1:2" x14ac:dyDescent="0.25">
      <c r="A8758" s="5">
        <v>34625</v>
      </c>
      <c r="B8758">
        <v>467.66000366210898</v>
      </c>
    </row>
    <row r="8759" spans="1:2" x14ac:dyDescent="0.25">
      <c r="A8759" s="5">
        <v>34626</v>
      </c>
      <c r="B8759">
        <v>470.27999877929699</v>
      </c>
    </row>
    <row r="8760" spans="1:2" x14ac:dyDescent="0.25">
      <c r="A8760" s="5">
        <v>34627</v>
      </c>
      <c r="B8760">
        <v>466.85000610351602</v>
      </c>
    </row>
    <row r="8761" spans="1:2" x14ac:dyDescent="0.25">
      <c r="A8761" s="5">
        <v>34628</v>
      </c>
      <c r="B8761">
        <v>464.89001464843801</v>
      </c>
    </row>
    <row r="8762" spans="1:2" x14ac:dyDescent="0.25">
      <c r="A8762" s="5">
        <v>34631</v>
      </c>
      <c r="B8762">
        <v>460.82998657226602</v>
      </c>
    </row>
    <row r="8763" spans="1:2" x14ac:dyDescent="0.25">
      <c r="A8763" s="5">
        <v>34632</v>
      </c>
      <c r="B8763">
        <v>461.52999877929699</v>
      </c>
    </row>
    <row r="8764" spans="1:2" x14ac:dyDescent="0.25">
      <c r="A8764" s="5">
        <v>34633</v>
      </c>
      <c r="B8764">
        <v>462.61999511718801</v>
      </c>
    </row>
    <row r="8765" spans="1:2" x14ac:dyDescent="0.25">
      <c r="A8765" s="5">
        <v>34634</v>
      </c>
      <c r="B8765">
        <v>465.85000610351602</v>
      </c>
    </row>
    <row r="8766" spans="1:2" x14ac:dyDescent="0.25">
      <c r="A8766" s="5">
        <v>34635</v>
      </c>
      <c r="B8766">
        <v>473.76998901367199</v>
      </c>
    </row>
    <row r="8767" spans="1:2" x14ac:dyDescent="0.25">
      <c r="A8767" s="5">
        <v>34638</v>
      </c>
      <c r="B8767">
        <v>472.35000610351602</v>
      </c>
    </row>
    <row r="8768" spans="1:2" x14ac:dyDescent="0.25">
      <c r="A8768" s="5">
        <v>34639</v>
      </c>
      <c r="B8768">
        <v>468.42001342773398</v>
      </c>
    </row>
    <row r="8769" spans="1:2" x14ac:dyDescent="0.25">
      <c r="A8769" s="5">
        <v>34640</v>
      </c>
      <c r="B8769">
        <v>466.510009765625</v>
      </c>
    </row>
    <row r="8770" spans="1:2" x14ac:dyDescent="0.25">
      <c r="A8770" s="5">
        <v>34641</v>
      </c>
      <c r="B8770">
        <v>467.91000366210898</v>
      </c>
    </row>
    <row r="8771" spans="1:2" x14ac:dyDescent="0.25">
      <c r="A8771" s="5">
        <v>34642</v>
      </c>
      <c r="B8771">
        <v>462.27999877929699</v>
      </c>
    </row>
    <row r="8772" spans="1:2" x14ac:dyDescent="0.25">
      <c r="A8772" s="5">
        <v>34645</v>
      </c>
      <c r="B8772">
        <v>463.07000732421898</v>
      </c>
    </row>
    <row r="8773" spans="1:2" x14ac:dyDescent="0.25">
      <c r="A8773" s="5">
        <v>34646</v>
      </c>
      <c r="B8773">
        <v>465.64999389648398</v>
      </c>
    </row>
    <row r="8774" spans="1:2" x14ac:dyDescent="0.25">
      <c r="A8774" s="5">
        <v>34647</v>
      </c>
      <c r="B8774">
        <v>465.39999389648398</v>
      </c>
    </row>
    <row r="8775" spans="1:2" x14ac:dyDescent="0.25">
      <c r="A8775" s="5">
        <v>34648</v>
      </c>
      <c r="B8775">
        <v>464.36999511718801</v>
      </c>
    </row>
    <row r="8776" spans="1:2" x14ac:dyDescent="0.25">
      <c r="A8776" s="5">
        <v>34649</v>
      </c>
      <c r="B8776">
        <v>462.35000610351602</v>
      </c>
    </row>
    <row r="8777" spans="1:2" x14ac:dyDescent="0.25">
      <c r="A8777" s="5">
        <v>34652</v>
      </c>
      <c r="B8777">
        <v>466.04000854492199</v>
      </c>
    </row>
    <row r="8778" spans="1:2" x14ac:dyDescent="0.25">
      <c r="A8778" s="5">
        <v>34653</v>
      </c>
      <c r="B8778">
        <v>465.02999877929699</v>
      </c>
    </row>
    <row r="8779" spans="1:2" x14ac:dyDescent="0.25">
      <c r="A8779" s="5">
        <v>34654</v>
      </c>
      <c r="B8779">
        <v>465.61999511718801</v>
      </c>
    </row>
    <row r="8780" spans="1:2" x14ac:dyDescent="0.25">
      <c r="A8780" s="5">
        <v>34655</v>
      </c>
      <c r="B8780">
        <v>463.57000732421898</v>
      </c>
    </row>
    <row r="8781" spans="1:2" x14ac:dyDescent="0.25">
      <c r="A8781" s="5">
        <v>34656</v>
      </c>
      <c r="B8781">
        <v>461.47000122070301</v>
      </c>
    </row>
    <row r="8782" spans="1:2" x14ac:dyDescent="0.25">
      <c r="A8782" s="5">
        <v>34659</v>
      </c>
      <c r="B8782">
        <v>458.29998779296898</v>
      </c>
    </row>
    <row r="8783" spans="1:2" x14ac:dyDescent="0.25">
      <c r="A8783" s="5">
        <v>34660</v>
      </c>
      <c r="B8783">
        <v>450.08999633789102</v>
      </c>
    </row>
    <row r="8784" spans="1:2" x14ac:dyDescent="0.25">
      <c r="A8784" s="5">
        <v>34661</v>
      </c>
      <c r="B8784">
        <v>449.92999267578102</v>
      </c>
    </row>
    <row r="8785" spans="1:2" x14ac:dyDescent="0.25">
      <c r="A8785" s="5">
        <v>34663</v>
      </c>
      <c r="B8785">
        <v>452.29000854492199</v>
      </c>
    </row>
    <row r="8786" spans="1:2" x14ac:dyDescent="0.25">
      <c r="A8786" s="5">
        <v>34666</v>
      </c>
      <c r="B8786">
        <v>454.16000366210898</v>
      </c>
    </row>
    <row r="8787" spans="1:2" x14ac:dyDescent="0.25">
      <c r="A8787" s="5">
        <v>34667</v>
      </c>
      <c r="B8787">
        <v>455.17001342773398</v>
      </c>
    </row>
    <row r="8788" spans="1:2" x14ac:dyDescent="0.25">
      <c r="A8788" s="5">
        <v>34668</v>
      </c>
      <c r="B8788">
        <v>453.69000244140602</v>
      </c>
    </row>
    <row r="8789" spans="1:2" x14ac:dyDescent="0.25">
      <c r="A8789" s="5">
        <v>34669</v>
      </c>
      <c r="B8789">
        <v>448.92001342773398</v>
      </c>
    </row>
    <row r="8790" spans="1:2" x14ac:dyDescent="0.25">
      <c r="A8790" s="5">
        <v>34670</v>
      </c>
      <c r="B8790">
        <v>453.29998779296898</v>
      </c>
    </row>
    <row r="8791" spans="1:2" x14ac:dyDescent="0.25">
      <c r="A8791" s="5">
        <v>34673</v>
      </c>
      <c r="B8791">
        <v>453.32000732421898</v>
      </c>
    </row>
    <row r="8792" spans="1:2" x14ac:dyDescent="0.25">
      <c r="A8792" s="5">
        <v>34674</v>
      </c>
      <c r="B8792">
        <v>453.10998535156199</v>
      </c>
    </row>
    <row r="8793" spans="1:2" x14ac:dyDescent="0.25">
      <c r="A8793" s="5">
        <v>34675</v>
      </c>
      <c r="B8793">
        <v>451.23001098632801</v>
      </c>
    </row>
    <row r="8794" spans="1:2" x14ac:dyDescent="0.25">
      <c r="A8794" s="5">
        <v>34676</v>
      </c>
      <c r="B8794">
        <v>445.45001220703102</v>
      </c>
    </row>
    <row r="8795" spans="1:2" x14ac:dyDescent="0.25">
      <c r="A8795" s="5">
        <v>34677</v>
      </c>
      <c r="B8795">
        <v>446.95999145507801</v>
      </c>
    </row>
    <row r="8796" spans="1:2" x14ac:dyDescent="0.25">
      <c r="A8796" s="5">
        <v>34680</v>
      </c>
      <c r="B8796">
        <v>449.47000122070301</v>
      </c>
    </row>
    <row r="8797" spans="1:2" x14ac:dyDescent="0.25">
      <c r="A8797" s="5">
        <v>34681</v>
      </c>
      <c r="B8797">
        <v>450.14999389648398</v>
      </c>
    </row>
    <row r="8798" spans="1:2" x14ac:dyDescent="0.25">
      <c r="A8798" s="5">
        <v>34682</v>
      </c>
      <c r="B8798">
        <v>454.97000122070301</v>
      </c>
    </row>
    <row r="8799" spans="1:2" x14ac:dyDescent="0.25">
      <c r="A8799" s="5">
        <v>34683</v>
      </c>
      <c r="B8799">
        <v>455.33999633789102</v>
      </c>
    </row>
    <row r="8800" spans="1:2" x14ac:dyDescent="0.25">
      <c r="A8800" s="5">
        <v>34684</v>
      </c>
      <c r="B8800">
        <v>458.79998779296898</v>
      </c>
    </row>
    <row r="8801" spans="1:2" x14ac:dyDescent="0.25">
      <c r="A8801" s="5">
        <v>34687</v>
      </c>
      <c r="B8801">
        <v>457.91000366210898</v>
      </c>
    </row>
    <row r="8802" spans="1:2" x14ac:dyDescent="0.25">
      <c r="A8802" s="5">
        <v>34688</v>
      </c>
      <c r="B8802">
        <v>457.10000610351602</v>
      </c>
    </row>
    <row r="8803" spans="1:2" x14ac:dyDescent="0.25">
      <c r="A8803" s="5">
        <v>34689</v>
      </c>
      <c r="B8803">
        <v>459.60998535156199</v>
      </c>
    </row>
    <row r="8804" spans="1:2" x14ac:dyDescent="0.25">
      <c r="A8804" s="5">
        <v>34690</v>
      </c>
      <c r="B8804">
        <v>459.67999267578102</v>
      </c>
    </row>
    <row r="8805" spans="1:2" x14ac:dyDescent="0.25">
      <c r="A8805" s="5">
        <v>34691</v>
      </c>
      <c r="B8805">
        <v>459.82998657226602</v>
      </c>
    </row>
    <row r="8806" spans="1:2" x14ac:dyDescent="0.25">
      <c r="A8806" s="5">
        <v>34695</v>
      </c>
      <c r="B8806">
        <v>462.47000122070301</v>
      </c>
    </row>
    <row r="8807" spans="1:2" x14ac:dyDescent="0.25">
      <c r="A8807" s="5">
        <v>34696</v>
      </c>
      <c r="B8807">
        <v>460.85998535156199</v>
      </c>
    </row>
    <row r="8808" spans="1:2" x14ac:dyDescent="0.25">
      <c r="A8808" s="5">
        <v>34697</v>
      </c>
      <c r="B8808">
        <v>461.17001342773398</v>
      </c>
    </row>
    <row r="8809" spans="1:2" x14ac:dyDescent="0.25">
      <c r="A8809" s="5">
        <v>34698</v>
      </c>
      <c r="B8809">
        <v>459.26998901367199</v>
      </c>
    </row>
    <row r="8810" spans="1:2" x14ac:dyDescent="0.25">
      <c r="A8810" s="5">
        <v>34702</v>
      </c>
      <c r="B8810">
        <v>459.10998535156199</v>
      </c>
    </row>
    <row r="8811" spans="1:2" x14ac:dyDescent="0.25">
      <c r="A8811" s="5">
        <v>34703</v>
      </c>
      <c r="B8811">
        <v>460.70999145507801</v>
      </c>
    </row>
    <row r="8812" spans="1:2" x14ac:dyDescent="0.25">
      <c r="A8812" s="5">
        <v>34704</v>
      </c>
      <c r="B8812">
        <v>460.33999633789102</v>
      </c>
    </row>
    <row r="8813" spans="1:2" x14ac:dyDescent="0.25">
      <c r="A8813" s="5">
        <v>34705</v>
      </c>
      <c r="B8813">
        <v>460.67999267578102</v>
      </c>
    </row>
    <row r="8814" spans="1:2" x14ac:dyDescent="0.25">
      <c r="A8814" s="5">
        <v>34708</v>
      </c>
      <c r="B8814">
        <v>460.82998657226602</v>
      </c>
    </row>
    <row r="8815" spans="1:2" x14ac:dyDescent="0.25">
      <c r="A8815" s="5">
        <v>34709</v>
      </c>
      <c r="B8815">
        <v>461.67999267578102</v>
      </c>
    </row>
    <row r="8816" spans="1:2" x14ac:dyDescent="0.25">
      <c r="A8816" s="5">
        <v>34710</v>
      </c>
      <c r="B8816">
        <v>461.66000366210898</v>
      </c>
    </row>
    <row r="8817" spans="1:2" x14ac:dyDescent="0.25">
      <c r="A8817" s="5">
        <v>34711</v>
      </c>
      <c r="B8817">
        <v>461.64001464843801</v>
      </c>
    </row>
    <row r="8818" spans="1:2" x14ac:dyDescent="0.25">
      <c r="A8818" s="5">
        <v>34712</v>
      </c>
      <c r="B8818">
        <v>465.97000122070301</v>
      </c>
    </row>
    <row r="8819" spans="1:2" x14ac:dyDescent="0.25">
      <c r="A8819" s="5">
        <v>34715</v>
      </c>
      <c r="B8819">
        <v>469.38000488281199</v>
      </c>
    </row>
    <row r="8820" spans="1:2" x14ac:dyDescent="0.25">
      <c r="A8820" s="5">
        <v>34716</v>
      </c>
      <c r="B8820">
        <v>470.04998779296898</v>
      </c>
    </row>
    <row r="8821" spans="1:2" x14ac:dyDescent="0.25">
      <c r="A8821" s="5">
        <v>34717</v>
      </c>
      <c r="B8821">
        <v>469.70999145507801</v>
      </c>
    </row>
    <row r="8822" spans="1:2" x14ac:dyDescent="0.25">
      <c r="A8822" s="5">
        <v>34718</v>
      </c>
      <c r="B8822">
        <v>466.95001220703102</v>
      </c>
    </row>
    <row r="8823" spans="1:2" x14ac:dyDescent="0.25">
      <c r="A8823" s="5">
        <v>34719</v>
      </c>
      <c r="B8823">
        <v>464.77999877929699</v>
      </c>
    </row>
    <row r="8824" spans="1:2" x14ac:dyDescent="0.25">
      <c r="A8824" s="5">
        <v>34722</v>
      </c>
      <c r="B8824">
        <v>465.82000732421898</v>
      </c>
    </row>
    <row r="8825" spans="1:2" x14ac:dyDescent="0.25">
      <c r="A8825" s="5">
        <v>34723</v>
      </c>
      <c r="B8825">
        <v>465.85998535156199</v>
      </c>
    </row>
    <row r="8826" spans="1:2" x14ac:dyDescent="0.25">
      <c r="A8826" s="5">
        <v>34724</v>
      </c>
      <c r="B8826">
        <v>467.44000244140602</v>
      </c>
    </row>
    <row r="8827" spans="1:2" x14ac:dyDescent="0.25">
      <c r="A8827" s="5">
        <v>34725</v>
      </c>
      <c r="B8827">
        <v>468.32000732421898</v>
      </c>
    </row>
    <row r="8828" spans="1:2" x14ac:dyDescent="0.25">
      <c r="A8828" s="5">
        <v>34726</v>
      </c>
      <c r="B8828">
        <v>470.39001464843801</v>
      </c>
    </row>
    <row r="8829" spans="1:2" x14ac:dyDescent="0.25">
      <c r="A8829" s="5">
        <v>34729</v>
      </c>
      <c r="B8829">
        <v>468.510009765625</v>
      </c>
    </row>
    <row r="8830" spans="1:2" x14ac:dyDescent="0.25">
      <c r="A8830" s="5">
        <v>34730</v>
      </c>
      <c r="B8830">
        <v>470.42001342773398</v>
      </c>
    </row>
    <row r="8831" spans="1:2" x14ac:dyDescent="0.25">
      <c r="A8831" s="5">
        <v>34731</v>
      </c>
      <c r="B8831">
        <v>470.39999389648398</v>
      </c>
    </row>
    <row r="8832" spans="1:2" x14ac:dyDescent="0.25">
      <c r="A8832" s="5">
        <v>34732</v>
      </c>
      <c r="B8832">
        <v>472.79000854492199</v>
      </c>
    </row>
    <row r="8833" spans="1:2" x14ac:dyDescent="0.25">
      <c r="A8833" s="5">
        <v>34733</v>
      </c>
      <c r="B8833">
        <v>478.64999389648398</v>
      </c>
    </row>
    <row r="8834" spans="1:2" x14ac:dyDescent="0.25">
      <c r="A8834" s="5">
        <v>34736</v>
      </c>
      <c r="B8834">
        <v>481.14001464843801</v>
      </c>
    </row>
    <row r="8835" spans="1:2" x14ac:dyDescent="0.25">
      <c r="A8835" s="5">
        <v>34737</v>
      </c>
      <c r="B8835">
        <v>480.80999755859398</v>
      </c>
    </row>
    <row r="8836" spans="1:2" x14ac:dyDescent="0.25">
      <c r="A8836" s="5">
        <v>34738</v>
      </c>
      <c r="B8836">
        <v>481.19000244140602</v>
      </c>
    </row>
    <row r="8837" spans="1:2" x14ac:dyDescent="0.25">
      <c r="A8837" s="5">
        <v>34739</v>
      </c>
      <c r="B8837">
        <v>480.19000244140602</v>
      </c>
    </row>
    <row r="8838" spans="1:2" x14ac:dyDescent="0.25">
      <c r="A8838" s="5">
        <v>34740</v>
      </c>
      <c r="B8838">
        <v>481.45999145507801</v>
      </c>
    </row>
    <row r="8839" spans="1:2" x14ac:dyDescent="0.25">
      <c r="A8839" s="5">
        <v>34743</v>
      </c>
      <c r="B8839">
        <v>481.64999389648398</v>
      </c>
    </row>
    <row r="8840" spans="1:2" x14ac:dyDescent="0.25">
      <c r="A8840" s="5">
        <v>34744</v>
      </c>
      <c r="B8840">
        <v>482.54998779296898</v>
      </c>
    </row>
    <row r="8841" spans="1:2" x14ac:dyDescent="0.25">
      <c r="A8841" s="5">
        <v>34745</v>
      </c>
      <c r="B8841">
        <v>484.54000854492199</v>
      </c>
    </row>
    <row r="8842" spans="1:2" x14ac:dyDescent="0.25">
      <c r="A8842" s="5">
        <v>34746</v>
      </c>
      <c r="B8842">
        <v>485.22000122070301</v>
      </c>
    </row>
    <row r="8843" spans="1:2" x14ac:dyDescent="0.25">
      <c r="A8843" s="5">
        <v>34747</v>
      </c>
      <c r="B8843">
        <v>481.97000122070301</v>
      </c>
    </row>
    <row r="8844" spans="1:2" x14ac:dyDescent="0.25">
      <c r="A8844" s="5">
        <v>34751</v>
      </c>
      <c r="B8844">
        <v>482.72000122070301</v>
      </c>
    </row>
    <row r="8845" spans="1:2" x14ac:dyDescent="0.25">
      <c r="A8845" s="5">
        <v>34752</v>
      </c>
      <c r="B8845">
        <v>485.07000732421898</v>
      </c>
    </row>
    <row r="8846" spans="1:2" x14ac:dyDescent="0.25">
      <c r="A8846" s="5">
        <v>34753</v>
      </c>
      <c r="B8846">
        <v>486.91000366210898</v>
      </c>
    </row>
    <row r="8847" spans="1:2" x14ac:dyDescent="0.25">
      <c r="A8847" s="5">
        <v>34754</v>
      </c>
      <c r="B8847">
        <v>488.10998535156199</v>
      </c>
    </row>
    <row r="8848" spans="1:2" x14ac:dyDescent="0.25">
      <c r="A8848" s="5">
        <v>34757</v>
      </c>
      <c r="B8848">
        <v>483.80999755859398</v>
      </c>
    </row>
    <row r="8849" spans="1:2" x14ac:dyDescent="0.25">
      <c r="A8849" s="5">
        <v>34758</v>
      </c>
      <c r="B8849">
        <v>487.39001464843801</v>
      </c>
    </row>
    <row r="8850" spans="1:2" x14ac:dyDescent="0.25">
      <c r="A8850" s="5">
        <v>34759</v>
      </c>
      <c r="B8850">
        <v>485.64999389648398</v>
      </c>
    </row>
    <row r="8851" spans="1:2" x14ac:dyDescent="0.25">
      <c r="A8851" s="5">
        <v>34760</v>
      </c>
      <c r="B8851">
        <v>485.13000488281199</v>
      </c>
    </row>
    <row r="8852" spans="1:2" x14ac:dyDescent="0.25">
      <c r="A8852" s="5">
        <v>34761</v>
      </c>
      <c r="B8852">
        <v>485.42001342773398</v>
      </c>
    </row>
    <row r="8853" spans="1:2" x14ac:dyDescent="0.25">
      <c r="A8853" s="5">
        <v>34764</v>
      </c>
      <c r="B8853">
        <v>485.63000488281199</v>
      </c>
    </row>
    <row r="8854" spans="1:2" x14ac:dyDescent="0.25">
      <c r="A8854" s="5">
        <v>34765</v>
      </c>
      <c r="B8854">
        <v>482.11999511718801</v>
      </c>
    </row>
    <row r="8855" spans="1:2" x14ac:dyDescent="0.25">
      <c r="A8855" s="5">
        <v>34766</v>
      </c>
      <c r="B8855">
        <v>483.14001464843801</v>
      </c>
    </row>
    <row r="8856" spans="1:2" x14ac:dyDescent="0.25">
      <c r="A8856" s="5">
        <v>34767</v>
      </c>
      <c r="B8856">
        <v>483.16000366210898</v>
      </c>
    </row>
    <row r="8857" spans="1:2" x14ac:dyDescent="0.25">
      <c r="A8857" s="5">
        <v>34768</v>
      </c>
      <c r="B8857">
        <v>489.57000732421898</v>
      </c>
    </row>
    <row r="8858" spans="1:2" x14ac:dyDescent="0.25">
      <c r="A8858" s="5">
        <v>34771</v>
      </c>
      <c r="B8858">
        <v>490.04998779296898</v>
      </c>
    </row>
    <row r="8859" spans="1:2" x14ac:dyDescent="0.25">
      <c r="A8859" s="5">
        <v>34772</v>
      </c>
      <c r="B8859">
        <v>492.89001464843801</v>
      </c>
    </row>
    <row r="8860" spans="1:2" x14ac:dyDescent="0.25">
      <c r="A8860" s="5">
        <v>34773</v>
      </c>
      <c r="B8860">
        <v>491.88000488281199</v>
      </c>
    </row>
    <row r="8861" spans="1:2" x14ac:dyDescent="0.25">
      <c r="A8861" s="5">
        <v>34774</v>
      </c>
      <c r="B8861">
        <v>495.41000366210898</v>
      </c>
    </row>
    <row r="8862" spans="1:2" x14ac:dyDescent="0.25">
      <c r="A8862" s="5">
        <v>34775</v>
      </c>
      <c r="B8862">
        <v>495.51998901367199</v>
      </c>
    </row>
    <row r="8863" spans="1:2" x14ac:dyDescent="0.25">
      <c r="A8863" s="5">
        <v>34778</v>
      </c>
      <c r="B8863">
        <v>496.14001464843801</v>
      </c>
    </row>
    <row r="8864" spans="1:2" x14ac:dyDescent="0.25">
      <c r="A8864" s="5">
        <v>34779</v>
      </c>
      <c r="B8864">
        <v>495.07000732421898</v>
      </c>
    </row>
    <row r="8865" spans="1:2" x14ac:dyDescent="0.25">
      <c r="A8865" s="5">
        <v>34780</v>
      </c>
      <c r="B8865">
        <v>495.67001342773398</v>
      </c>
    </row>
    <row r="8866" spans="1:2" x14ac:dyDescent="0.25">
      <c r="A8866" s="5">
        <v>34781</v>
      </c>
      <c r="B8866">
        <v>495.95001220703102</v>
      </c>
    </row>
    <row r="8867" spans="1:2" x14ac:dyDescent="0.25">
      <c r="A8867" s="5">
        <v>34782</v>
      </c>
      <c r="B8867">
        <v>500.97000122070301</v>
      </c>
    </row>
    <row r="8868" spans="1:2" x14ac:dyDescent="0.25">
      <c r="A8868" s="5">
        <v>34785</v>
      </c>
      <c r="B8868">
        <v>503.20001220703102</v>
      </c>
    </row>
    <row r="8869" spans="1:2" x14ac:dyDescent="0.25">
      <c r="A8869" s="5">
        <v>34786</v>
      </c>
      <c r="B8869">
        <v>503.89999389648398</v>
      </c>
    </row>
    <row r="8870" spans="1:2" x14ac:dyDescent="0.25">
      <c r="A8870" s="5">
        <v>34787</v>
      </c>
      <c r="B8870">
        <v>503.11999511718801</v>
      </c>
    </row>
    <row r="8871" spans="1:2" x14ac:dyDescent="0.25">
      <c r="A8871" s="5">
        <v>34788</v>
      </c>
      <c r="B8871">
        <v>502.22000122070301</v>
      </c>
    </row>
    <row r="8872" spans="1:2" x14ac:dyDescent="0.25">
      <c r="A8872" s="5">
        <v>34789</v>
      </c>
      <c r="B8872">
        <v>500.70999145507801</v>
      </c>
    </row>
    <row r="8873" spans="1:2" x14ac:dyDescent="0.25">
      <c r="A8873" s="5">
        <v>34792</v>
      </c>
      <c r="B8873">
        <v>501.85000610351602</v>
      </c>
    </row>
    <row r="8874" spans="1:2" x14ac:dyDescent="0.25">
      <c r="A8874" s="5">
        <v>34793</v>
      </c>
      <c r="B8874">
        <v>505.239990234375</v>
      </c>
    </row>
    <row r="8875" spans="1:2" x14ac:dyDescent="0.25">
      <c r="A8875" s="5">
        <v>34794</v>
      </c>
      <c r="B8875">
        <v>505.57000732421898</v>
      </c>
    </row>
    <row r="8876" spans="1:2" x14ac:dyDescent="0.25">
      <c r="A8876" s="5">
        <v>34795</v>
      </c>
      <c r="B8876">
        <v>506.07998657226602</v>
      </c>
    </row>
    <row r="8877" spans="1:2" x14ac:dyDescent="0.25">
      <c r="A8877" s="5">
        <v>34796</v>
      </c>
      <c r="B8877">
        <v>506.42001342773398</v>
      </c>
    </row>
    <row r="8878" spans="1:2" x14ac:dyDescent="0.25">
      <c r="A8878" s="5">
        <v>34799</v>
      </c>
      <c r="B8878">
        <v>507.010009765625</v>
      </c>
    </row>
    <row r="8879" spans="1:2" x14ac:dyDescent="0.25">
      <c r="A8879" s="5">
        <v>34800</v>
      </c>
      <c r="B8879">
        <v>505.52999877929699</v>
      </c>
    </row>
    <row r="8880" spans="1:2" x14ac:dyDescent="0.25">
      <c r="A8880" s="5">
        <v>34801</v>
      </c>
      <c r="B8880">
        <v>507.17001342773398</v>
      </c>
    </row>
    <row r="8881" spans="1:2" x14ac:dyDescent="0.25">
      <c r="A8881" s="5">
        <v>34802</v>
      </c>
      <c r="B8881">
        <v>509.23001098632801</v>
      </c>
    </row>
    <row r="8882" spans="1:2" x14ac:dyDescent="0.25">
      <c r="A8882" s="5">
        <v>34806</v>
      </c>
      <c r="B8882">
        <v>506.13000488281199</v>
      </c>
    </row>
    <row r="8883" spans="1:2" x14ac:dyDescent="0.25">
      <c r="A8883" s="5">
        <v>34807</v>
      </c>
      <c r="B8883">
        <v>505.36999511718801</v>
      </c>
    </row>
    <row r="8884" spans="1:2" x14ac:dyDescent="0.25">
      <c r="A8884" s="5">
        <v>34808</v>
      </c>
      <c r="B8884">
        <v>504.92001342773398</v>
      </c>
    </row>
    <row r="8885" spans="1:2" x14ac:dyDescent="0.25">
      <c r="A8885" s="5">
        <v>34809</v>
      </c>
      <c r="B8885">
        <v>505.29000854492199</v>
      </c>
    </row>
    <row r="8886" spans="1:2" x14ac:dyDescent="0.25">
      <c r="A8886" s="5">
        <v>34810</v>
      </c>
      <c r="B8886">
        <v>508.489990234375</v>
      </c>
    </row>
    <row r="8887" spans="1:2" x14ac:dyDescent="0.25">
      <c r="A8887" s="5">
        <v>34813</v>
      </c>
      <c r="B8887">
        <v>512.89001464843795</v>
      </c>
    </row>
    <row r="8888" spans="1:2" x14ac:dyDescent="0.25">
      <c r="A8888" s="5">
        <v>34814</v>
      </c>
      <c r="B8888">
        <v>512.09997558593795</v>
      </c>
    </row>
    <row r="8889" spans="1:2" x14ac:dyDescent="0.25">
      <c r="A8889" s="5">
        <v>34815</v>
      </c>
      <c r="B8889">
        <v>512.65997314453102</v>
      </c>
    </row>
    <row r="8890" spans="1:2" x14ac:dyDescent="0.25">
      <c r="A8890" s="5">
        <v>34816</v>
      </c>
      <c r="B8890">
        <v>513.54998779296898</v>
      </c>
    </row>
    <row r="8891" spans="1:2" x14ac:dyDescent="0.25">
      <c r="A8891" s="5">
        <v>34817</v>
      </c>
      <c r="B8891">
        <v>514.71002197265602</v>
      </c>
    </row>
    <row r="8892" spans="1:2" x14ac:dyDescent="0.25">
      <c r="A8892" s="5">
        <v>34820</v>
      </c>
      <c r="B8892">
        <v>514.260009765625</v>
      </c>
    </row>
    <row r="8893" spans="1:2" x14ac:dyDescent="0.25">
      <c r="A8893" s="5">
        <v>34821</v>
      </c>
      <c r="B8893">
        <v>514.85998535156205</v>
      </c>
    </row>
    <row r="8894" spans="1:2" x14ac:dyDescent="0.25">
      <c r="A8894" s="5">
        <v>34822</v>
      </c>
      <c r="B8894">
        <v>520.47998046875</v>
      </c>
    </row>
    <row r="8895" spans="1:2" x14ac:dyDescent="0.25">
      <c r="A8895" s="5">
        <v>34823</v>
      </c>
      <c r="B8895">
        <v>520.53997802734398</v>
      </c>
    </row>
    <row r="8896" spans="1:2" x14ac:dyDescent="0.25">
      <c r="A8896" s="5">
        <v>34824</v>
      </c>
      <c r="B8896">
        <v>520.11999511718795</v>
      </c>
    </row>
    <row r="8897" spans="1:2" x14ac:dyDescent="0.25">
      <c r="A8897" s="5">
        <v>34827</v>
      </c>
      <c r="B8897">
        <v>523.96002197265602</v>
      </c>
    </row>
    <row r="8898" spans="1:2" x14ac:dyDescent="0.25">
      <c r="A8898" s="5">
        <v>34828</v>
      </c>
      <c r="B8898">
        <v>523.55999755859398</v>
      </c>
    </row>
    <row r="8899" spans="1:2" x14ac:dyDescent="0.25">
      <c r="A8899" s="5">
        <v>34829</v>
      </c>
      <c r="B8899">
        <v>524.35998535156205</v>
      </c>
    </row>
    <row r="8900" spans="1:2" x14ac:dyDescent="0.25">
      <c r="A8900" s="5">
        <v>34830</v>
      </c>
      <c r="B8900">
        <v>524.36999511718795</v>
      </c>
    </row>
    <row r="8901" spans="1:2" x14ac:dyDescent="0.25">
      <c r="A8901" s="5">
        <v>34831</v>
      </c>
      <c r="B8901">
        <v>525.54998779296898</v>
      </c>
    </row>
    <row r="8902" spans="1:2" x14ac:dyDescent="0.25">
      <c r="A8902" s="5">
        <v>34834</v>
      </c>
      <c r="B8902">
        <v>527.739990234375</v>
      </c>
    </row>
    <row r="8903" spans="1:2" x14ac:dyDescent="0.25">
      <c r="A8903" s="5">
        <v>34835</v>
      </c>
      <c r="B8903">
        <v>528.19000244140602</v>
      </c>
    </row>
    <row r="8904" spans="1:2" x14ac:dyDescent="0.25">
      <c r="A8904" s="5">
        <v>34836</v>
      </c>
      <c r="B8904">
        <v>527.07000732421898</v>
      </c>
    </row>
    <row r="8905" spans="1:2" x14ac:dyDescent="0.25">
      <c r="A8905" s="5">
        <v>34837</v>
      </c>
      <c r="B8905">
        <v>519.58001708984398</v>
      </c>
    </row>
    <row r="8906" spans="1:2" x14ac:dyDescent="0.25">
      <c r="A8906" s="5">
        <v>34838</v>
      </c>
      <c r="B8906">
        <v>519.19000244140602</v>
      </c>
    </row>
    <row r="8907" spans="1:2" x14ac:dyDescent="0.25">
      <c r="A8907" s="5">
        <v>34841</v>
      </c>
      <c r="B8907">
        <v>523.65002441406205</v>
      </c>
    </row>
    <row r="8908" spans="1:2" x14ac:dyDescent="0.25">
      <c r="A8908" s="5">
        <v>34842</v>
      </c>
      <c r="B8908">
        <v>528.59002685546898</v>
      </c>
    </row>
    <row r="8909" spans="1:2" x14ac:dyDescent="0.25">
      <c r="A8909" s="5">
        <v>34843</v>
      </c>
      <c r="B8909">
        <v>528.60998535156205</v>
      </c>
    </row>
    <row r="8910" spans="1:2" x14ac:dyDescent="0.25">
      <c r="A8910" s="5">
        <v>34844</v>
      </c>
      <c r="B8910">
        <v>528.59002685546898</v>
      </c>
    </row>
    <row r="8911" spans="1:2" x14ac:dyDescent="0.25">
      <c r="A8911" s="5">
        <v>34845</v>
      </c>
      <c r="B8911">
        <v>523.65002441406205</v>
      </c>
    </row>
    <row r="8912" spans="1:2" x14ac:dyDescent="0.25">
      <c r="A8912" s="5">
        <v>34849</v>
      </c>
      <c r="B8912">
        <v>523.58001708984398</v>
      </c>
    </row>
    <row r="8913" spans="1:2" x14ac:dyDescent="0.25">
      <c r="A8913" s="5">
        <v>34850</v>
      </c>
      <c r="B8913">
        <v>533.40002441406205</v>
      </c>
    </row>
    <row r="8914" spans="1:2" x14ac:dyDescent="0.25">
      <c r="A8914" s="5">
        <v>34851</v>
      </c>
      <c r="B8914">
        <v>533.489990234375</v>
      </c>
    </row>
    <row r="8915" spans="1:2" x14ac:dyDescent="0.25">
      <c r="A8915" s="5">
        <v>34852</v>
      </c>
      <c r="B8915">
        <v>532.510009765625</v>
      </c>
    </row>
    <row r="8916" spans="1:2" x14ac:dyDescent="0.25">
      <c r="A8916" s="5">
        <v>34855</v>
      </c>
      <c r="B8916">
        <v>535.59997558593795</v>
      </c>
    </row>
    <row r="8917" spans="1:2" x14ac:dyDescent="0.25">
      <c r="A8917" s="5">
        <v>34856</v>
      </c>
      <c r="B8917">
        <v>535.54998779296898</v>
      </c>
    </row>
    <row r="8918" spans="1:2" x14ac:dyDescent="0.25">
      <c r="A8918" s="5">
        <v>34857</v>
      </c>
      <c r="B8918">
        <v>533.13000488281205</v>
      </c>
    </row>
    <row r="8919" spans="1:2" x14ac:dyDescent="0.25">
      <c r="A8919" s="5">
        <v>34858</v>
      </c>
      <c r="B8919">
        <v>532.34997558593795</v>
      </c>
    </row>
    <row r="8920" spans="1:2" x14ac:dyDescent="0.25">
      <c r="A8920" s="5">
        <v>34859</v>
      </c>
      <c r="B8920">
        <v>527.94000244140602</v>
      </c>
    </row>
    <row r="8921" spans="1:2" x14ac:dyDescent="0.25">
      <c r="A8921" s="5">
        <v>34862</v>
      </c>
      <c r="B8921">
        <v>530.88000488281205</v>
      </c>
    </row>
    <row r="8922" spans="1:2" x14ac:dyDescent="0.25">
      <c r="A8922" s="5">
        <v>34863</v>
      </c>
      <c r="B8922">
        <v>536.04998779296898</v>
      </c>
    </row>
    <row r="8923" spans="1:2" x14ac:dyDescent="0.25">
      <c r="A8923" s="5">
        <v>34864</v>
      </c>
      <c r="B8923">
        <v>536.469970703125</v>
      </c>
    </row>
    <row r="8924" spans="1:2" x14ac:dyDescent="0.25">
      <c r="A8924" s="5">
        <v>34865</v>
      </c>
      <c r="B8924">
        <v>537.11999511718795</v>
      </c>
    </row>
    <row r="8925" spans="1:2" x14ac:dyDescent="0.25">
      <c r="A8925" s="5">
        <v>34866</v>
      </c>
      <c r="B8925">
        <v>539.83001708984398</v>
      </c>
    </row>
    <row r="8926" spans="1:2" x14ac:dyDescent="0.25">
      <c r="A8926" s="5">
        <v>34869</v>
      </c>
      <c r="B8926">
        <v>545.219970703125</v>
      </c>
    </row>
    <row r="8927" spans="1:2" x14ac:dyDescent="0.25">
      <c r="A8927" s="5">
        <v>34870</v>
      </c>
      <c r="B8927">
        <v>544.97998046875</v>
      </c>
    </row>
    <row r="8928" spans="1:2" x14ac:dyDescent="0.25">
      <c r="A8928" s="5">
        <v>34871</v>
      </c>
      <c r="B8928">
        <v>543.97998046875</v>
      </c>
    </row>
    <row r="8929" spans="1:2" x14ac:dyDescent="0.25">
      <c r="A8929" s="5">
        <v>34872</v>
      </c>
      <c r="B8929">
        <v>551.07000732421898</v>
      </c>
    </row>
    <row r="8930" spans="1:2" x14ac:dyDescent="0.25">
      <c r="A8930" s="5">
        <v>34873</v>
      </c>
      <c r="B8930">
        <v>549.71002197265602</v>
      </c>
    </row>
    <row r="8931" spans="1:2" x14ac:dyDescent="0.25">
      <c r="A8931" s="5">
        <v>34876</v>
      </c>
      <c r="B8931">
        <v>544.13000488281205</v>
      </c>
    </row>
    <row r="8932" spans="1:2" x14ac:dyDescent="0.25">
      <c r="A8932" s="5">
        <v>34877</v>
      </c>
      <c r="B8932">
        <v>542.42999267578102</v>
      </c>
    </row>
    <row r="8933" spans="1:2" x14ac:dyDescent="0.25">
      <c r="A8933" s="5">
        <v>34878</v>
      </c>
      <c r="B8933">
        <v>544.72998046875</v>
      </c>
    </row>
    <row r="8934" spans="1:2" x14ac:dyDescent="0.25">
      <c r="A8934" s="5">
        <v>34879</v>
      </c>
      <c r="B8934">
        <v>543.86999511718795</v>
      </c>
    </row>
    <row r="8935" spans="1:2" x14ac:dyDescent="0.25">
      <c r="A8935" s="5">
        <v>34880</v>
      </c>
      <c r="B8935">
        <v>544.75</v>
      </c>
    </row>
    <row r="8936" spans="1:2" x14ac:dyDescent="0.25">
      <c r="A8936" s="5">
        <v>34883</v>
      </c>
      <c r="B8936">
        <v>547.09002685546898</v>
      </c>
    </row>
    <row r="8937" spans="1:2" x14ac:dyDescent="0.25">
      <c r="A8937" s="5">
        <v>34885</v>
      </c>
      <c r="B8937">
        <v>547.260009765625</v>
      </c>
    </row>
    <row r="8938" spans="1:2" x14ac:dyDescent="0.25">
      <c r="A8938" s="5">
        <v>34886</v>
      </c>
      <c r="B8938">
        <v>553.989990234375</v>
      </c>
    </row>
    <row r="8939" spans="1:2" x14ac:dyDescent="0.25">
      <c r="A8939" s="5">
        <v>34887</v>
      </c>
      <c r="B8939">
        <v>556.36999511718795</v>
      </c>
    </row>
    <row r="8940" spans="1:2" x14ac:dyDescent="0.25">
      <c r="A8940" s="5">
        <v>34890</v>
      </c>
      <c r="B8940">
        <v>557.19000244140602</v>
      </c>
    </row>
    <row r="8941" spans="1:2" x14ac:dyDescent="0.25">
      <c r="A8941" s="5">
        <v>34891</v>
      </c>
      <c r="B8941">
        <v>554.780029296875</v>
      </c>
    </row>
    <row r="8942" spans="1:2" x14ac:dyDescent="0.25">
      <c r="A8942" s="5">
        <v>34892</v>
      </c>
      <c r="B8942">
        <v>560.89001464843795</v>
      </c>
    </row>
    <row r="8943" spans="1:2" x14ac:dyDescent="0.25">
      <c r="A8943" s="5">
        <v>34893</v>
      </c>
      <c r="B8943">
        <v>561</v>
      </c>
    </row>
    <row r="8944" spans="1:2" x14ac:dyDescent="0.25">
      <c r="A8944" s="5">
        <v>34894</v>
      </c>
      <c r="B8944">
        <v>559.89001464843795</v>
      </c>
    </row>
    <row r="8945" spans="1:2" x14ac:dyDescent="0.25">
      <c r="A8945" s="5">
        <v>34897</v>
      </c>
      <c r="B8945">
        <v>562.719970703125</v>
      </c>
    </row>
    <row r="8946" spans="1:2" x14ac:dyDescent="0.25">
      <c r="A8946" s="5">
        <v>34898</v>
      </c>
      <c r="B8946">
        <v>558.46002197265602</v>
      </c>
    </row>
    <row r="8947" spans="1:2" x14ac:dyDescent="0.25">
      <c r="A8947" s="5">
        <v>34899</v>
      </c>
      <c r="B8947">
        <v>550.97998046875</v>
      </c>
    </row>
    <row r="8948" spans="1:2" x14ac:dyDescent="0.25">
      <c r="A8948" s="5">
        <v>34900</v>
      </c>
      <c r="B8948">
        <v>553.53997802734398</v>
      </c>
    </row>
    <row r="8949" spans="1:2" x14ac:dyDescent="0.25">
      <c r="A8949" s="5">
        <v>34901</v>
      </c>
      <c r="B8949">
        <v>553.61999511718795</v>
      </c>
    </row>
    <row r="8950" spans="1:2" x14ac:dyDescent="0.25">
      <c r="A8950" s="5">
        <v>34904</v>
      </c>
      <c r="B8950">
        <v>556.63000488281205</v>
      </c>
    </row>
    <row r="8951" spans="1:2" x14ac:dyDescent="0.25">
      <c r="A8951" s="5">
        <v>34905</v>
      </c>
      <c r="B8951">
        <v>561.09997558593795</v>
      </c>
    </row>
    <row r="8952" spans="1:2" x14ac:dyDescent="0.25">
      <c r="A8952" s="5">
        <v>34906</v>
      </c>
      <c r="B8952">
        <v>561.60998535156205</v>
      </c>
    </row>
    <row r="8953" spans="1:2" x14ac:dyDescent="0.25">
      <c r="A8953" s="5">
        <v>34907</v>
      </c>
      <c r="B8953">
        <v>565.219970703125</v>
      </c>
    </row>
    <row r="8954" spans="1:2" x14ac:dyDescent="0.25">
      <c r="A8954" s="5">
        <v>34908</v>
      </c>
      <c r="B8954">
        <v>562.92999267578102</v>
      </c>
    </row>
    <row r="8955" spans="1:2" x14ac:dyDescent="0.25">
      <c r="A8955" s="5">
        <v>34911</v>
      </c>
      <c r="B8955">
        <v>562.05999755859398</v>
      </c>
    </row>
    <row r="8956" spans="1:2" x14ac:dyDescent="0.25">
      <c r="A8956" s="5">
        <v>34912</v>
      </c>
      <c r="B8956">
        <v>559.64001464843795</v>
      </c>
    </row>
    <row r="8957" spans="1:2" x14ac:dyDescent="0.25">
      <c r="A8957" s="5">
        <v>34913</v>
      </c>
      <c r="B8957">
        <v>558.79998779296898</v>
      </c>
    </row>
    <row r="8958" spans="1:2" x14ac:dyDescent="0.25">
      <c r="A8958" s="5">
        <v>34914</v>
      </c>
      <c r="B8958">
        <v>558.75</v>
      </c>
    </row>
    <row r="8959" spans="1:2" x14ac:dyDescent="0.25">
      <c r="A8959" s="5">
        <v>34915</v>
      </c>
      <c r="B8959">
        <v>558.94000244140602</v>
      </c>
    </row>
    <row r="8960" spans="1:2" x14ac:dyDescent="0.25">
      <c r="A8960" s="5">
        <v>34918</v>
      </c>
      <c r="B8960">
        <v>560.030029296875</v>
      </c>
    </row>
    <row r="8961" spans="1:2" x14ac:dyDescent="0.25">
      <c r="A8961" s="5">
        <v>34919</v>
      </c>
      <c r="B8961">
        <v>560.39001464843795</v>
      </c>
    </row>
    <row r="8962" spans="1:2" x14ac:dyDescent="0.25">
      <c r="A8962" s="5">
        <v>34920</v>
      </c>
      <c r="B8962">
        <v>559.71002197265602</v>
      </c>
    </row>
    <row r="8963" spans="1:2" x14ac:dyDescent="0.25">
      <c r="A8963" s="5">
        <v>34921</v>
      </c>
      <c r="B8963">
        <v>557.45001220703102</v>
      </c>
    </row>
    <row r="8964" spans="1:2" x14ac:dyDescent="0.25">
      <c r="A8964" s="5">
        <v>34922</v>
      </c>
      <c r="B8964">
        <v>555.10998535156205</v>
      </c>
    </row>
    <row r="8965" spans="1:2" x14ac:dyDescent="0.25">
      <c r="A8965" s="5">
        <v>34925</v>
      </c>
      <c r="B8965">
        <v>559.739990234375</v>
      </c>
    </row>
    <row r="8966" spans="1:2" x14ac:dyDescent="0.25">
      <c r="A8966" s="5">
        <v>34926</v>
      </c>
      <c r="B8966">
        <v>558.57000732421898</v>
      </c>
    </row>
    <row r="8967" spans="1:2" x14ac:dyDescent="0.25">
      <c r="A8967" s="5">
        <v>34927</v>
      </c>
      <c r="B8967">
        <v>559.969970703125</v>
      </c>
    </row>
    <row r="8968" spans="1:2" x14ac:dyDescent="0.25">
      <c r="A8968" s="5">
        <v>34928</v>
      </c>
      <c r="B8968">
        <v>559.03997802734398</v>
      </c>
    </row>
    <row r="8969" spans="1:2" x14ac:dyDescent="0.25">
      <c r="A8969" s="5">
        <v>34929</v>
      </c>
      <c r="B8969">
        <v>559.21002197265602</v>
      </c>
    </row>
    <row r="8970" spans="1:2" x14ac:dyDescent="0.25">
      <c r="A8970" s="5">
        <v>34932</v>
      </c>
      <c r="B8970">
        <v>558.10998535156205</v>
      </c>
    </row>
    <row r="8971" spans="1:2" x14ac:dyDescent="0.25">
      <c r="A8971" s="5">
        <v>34933</v>
      </c>
      <c r="B8971">
        <v>559.52001953125</v>
      </c>
    </row>
    <row r="8972" spans="1:2" x14ac:dyDescent="0.25">
      <c r="A8972" s="5">
        <v>34934</v>
      </c>
      <c r="B8972">
        <v>557.14001464843795</v>
      </c>
    </row>
    <row r="8973" spans="1:2" x14ac:dyDescent="0.25">
      <c r="A8973" s="5">
        <v>34935</v>
      </c>
      <c r="B8973">
        <v>557.46002197265602</v>
      </c>
    </row>
    <row r="8974" spans="1:2" x14ac:dyDescent="0.25">
      <c r="A8974" s="5">
        <v>34936</v>
      </c>
      <c r="B8974">
        <v>560.09997558593795</v>
      </c>
    </row>
    <row r="8975" spans="1:2" x14ac:dyDescent="0.25">
      <c r="A8975" s="5">
        <v>34939</v>
      </c>
      <c r="B8975">
        <v>559.04998779296898</v>
      </c>
    </row>
    <row r="8976" spans="1:2" x14ac:dyDescent="0.25">
      <c r="A8976" s="5">
        <v>34940</v>
      </c>
      <c r="B8976">
        <v>560</v>
      </c>
    </row>
    <row r="8977" spans="1:2" x14ac:dyDescent="0.25">
      <c r="A8977" s="5">
        <v>34941</v>
      </c>
      <c r="B8977">
        <v>560.91998291015602</v>
      </c>
    </row>
    <row r="8978" spans="1:2" x14ac:dyDescent="0.25">
      <c r="A8978" s="5">
        <v>34942</v>
      </c>
      <c r="B8978">
        <v>561.88000488281205</v>
      </c>
    </row>
    <row r="8979" spans="1:2" x14ac:dyDescent="0.25">
      <c r="A8979" s="5">
        <v>34943</v>
      </c>
      <c r="B8979">
        <v>563.84002685546898</v>
      </c>
    </row>
    <row r="8980" spans="1:2" x14ac:dyDescent="0.25">
      <c r="A8980" s="5">
        <v>34947</v>
      </c>
      <c r="B8980">
        <v>569.16998291015602</v>
      </c>
    </row>
    <row r="8981" spans="1:2" x14ac:dyDescent="0.25">
      <c r="A8981" s="5">
        <v>34948</v>
      </c>
      <c r="B8981">
        <v>570.16998291015602</v>
      </c>
    </row>
    <row r="8982" spans="1:2" x14ac:dyDescent="0.25">
      <c r="A8982" s="5">
        <v>34949</v>
      </c>
      <c r="B8982">
        <v>570.28997802734398</v>
      </c>
    </row>
    <row r="8983" spans="1:2" x14ac:dyDescent="0.25">
      <c r="A8983" s="5">
        <v>34950</v>
      </c>
      <c r="B8983">
        <v>572.67999267578102</v>
      </c>
    </row>
    <row r="8984" spans="1:2" x14ac:dyDescent="0.25">
      <c r="A8984" s="5">
        <v>34953</v>
      </c>
      <c r="B8984">
        <v>573.90997314453102</v>
      </c>
    </row>
    <row r="8985" spans="1:2" x14ac:dyDescent="0.25">
      <c r="A8985" s="5">
        <v>34954</v>
      </c>
      <c r="B8985">
        <v>576.510009765625</v>
      </c>
    </row>
    <row r="8986" spans="1:2" x14ac:dyDescent="0.25">
      <c r="A8986" s="5">
        <v>34955</v>
      </c>
      <c r="B8986">
        <v>578.77001953125</v>
      </c>
    </row>
    <row r="8987" spans="1:2" x14ac:dyDescent="0.25">
      <c r="A8987" s="5">
        <v>34956</v>
      </c>
      <c r="B8987">
        <v>583.60998535156205</v>
      </c>
    </row>
    <row r="8988" spans="1:2" x14ac:dyDescent="0.25">
      <c r="A8988" s="5">
        <v>34957</v>
      </c>
      <c r="B8988">
        <v>583.34997558593795</v>
      </c>
    </row>
    <row r="8989" spans="1:2" x14ac:dyDescent="0.25">
      <c r="A8989" s="5">
        <v>34960</v>
      </c>
      <c r="B8989">
        <v>582.77001953125</v>
      </c>
    </row>
    <row r="8990" spans="1:2" x14ac:dyDescent="0.25">
      <c r="A8990" s="5">
        <v>34961</v>
      </c>
      <c r="B8990">
        <v>584.20001220703102</v>
      </c>
    </row>
    <row r="8991" spans="1:2" x14ac:dyDescent="0.25">
      <c r="A8991" s="5">
        <v>34962</v>
      </c>
      <c r="B8991">
        <v>586.77001953125</v>
      </c>
    </row>
    <row r="8992" spans="1:2" x14ac:dyDescent="0.25">
      <c r="A8992" s="5">
        <v>34963</v>
      </c>
      <c r="B8992">
        <v>583</v>
      </c>
    </row>
    <row r="8993" spans="1:2" x14ac:dyDescent="0.25">
      <c r="A8993" s="5">
        <v>34964</v>
      </c>
      <c r="B8993">
        <v>581.72998046875</v>
      </c>
    </row>
    <row r="8994" spans="1:2" x14ac:dyDescent="0.25">
      <c r="A8994" s="5">
        <v>34967</v>
      </c>
      <c r="B8994">
        <v>581.80999755859398</v>
      </c>
    </row>
    <row r="8995" spans="1:2" x14ac:dyDescent="0.25">
      <c r="A8995" s="5">
        <v>34968</v>
      </c>
      <c r="B8995">
        <v>581.40997314453102</v>
      </c>
    </row>
    <row r="8996" spans="1:2" x14ac:dyDescent="0.25">
      <c r="A8996" s="5">
        <v>34969</v>
      </c>
      <c r="B8996">
        <v>581.03997802734398</v>
      </c>
    </row>
    <row r="8997" spans="1:2" x14ac:dyDescent="0.25">
      <c r="A8997" s="5">
        <v>34970</v>
      </c>
      <c r="B8997">
        <v>585.86999511718795</v>
      </c>
    </row>
    <row r="8998" spans="1:2" x14ac:dyDescent="0.25">
      <c r="A8998" s="5">
        <v>34971</v>
      </c>
      <c r="B8998">
        <v>584.40997314453102</v>
      </c>
    </row>
    <row r="8999" spans="1:2" x14ac:dyDescent="0.25">
      <c r="A8999" s="5">
        <v>34974</v>
      </c>
      <c r="B8999">
        <v>581.719970703125</v>
      </c>
    </row>
    <row r="9000" spans="1:2" x14ac:dyDescent="0.25">
      <c r="A9000" s="5">
        <v>34975</v>
      </c>
      <c r="B9000">
        <v>582.34002685546898</v>
      </c>
    </row>
    <row r="9001" spans="1:2" x14ac:dyDescent="0.25">
      <c r="A9001" s="5">
        <v>34976</v>
      </c>
      <c r="B9001">
        <v>581.469970703125</v>
      </c>
    </row>
    <row r="9002" spans="1:2" x14ac:dyDescent="0.25">
      <c r="A9002" s="5">
        <v>34977</v>
      </c>
      <c r="B9002">
        <v>582.63000488281205</v>
      </c>
    </row>
    <row r="9003" spans="1:2" x14ac:dyDescent="0.25">
      <c r="A9003" s="5">
        <v>34978</v>
      </c>
      <c r="B9003">
        <v>582.489990234375</v>
      </c>
    </row>
    <row r="9004" spans="1:2" x14ac:dyDescent="0.25">
      <c r="A9004" s="5">
        <v>34981</v>
      </c>
      <c r="B9004">
        <v>578.36999511718795</v>
      </c>
    </row>
    <row r="9005" spans="1:2" x14ac:dyDescent="0.25">
      <c r="A9005" s="5">
        <v>34982</v>
      </c>
      <c r="B9005">
        <v>577.52001953125</v>
      </c>
    </row>
    <row r="9006" spans="1:2" x14ac:dyDescent="0.25">
      <c r="A9006" s="5">
        <v>34983</v>
      </c>
      <c r="B9006">
        <v>579.46002197265602</v>
      </c>
    </row>
    <row r="9007" spans="1:2" x14ac:dyDescent="0.25">
      <c r="A9007" s="5">
        <v>34984</v>
      </c>
      <c r="B9007">
        <v>583.09997558593795</v>
      </c>
    </row>
    <row r="9008" spans="1:2" x14ac:dyDescent="0.25">
      <c r="A9008" s="5">
        <v>34985</v>
      </c>
      <c r="B9008">
        <v>584.5</v>
      </c>
    </row>
    <row r="9009" spans="1:2" x14ac:dyDescent="0.25">
      <c r="A9009" s="5">
        <v>34988</v>
      </c>
      <c r="B9009">
        <v>583.030029296875</v>
      </c>
    </row>
    <row r="9010" spans="1:2" x14ac:dyDescent="0.25">
      <c r="A9010" s="5">
        <v>34989</v>
      </c>
      <c r="B9010">
        <v>586.780029296875</v>
      </c>
    </row>
    <row r="9011" spans="1:2" x14ac:dyDescent="0.25">
      <c r="A9011" s="5">
        <v>34990</v>
      </c>
      <c r="B9011">
        <v>587.44000244140602</v>
      </c>
    </row>
    <row r="9012" spans="1:2" x14ac:dyDescent="0.25">
      <c r="A9012" s="5">
        <v>34991</v>
      </c>
      <c r="B9012">
        <v>590.65002441406205</v>
      </c>
    </row>
    <row r="9013" spans="1:2" x14ac:dyDescent="0.25">
      <c r="A9013" s="5">
        <v>34992</v>
      </c>
      <c r="B9013">
        <v>587.46002197265602</v>
      </c>
    </row>
    <row r="9014" spans="1:2" x14ac:dyDescent="0.25">
      <c r="A9014" s="5">
        <v>34995</v>
      </c>
      <c r="B9014">
        <v>585.05999755859398</v>
      </c>
    </row>
    <row r="9015" spans="1:2" x14ac:dyDescent="0.25">
      <c r="A9015" s="5">
        <v>34996</v>
      </c>
      <c r="B9015">
        <v>586.53997802734398</v>
      </c>
    </row>
    <row r="9016" spans="1:2" x14ac:dyDescent="0.25">
      <c r="A9016" s="5">
        <v>34997</v>
      </c>
      <c r="B9016">
        <v>582.469970703125</v>
      </c>
    </row>
    <row r="9017" spans="1:2" x14ac:dyDescent="0.25">
      <c r="A9017" s="5">
        <v>34998</v>
      </c>
      <c r="B9017">
        <v>576.719970703125</v>
      </c>
    </row>
    <row r="9018" spans="1:2" x14ac:dyDescent="0.25">
      <c r="A9018" s="5">
        <v>34999</v>
      </c>
      <c r="B9018">
        <v>579.70001220703102</v>
      </c>
    </row>
    <row r="9019" spans="1:2" x14ac:dyDescent="0.25">
      <c r="A9019" s="5">
        <v>35002</v>
      </c>
      <c r="B9019">
        <v>583.25</v>
      </c>
    </row>
    <row r="9020" spans="1:2" x14ac:dyDescent="0.25">
      <c r="A9020" s="5">
        <v>35003</v>
      </c>
      <c r="B9020">
        <v>581.5</v>
      </c>
    </row>
    <row r="9021" spans="1:2" x14ac:dyDescent="0.25">
      <c r="A9021" s="5">
        <v>35004</v>
      </c>
      <c r="B9021">
        <v>584.219970703125</v>
      </c>
    </row>
    <row r="9022" spans="1:2" x14ac:dyDescent="0.25">
      <c r="A9022" s="5">
        <v>35005</v>
      </c>
      <c r="B9022">
        <v>589.719970703125</v>
      </c>
    </row>
    <row r="9023" spans="1:2" x14ac:dyDescent="0.25">
      <c r="A9023" s="5">
        <v>35006</v>
      </c>
      <c r="B9023">
        <v>590.57000732421898</v>
      </c>
    </row>
    <row r="9024" spans="1:2" x14ac:dyDescent="0.25">
      <c r="A9024" s="5">
        <v>35009</v>
      </c>
      <c r="B9024">
        <v>588.46002197265602</v>
      </c>
    </row>
    <row r="9025" spans="1:2" x14ac:dyDescent="0.25">
      <c r="A9025" s="5">
        <v>35010</v>
      </c>
      <c r="B9025">
        <v>586.32000732421898</v>
      </c>
    </row>
    <row r="9026" spans="1:2" x14ac:dyDescent="0.25">
      <c r="A9026" s="5">
        <v>35011</v>
      </c>
      <c r="B9026">
        <v>591.71002197265602</v>
      </c>
    </row>
    <row r="9027" spans="1:2" x14ac:dyDescent="0.25">
      <c r="A9027" s="5">
        <v>35012</v>
      </c>
      <c r="B9027">
        <v>593.260009765625</v>
      </c>
    </row>
    <row r="9028" spans="1:2" x14ac:dyDescent="0.25">
      <c r="A9028" s="5">
        <v>35013</v>
      </c>
      <c r="B9028">
        <v>592.719970703125</v>
      </c>
    </row>
    <row r="9029" spans="1:2" x14ac:dyDescent="0.25">
      <c r="A9029" s="5">
        <v>35016</v>
      </c>
      <c r="B9029">
        <v>592.29998779296898</v>
      </c>
    </row>
    <row r="9030" spans="1:2" x14ac:dyDescent="0.25">
      <c r="A9030" s="5">
        <v>35017</v>
      </c>
      <c r="B9030">
        <v>589.28997802734398</v>
      </c>
    </row>
    <row r="9031" spans="1:2" x14ac:dyDescent="0.25">
      <c r="A9031" s="5">
        <v>35018</v>
      </c>
      <c r="B9031">
        <v>593.96002197265602</v>
      </c>
    </row>
    <row r="9032" spans="1:2" x14ac:dyDescent="0.25">
      <c r="A9032" s="5">
        <v>35019</v>
      </c>
      <c r="B9032">
        <v>597.34002685546898</v>
      </c>
    </row>
    <row r="9033" spans="1:2" x14ac:dyDescent="0.25">
      <c r="A9033" s="5">
        <v>35020</v>
      </c>
      <c r="B9033">
        <v>600.07000732421898</v>
      </c>
    </row>
    <row r="9034" spans="1:2" x14ac:dyDescent="0.25">
      <c r="A9034" s="5">
        <v>35023</v>
      </c>
      <c r="B9034">
        <v>596.84997558593795</v>
      </c>
    </row>
    <row r="9035" spans="1:2" x14ac:dyDescent="0.25">
      <c r="A9035" s="5">
        <v>35024</v>
      </c>
      <c r="B9035">
        <v>600.239990234375</v>
      </c>
    </row>
    <row r="9036" spans="1:2" x14ac:dyDescent="0.25">
      <c r="A9036" s="5">
        <v>35025</v>
      </c>
      <c r="B9036">
        <v>598.40002441406205</v>
      </c>
    </row>
    <row r="9037" spans="1:2" x14ac:dyDescent="0.25">
      <c r="A9037" s="5">
        <v>35027</v>
      </c>
      <c r="B9037">
        <v>599.969970703125</v>
      </c>
    </row>
    <row r="9038" spans="1:2" x14ac:dyDescent="0.25">
      <c r="A9038" s="5">
        <v>35030</v>
      </c>
      <c r="B9038">
        <v>601.32000732421898</v>
      </c>
    </row>
    <row r="9039" spans="1:2" x14ac:dyDescent="0.25">
      <c r="A9039" s="5">
        <v>35031</v>
      </c>
      <c r="B9039">
        <v>606.45001220703102</v>
      </c>
    </row>
    <row r="9040" spans="1:2" x14ac:dyDescent="0.25">
      <c r="A9040" s="5">
        <v>35032</v>
      </c>
      <c r="B9040">
        <v>607.64001464843795</v>
      </c>
    </row>
    <row r="9041" spans="1:2" x14ac:dyDescent="0.25">
      <c r="A9041" s="5">
        <v>35033</v>
      </c>
      <c r="B9041">
        <v>605.36999511718795</v>
      </c>
    </row>
    <row r="9042" spans="1:2" x14ac:dyDescent="0.25">
      <c r="A9042" s="5">
        <v>35034</v>
      </c>
      <c r="B9042">
        <v>606.97998046875</v>
      </c>
    </row>
    <row r="9043" spans="1:2" x14ac:dyDescent="0.25">
      <c r="A9043" s="5">
        <v>35037</v>
      </c>
      <c r="B9043">
        <v>613.67999267578102</v>
      </c>
    </row>
    <row r="9044" spans="1:2" x14ac:dyDescent="0.25">
      <c r="A9044" s="5">
        <v>35038</v>
      </c>
      <c r="B9044">
        <v>617.67999267578102</v>
      </c>
    </row>
    <row r="9045" spans="1:2" x14ac:dyDescent="0.25">
      <c r="A9045" s="5">
        <v>35039</v>
      </c>
      <c r="B9045">
        <v>620.17999267578102</v>
      </c>
    </row>
    <row r="9046" spans="1:2" x14ac:dyDescent="0.25">
      <c r="A9046" s="5">
        <v>35040</v>
      </c>
      <c r="B9046">
        <v>616.16998291015602</v>
      </c>
    </row>
    <row r="9047" spans="1:2" x14ac:dyDescent="0.25">
      <c r="A9047" s="5">
        <v>35041</v>
      </c>
      <c r="B9047">
        <v>617.47998046875</v>
      </c>
    </row>
    <row r="9048" spans="1:2" x14ac:dyDescent="0.25">
      <c r="A9048" s="5">
        <v>35044</v>
      </c>
      <c r="B9048">
        <v>619.52001953125</v>
      </c>
    </row>
    <row r="9049" spans="1:2" x14ac:dyDescent="0.25">
      <c r="A9049" s="5">
        <v>35045</v>
      </c>
      <c r="B9049">
        <v>618.780029296875</v>
      </c>
    </row>
    <row r="9050" spans="1:2" x14ac:dyDescent="0.25">
      <c r="A9050" s="5">
        <v>35046</v>
      </c>
      <c r="B9050">
        <v>621.69000244140602</v>
      </c>
    </row>
    <row r="9051" spans="1:2" x14ac:dyDescent="0.25">
      <c r="A9051" s="5">
        <v>35047</v>
      </c>
      <c r="B9051">
        <v>616.91998291015602</v>
      </c>
    </row>
    <row r="9052" spans="1:2" x14ac:dyDescent="0.25">
      <c r="A9052" s="5">
        <v>35048</v>
      </c>
      <c r="B9052">
        <v>616.34002685546898</v>
      </c>
    </row>
    <row r="9053" spans="1:2" x14ac:dyDescent="0.25">
      <c r="A9053" s="5">
        <v>35051</v>
      </c>
      <c r="B9053">
        <v>606.80999755859398</v>
      </c>
    </row>
    <row r="9054" spans="1:2" x14ac:dyDescent="0.25">
      <c r="A9054" s="5">
        <v>35052</v>
      </c>
      <c r="B9054">
        <v>611.92999267578102</v>
      </c>
    </row>
    <row r="9055" spans="1:2" x14ac:dyDescent="0.25">
      <c r="A9055" s="5">
        <v>35053</v>
      </c>
      <c r="B9055">
        <v>605.94000244140602</v>
      </c>
    </row>
    <row r="9056" spans="1:2" x14ac:dyDescent="0.25">
      <c r="A9056" s="5">
        <v>35054</v>
      </c>
      <c r="B9056">
        <v>610.489990234375</v>
      </c>
    </row>
    <row r="9057" spans="1:2" x14ac:dyDescent="0.25">
      <c r="A9057" s="5">
        <v>35055</v>
      </c>
      <c r="B9057">
        <v>611.95001220703102</v>
      </c>
    </row>
    <row r="9058" spans="1:2" x14ac:dyDescent="0.25">
      <c r="A9058" s="5">
        <v>35059</v>
      </c>
      <c r="B9058">
        <v>614.29998779296898</v>
      </c>
    </row>
    <row r="9059" spans="1:2" x14ac:dyDescent="0.25">
      <c r="A9059" s="5">
        <v>35060</v>
      </c>
      <c r="B9059">
        <v>614.530029296875</v>
      </c>
    </row>
    <row r="9060" spans="1:2" x14ac:dyDescent="0.25">
      <c r="A9060" s="5">
        <v>35061</v>
      </c>
      <c r="B9060">
        <v>614.11999511718795</v>
      </c>
    </row>
    <row r="9061" spans="1:2" x14ac:dyDescent="0.25">
      <c r="A9061" s="5">
        <v>35062</v>
      </c>
      <c r="B9061">
        <v>615.92999267578102</v>
      </c>
    </row>
    <row r="9062" spans="1:2" x14ac:dyDescent="0.25">
      <c r="A9062" s="5">
        <v>35066</v>
      </c>
      <c r="B9062">
        <v>620.72998046875</v>
      </c>
    </row>
    <row r="9063" spans="1:2" x14ac:dyDescent="0.25">
      <c r="A9063" s="5">
        <v>35067</v>
      </c>
      <c r="B9063">
        <v>621.32000732421898</v>
      </c>
    </row>
    <row r="9064" spans="1:2" x14ac:dyDescent="0.25">
      <c r="A9064" s="5">
        <v>35068</v>
      </c>
      <c r="B9064">
        <v>617.70001220703102</v>
      </c>
    </row>
    <row r="9065" spans="1:2" x14ac:dyDescent="0.25">
      <c r="A9065" s="5">
        <v>35069</v>
      </c>
      <c r="B9065">
        <v>616.71002197265602</v>
      </c>
    </row>
    <row r="9066" spans="1:2" x14ac:dyDescent="0.25">
      <c r="A9066" s="5">
        <v>35072</v>
      </c>
      <c r="B9066">
        <v>618.46002197265602</v>
      </c>
    </row>
    <row r="9067" spans="1:2" x14ac:dyDescent="0.25">
      <c r="A9067" s="5">
        <v>35073</v>
      </c>
      <c r="B9067">
        <v>609.45001220703102</v>
      </c>
    </row>
    <row r="9068" spans="1:2" x14ac:dyDescent="0.25">
      <c r="A9068" s="5">
        <v>35074</v>
      </c>
      <c r="B9068">
        <v>598.47998046875</v>
      </c>
    </row>
    <row r="9069" spans="1:2" x14ac:dyDescent="0.25">
      <c r="A9069" s="5">
        <v>35075</v>
      </c>
      <c r="B9069">
        <v>602.69000244140602</v>
      </c>
    </row>
    <row r="9070" spans="1:2" x14ac:dyDescent="0.25">
      <c r="A9070" s="5">
        <v>35076</v>
      </c>
      <c r="B9070">
        <v>601.80999755859398</v>
      </c>
    </row>
    <row r="9071" spans="1:2" x14ac:dyDescent="0.25">
      <c r="A9071" s="5">
        <v>35079</v>
      </c>
      <c r="B9071">
        <v>599.82000732421898</v>
      </c>
    </row>
    <row r="9072" spans="1:2" x14ac:dyDescent="0.25">
      <c r="A9072" s="5">
        <v>35080</v>
      </c>
      <c r="B9072">
        <v>608.44000244140602</v>
      </c>
    </row>
    <row r="9073" spans="1:2" x14ac:dyDescent="0.25">
      <c r="A9073" s="5">
        <v>35081</v>
      </c>
      <c r="B9073">
        <v>606.36999511718795</v>
      </c>
    </row>
    <row r="9074" spans="1:2" x14ac:dyDescent="0.25">
      <c r="A9074" s="5">
        <v>35082</v>
      </c>
      <c r="B9074">
        <v>608.239990234375</v>
      </c>
    </row>
    <row r="9075" spans="1:2" x14ac:dyDescent="0.25">
      <c r="A9075" s="5">
        <v>35083</v>
      </c>
      <c r="B9075">
        <v>611.83001708984398</v>
      </c>
    </row>
    <row r="9076" spans="1:2" x14ac:dyDescent="0.25">
      <c r="A9076" s="5">
        <v>35086</v>
      </c>
      <c r="B9076">
        <v>613.40002441406205</v>
      </c>
    </row>
    <row r="9077" spans="1:2" x14ac:dyDescent="0.25">
      <c r="A9077" s="5">
        <v>35087</v>
      </c>
      <c r="B9077">
        <v>612.78997802734398</v>
      </c>
    </row>
    <row r="9078" spans="1:2" x14ac:dyDescent="0.25">
      <c r="A9078" s="5">
        <v>35088</v>
      </c>
      <c r="B9078">
        <v>619.96002197265602</v>
      </c>
    </row>
    <row r="9079" spans="1:2" x14ac:dyDescent="0.25">
      <c r="A9079" s="5">
        <v>35089</v>
      </c>
      <c r="B9079">
        <v>617.030029296875</v>
      </c>
    </row>
    <row r="9080" spans="1:2" x14ac:dyDescent="0.25">
      <c r="A9080" s="5">
        <v>35090</v>
      </c>
      <c r="B9080">
        <v>621.61999511718795</v>
      </c>
    </row>
    <row r="9081" spans="1:2" x14ac:dyDescent="0.25">
      <c r="A9081" s="5">
        <v>35093</v>
      </c>
      <c r="B9081">
        <v>624.219970703125</v>
      </c>
    </row>
    <row r="9082" spans="1:2" x14ac:dyDescent="0.25">
      <c r="A9082" s="5">
        <v>35094</v>
      </c>
      <c r="B9082">
        <v>630.15002441406205</v>
      </c>
    </row>
    <row r="9083" spans="1:2" x14ac:dyDescent="0.25">
      <c r="A9083" s="5">
        <v>35095</v>
      </c>
      <c r="B9083">
        <v>636.02001953125</v>
      </c>
    </row>
    <row r="9084" spans="1:2" x14ac:dyDescent="0.25">
      <c r="A9084" s="5">
        <v>35096</v>
      </c>
      <c r="B9084">
        <v>638.46002197265602</v>
      </c>
    </row>
    <row r="9085" spans="1:2" x14ac:dyDescent="0.25">
      <c r="A9085" s="5">
        <v>35097</v>
      </c>
      <c r="B9085">
        <v>635.84002685546898</v>
      </c>
    </row>
    <row r="9086" spans="1:2" x14ac:dyDescent="0.25">
      <c r="A9086" s="5">
        <v>35100</v>
      </c>
      <c r="B9086">
        <v>641.42999267578102</v>
      </c>
    </row>
    <row r="9087" spans="1:2" x14ac:dyDescent="0.25">
      <c r="A9087" s="5">
        <v>35101</v>
      </c>
      <c r="B9087">
        <v>646.33001708984398</v>
      </c>
    </row>
    <row r="9088" spans="1:2" x14ac:dyDescent="0.25">
      <c r="A9088" s="5">
        <v>35102</v>
      </c>
      <c r="B9088">
        <v>649.92999267578102</v>
      </c>
    </row>
    <row r="9089" spans="1:2" x14ac:dyDescent="0.25">
      <c r="A9089" s="5">
        <v>35103</v>
      </c>
      <c r="B9089">
        <v>656.07000732421898</v>
      </c>
    </row>
    <row r="9090" spans="1:2" x14ac:dyDescent="0.25">
      <c r="A9090" s="5">
        <v>35104</v>
      </c>
      <c r="B9090">
        <v>656.36999511718795</v>
      </c>
    </row>
    <row r="9091" spans="1:2" x14ac:dyDescent="0.25">
      <c r="A9091" s="5">
        <v>35107</v>
      </c>
      <c r="B9091">
        <v>661.45001220703102</v>
      </c>
    </row>
    <row r="9092" spans="1:2" x14ac:dyDescent="0.25">
      <c r="A9092" s="5">
        <v>35108</v>
      </c>
      <c r="B9092">
        <v>660.510009765625</v>
      </c>
    </row>
    <row r="9093" spans="1:2" x14ac:dyDescent="0.25">
      <c r="A9093" s="5">
        <v>35109</v>
      </c>
      <c r="B9093">
        <v>655.58001708984398</v>
      </c>
    </row>
    <row r="9094" spans="1:2" x14ac:dyDescent="0.25">
      <c r="A9094" s="5">
        <v>35110</v>
      </c>
      <c r="B9094">
        <v>651.32000732421898</v>
      </c>
    </row>
    <row r="9095" spans="1:2" x14ac:dyDescent="0.25">
      <c r="A9095" s="5">
        <v>35111</v>
      </c>
      <c r="B9095">
        <v>647.97998046875</v>
      </c>
    </row>
    <row r="9096" spans="1:2" x14ac:dyDescent="0.25">
      <c r="A9096" s="5">
        <v>35115</v>
      </c>
      <c r="B9096">
        <v>640.65002441406205</v>
      </c>
    </row>
    <row r="9097" spans="1:2" x14ac:dyDescent="0.25">
      <c r="A9097" s="5">
        <v>35116</v>
      </c>
      <c r="B9097">
        <v>648.09997558593795</v>
      </c>
    </row>
    <row r="9098" spans="1:2" x14ac:dyDescent="0.25">
      <c r="A9098" s="5">
        <v>35117</v>
      </c>
      <c r="B9098">
        <v>658.85998535156205</v>
      </c>
    </row>
    <row r="9099" spans="1:2" x14ac:dyDescent="0.25">
      <c r="A9099" s="5">
        <v>35118</v>
      </c>
      <c r="B9099">
        <v>659.08001708984398</v>
      </c>
    </row>
    <row r="9100" spans="1:2" x14ac:dyDescent="0.25">
      <c r="A9100" s="5">
        <v>35121</v>
      </c>
      <c r="B9100">
        <v>650.46002197265602</v>
      </c>
    </row>
    <row r="9101" spans="1:2" x14ac:dyDescent="0.25">
      <c r="A9101" s="5">
        <v>35122</v>
      </c>
      <c r="B9101">
        <v>647.239990234375</v>
      </c>
    </row>
    <row r="9102" spans="1:2" x14ac:dyDescent="0.25">
      <c r="A9102" s="5">
        <v>35123</v>
      </c>
      <c r="B9102">
        <v>644.75</v>
      </c>
    </row>
    <row r="9103" spans="1:2" x14ac:dyDescent="0.25">
      <c r="A9103" s="5">
        <v>35124</v>
      </c>
      <c r="B9103">
        <v>640.42999267578102</v>
      </c>
    </row>
    <row r="9104" spans="1:2" x14ac:dyDescent="0.25">
      <c r="A9104" s="5">
        <v>35125</v>
      </c>
      <c r="B9104">
        <v>644.36999511718795</v>
      </c>
    </row>
    <row r="9105" spans="1:2" x14ac:dyDescent="0.25">
      <c r="A9105" s="5">
        <v>35128</v>
      </c>
      <c r="B9105">
        <v>650.80999755859398</v>
      </c>
    </row>
    <row r="9106" spans="1:2" x14ac:dyDescent="0.25">
      <c r="A9106" s="5">
        <v>35129</v>
      </c>
      <c r="B9106">
        <v>655.78997802734398</v>
      </c>
    </row>
    <row r="9107" spans="1:2" x14ac:dyDescent="0.25">
      <c r="A9107" s="5">
        <v>35130</v>
      </c>
      <c r="B9107">
        <v>652</v>
      </c>
    </row>
    <row r="9108" spans="1:2" x14ac:dyDescent="0.25">
      <c r="A9108" s="5">
        <v>35131</v>
      </c>
      <c r="B9108">
        <v>653.65002441406205</v>
      </c>
    </row>
    <row r="9109" spans="1:2" x14ac:dyDescent="0.25">
      <c r="A9109" s="5">
        <v>35132</v>
      </c>
      <c r="B9109">
        <v>633.5</v>
      </c>
    </row>
    <row r="9110" spans="1:2" x14ac:dyDescent="0.25">
      <c r="A9110" s="5">
        <v>35135</v>
      </c>
      <c r="B9110">
        <v>640.02001953125</v>
      </c>
    </row>
    <row r="9111" spans="1:2" x14ac:dyDescent="0.25">
      <c r="A9111" s="5">
        <v>35136</v>
      </c>
      <c r="B9111">
        <v>637.09002685546898</v>
      </c>
    </row>
    <row r="9112" spans="1:2" x14ac:dyDescent="0.25">
      <c r="A9112" s="5">
        <v>35137</v>
      </c>
      <c r="B9112">
        <v>638.54998779296898</v>
      </c>
    </row>
    <row r="9113" spans="1:2" x14ac:dyDescent="0.25">
      <c r="A9113" s="5">
        <v>35138</v>
      </c>
      <c r="B9113">
        <v>640.86999511718795</v>
      </c>
    </row>
    <row r="9114" spans="1:2" x14ac:dyDescent="0.25">
      <c r="A9114" s="5">
        <v>35139</v>
      </c>
      <c r="B9114">
        <v>641.42999267578102</v>
      </c>
    </row>
    <row r="9115" spans="1:2" x14ac:dyDescent="0.25">
      <c r="A9115" s="5">
        <v>35142</v>
      </c>
      <c r="B9115">
        <v>652.65002441406205</v>
      </c>
    </row>
    <row r="9116" spans="1:2" x14ac:dyDescent="0.25">
      <c r="A9116" s="5">
        <v>35143</v>
      </c>
      <c r="B9116">
        <v>651.69000244140602</v>
      </c>
    </row>
    <row r="9117" spans="1:2" x14ac:dyDescent="0.25">
      <c r="A9117" s="5">
        <v>35144</v>
      </c>
      <c r="B9117">
        <v>649.97998046875</v>
      </c>
    </row>
    <row r="9118" spans="1:2" x14ac:dyDescent="0.25">
      <c r="A9118" s="5">
        <v>35145</v>
      </c>
      <c r="B9118">
        <v>649.19000244140602</v>
      </c>
    </row>
    <row r="9119" spans="1:2" x14ac:dyDescent="0.25">
      <c r="A9119" s="5">
        <v>35146</v>
      </c>
      <c r="B9119">
        <v>650.61999511718795</v>
      </c>
    </row>
    <row r="9120" spans="1:2" x14ac:dyDescent="0.25">
      <c r="A9120" s="5">
        <v>35149</v>
      </c>
      <c r="B9120">
        <v>650.03997802734398</v>
      </c>
    </row>
    <row r="9121" spans="1:2" x14ac:dyDescent="0.25">
      <c r="A9121" s="5">
        <v>35150</v>
      </c>
      <c r="B9121">
        <v>652.969970703125</v>
      </c>
    </row>
    <row r="9122" spans="1:2" x14ac:dyDescent="0.25">
      <c r="A9122" s="5">
        <v>35151</v>
      </c>
      <c r="B9122">
        <v>648.90997314453102</v>
      </c>
    </row>
    <row r="9123" spans="1:2" x14ac:dyDescent="0.25">
      <c r="A9123" s="5">
        <v>35152</v>
      </c>
      <c r="B9123">
        <v>648.94000244140602</v>
      </c>
    </row>
    <row r="9124" spans="1:2" x14ac:dyDescent="0.25">
      <c r="A9124" s="5">
        <v>35153</v>
      </c>
      <c r="B9124">
        <v>645.5</v>
      </c>
    </row>
    <row r="9125" spans="1:2" x14ac:dyDescent="0.25">
      <c r="A9125" s="5">
        <v>35156</v>
      </c>
      <c r="B9125">
        <v>653.72998046875</v>
      </c>
    </row>
    <row r="9126" spans="1:2" x14ac:dyDescent="0.25">
      <c r="A9126" s="5">
        <v>35157</v>
      </c>
      <c r="B9126">
        <v>655.260009765625</v>
      </c>
    </row>
    <row r="9127" spans="1:2" x14ac:dyDescent="0.25">
      <c r="A9127" s="5">
        <v>35158</v>
      </c>
      <c r="B9127">
        <v>655.88000488281205</v>
      </c>
    </row>
    <row r="9128" spans="1:2" x14ac:dyDescent="0.25">
      <c r="A9128" s="5">
        <v>35159</v>
      </c>
      <c r="B9128">
        <v>655.85998535156205</v>
      </c>
    </row>
    <row r="9129" spans="1:2" x14ac:dyDescent="0.25">
      <c r="A9129" s="5">
        <v>35163</v>
      </c>
      <c r="B9129">
        <v>644.239990234375</v>
      </c>
    </row>
    <row r="9130" spans="1:2" x14ac:dyDescent="0.25">
      <c r="A9130" s="5">
        <v>35164</v>
      </c>
      <c r="B9130">
        <v>642.19000244140602</v>
      </c>
    </row>
    <row r="9131" spans="1:2" x14ac:dyDescent="0.25">
      <c r="A9131" s="5">
        <v>35165</v>
      </c>
      <c r="B9131">
        <v>633.5</v>
      </c>
    </row>
    <row r="9132" spans="1:2" x14ac:dyDescent="0.25">
      <c r="A9132" s="5">
        <v>35166</v>
      </c>
      <c r="B9132">
        <v>631.17999267578102</v>
      </c>
    </row>
    <row r="9133" spans="1:2" x14ac:dyDescent="0.25">
      <c r="A9133" s="5">
        <v>35167</v>
      </c>
      <c r="B9133">
        <v>636.71002197265602</v>
      </c>
    </row>
    <row r="9134" spans="1:2" x14ac:dyDescent="0.25">
      <c r="A9134" s="5">
        <v>35170</v>
      </c>
      <c r="B9134">
        <v>642.489990234375</v>
      </c>
    </row>
    <row r="9135" spans="1:2" x14ac:dyDescent="0.25">
      <c r="A9135" s="5">
        <v>35171</v>
      </c>
      <c r="B9135">
        <v>645</v>
      </c>
    </row>
    <row r="9136" spans="1:2" x14ac:dyDescent="0.25">
      <c r="A9136" s="5">
        <v>35172</v>
      </c>
      <c r="B9136">
        <v>641.60998535156205</v>
      </c>
    </row>
    <row r="9137" spans="1:2" x14ac:dyDescent="0.25">
      <c r="A9137" s="5">
        <v>35173</v>
      </c>
      <c r="B9137">
        <v>643.60998535156205</v>
      </c>
    </row>
    <row r="9138" spans="1:2" x14ac:dyDescent="0.25">
      <c r="A9138" s="5">
        <v>35174</v>
      </c>
      <c r="B9138">
        <v>645.07000732421898</v>
      </c>
    </row>
    <row r="9139" spans="1:2" x14ac:dyDescent="0.25">
      <c r="A9139" s="5">
        <v>35177</v>
      </c>
      <c r="B9139">
        <v>647.89001464843795</v>
      </c>
    </row>
    <row r="9140" spans="1:2" x14ac:dyDescent="0.25">
      <c r="A9140" s="5">
        <v>35178</v>
      </c>
      <c r="B9140">
        <v>651.58001708984398</v>
      </c>
    </row>
    <row r="9141" spans="1:2" x14ac:dyDescent="0.25">
      <c r="A9141" s="5">
        <v>35179</v>
      </c>
      <c r="B9141">
        <v>650.16998291015602</v>
      </c>
    </row>
    <row r="9142" spans="1:2" x14ac:dyDescent="0.25">
      <c r="A9142" s="5">
        <v>35180</v>
      </c>
      <c r="B9142">
        <v>652.86999511718795</v>
      </c>
    </row>
    <row r="9143" spans="1:2" x14ac:dyDescent="0.25">
      <c r="A9143" s="5">
        <v>35181</v>
      </c>
      <c r="B9143">
        <v>653.46002197265602</v>
      </c>
    </row>
    <row r="9144" spans="1:2" x14ac:dyDescent="0.25">
      <c r="A9144" s="5">
        <v>35184</v>
      </c>
      <c r="B9144">
        <v>654.15997314453102</v>
      </c>
    </row>
    <row r="9145" spans="1:2" x14ac:dyDescent="0.25">
      <c r="A9145" s="5">
        <v>35185</v>
      </c>
      <c r="B9145">
        <v>654.16998291015602</v>
      </c>
    </row>
    <row r="9146" spans="1:2" x14ac:dyDescent="0.25">
      <c r="A9146" s="5">
        <v>35186</v>
      </c>
      <c r="B9146">
        <v>654.58001708984398</v>
      </c>
    </row>
    <row r="9147" spans="1:2" x14ac:dyDescent="0.25">
      <c r="A9147" s="5">
        <v>35187</v>
      </c>
      <c r="B9147">
        <v>643.38000488281205</v>
      </c>
    </row>
    <row r="9148" spans="1:2" x14ac:dyDescent="0.25">
      <c r="A9148" s="5">
        <v>35188</v>
      </c>
      <c r="B9148">
        <v>641.63000488281205</v>
      </c>
    </row>
    <row r="9149" spans="1:2" x14ac:dyDescent="0.25">
      <c r="A9149" s="5">
        <v>35191</v>
      </c>
      <c r="B9149">
        <v>640.80999755859398</v>
      </c>
    </row>
    <row r="9150" spans="1:2" x14ac:dyDescent="0.25">
      <c r="A9150" s="5">
        <v>35192</v>
      </c>
      <c r="B9150">
        <v>638.260009765625</v>
      </c>
    </row>
    <row r="9151" spans="1:2" x14ac:dyDescent="0.25">
      <c r="A9151" s="5">
        <v>35193</v>
      </c>
      <c r="B9151">
        <v>644.77001953125</v>
      </c>
    </row>
    <row r="9152" spans="1:2" x14ac:dyDescent="0.25">
      <c r="A9152" s="5">
        <v>35194</v>
      </c>
      <c r="B9152">
        <v>645.44000244140602</v>
      </c>
    </row>
    <row r="9153" spans="1:2" x14ac:dyDescent="0.25">
      <c r="A9153" s="5">
        <v>35195</v>
      </c>
      <c r="B9153">
        <v>652.09002685546898</v>
      </c>
    </row>
    <row r="9154" spans="1:2" x14ac:dyDescent="0.25">
      <c r="A9154" s="5">
        <v>35198</v>
      </c>
      <c r="B9154">
        <v>661.510009765625</v>
      </c>
    </row>
    <row r="9155" spans="1:2" x14ac:dyDescent="0.25">
      <c r="A9155" s="5">
        <v>35199</v>
      </c>
      <c r="B9155">
        <v>665.59997558593795</v>
      </c>
    </row>
    <row r="9156" spans="1:2" x14ac:dyDescent="0.25">
      <c r="A9156" s="5">
        <v>35200</v>
      </c>
      <c r="B9156">
        <v>665.41998291015602</v>
      </c>
    </row>
    <row r="9157" spans="1:2" x14ac:dyDescent="0.25">
      <c r="A9157" s="5">
        <v>35201</v>
      </c>
      <c r="B9157">
        <v>664.84997558593795</v>
      </c>
    </row>
    <row r="9158" spans="1:2" x14ac:dyDescent="0.25">
      <c r="A9158" s="5">
        <v>35202</v>
      </c>
      <c r="B9158">
        <v>668.90997314453102</v>
      </c>
    </row>
    <row r="9159" spans="1:2" x14ac:dyDescent="0.25">
      <c r="A9159" s="5">
        <v>35205</v>
      </c>
      <c r="B9159">
        <v>673.15002441406205</v>
      </c>
    </row>
    <row r="9160" spans="1:2" x14ac:dyDescent="0.25">
      <c r="A9160" s="5">
        <v>35206</v>
      </c>
      <c r="B9160">
        <v>672.760009765625</v>
      </c>
    </row>
    <row r="9161" spans="1:2" x14ac:dyDescent="0.25">
      <c r="A9161" s="5">
        <v>35207</v>
      </c>
      <c r="B9161">
        <v>678.41998291015602</v>
      </c>
    </row>
    <row r="9162" spans="1:2" x14ac:dyDescent="0.25">
      <c r="A9162" s="5">
        <v>35208</v>
      </c>
      <c r="B9162">
        <v>676</v>
      </c>
    </row>
    <row r="9163" spans="1:2" x14ac:dyDescent="0.25">
      <c r="A9163" s="5">
        <v>35209</v>
      </c>
      <c r="B9163">
        <v>678.510009765625</v>
      </c>
    </row>
    <row r="9164" spans="1:2" x14ac:dyDescent="0.25">
      <c r="A9164" s="5">
        <v>35213</v>
      </c>
      <c r="B9164">
        <v>672.22998046875</v>
      </c>
    </row>
    <row r="9165" spans="1:2" x14ac:dyDescent="0.25">
      <c r="A9165" s="5">
        <v>35214</v>
      </c>
      <c r="B9165">
        <v>667.92999267578102</v>
      </c>
    </row>
    <row r="9166" spans="1:2" x14ac:dyDescent="0.25">
      <c r="A9166" s="5">
        <v>35215</v>
      </c>
      <c r="B9166">
        <v>671.70001220703102</v>
      </c>
    </row>
    <row r="9167" spans="1:2" x14ac:dyDescent="0.25">
      <c r="A9167" s="5">
        <v>35216</v>
      </c>
      <c r="B9167">
        <v>669.11999511718795</v>
      </c>
    </row>
    <row r="9168" spans="1:2" x14ac:dyDescent="0.25">
      <c r="A9168" s="5">
        <v>35219</v>
      </c>
      <c r="B9168">
        <v>667.67999267578102</v>
      </c>
    </row>
    <row r="9169" spans="1:2" x14ac:dyDescent="0.25">
      <c r="A9169" s="5">
        <v>35220</v>
      </c>
      <c r="B9169">
        <v>672.55999755859398</v>
      </c>
    </row>
    <row r="9170" spans="1:2" x14ac:dyDescent="0.25">
      <c r="A9170" s="5">
        <v>35221</v>
      </c>
      <c r="B9170">
        <v>678.44000244140602</v>
      </c>
    </row>
    <row r="9171" spans="1:2" x14ac:dyDescent="0.25">
      <c r="A9171" s="5">
        <v>35222</v>
      </c>
      <c r="B9171">
        <v>673.030029296875</v>
      </c>
    </row>
    <row r="9172" spans="1:2" x14ac:dyDescent="0.25">
      <c r="A9172" s="5">
        <v>35223</v>
      </c>
      <c r="B9172">
        <v>673.30999755859398</v>
      </c>
    </row>
    <row r="9173" spans="1:2" x14ac:dyDescent="0.25">
      <c r="A9173" s="5">
        <v>35226</v>
      </c>
      <c r="B9173">
        <v>672.15997314453102</v>
      </c>
    </row>
    <row r="9174" spans="1:2" x14ac:dyDescent="0.25">
      <c r="A9174" s="5">
        <v>35227</v>
      </c>
      <c r="B9174">
        <v>670.969970703125</v>
      </c>
    </row>
    <row r="9175" spans="1:2" x14ac:dyDescent="0.25">
      <c r="A9175" s="5">
        <v>35228</v>
      </c>
      <c r="B9175">
        <v>669.03997802734398</v>
      </c>
    </row>
    <row r="9176" spans="1:2" x14ac:dyDescent="0.25">
      <c r="A9176" s="5">
        <v>35229</v>
      </c>
      <c r="B9176">
        <v>667.91998291015602</v>
      </c>
    </row>
    <row r="9177" spans="1:2" x14ac:dyDescent="0.25">
      <c r="A9177" s="5">
        <v>35230</v>
      </c>
      <c r="B9177">
        <v>665.84997558593795</v>
      </c>
    </row>
    <row r="9178" spans="1:2" x14ac:dyDescent="0.25">
      <c r="A9178" s="5">
        <v>35233</v>
      </c>
      <c r="B9178">
        <v>665.15997314453102</v>
      </c>
    </row>
    <row r="9179" spans="1:2" x14ac:dyDescent="0.25">
      <c r="A9179" s="5">
        <v>35234</v>
      </c>
      <c r="B9179">
        <v>662.05999755859398</v>
      </c>
    </row>
    <row r="9180" spans="1:2" x14ac:dyDescent="0.25">
      <c r="A9180" s="5">
        <v>35235</v>
      </c>
      <c r="B9180">
        <v>661.96002197265602</v>
      </c>
    </row>
    <row r="9181" spans="1:2" x14ac:dyDescent="0.25">
      <c r="A9181" s="5">
        <v>35236</v>
      </c>
      <c r="B9181">
        <v>662.09997558593795</v>
      </c>
    </row>
    <row r="9182" spans="1:2" x14ac:dyDescent="0.25">
      <c r="A9182" s="5">
        <v>35237</v>
      </c>
      <c r="B9182">
        <v>666.84002685546898</v>
      </c>
    </row>
    <row r="9183" spans="1:2" x14ac:dyDescent="0.25">
      <c r="A9183" s="5">
        <v>35240</v>
      </c>
      <c r="B9183">
        <v>668.84997558593795</v>
      </c>
    </row>
    <row r="9184" spans="1:2" x14ac:dyDescent="0.25">
      <c r="A9184" s="5">
        <v>35241</v>
      </c>
      <c r="B9184">
        <v>668.47998046875</v>
      </c>
    </row>
    <row r="9185" spans="1:2" x14ac:dyDescent="0.25">
      <c r="A9185" s="5">
        <v>35242</v>
      </c>
      <c r="B9185">
        <v>664.39001464843795</v>
      </c>
    </row>
    <row r="9186" spans="1:2" x14ac:dyDescent="0.25">
      <c r="A9186" s="5">
        <v>35243</v>
      </c>
      <c r="B9186">
        <v>668.54998779296898</v>
      </c>
    </row>
    <row r="9187" spans="1:2" x14ac:dyDescent="0.25">
      <c r="A9187" s="5">
        <v>35244</v>
      </c>
      <c r="B9187">
        <v>670.63000488281205</v>
      </c>
    </row>
    <row r="9188" spans="1:2" x14ac:dyDescent="0.25">
      <c r="A9188" s="5">
        <v>35247</v>
      </c>
      <c r="B9188">
        <v>675.88000488281205</v>
      </c>
    </row>
    <row r="9189" spans="1:2" x14ac:dyDescent="0.25">
      <c r="A9189" s="5">
        <v>35248</v>
      </c>
      <c r="B9189">
        <v>673.60998535156205</v>
      </c>
    </row>
    <row r="9190" spans="1:2" x14ac:dyDescent="0.25">
      <c r="A9190" s="5">
        <v>35249</v>
      </c>
      <c r="B9190">
        <v>672.40002441406205</v>
      </c>
    </row>
    <row r="9191" spans="1:2" x14ac:dyDescent="0.25">
      <c r="A9191" s="5">
        <v>35251</v>
      </c>
      <c r="B9191">
        <v>657.44000244140602</v>
      </c>
    </row>
    <row r="9192" spans="1:2" x14ac:dyDescent="0.25">
      <c r="A9192" s="5">
        <v>35254</v>
      </c>
      <c r="B9192">
        <v>652.53997802734398</v>
      </c>
    </row>
    <row r="9193" spans="1:2" x14ac:dyDescent="0.25">
      <c r="A9193" s="5">
        <v>35255</v>
      </c>
      <c r="B9193">
        <v>654.75</v>
      </c>
    </row>
    <row r="9194" spans="1:2" x14ac:dyDescent="0.25">
      <c r="A9194" s="5">
        <v>35256</v>
      </c>
      <c r="B9194">
        <v>656.05999755859398</v>
      </c>
    </row>
    <row r="9195" spans="1:2" x14ac:dyDescent="0.25">
      <c r="A9195" s="5">
        <v>35257</v>
      </c>
      <c r="B9195">
        <v>645.66998291015602</v>
      </c>
    </row>
    <row r="9196" spans="1:2" x14ac:dyDescent="0.25">
      <c r="A9196" s="5">
        <v>35258</v>
      </c>
      <c r="B9196">
        <v>646.19000244140602</v>
      </c>
    </row>
    <row r="9197" spans="1:2" x14ac:dyDescent="0.25">
      <c r="A9197" s="5">
        <v>35261</v>
      </c>
      <c r="B9197">
        <v>629.79998779296898</v>
      </c>
    </row>
    <row r="9198" spans="1:2" x14ac:dyDescent="0.25">
      <c r="A9198" s="5">
        <v>35262</v>
      </c>
      <c r="B9198">
        <v>628.36999511718795</v>
      </c>
    </row>
    <row r="9199" spans="1:2" x14ac:dyDescent="0.25">
      <c r="A9199" s="5">
        <v>35263</v>
      </c>
      <c r="B9199">
        <v>634.07000732421898</v>
      </c>
    </row>
    <row r="9200" spans="1:2" x14ac:dyDescent="0.25">
      <c r="A9200" s="5">
        <v>35264</v>
      </c>
      <c r="B9200">
        <v>643.55999755859398</v>
      </c>
    </row>
    <row r="9201" spans="1:2" x14ac:dyDescent="0.25">
      <c r="A9201" s="5">
        <v>35265</v>
      </c>
      <c r="B9201">
        <v>638.72998046875</v>
      </c>
    </row>
    <row r="9202" spans="1:2" x14ac:dyDescent="0.25">
      <c r="A9202" s="5">
        <v>35268</v>
      </c>
      <c r="B9202">
        <v>633.77001953125</v>
      </c>
    </row>
    <row r="9203" spans="1:2" x14ac:dyDescent="0.25">
      <c r="A9203" s="5">
        <v>35269</v>
      </c>
      <c r="B9203">
        <v>626.86999511718795</v>
      </c>
    </row>
    <row r="9204" spans="1:2" x14ac:dyDescent="0.25">
      <c r="A9204" s="5">
        <v>35270</v>
      </c>
      <c r="B9204">
        <v>626.65002441406205</v>
      </c>
    </row>
    <row r="9205" spans="1:2" x14ac:dyDescent="0.25">
      <c r="A9205" s="5">
        <v>35271</v>
      </c>
      <c r="B9205">
        <v>631.16998291015602</v>
      </c>
    </row>
    <row r="9206" spans="1:2" x14ac:dyDescent="0.25">
      <c r="A9206" s="5">
        <v>35272</v>
      </c>
      <c r="B9206">
        <v>635.90002441406205</v>
      </c>
    </row>
    <row r="9207" spans="1:2" x14ac:dyDescent="0.25">
      <c r="A9207" s="5">
        <v>35275</v>
      </c>
      <c r="B9207">
        <v>630.90997314453102</v>
      </c>
    </row>
    <row r="9208" spans="1:2" x14ac:dyDescent="0.25">
      <c r="A9208" s="5">
        <v>35276</v>
      </c>
      <c r="B9208">
        <v>635.260009765625</v>
      </c>
    </row>
    <row r="9209" spans="1:2" x14ac:dyDescent="0.25">
      <c r="A9209" s="5">
        <v>35277</v>
      </c>
      <c r="B9209">
        <v>639.95001220703102</v>
      </c>
    </row>
    <row r="9210" spans="1:2" x14ac:dyDescent="0.25">
      <c r="A9210" s="5">
        <v>35278</v>
      </c>
      <c r="B9210">
        <v>650.02001953125</v>
      </c>
    </row>
    <row r="9211" spans="1:2" x14ac:dyDescent="0.25">
      <c r="A9211" s="5">
        <v>35279</v>
      </c>
      <c r="B9211">
        <v>662.489990234375</v>
      </c>
    </row>
    <row r="9212" spans="1:2" x14ac:dyDescent="0.25">
      <c r="A9212" s="5">
        <v>35282</v>
      </c>
      <c r="B9212">
        <v>660.22998046875</v>
      </c>
    </row>
    <row r="9213" spans="1:2" x14ac:dyDescent="0.25">
      <c r="A9213" s="5">
        <v>35283</v>
      </c>
      <c r="B9213">
        <v>662.38000488281205</v>
      </c>
    </row>
    <row r="9214" spans="1:2" x14ac:dyDescent="0.25">
      <c r="A9214" s="5">
        <v>35284</v>
      </c>
      <c r="B9214">
        <v>664.15997314453102</v>
      </c>
    </row>
    <row r="9215" spans="1:2" x14ac:dyDescent="0.25">
      <c r="A9215" s="5">
        <v>35285</v>
      </c>
      <c r="B9215">
        <v>662.59002685546898</v>
      </c>
    </row>
    <row r="9216" spans="1:2" x14ac:dyDescent="0.25">
      <c r="A9216" s="5">
        <v>35286</v>
      </c>
      <c r="B9216">
        <v>662.09997558593795</v>
      </c>
    </row>
    <row r="9217" spans="1:2" x14ac:dyDescent="0.25">
      <c r="A9217" s="5">
        <v>35289</v>
      </c>
      <c r="B9217">
        <v>665.77001953125</v>
      </c>
    </row>
    <row r="9218" spans="1:2" x14ac:dyDescent="0.25">
      <c r="A9218" s="5">
        <v>35290</v>
      </c>
      <c r="B9218">
        <v>660.20001220703102</v>
      </c>
    </row>
    <row r="9219" spans="1:2" x14ac:dyDescent="0.25">
      <c r="A9219" s="5">
        <v>35291</v>
      </c>
      <c r="B9219">
        <v>662.04998779296898</v>
      </c>
    </row>
    <row r="9220" spans="1:2" x14ac:dyDescent="0.25">
      <c r="A9220" s="5">
        <v>35292</v>
      </c>
      <c r="B9220">
        <v>662.280029296875</v>
      </c>
    </row>
    <row r="9221" spans="1:2" x14ac:dyDescent="0.25">
      <c r="A9221" s="5">
        <v>35293</v>
      </c>
      <c r="B9221">
        <v>665.21002197265602</v>
      </c>
    </row>
    <row r="9222" spans="1:2" x14ac:dyDescent="0.25">
      <c r="A9222" s="5">
        <v>35296</v>
      </c>
      <c r="B9222">
        <v>666.58001708984398</v>
      </c>
    </row>
    <row r="9223" spans="1:2" x14ac:dyDescent="0.25">
      <c r="A9223" s="5">
        <v>35297</v>
      </c>
      <c r="B9223">
        <v>665.69000244140602</v>
      </c>
    </row>
    <row r="9224" spans="1:2" x14ac:dyDescent="0.25">
      <c r="A9224" s="5">
        <v>35298</v>
      </c>
      <c r="B9224">
        <v>665.07000732421898</v>
      </c>
    </row>
    <row r="9225" spans="1:2" x14ac:dyDescent="0.25">
      <c r="A9225" s="5">
        <v>35299</v>
      </c>
      <c r="B9225">
        <v>670.67999267578102</v>
      </c>
    </row>
    <row r="9226" spans="1:2" x14ac:dyDescent="0.25">
      <c r="A9226" s="5">
        <v>35300</v>
      </c>
      <c r="B9226">
        <v>667.030029296875</v>
      </c>
    </row>
    <row r="9227" spans="1:2" x14ac:dyDescent="0.25">
      <c r="A9227" s="5">
        <v>35303</v>
      </c>
      <c r="B9227">
        <v>663.88000488281205</v>
      </c>
    </row>
    <row r="9228" spans="1:2" x14ac:dyDescent="0.25">
      <c r="A9228" s="5">
        <v>35304</v>
      </c>
      <c r="B9228">
        <v>666.40002441406205</v>
      </c>
    </row>
    <row r="9229" spans="1:2" x14ac:dyDescent="0.25">
      <c r="A9229" s="5">
        <v>35305</v>
      </c>
      <c r="B9229">
        <v>664.80999755859398</v>
      </c>
    </row>
    <row r="9230" spans="1:2" x14ac:dyDescent="0.25">
      <c r="A9230" s="5">
        <v>35306</v>
      </c>
      <c r="B9230">
        <v>657.40002441406205</v>
      </c>
    </row>
    <row r="9231" spans="1:2" x14ac:dyDescent="0.25">
      <c r="A9231" s="5">
        <v>35307</v>
      </c>
      <c r="B9231">
        <v>651.989990234375</v>
      </c>
    </row>
    <row r="9232" spans="1:2" x14ac:dyDescent="0.25">
      <c r="A9232" s="5">
        <v>35311</v>
      </c>
      <c r="B9232">
        <v>654.719970703125</v>
      </c>
    </row>
    <row r="9233" spans="1:2" x14ac:dyDescent="0.25">
      <c r="A9233" s="5">
        <v>35312</v>
      </c>
      <c r="B9233">
        <v>655.60998535156205</v>
      </c>
    </row>
    <row r="9234" spans="1:2" x14ac:dyDescent="0.25">
      <c r="A9234" s="5">
        <v>35313</v>
      </c>
      <c r="B9234">
        <v>649.44000244140602</v>
      </c>
    </row>
    <row r="9235" spans="1:2" x14ac:dyDescent="0.25">
      <c r="A9235" s="5">
        <v>35314</v>
      </c>
      <c r="B9235">
        <v>655.67999267578102</v>
      </c>
    </row>
    <row r="9236" spans="1:2" x14ac:dyDescent="0.25">
      <c r="A9236" s="5">
        <v>35317</v>
      </c>
      <c r="B9236">
        <v>663.760009765625</v>
      </c>
    </row>
    <row r="9237" spans="1:2" x14ac:dyDescent="0.25">
      <c r="A9237" s="5">
        <v>35318</v>
      </c>
      <c r="B9237">
        <v>663.80999755859398</v>
      </c>
    </row>
    <row r="9238" spans="1:2" x14ac:dyDescent="0.25">
      <c r="A9238" s="5">
        <v>35319</v>
      </c>
      <c r="B9238">
        <v>667.280029296875</v>
      </c>
    </row>
    <row r="9239" spans="1:2" x14ac:dyDescent="0.25">
      <c r="A9239" s="5">
        <v>35320</v>
      </c>
      <c r="B9239">
        <v>671.15002441406205</v>
      </c>
    </row>
    <row r="9240" spans="1:2" x14ac:dyDescent="0.25">
      <c r="A9240" s="5">
        <v>35321</v>
      </c>
      <c r="B9240">
        <v>680.53997802734398</v>
      </c>
    </row>
    <row r="9241" spans="1:2" x14ac:dyDescent="0.25">
      <c r="A9241" s="5">
        <v>35324</v>
      </c>
      <c r="B9241">
        <v>683.97998046875</v>
      </c>
    </row>
    <row r="9242" spans="1:2" x14ac:dyDescent="0.25">
      <c r="A9242" s="5">
        <v>35325</v>
      </c>
      <c r="B9242">
        <v>682.94000244140602</v>
      </c>
    </row>
    <row r="9243" spans="1:2" x14ac:dyDescent="0.25">
      <c r="A9243" s="5">
        <v>35326</v>
      </c>
      <c r="B9243">
        <v>681.469970703125</v>
      </c>
    </row>
    <row r="9244" spans="1:2" x14ac:dyDescent="0.25">
      <c r="A9244" s="5">
        <v>35327</v>
      </c>
      <c r="B9244">
        <v>683</v>
      </c>
    </row>
    <row r="9245" spans="1:2" x14ac:dyDescent="0.25">
      <c r="A9245" s="5">
        <v>35328</v>
      </c>
      <c r="B9245">
        <v>687.030029296875</v>
      </c>
    </row>
    <row r="9246" spans="1:2" x14ac:dyDescent="0.25">
      <c r="A9246" s="5">
        <v>35331</v>
      </c>
      <c r="B9246">
        <v>686.47998046875</v>
      </c>
    </row>
    <row r="9247" spans="1:2" x14ac:dyDescent="0.25">
      <c r="A9247" s="5">
        <v>35332</v>
      </c>
      <c r="B9247">
        <v>685.60998535156205</v>
      </c>
    </row>
    <row r="9248" spans="1:2" x14ac:dyDescent="0.25">
      <c r="A9248" s="5">
        <v>35333</v>
      </c>
      <c r="B9248">
        <v>685.83001708984398</v>
      </c>
    </row>
    <row r="9249" spans="1:2" x14ac:dyDescent="0.25">
      <c r="A9249" s="5">
        <v>35334</v>
      </c>
      <c r="B9249">
        <v>685.85998535156205</v>
      </c>
    </row>
    <row r="9250" spans="1:2" x14ac:dyDescent="0.25">
      <c r="A9250" s="5">
        <v>35335</v>
      </c>
      <c r="B9250">
        <v>686.19000244140602</v>
      </c>
    </row>
    <row r="9251" spans="1:2" x14ac:dyDescent="0.25">
      <c r="A9251" s="5">
        <v>35338</v>
      </c>
      <c r="B9251">
        <v>687.33001708984398</v>
      </c>
    </row>
    <row r="9252" spans="1:2" x14ac:dyDescent="0.25">
      <c r="A9252" s="5">
        <v>35339</v>
      </c>
      <c r="B9252">
        <v>689.08001708984398</v>
      </c>
    </row>
    <row r="9253" spans="1:2" x14ac:dyDescent="0.25">
      <c r="A9253" s="5">
        <v>35340</v>
      </c>
      <c r="B9253">
        <v>694.010009765625</v>
      </c>
    </row>
    <row r="9254" spans="1:2" x14ac:dyDescent="0.25">
      <c r="A9254" s="5">
        <v>35341</v>
      </c>
      <c r="B9254">
        <v>692.780029296875</v>
      </c>
    </row>
    <row r="9255" spans="1:2" x14ac:dyDescent="0.25">
      <c r="A9255" s="5">
        <v>35342</v>
      </c>
      <c r="B9255">
        <v>701.46002197265602</v>
      </c>
    </row>
    <row r="9256" spans="1:2" x14ac:dyDescent="0.25">
      <c r="A9256" s="5">
        <v>35345</v>
      </c>
      <c r="B9256">
        <v>703.34002685546898</v>
      </c>
    </row>
    <row r="9257" spans="1:2" x14ac:dyDescent="0.25">
      <c r="A9257" s="5">
        <v>35346</v>
      </c>
      <c r="B9257">
        <v>700.64001464843795</v>
      </c>
    </row>
    <row r="9258" spans="1:2" x14ac:dyDescent="0.25">
      <c r="A9258" s="5">
        <v>35347</v>
      </c>
      <c r="B9258">
        <v>696.739990234375</v>
      </c>
    </row>
    <row r="9259" spans="1:2" x14ac:dyDescent="0.25">
      <c r="A9259" s="5">
        <v>35348</v>
      </c>
      <c r="B9259">
        <v>694.60998535156205</v>
      </c>
    </row>
    <row r="9260" spans="1:2" x14ac:dyDescent="0.25">
      <c r="A9260" s="5">
        <v>35349</v>
      </c>
      <c r="B9260">
        <v>700.65997314453102</v>
      </c>
    </row>
    <row r="9261" spans="1:2" x14ac:dyDescent="0.25">
      <c r="A9261" s="5">
        <v>35352</v>
      </c>
      <c r="B9261">
        <v>703.53997802734398</v>
      </c>
    </row>
    <row r="9262" spans="1:2" x14ac:dyDescent="0.25">
      <c r="A9262" s="5">
        <v>35353</v>
      </c>
      <c r="B9262">
        <v>702.57000732421898</v>
      </c>
    </row>
    <row r="9263" spans="1:2" x14ac:dyDescent="0.25">
      <c r="A9263" s="5">
        <v>35354</v>
      </c>
      <c r="B9263">
        <v>704.40997314453102</v>
      </c>
    </row>
    <row r="9264" spans="1:2" x14ac:dyDescent="0.25">
      <c r="A9264" s="5">
        <v>35355</v>
      </c>
      <c r="B9264">
        <v>706.989990234375</v>
      </c>
    </row>
    <row r="9265" spans="1:2" x14ac:dyDescent="0.25">
      <c r="A9265" s="5">
        <v>35356</v>
      </c>
      <c r="B9265">
        <v>710.82000732421898</v>
      </c>
    </row>
    <row r="9266" spans="1:2" x14ac:dyDescent="0.25">
      <c r="A9266" s="5">
        <v>35359</v>
      </c>
      <c r="B9266">
        <v>709.84997558593795</v>
      </c>
    </row>
    <row r="9267" spans="1:2" x14ac:dyDescent="0.25">
      <c r="A9267" s="5">
        <v>35360</v>
      </c>
      <c r="B9267">
        <v>706.57000732421898</v>
      </c>
    </row>
    <row r="9268" spans="1:2" x14ac:dyDescent="0.25">
      <c r="A9268" s="5">
        <v>35361</v>
      </c>
      <c r="B9268">
        <v>707.27001953125</v>
      </c>
    </row>
    <row r="9269" spans="1:2" x14ac:dyDescent="0.25">
      <c r="A9269" s="5">
        <v>35362</v>
      </c>
      <c r="B9269">
        <v>702.28997802734398</v>
      </c>
    </row>
    <row r="9270" spans="1:2" x14ac:dyDescent="0.25">
      <c r="A9270" s="5">
        <v>35363</v>
      </c>
      <c r="B9270">
        <v>700.91998291015602</v>
      </c>
    </row>
    <row r="9271" spans="1:2" x14ac:dyDescent="0.25">
      <c r="A9271" s="5">
        <v>35366</v>
      </c>
      <c r="B9271">
        <v>697.260009765625</v>
      </c>
    </row>
    <row r="9272" spans="1:2" x14ac:dyDescent="0.25">
      <c r="A9272" s="5">
        <v>35367</v>
      </c>
      <c r="B9272">
        <v>701.5</v>
      </c>
    </row>
    <row r="9273" spans="1:2" x14ac:dyDescent="0.25">
      <c r="A9273" s="5">
        <v>35368</v>
      </c>
      <c r="B9273">
        <v>700.90002441406205</v>
      </c>
    </row>
    <row r="9274" spans="1:2" x14ac:dyDescent="0.25">
      <c r="A9274" s="5">
        <v>35369</v>
      </c>
      <c r="B9274">
        <v>705.27001953125</v>
      </c>
    </row>
    <row r="9275" spans="1:2" x14ac:dyDescent="0.25">
      <c r="A9275" s="5">
        <v>35370</v>
      </c>
      <c r="B9275">
        <v>703.77001953125</v>
      </c>
    </row>
    <row r="9276" spans="1:2" x14ac:dyDescent="0.25">
      <c r="A9276" s="5">
        <v>35373</v>
      </c>
      <c r="B9276">
        <v>706.72998046875</v>
      </c>
    </row>
    <row r="9277" spans="1:2" x14ac:dyDescent="0.25">
      <c r="A9277" s="5">
        <v>35374</v>
      </c>
      <c r="B9277">
        <v>714.14001464843795</v>
      </c>
    </row>
    <row r="9278" spans="1:2" x14ac:dyDescent="0.25">
      <c r="A9278" s="5">
        <v>35375</v>
      </c>
      <c r="B9278">
        <v>724.59002685546898</v>
      </c>
    </row>
    <row r="9279" spans="1:2" x14ac:dyDescent="0.25">
      <c r="A9279" s="5">
        <v>35376</v>
      </c>
      <c r="B9279">
        <v>727.65002441406205</v>
      </c>
    </row>
    <row r="9280" spans="1:2" x14ac:dyDescent="0.25">
      <c r="A9280" s="5">
        <v>35377</v>
      </c>
      <c r="B9280">
        <v>730.82000732421898</v>
      </c>
    </row>
    <row r="9281" spans="1:2" x14ac:dyDescent="0.25">
      <c r="A9281" s="5">
        <v>35380</v>
      </c>
      <c r="B9281">
        <v>731.86999511718795</v>
      </c>
    </row>
    <row r="9282" spans="1:2" x14ac:dyDescent="0.25">
      <c r="A9282" s="5">
        <v>35381</v>
      </c>
      <c r="B9282">
        <v>729.55999755859398</v>
      </c>
    </row>
    <row r="9283" spans="1:2" x14ac:dyDescent="0.25">
      <c r="A9283" s="5">
        <v>35382</v>
      </c>
      <c r="B9283">
        <v>731.13000488281205</v>
      </c>
    </row>
    <row r="9284" spans="1:2" x14ac:dyDescent="0.25">
      <c r="A9284" s="5">
        <v>35383</v>
      </c>
      <c r="B9284">
        <v>735.88000488281205</v>
      </c>
    </row>
    <row r="9285" spans="1:2" x14ac:dyDescent="0.25">
      <c r="A9285" s="5">
        <v>35384</v>
      </c>
      <c r="B9285">
        <v>737.61999511718795</v>
      </c>
    </row>
    <row r="9286" spans="1:2" x14ac:dyDescent="0.25">
      <c r="A9286" s="5">
        <v>35387</v>
      </c>
      <c r="B9286">
        <v>737.02001953125</v>
      </c>
    </row>
    <row r="9287" spans="1:2" x14ac:dyDescent="0.25">
      <c r="A9287" s="5">
        <v>35388</v>
      </c>
      <c r="B9287">
        <v>742.15997314453102</v>
      </c>
    </row>
    <row r="9288" spans="1:2" x14ac:dyDescent="0.25">
      <c r="A9288" s="5">
        <v>35389</v>
      </c>
      <c r="B9288">
        <v>743.95001220703102</v>
      </c>
    </row>
    <row r="9289" spans="1:2" x14ac:dyDescent="0.25">
      <c r="A9289" s="5">
        <v>35390</v>
      </c>
      <c r="B9289">
        <v>742.75</v>
      </c>
    </row>
    <row r="9290" spans="1:2" x14ac:dyDescent="0.25">
      <c r="A9290" s="5">
        <v>35391</v>
      </c>
      <c r="B9290">
        <v>748.72998046875</v>
      </c>
    </row>
    <row r="9291" spans="1:2" x14ac:dyDescent="0.25">
      <c r="A9291" s="5">
        <v>35394</v>
      </c>
      <c r="B9291">
        <v>757.030029296875</v>
      </c>
    </row>
    <row r="9292" spans="1:2" x14ac:dyDescent="0.25">
      <c r="A9292" s="5">
        <v>35395</v>
      </c>
      <c r="B9292">
        <v>755.96002197265602</v>
      </c>
    </row>
    <row r="9293" spans="1:2" x14ac:dyDescent="0.25">
      <c r="A9293" s="5">
        <v>35396</v>
      </c>
      <c r="B9293">
        <v>755</v>
      </c>
    </row>
    <row r="9294" spans="1:2" x14ac:dyDescent="0.25">
      <c r="A9294" s="5">
        <v>35398</v>
      </c>
      <c r="B9294">
        <v>757.02001953125</v>
      </c>
    </row>
    <row r="9295" spans="1:2" x14ac:dyDescent="0.25">
      <c r="A9295" s="5">
        <v>35401</v>
      </c>
      <c r="B9295">
        <v>756.55999755859398</v>
      </c>
    </row>
    <row r="9296" spans="1:2" x14ac:dyDescent="0.25">
      <c r="A9296" s="5">
        <v>35402</v>
      </c>
      <c r="B9296">
        <v>748.280029296875</v>
      </c>
    </row>
    <row r="9297" spans="1:2" x14ac:dyDescent="0.25">
      <c r="A9297" s="5">
        <v>35403</v>
      </c>
      <c r="B9297">
        <v>745.09997558593795</v>
      </c>
    </row>
    <row r="9298" spans="1:2" x14ac:dyDescent="0.25">
      <c r="A9298" s="5">
        <v>35404</v>
      </c>
      <c r="B9298">
        <v>744.38000488281205</v>
      </c>
    </row>
    <row r="9299" spans="1:2" x14ac:dyDescent="0.25">
      <c r="A9299" s="5">
        <v>35405</v>
      </c>
      <c r="B9299">
        <v>739.59997558593795</v>
      </c>
    </row>
    <row r="9300" spans="1:2" x14ac:dyDescent="0.25">
      <c r="A9300" s="5">
        <v>35408</v>
      </c>
      <c r="B9300">
        <v>749.760009765625</v>
      </c>
    </row>
    <row r="9301" spans="1:2" x14ac:dyDescent="0.25">
      <c r="A9301" s="5">
        <v>35409</v>
      </c>
      <c r="B9301">
        <v>747.53997802734398</v>
      </c>
    </row>
    <row r="9302" spans="1:2" x14ac:dyDescent="0.25">
      <c r="A9302" s="5">
        <v>35410</v>
      </c>
      <c r="B9302">
        <v>740.72998046875</v>
      </c>
    </row>
    <row r="9303" spans="1:2" x14ac:dyDescent="0.25">
      <c r="A9303" s="5">
        <v>35411</v>
      </c>
      <c r="B9303">
        <v>729.29998779296898</v>
      </c>
    </row>
    <row r="9304" spans="1:2" x14ac:dyDescent="0.25">
      <c r="A9304" s="5">
        <v>35412</v>
      </c>
      <c r="B9304">
        <v>728.64001464843795</v>
      </c>
    </row>
    <row r="9305" spans="1:2" x14ac:dyDescent="0.25">
      <c r="A9305" s="5">
        <v>35415</v>
      </c>
      <c r="B9305">
        <v>720.97998046875</v>
      </c>
    </row>
    <row r="9306" spans="1:2" x14ac:dyDescent="0.25">
      <c r="A9306" s="5">
        <v>35416</v>
      </c>
      <c r="B9306">
        <v>726.03997802734398</v>
      </c>
    </row>
    <row r="9307" spans="1:2" x14ac:dyDescent="0.25">
      <c r="A9307" s="5">
        <v>35417</v>
      </c>
      <c r="B9307">
        <v>731.53997802734398</v>
      </c>
    </row>
    <row r="9308" spans="1:2" x14ac:dyDescent="0.25">
      <c r="A9308" s="5">
        <v>35418</v>
      </c>
      <c r="B9308">
        <v>745.760009765625</v>
      </c>
    </row>
    <row r="9309" spans="1:2" x14ac:dyDescent="0.25">
      <c r="A9309" s="5">
        <v>35419</v>
      </c>
      <c r="B9309">
        <v>748.86999511718795</v>
      </c>
    </row>
    <row r="9310" spans="1:2" x14ac:dyDescent="0.25">
      <c r="A9310" s="5">
        <v>35422</v>
      </c>
      <c r="B9310">
        <v>746.91998291015602</v>
      </c>
    </row>
    <row r="9311" spans="1:2" x14ac:dyDescent="0.25">
      <c r="A9311" s="5">
        <v>35423</v>
      </c>
      <c r="B9311">
        <v>751.030029296875</v>
      </c>
    </row>
    <row r="9312" spans="1:2" x14ac:dyDescent="0.25">
      <c r="A9312" s="5">
        <v>35425</v>
      </c>
      <c r="B9312">
        <v>755.82000732421898</v>
      </c>
    </row>
    <row r="9313" spans="1:2" x14ac:dyDescent="0.25">
      <c r="A9313" s="5">
        <v>35426</v>
      </c>
      <c r="B9313">
        <v>756.78997802734398</v>
      </c>
    </row>
    <row r="9314" spans="1:2" x14ac:dyDescent="0.25">
      <c r="A9314" s="5">
        <v>35429</v>
      </c>
      <c r="B9314">
        <v>753.84997558593795</v>
      </c>
    </row>
    <row r="9315" spans="1:2" x14ac:dyDescent="0.25">
      <c r="A9315" s="5">
        <v>35430</v>
      </c>
      <c r="B9315">
        <v>740.739990234375</v>
      </c>
    </row>
    <row r="9316" spans="1:2" x14ac:dyDescent="0.25">
      <c r="A9316" s="5">
        <v>35432</v>
      </c>
      <c r="B9316">
        <v>737.010009765625</v>
      </c>
    </row>
    <row r="9317" spans="1:2" x14ac:dyDescent="0.25">
      <c r="A9317" s="5">
        <v>35433</v>
      </c>
      <c r="B9317">
        <v>748.030029296875</v>
      </c>
    </row>
    <row r="9318" spans="1:2" x14ac:dyDescent="0.25">
      <c r="A9318" s="5">
        <v>35436</v>
      </c>
      <c r="B9318">
        <v>747.65002441406205</v>
      </c>
    </row>
    <row r="9319" spans="1:2" x14ac:dyDescent="0.25">
      <c r="A9319" s="5">
        <v>35437</v>
      </c>
      <c r="B9319">
        <v>753.22998046875</v>
      </c>
    </row>
    <row r="9320" spans="1:2" x14ac:dyDescent="0.25">
      <c r="A9320" s="5">
        <v>35438</v>
      </c>
      <c r="B9320">
        <v>748.40997314453102</v>
      </c>
    </row>
    <row r="9321" spans="1:2" x14ac:dyDescent="0.25">
      <c r="A9321" s="5">
        <v>35439</v>
      </c>
      <c r="B9321">
        <v>754.84997558593795</v>
      </c>
    </row>
    <row r="9322" spans="1:2" x14ac:dyDescent="0.25">
      <c r="A9322" s="5">
        <v>35440</v>
      </c>
      <c r="B9322">
        <v>759.5</v>
      </c>
    </row>
    <row r="9323" spans="1:2" x14ac:dyDescent="0.25">
      <c r="A9323" s="5">
        <v>35443</v>
      </c>
      <c r="B9323">
        <v>759.510009765625</v>
      </c>
    </row>
    <row r="9324" spans="1:2" x14ac:dyDescent="0.25">
      <c r="A9324" s="5">
        <v>35444</v>
      </c>
      <c r="B9324">
        <v>768.85998535156205</v>
      </c>
    </row>
    <row r="9325" spans="1:2" x14ac:dyDescent="0.25">
      <c r="A9325" s="5">
        <v>35445</v>
      </c>
      <c r="B9325">
        <v>767.20001220703102</v>
      </c>
    </row>
    <row r="9326" spans="1:2" x14ac:dyDescent="0.25">
      <c r="A9326" s="5">
        <v>35446</v>
      </c>
      <c r="B9326">
        <v>769.75</v>
      </c>
    </row>
    <row r="9327" spans="1:2" x14ac:dyDescent="0.25">
      <c r="A9327" s="5">
        <v>35447</v>
      </c>
      <c r="B9327">
        <v>776.16998291015602</v>
      </c>
    </row>
    <row r="9328" spans="1:2" x14ac:dyDescent="0.25">
      <c r="A9328" s="5">
        <v>35450</v>
      </c>
      <c r="B9328">
        <v>776.70001220703102</v>
      </c>
    </row>
    <row r="9329" spans="1:2" x14ac:dyDescent="0.25">
      <c r="A9329" s="5">
        <v>35451</v>
      </c>
      <c r="B9329">
        <v>782.719970703125</v>
      </c>
    </row>
    <row r="9330" spans="1:2" x14ac:dyDescent="0.25">
      <c r="A9330" s="5">
        <v>35452</v>
      </c>
      <c r="B9330">
        <v>786.22998046875</v>
      </c>
    </row>
    <row r="9331" spans="1:2" x14ac:dyDescent="0.25">
      <c r="A9331" s="5">
        <v>35453</v>
      </c>
      <c r="B9331">
        <v>777.55999755859398</v>
      </c>
    </row>
    <row r="9332" spans="1:2" x14ac:dyDescent="0.25">
      <c r="A9332" s="5">
        <v>35454</v>
      </c>
      <c r="B9332">
        <v>770.52001953125</v>
      </c>
    </row>
    <row r="9333" spans="1:2" x14ac:dyDescent="0.25">
      <c r="A9333" s="5">
        <v>35457</v>
      </c>
      <c r="B9333">
        <v>765.02001953125</v>
      </c>
    </row>
    <row r="9334" spans="1:2" x14ac:dyDescent="0.25">
      <c r="A9334" s="5">
        <v>35458</v>
      </c>
      <c r="B9334">
        <v>765.02001953125</v>
      </c>
    </row>
    <row r="9335" spans="1:2" x14ac:dyDescent="0.25">
      <c r="A9335" s="5">
        <v>35459</v>
      </c>
      <c r="B9335">
        <v>772.5</v>
      </c>
    </row>
    <row r="9336" spans="1:2" x14ac:dyDescent="0.25">
      <c r="A9336" s="5">
        <v>35460</v>
      </c>
      <c r="B9336">
        <v>784.16998291015602</v>
      </c>
    </row>
    <row r="9337" spans="1:2" x14ac:dyDescent="0.25">
      <c r="A9337" s="5">
        <v>35461</v>
      </c>
      <c r="B9337">
        <v>786.15997314453102</v>
      </c>
    </row>
    <row r="9338" spans="1:2" x14ac:dyDescent="0.25">
      <c r="A9338" s="5">
        <v>35464</v>
      </c>
      <c r="B9338">
        <v>786.72998046875</v>
      </c>
    </row>
    <row r="9339" spans="1:2" x14ac:dyDescent="0.25">
      <c r="A9339" s="5">
        <v>35465</v>
      </c>
      <c r="B9339">
        <v>789.260009765625</v>
      </c>
    </row>
    <row r="9340" spans="1:2" x14ac:dyDescent="0.25">
      <c r="A9340" s="5">
        <v>35466</v>
      </c>
      <c r="B9340">
        <v>778.280029296875</v>
      </c>
    </row>
    <row r="9341" spans="1:2" x14ac:dyDescent="0.25">
      <c r="A9341" s="5">
        <v>35467</v>
      </c>
      <c r="B9341">
        <v>780.15002441406205</v>
      </c>
    </row>
    <row r="9342" spans="1:2" x14ac:dyDescent="0.25">
      <c r="A9342" s="5">
        <v>35468</v>
      </c>
      <c r="B9342">
        <v>789.55999755859398</v>
      </c>
    </row>
    <row r="9343" spans="1:2" x14ac:dyDescent="0.25">
      <c r="A9343" s="5">
        <v>35471</v>
      </c>
      <c r="B9343">
        <v>785.42999267578102</v>
      </c>
    </row>
    <row r="9344" spans="1:2" x14ac:dyDescent="0.25">
      <c r="A9344" s="5">
        <v>35472</v>
      </c>
      <c r="B9344">
        <v>789.59002685546898</v>
      </c>
    </row>
    <row r="9345" spans="1:2" x14ac:dyDescent="0.25">
      <c r="A9345" s="5">
        <v>35473</v>
      </c>
      <c r="B9345">
        <v>802.77001953125</v>
      </c>
    </row>
    <row r="9346" spans="1:2" x14ac:dyDescent="0.25">
      <c r="A9346" s="5">
        <v>35474</v>
      </c>
      <c r="B9346">
        <v>811.82000732421898</v>
      </c>
    </row>
    <row r="9347" spans="1:2" x14ac:dyDescent="0.25">
      <c r="A9347" s="5">
        <v>35475</v>
      </c>
      <c r="B9347">
        <v>808.47998046875</v>
      </c>
    </row>
    <row r="9348" spans="1:2" x14ac:dyDescent="0.25">
      <c r="A9348" s="5">
        <v>35479</v>
      </c>
      <c r="B9348">
        <v>816.28997802734398</v>
      </c>
    </row>
    <row r="9349" spans="1:2" x14ac:dyDescent="0.25">
      <c r="A9349" s="5">
        <v>35480</v>
      </c>
      <c r="B9349">
        <v>812.489990234375</v>
      </c>
    </row>
    <row r="9350" spans="1:2" x14ac:dyDescent="0.25">
      <c r="A9350" s="5">
        <v>35481</v>
      </c>
      <c r="B9350">
        <v>802.79998779296898</v>
      </c>
    </row>
    <row r="9351" spans="1:2" x14ac:dyDescent="0.25">
      <c r="A9351" s="5">
        <v>35482</v>
      </c>
      <c r="B9351">
        <v>801.77001953125</v>
      </c>
    </row>
    <row r="9352" spans="1:2" x14ac:dyDescent="0.25">
      <c r="A9352" s="5">
        <v>35485</v>
      </c>
      <c r="B9352">
        <v>810.280029296875</v>
      </c>
    </row>
    <row r="9353" spans="1:2" x14ac:dyDescent="0.25">
      <c r="A9353" s="5">
        <v>35486</v>
      </c>
      <c r="B9353">
        <v>812.030029296875</v>
      </c>
    </row>
    <row r="9354" spans="1:2" x14ac:dyDescent="0.25">
      <c r="A9354" s="5">
        <v>35487</v>
      </c>
      <c r="B9354">
        <v>805.67999267578102</v>
      </c>
    </row>
    <row r="9355" spans="1:2" x14ac:dyDescent="0.25">
      <c r="A9355" s="5">
        <v>35488</v>
      </c>
      <c r="B9355">
        <v>795.07000732421898</v>
      </c>
    </row>
    <row r="9356" spans="1:2" x14ac:dyDescent="0.25">
      <c r="A9356" s="5">
        <v>35489</v>
      </c>
      <c r="B9356">
        <v>790.82000732421898</v>
      </c>
    </row>
    <row r="9357" spans="1:2" x14ac:dyDescent="0.25">
      <c r="A9357" s="5">
        <v>35492</v>
      </c>
      <c r="B9357">
        <v>795.30999755859398</v>
      </c>
    </row>
    <row r="9358" spans="1:2" x14ac:dyDescent="0.25">
      <c r="A9358" s="5">
        <v>35493</v>
      </c>
      <c r="B9358">
        <v>790.95001220703102</v>
      </c>
    </row>
    <row r="9359" spans="1:2" x14ac:dyDescent="0.25">
      <c r="A9359" s="5">
        <v>35494</v>
      </c>
      <c r="B9359">
        <v>801.989990234375</v>
      </c>
    </row>
    <row r="9360" spans="1:2" x14ac:dyDescent="0.25">
      <c r="A9360" s="5">
        <v>35495</v>
      </c>
      <c r="B9360">
        <v>798.55999755859398</v>
      </c>
    </row>
    <row r="9361" spans="1:2" x14ac:dyDescent="0.25">
      <c r="A9361" s="5">
        <v>35496</v>
      </c>
      <c r="B9361">
        <v>804.969970703125</v>
      </c>
    </row>
    <row r="9362" spans="1:2" x14ac:dyDescent="0.25">
      <c r="A9362" s="5">
        <v>35499</v>
      </c>
      <c r="B9362">
        <v>813.65002441406205</v>
      </c>
    </row>
    <row r="9363" spans="1:2" x14ac:dyDescent="0.25">
      <c r="A9363" s="5">
        <v>35500</v>
      </c>
      <c r="B9363">
        <v>811.34002685546898</v>
      </c>
    </row>
    <row r="9364" spans="1:2" x14ac:dyDescent="0.25">
      <c r="A9364" s="5">
        <v>35501</v>
      </c>
      <c r="B9364">
        <v>804.260009765625</v>
      </c>
    </row>
    <row r="9365" spans="1:2" x14ac:dyDescent="0.25">
      <c r="A9365" s="5">
        <v>35502</v>
      </c>
      <c r="B9365">
        <v>789.55999755859398</v>
      </c>
    </row>
    <row r="9366" spans="1:2" x14ac:dyDescent="0.25">
      <c r="A9366" s="5">
        <v>35503</v>
      </c>
      <c r="B9366">
        <v>793.16998291015602</v>
      </c>
    </row>
    <row r="9367" spans="1:2" x14ac:dyDescent="0.25">
      <c r="A9367" s="5">
        <v>35506</v>
      </c>
      <c r="B9367">
        <v>795.71002197265602</v>
      </c>
    </row>
    <row r="9368" spans="1:2" x14ac:dyDescent="0.25">
      <c r="A9368" s="5">
        <v>35507</v>
      </c>
      <c r="B9368">
        <v>789.65997314453102</v>
      </c>
    </row>
    <row r="9369" spans="1:2" x14ac:dyDescent="0.25">
      <c r="A9369" s="5">
        <v>35508</v>
      </c>
      <c r="B9369">
        <v>785.77001953125</v>
      </c>
    </row>
    <row r="9370" spans="1:2" x14ac:dyDescent="0.25">
      <c r="A9370" s="5">
        <v>35509</v>
      </c>
      <c r="B9370">
        <v>782.65002441406205</v>
      </c>
    </row>
    <row r="9371" spans="1:2" x14ac:dyDescent="0.25">
      <c r="A9371" s="5">
        <v>35510</v>
      </c>
      <c r="B9371">
        <v>784.09997558593795</v>
      </c>
    </row>
    <row r="9372" spans="1:2" x14ac:dyDescent="0.25">
      <c r="A9372" s="5">
        <v>35513</v>
      </c>
      <c r="B9372">
        <v>790.89001464843795</v>
      </c>
    </row>
    <row r="9373" spans="1:2" x14ac:dyDescent="0.25">
      <c r="A9373" s="5">
        <v>35514</v>
      </c>
      <c r="B9373">
        <v>789.07000732421898</v>
      </c>
    </row>
    <row r="9374" spans="1:2" x14ac:dyDescent="0.25">
      <c r="A9374" s="5">
        <v>35515</v>
      </c>
      <c r="B9374">
        <v>790.5</v>
      </c>
    </row>
    <row r="9375" spans="1:2" x14ac:dyDescent="0.25">
      <c r="A9375" s="5">
        <v>35516</v>
      </c>
      <c r="B9375">
        <v>773.88000488281205</v>
      </c>
    </row>
    <row r="9376" spans="1:2" x14ac:dyDescent="0.25">
      <c r="A9376" s="5">
        <v>35520</v>
      </c>
      <c r="B9376">
        <v>757.11999511718795</v>
      </c>
    </row>
    <row r="9377" spans="1:2" x14ac:dyDescent="0.25">
      <c r="A9377" s="5">
        <v>35521</v>
      </c>
      <c r="B9377">
        <v>759.64001464843795</v>
      </c>
    </row>
    <row r="9378" spans="1:2" x14ac:dyDescent="0.25">
      <c r="A9378" s="5">
        <v>35522</v>
      </c>
      <c r="B9378">
        <v>750.10998535156205</v>
      </c>
    </row>
    <row r="9379" spans="1:2" x14ac:dyDescent="0.25">
      <c r="A9379" s="5">
        <v>35523</v>
      </c>
      <c r="B9379">
        <v>750.32000732421898</v>
      </c>
    </row>
    <row r="9380" spans="1:2" x14ac:dyDescent="0.25">
      <c r="A9380" s="5">
        <v>35524</v>
      </c>
      <c r="B9380">
        <v>757.90002441406205</v>
      </c>
    </row>
    <row r="9381" spans="1:2" x14ac:dyDescent="0.25">
      <c r="A9381" s="5">
        <v>35527</v>
      </c>
      <c r="B9381">
        <v>762.13000488281205</v>
      </c>
    </row>
    <row r="9382" spans="1:2" x14ac:dyDescent="0.25">
      <c r="A9382" s="5">
        <v>35528</v>
      </c>
      <c r="B9382">
        <v>766.11999511718795</v>
      </c>
    </row>
    <row r="9383" spans="1:2" x14ac:dyDescent="0.25">
      <c r="A9383" s="5">
        <v>35529</v>
      </c>
      <c r="B9383">
        <v>760.59997558593795</v>
      </c>
    </row>
    <row r="9384" spans="1:2" x14ac:dyDescent="0.25">
      <c r="A9384" s="5">
        <v>35530</v>
      </c>
      <c r="B9384">
        <v>758.34002685546898</v>
      </c>
    </row>
    <row r="9385" spans="1:2" x14ac:dyDescent="0.25">
      <c r="A9385" s="5">
        <v>35531</v>
      </c>
      <c r="B9385">
        <v>737.65002441406205</v>
      </c>
    </row>
    <row r="9386" spans="1:2" x14ac:dyDescent="0.25">
      <c r="A9386" s="5">
        <v>35534</v>
      </c>
      <c r="B9386">
        <v>743.72998046875</v>
      </c>
    </row>
    <row r="9387" spans="1:2" x14ac:dyDescent="0.25">
      <c r="A9387" s="5">
        <v>35535</v>
      </c>
      <c r="B9387">
        <v>754.719970703125</v>
      </c>
    </row>
    <row r="9388" spans="1:2" x14ac:dyDescent="0.25">
      <c r="A9388" s="5">
        <v>35536</v>
      </c>
      <c r="B9388">
        <v>763.530029296875</v>
      </c>
    </row>
    <row r="9389" spans="1:2" x14ac:dyDescent="0.25">
      <c r="A9389" s="5">
        <v>35537</v>
      </c>
      <c r="B9389">
        <v>761.77001953125</v>
      </c>
    </row>
    <row r="9390" spans="1:2" x14ac:dyDescent="0.25">
      <c r="A9390" s="5">
        <v>35538</v>
      </c>
      <c r="B9390">
        <v>766.34002685546898</v>
      </c>
    </row>
    <row r="9391" spans="1:2" x14ac:dyDescent="0.25">
      <c r="A9391" s="5">
        <v>35541</v>
      </c>
      <c r="B9391">
        <v>760.36999511718795</v>
      </c>
    </row>
    <row r="9392" spans="1:2" x14ac:dyDescent="0.25">
      <c r="A9392" s="5">
        <v>35542</v>
      </c>
      <c r="B9392">
        <v>774.60998535156205</v>
      </c>
    </row>
    <row r="9393" spans="1:2" x14ac:dyDescent="0.25">
      <c r="A9393" s="5">
        <v>35543</v>
      </c>
      <c r="B9393">
        <v>773.64001464843795</v>
      </c>
    </row>
    <row r="9394" spans="1:2" x14ac:dyDescent="0.25">
      <c r="A9394" s="5">
        <v>35544</v>
      </c>
      <c r="B9394">
        <v>771.17999267578102</v>
      </c>
    </row>
    <row r="9395" spans="1:2" x14ac:dyDescent="0.25">
      <c r="A9395" s="5">
        <v>35545</v>
      </c>
      <c r="B9395">
        <v>765.36999511718795</v>
      </c>
    </row>
    <row r="9396" spans="1:2" x14ac:dyDescent="0.25">
      <c r="A9396" s="5">
        <v>35548</v>
      </c>
      <c r="B9396">
        <v>772.96002197265602</v>
      </c>
    </row>
    <row r="9397" spans="1:2" x14ac:dyDescent="0.25">
      <c r="A9397" s="5">
        <v>35549</v>
      </c>
      <c r="B9397">
        <v>794.04998779296898</v>
      </c>
    </row>
    <row r="9398" spans="1:2" x14ac:dyDescent="0.25">
      <c r="A9398" s="5">
        <v>35550</v>
      </c>
      <c r="B9398">
        <v>801.34002685546898</v>
      </c>
    </row>
    <row r="9399" spans="1:2" x14ac:dyDescent="0.25">
      <c r="A9399" s="5">
        <v>35551</v>
      </c>
      <c r="B9399">
        <v>798.530029296875</v>
      </c>
    </row>
    <row r="9400" spans="1:2" x14ac:dyDescent="0.25">
      <c r="A9400" s="5">
        <v>35552</v>
      </c>
      <c r="B9400">
        <v>812.969970703125</v>
      </c>
    </row>
    <row r="9401" spans="1:2" x14ac:dyDescent="0.25">
      <c r="A9401" s="5">
        <v>35555</v>
      </c>
      <c r="B9401">
        <v>830.28997802734398</v>
      </c>
    </row>
    <row r="9402" spans="1:2" x14ac:dyDescent="0.25">
      <c r="A9402" s="5">
        <v>35556</v>
      </c>
      <c r="B9402">
        <v>827.760009765625</v>
      </c>
    </row>
    <row r="9403" spans="1:2" x14ac:dyDescent="0.25">
      <c r="A9403" s="5">
        <v>35557</v>
      </c>
      <c r="B9403">
        <v>815.61999511718795</v>
      </c>
    </row>
    <row r="9404" spans="1:2" x14ac:dyDescent="0.25">
      <c r="A9404" s="5">
        <v>35558</v>
      </c>
      <c r="B9404">
        <v>820.260009765625</v>
      </c>
    </row>
    <row r="9405" spans="1:2" x14ac:dyDescent="0.25">
      <c r="A9405" s="5">
        <v>35559</v>
      </c>
      <c r="B9405">
        <v>824.780029296875</v>
      </c>
    </row>
    <row r="9406" spans="1:2" x14ac:dyDescent="0.25">
      <c r="A9406" s="5">
        <v>35562</v>
      </c>
      <c r="B9406">
        <v>837.65997314453102</v>
      </c>
    </row>
    <row r="9407" spans="1:2" x14ac:dyDescent="0.25">
      <c r="A9407" s="5">
        <v>35563</v>
      </c>
      <c r="B9407">
        <v>833.13000488281205</v>
      </c>
    </row>
    <row r="9408" spans="1:2" x14ac:dyDescent="0.25">
      <c r="A9408" s="5">
        <v>35564</v>
      </c>
      <c r="B9408">
        <v>836.03997802734398</v>
      </c>
    </row>
    <row r="9409" spans="1:2" x14ac:dyDescent="0.25">
      <c r="A9409" s="5">
        <v>35565</v>
      </c>
      <c r="B9409">
        <v>841.88000488281205</v>
      </c>
    </row>
    <row r="9410" spans="1:2" x14ac:dyDescent="0.25">
      <c r="A9410" s="5">
        <v>35566</v>
      </c>
      <c r="B9410">
        <v>829.75</v>
      </c>
    </row>
    <row r="9411" spans="1:2" x14ac:dyDescent="0.25">
      <c r="A9411" s="5">
        <v>35569</v>
      </c>
      <c r="B9411">
        <v>833.27001953125</v>
      </c>
    </row>
    <row r="9412" spans="1:2" x14ac:dyDescent="0.25">
      <c r="A9412" s="5">
        <v>35570</v>
      </c>
      <c r="B9412">
        <v>841.65997314453102</v>
      </c>
    </row>
    <row r="9413" spans="1:2" x14ac:dyDescent="0.25">
      <c r="A9413" s="5">
        <v>35571</v>
      </c>
      <c r="B9413">
        <v>839.34997558593795</v>
      </c>
    </row>
    <row r="9414" spans="1:2" x14ac:dyDescent="0.25">
      <c r="A9414" s="5">
        <v>35572</v>
      </c>
      <c r="B9414">
        <v>835.65997314453102</v>
      </c>
    </row>
    <row r="9415" spans="1:2" x14ac:dyDescent="0.25">
      <c r="A9415" s="5">
        <v>35573</v>
      </c>
      <c r="B9415">
        <v>847.030029296875</v>
      </c>
    </row>
    <row r="9416" spans="1:2" x14ac:dyDescent="0.25">
      <c r="A9416" s="5">
        <v>35577</v>
      </c>
      <c r="B9416">
        <v>849.71002197265602</v>
      </c>
    </row>
    <row r="9417" spans="1:2" x14ac:dyDescent="0.25">
      <c r="A9417" s="5">
        <v>35578</v>
      </c>
      <c r="B9417">
        <v>847.21002197265602</v>
      </c>
    </row>
    <row r="9418" spans="1:2" x14ac:dyDescent="0.25">
      <c r="A9418" s="5">
        <v>35579</v>
      </c>
      <c r="B9418">
        <v>844.08001708984398</v>
      </c>
    </row>
    <row r="9419" spans="1:2" x14ac:dyDescent="0.25">
      <c r="A9419" s="5">
        <v>35580</v>
      </c>
      <c r="B9419">
        <v>848.280029296875</v>
      </c>
    </row>
    <row r="9420" spans="1:2" x14ac:dyDescent="0.25">
      <c r="A9420" s="5">
        <v>35583</v>
      </c>
      <c r="B9420">
        <v>846.35998535156205</v>
      </c>
    </row>
    <row r="9421" spans="1:2" x14ac:dyDescent="0.25">
      <c r="A9421" s="5">
        <v>35584</v>
      </c>
      <c r="B9421">
        <v>845.47998046875</v>
      </c>
    </row>
    <row r="9422" spans="1:2" x14ac:dyDescent="0.25">
      <c r="A9422" s="5">
        <v>35585</v>
      </c>
      <c r="B9422">
        <v>840.10998535156205</v>
      </c>
    </row>
    <row r="9423" spans="1:2" x14ac:dyDescent="0.25">
      <c r="A9423" s="5">
        <v>35586</v>
      </c>
      <c r="B9423">
        <v>843.42999267578102</v>
      </c>
    </row>
    <row r="9424" spans="1:2" x14ac:dyDescent="0.25">
      <c r="A9424" s="5">
        <v>35587</v>
      </c>
      <c r="B9424">
        <v>858.010009765625</v>
      </c>
    </row>
    <row r="9425" spans="1:2" x14ac:dyDescent="0.25">
      <c r="A9425" s="5">
        <v>35590</v>
      </c>
      <c r="B9425">
        <v>862.90997314453102</v>
      </c>
    </row>
    <row r="9426" spans="1:2" x14ac:dyDescent="0.25">
      <c r="A9426" s="5">
        <v>35591</v>
      </c>
      <c r="B9426">
        <v>865.27001953125</v>
      </c>
    </row>
    <row r="9427" spans="1:2" x14ac:dyDescent="0.25">
      <c r="A9427" s="5">
        <v>35592</v>
      </c>
      <c r="B9427">
        <v>869.57000732421898</v>
      </c>
    </row>
    <row r="9428" spans="1:2" x14ac:dyDescent="0.25">
      <c r="A9428" s="5">
        <v>35593</v>
      </c>
      <c r="B9428">
        <v>883.46002197265602</v>
      </c>
    </row>
    <row r="9429" spans="1:2" x14ac:dyDescent="0.25">
      <c r="A9429" s="5">
        <v>35594</v>
      </c>
      <c r="B9429">
        <v>893.27001953125</v>
      </c>
    </row>
    <row r="9430" spans="1:2" x14ac:dyDescent="0.25">
      <c r="A9430" s="5">
        <v>35597</v>
      </c>
      <c r="B9430">
        <v>893.90002441406205</v>
      </c>
    </row>
    <row r="9431" spans="1:2" x14ac:dyDescent="0.25">
      <c r="A9431" s="5">
        <v>35598</v>
      </c>
      <c r="B9431">
        <v>894.41998291015602</v>
      </c>
    </row>
    <row r="9432" spans="1:2" x14ac:dyDescent="0.25">
      <c r="A9432" s="5">
        <v>35599</v>
      </c>
      <c r="B9432">
        <v>889.05999755859398</v>
      </c>
    </row>
    <row r="9433" spans="1:2" x14ac:dyDescent="0.25">
      <c r="A9433" s="5">
        <v>35600</v>
      </c>
      <c r="B9433">
        <v>897.989990234375</v>
      </c>
    </row>
    <row r="9434" spans="1:2" x14ac:dyDescent="0.25">
      <c r="A9434" s="5">
        <v>35601</v>
      </c>
      <c r="B9434">
        <v>898.70001220703102</v>
      </c>
    </row>
    <row r="9435" spans="1:2" x14ac:dyDescent="0.25">
      <c r="A9435" s="5">
        <v>35604</v>
      </c>
      <c r="B9435">
        <v>878.61999511718795</v>
      </c>
    </row>
    <row r="9436" spans="1:2" x14ac:dyDescent="0.25">
      <c r="A9436" s="5">
        <v>35605</v>
      </c>
      <c r="B9436">
        <v>896.34002685546898</v>
      </c>
    </row>
    <row r="9437" spans="1:2" x14ac:dyDescent="0.25">
      <c r="A9437" s="5">
        <v>35606</v>
      </c>
      <c r="B9437">
        <v>888.989990234375</v>
      </c>
    </row>
    <row r="9438" spans="1:2" x14ac:dyDescent="0.25">
      <c r="A9438" s="5">
        <v>35607</v>
      </c>
      <c r="B9438">
        <v>883.67999267578102</v>
      </c>
    </row>
    <row r="9439" spans="1:2" x14ac:dyDescent="0.25">
      <c r="A9439" s="5">
        <v>35608</v>
      </c>
      <c r="B9439">
        <v>887.29998779296898</v>
      </c>
    </row>
    <row r="9440" spans="1:2" x14ac:dyDescent="0.25">
      <c r="A9440" s="5">
        <v>35611</v>
      </c>
      <c r="B9440">
        <v>885.14001464843795</v>
      </c>
    </row>
    <row r="9441" spans="1:2" x14ac:dyDescent="0.25">
      <c r="A9441" s="5">
        <v>35612</v>
      </c>
      <c r="B9441">
        <v>891.030029296875</v>
      </c>
    </row>
    <row r="9442" spans="1:2" x14ac:dyDescent="0.25">
      <c r="A9442" s="5">
        <v>35613</v>
      </c>
      <c r="B9442">
        <v>904.030029296875</v>
      </c>
    </row>
    <row r="9443" spans="1:2" x14ac:dyDescent="0.25">
      <c r="A9443" s="5">
        <v>35614</v>
      </c>
      <c r="B9443">
        <v>916.91998291015602</v>
      </c>
    </row>
    <row r="9444" spans="1:2" x14ac:dyDescent="0.25">
      <c r="A9444" s="5">
        <v>35618</v>
      </c>
      <c r="B9444">
        <v>912.20001220703102</v>
      </c>
    </row>
    <row r="9445" spans="1:2" x14ac:dyDescent="0.25">
      <c r="A9445" s="5">
        <v>35619</v>
      </c>
      <c r="B9445">
        <v>918.75</v>
      </c>
    </row>
    <row r="9446" spans="1:2" x14ac:dyDescent="0.25">
      <c r="A9446" s="5">
        <v>35620</v>
      </c>
      <c r="B9446">
        <v>907.53997802734398</v>
      </c>
    </row>
    <row r="9447" spans="1:2" x14ac:dyDescent="0.25">
      <c r="A9447" s="5">
        <v>35621</v>
      </c>
      <c r="B9447">
        <v>913.780029296875</v>
      </c>
    </row>
    <row r="9448" spans="1:2" x14ac:dyDescent="0.25">
      <c r="A9448" s="5">
        <v>35622</v>
      </c>
      <c r="B9448">
        <v>916.67999267578102</v>
      </c>
    </row>
    <row r="9449" spans="1:2" x14ac:dyDescent="0.25">
      <c r="A9449" s="5">
        <v>35625</v>
      </c>
      <c r="B9449">
        <v>918.38000488281205</v>
      </c>
    </row>
    <row r="9450" spans="1:2" x14ac:dyDescent="0.25">
      <c r="A9450" s="5">
        <v>35626</v>
      </c>
      <c r="B9450">
        <v>925.760009765625</v>
      </c>
    </row>
    <row r="9451" spans="1:2" x14ac:dyDescent="0.25">
      <c r="A9451" s="5">
        <v>35627</v>
      </c>
      <c r="B9451">
        <v>936.59002685546898</v>
      </c>
    </row>
    <row r="9452" spans="1:2" x14ac:dyDescent="0.25">
      <c r="A9452" s="5">
        <v>35628</v>
      </c>
      <c r="B9452">
        <v>931.60998535156205</v>
      </c>
    </row>
    <row r="9453" spans="1:2" x14ac:dyDescent="0.25">
      <c r="A9453" s="5">
        <v>35629</v>
      </c>
      <c r="B9453">
        <v>915.29998779296898</v>
      </c>
    </row>
    <row r="9454" spans="1:2" x14ac:dyDescent="0.25">
      <c r="A9454" s="5">
        <v>35632</v>
      </c>
      <c r="B9454">
        <v>912.94000244140602</v>
      </c>
    </row>
    <row r="9455" spans="1:2" x14ac:dyDescent="0.25">
      <c r="A9455" s="5">
        <v>35633</v>
      </c>
      <c r="B9455">
        <v>933.97998046875</v>
      </c>
    </row>
    <row r="9456" spans="1:2" x14ac:dyDescent="0.25">
      <c r="A9456" s="5">
        <v>35634</v>
      </c>
      <c r="B9456">
        <v>936.55999755859398</v>
      </c>
    </row>
    <row r="9457" spans="1:2" x14ac:dyDescent="0.25">
      <c r="A9457" s="5">
        <v>35635</v>
      </c>
      <c r="B9457">
        <v>940.29998779296898</v>
      </c>
    </row>
    <row r="9458" spans="1:2" x14ac:dyDescent="0.25">
      <c r="A9458" s="5">
        <v>35636</v>
      </c>
      <c r="B9458">
        <v>938.78997802734398</v>
      </c>
    </row>
    <row r="9459" spans="1:2" x14ac:dyDescent="0.25">
      <c r="A9459" s="5">
        <v>35639</v>
      </c>
      <c r="B9459">
        <v>936.45001220703102</v>
      </c>
    </row>
    <row r="9460" spans="1:2" x14ac:dyDescent="0.25">
      <c r="A9460" s="5">
        <v>35640</v>
      </c>
      <c r="B9460">
        <v>942.28997802734398</v>
      </c>
    </row>
    <row r="9461" spans="1:2" x14ac:dyDescent="0.25">
      <c r="A9461" s="5">
        <v>35641</v>
      </c>
      <c r="B9461">
        <v>952.28997802734398</v>
      </c>
    </row>
    <row r="9462" spans="1:2" x14ac:dyDescent="0.25">
      <c r="A9462" s="5">
        <v>35642</v>
      </c>
      <c r="B9462">
        <v>954.30999755859398</v>
      </c>
    </row>
    <row r="9463" spans="1:2" x14ac:dyDescent="0.25">
      <c r="A9463" s="5">
        <v>35643</v>
      </c>
      <c r="B9463">
        <v>947.14001464843795</v>
      </c>
    </row>
    <row r="9464" spans="1:2" x14ac:dyDescent="0.25">
      <c r="A9464" s="5">
        <v>35646</v>
      </c>
      <c r="B9464">
        <v>950.29998779296898</v>
      </c>
    </row>
    <row r="9465" spans="1:2" x14ac:dyDescent="0.25">
      <c r="A9465" s="5">
        <v>35647</v>
      </c>
      <c r="B9465">
        <v>952.36999511718795</v>
      </c>
    </row>
    <row r="9466" spans="1:2" x14ac:dyDescent="0.25">
      <c r="A9466" s="5">
        <v>35648</v>
      </c>
      <c r="B9466">
        <v>960.32000732421898</v>
      </c>
    </row>
    <row r="9467" spans="1:2" x14ac:dyDescent="0.25">
      <c r="A9467" s="5">
        <v>35649</v>
      </c>
      <c r="B9467">
        <v>951.19000244140602</v>
      </c>
    </row>
    <row r="9468" spans="1:2" x14ac:dyDescent="0.25">
      <c r="A9468" s="5">
        <v>35650</v>
      </c>
      <c r="B9468">
        <v>933.53997802734398</v>
      </c>
    </row>
    <row r="9469" spans="1:2" x14ac:dyDescent="0.25">
      <c r="A9469" s="5">
        <v>35653</v>
      </c>
      <c r="B9469">
        <v>937</v>
      </c>
    </row>
    <row r="9470" spans="1:2" x14ac:dyDescent="0.25">
      <c r="A9470" s="5">
        <v>35654</v>
      </c>
      <c r="B9470">
        <v>926.530029296875</v>
      </c>
    </row>
    <row r="9471" spans="1:2" x14ac:dyDescent="0.25">
      <c r="A9471" s="5">
        <v>35655</v>
      </c>
      <c r="B9471">
        <v>922.02001953125</v>
      </c>
    </row>
    <row r="9472" spans="1:2" x14ac:dyDescent="0.25">
      <c r="A9472" s="5">
        <v>35656</v>
      </c>
      <c r="B9472">
        <v>924.77001953125</v>
      </c>
    </row>
    <row r="9473" spans="1:2" x14ac:dyDescent="0.25">
      <c r="A9473" s="5">
        <v>35657</v>
      </c>
      <c r="B9473">
        <v>900.80999755859398</v>
      </c>
    </row>
    <row r="9474" spans="1:2" x14ac:dyDescent="0.25">
      <c r="A9474" s="5">
        <v>35660</v>
      </c>
      <c r="B9474">
        <v>912.489990234375</v>
      </c>
    </row>
    <row r="9475" spans="1:2" x14ac:dyDescent="0.25">
      <c r="A9475" s="5">
        <v>35661</v>
      </c>
      <c r="B9475">
        <v>926.010009765625</v>
      </c>
    </row>
    <row r="9476" spans="1:2" x14ac:dyDescent="0.25">
      <c r="A9476" s="5">
        <v>35662</v>
      </c>
      <c r="B9476">
        <v>939.34997558593795</v>
      </c>
    </row>
    <row r="9477" spans="1:2" x14ac:dyDescent="0.25">
      <c r="A9477" s="5">
        <v>35663</v>
      </c>
      <c r="B9477">
        <v>925.04998779296898</v>
      </c>
    </row>
    <row r="9478" spans="1:2" x14ac:dyDescent="0.25">
      <c r="A9478" s="5">
        <v>35664</v>
      </c>
      <c r="B9478">
        <v>923.53997802734398</v>
      </c>
    </row>
    <row r="9479" spans="1:2" x14ac:dyDescent="0.25">
      <c r="A9479" s="5">
        <v>35667</v>
      </c>
      <c r="B9479">
        <v>920.15997314453102</v>
      </c>
    </row>
    <row r="9480" spans="1:2" x14ac:dyDescent="0.25">
      <c r="A9480" s="5">
        <v>35668</v>
      </c>
      <c r="B9480">
        <v>913.02001953125</v>
      </c>
    </row>
    <row r="9481" spans="1:2" x14ac:dyDescent="0.25">
      <c r="A9481" s="5">
        <v>35669</v>
      </c>
      <c r="B9481">
        <v>913.70001220703102</v>
      </c>
    </row>
    <row r="9482" spans="1:2" x14ac:dyDescent="0.25">
      <c r="A9482" s="5">
        <v>35670</v>
      </c>
      <c r="B9482">
        <v>903.66998291015602</v>
      </c>
    </row>
    <row r="9483" spans="1:2" x14ac:dyDescent="0.25">
      <c r="A9483" s="5">
        <v>35671</v>
      </c>
      <c r="B9483">
        <v>899.469970703125</v>
      </c>
    </row>
    <row r="9484" spans="1:2" x14ac:dyDescent="0.25">
      <c r="A9484" s="5">
        <v>35675</v>
      </c>
      <c r="B9484">
        <v>927.58001708984398</v>
      </c>
    </row>
    <row r="9485" spans="1:2" x14ac:dyDescent="0.25">
      <c r="A9485" s="5">
        <v>35676</v>
      </c>
      <c r="B9485">
        <v>927.85998535156205</v>
      </c>
    </row>
    <row r="9486" spans="1:2" x14ac:dyDescent="0.25">
      <c r="A9486" s="5">
        <v>35677</v>
      </c>
      <c r="B9486">
        <v>930.86999511718795</v>
      </c>
    </row>
    <row r="9487" spans="1:2" x14ac:dyDescent="0.25">
      <c r="A9487" s="5">
        <v>35678</v>
      </c>
      <c r="B9487">
        <v>929.04998779296898</v>
      </c>
    </row>
    <row r="9488" spans="1:2" x14ac:dyDescent="0.25">
      <c r="A9488" s="5">
        <v>35681</v>
      </c>
      <c r="B9488">
        <v>931.20001220703102</v>
      </c>
    </row>
    <row r="9489" spans="1:2" x14ac:dyDescent="0.25">
      <c r="A9489" s="5">
        <v>35682</v>
      </c>
      <c r="B9489">
        <v>933.61999511718795</v>
      </c>
    </row>
    <row r="9490" spans="1:2" x14ac:dyDescent="0.25">
      <c r="A9490" s="5">
        <v>35683</v>
      </c>
      <c r="B9490">
        <v>919.030029296875</v>
      </c>
    </row>
    <row r="9491" spans="1:2" x14ac:dyDescent="0.25">
      <c r="A9491" s="5">
        <v>35684</v>
      </c>
      <c r="B9491">
        <v>912.59002685546898</v>
      </c>
    </row>
    <row r="9492" spans="1:2" x14ac:dyDescent="0.25">
      <c r="A9492" s="5">
        <v>35685</v>
      </c>
      <c r="B9492">
        <v>923.90997314453102</v>
      </c>
    </row>
    <row r="9493" spans="1:2" x14ac:dyDescent="0.25">
      <c r="A9493" s="5">
        <v>35688</v>
      </c>
      <c r="B9493">
        <v>919.77001953125</v>
      </c>
    </row>
    <row r="9494" spans="1:2" x14ac:dyDescent="0.25">
      <c r="A9494" s="5">
        <v>35689</v>
      </c>
      <c r="B9494">
        <v>945.64001464843795</v>
      </c>
    </row>
    <row r="9495" spans="1:2" x14ac:dyDescent="0.25">
      <c r="A9495" s="5">
        <v>35690</v>
      </c>
      <c r="B9495">
        <v>943</v>
      </c>
    </row>
    <row r="9496" spans="1:2" x14ac:dyDescent="0.25">
      <c r="A9496" s="5">
        <v>35691</v>
      </c>
      <c r="B9496">
        <v>947.28997802734398</v>
      </c>
    </row>
    <row r="9497" spans="1:2" x14ac:dyDescent="0.25">
      <c r="A9497" s="5">
        <v>35692</v>
      </c>
      <c r="B9497">
        <v>950.510009765625</v>
      </c>
    </row>
    <row r="9498" spans="1:2" x14ac:dyDescent="0.25">
      <c r="A9498" s="5">
        <v>35695</v>
      </c>
      <c r="B9498">
        <v>955.42999267578102</v>
      </c>
    </row>
    <row r="9499" spans="1:2" x14ac:dyDescent="0.25">
      <c r="A9499" s="5">
        <v>35696</v>
      </c>
      <c r="B9499">
        <v>951.92999267578102</v>
      </c>
    </row>
    <row r="9500" spans="1:2" x14ac:dyDescent="0.25">
      <c r="A9500" s="5">
        <v>35697</v>
      </c>
      <c r="B9500">
        <v>944.47998046875</v>
      </c>
    </row>
    <row r="9501" spans="1:2" x14ac:dyDescent="0.25">
      <c r="A9501" s="5">
        <v>35698</v>
      </c>
      <c r="B9501">
        <v>937.90997314453102</v>
      </c>
    </row>
    <row r="9502" spans="1:2" x14ac:dyDescent="0.25">
      <c r="A9502" s="5">
        <v>35699</v>
      </c>
      <c r="B9502">
        <v>945.219970703125</v>
      </c>
    </row>
    <row r="9503" spans="1:2" x14ac:dyDescent="0.25">
      <c r="A9503" s="5">
        <v>35702</v>
      </c>
      <c r="B9503">
        <v>953.34002685546898</v>
      </c>
    </row>
    <row r="9504" spans="1:2" x14ac:dyDescent="0.25">
      <c r="A9504" s="5">
        <v>35703</v>
      </c>
      <c r="B9504">
        <v>947.280029296875</v>
      </c>
    </row>
    <row r="9505" spans="1:2" x14ac:dyDescent="0.25">
      <c r="A9505" s="5">
        <v>35704</v>
      </c>
      <c r="B9505">
        <v>955.40997314453102</v>
      </c>
    </row>
    <row r="9506" spans="1:2" x14ac:dyDescent="0.25">
      <c r="A9506" s="5">
        <v>35705</v>
      </c>
      <c r="B9506">
        <v>960.46002197265602</v>
      </c>
    </row>
    <row r="9507" spans="1:2" x14ac:dyDescent="0.25">
      <c r="A9507" s="5">
        <v>35706</v>
      </c>
      <c r="B9507">
        <v>965.030029296875</v>
      </c>
    </row>
    <row r="9508" spans="1:2" x14ac:dyDescent="0.25">
      <c r="A9508" s="5">
        <v>35709</v>
      </c>
      <c r="B9508">
        <v>972.69000244140602</v>
      </c>
    </row>
    <row r="9509" spans="1:2" x14ac:dyDescent="0.25">
      <c r="A9509" s="5">
        <v>35710</v>
      </c>
      <c r="B9509">
        <v>983.11999511718795</v>
      </c>
    </row>
    <row r="9510" spans="1:2" x14ac:dyDescent="0.25">
      <c r="A9510" s="5">
        <v>35711</v>
      </c>
      <c r="B9510">
        <v>973.84002685546898</v>
      </c>
    </row>
    <row r="9511" spans="1:2" x14ac:dyDescent="0.25">
      <c r="A9511" s="5">
        <v>35712</v>
      </c>
      <c r="B9511">
        <v>970.61999511718795</v>
      </c>
    </row>
    <row r="9512" spans="1:2" x14ac:dyDescent="0.25">
      <c r="A9512" s="5">
        <v>35713</v>
      </c>
      <c r="B9512">
        <v>966.97998046875</v>
      </c>
    </row>
    <row r="9513" spans="1:2" x14ac:dyDescent="0.25">
      <c r="A9513" s="5">
        <v>35716</v>
      </c>
      <c r="B9513">
        <v>968.09997558593795</v>
      </c>
    </row>
    <row r="9514" spans="1:2" x14ac:dyDescent="0.25">
      <c r="A9514" s="5">
        <v>35717</v>
      </c>
      <c r="B9514">
        <v>970.280029296875</v>
      </c>
    </row>
    <row r="9515" spans="1:2" x14ac:dyDescent="0.25">
      <c r="A9515" s="5">
        <v>35718</v>
      </c>
      <c r="B9515">
        <v>965.719970703125</v>
      </c>
    </row>
    <row r="9516" spans="1:2" x14ac:dyDescent="0.25">
      <c r="A9516" s="5">
        <v>35719</v>
      </c>
      <c r="B9516">
        <v>955.25</v>
      </c>
    </row>
    <row r="9517" spans="1:2" x14ac:dyDescent="0.25">
      <c r="A9517" s="5">
        <v>35720</v>
      </c>
      <c r="B9517">
        <v>944.15997314453102</v>
      </c>
    </row>
    <row r="9518" spans="1:2" x14ac:dyDescent="0.25">
      <c r="A9518" s="5">
        <v>35723</v>
      </c>
      <c r="B9518">
        <v>955.60998535156205</v>
      </c>
    </row>
    <row r="9519" spans="1:2" x14ac:dyDescent="0.25">
      <c r="A9519" s="5">
        <v>35724</v>
      </c>
      <c r="B9519">
        <v>972.280029296875</v>
      </c>
    </row>
    <row r="9520" spans="1:2" x14ac:dyDescent="0.25">
      <c r="A9520" s="5">
        <v>35725</v>
      </c>
      <c r="B9520">
        <v>968.489990234375</v>
      </c>
    </row>
    <row r="9521" spans="1:2" x14ac:dyDescent="0.25">
      <c r="A9521" s="5">
        <v>35726</v>
      </c>
      <c r="B9521">
        <v>950.69000244140602</v>
      </c>
    </row>
    <row r="9522" spans="1:2" x14ac:dyDescent="0.25">
      <c r="A9522" s="5">
        <v>35727</v>
      </c>
      <c r="B9522">
        <v>941.64001464843795</v>
      </c>
    </row>
    <row r="9523" spans="1:2" x14ac:dyDescent="0.25">
      <c r="A9523" s="5">
        <v>35730</v>
      </c>
      <c r="B9523">
        <v>876.989990234375</v>
      </c>
    </row>
    <row r="9524" spans="1:2" x14ac:dyDescent="0.25">
      <c r="A9524" s="5">
        <v>35731</v>
      </c>
      <c r="B9524">
        <v>921.84997558593795</v>
      </c>
    </row>
    <row r="9525" spans="1:2" x14ac:dyDescent="0.25">
      <c r="A9525" s="5">
        <v>35732</v>
      </c>
      <c r="B9525">
        <v>919.15997314453102</v>
      </c>
    </row>
    <row r="9526" spans="1:2" x14ac:dyDescent="0.25">
      <c r="A9526" s="5">
        <v>35733</v>
      </c>
      <c r="B9526">
        <v>903.67999267578102</v>
      </c>
    </row>
    <row r="9527" spans="1:2" x14ac:dyDescent="0.25">
      <c r="A9527" s="5">
        <v>35734</v>
      </c>
      <c r="B9527">
        <v>914.61999511718795</v>
      </c>
    </row>
    <row r="9528" spans="1:2" x14ac:dyDescent="0.25">
      <c r="A9528" s="5">
        <v>35737</v>
      </c>
      <c r="B9528">
        <v>938.989990234375</v>
      </c>
    </row>
    <row r="9529" spans="1:2" x14ac:dyDescent="0.25">
      <c r="A9529" s="5">
        <v>35738</v>
      </c>
      <c r="B9529">
        <v>940.760009765625</v>
      </c>
    </row>
    <row r="9530" spans="1:2" x14ac:dyDescent="0.25">
      <c r="A9530" s="5">
        <v>35739</v>
      </c>
      <c r="B9530">
        <v>942.760009765625</v>
      </c>
    </row>
    <row r="9531" spans="1:2" x14ac:dyDescent="0.25">
      <c r="A9531" s="5">
        <v>35740</v>
      </c>
      <c r="B9531">
        <v>938.030029296875</v>
      </c>
    </row>
    <row r="9532" spans="1:2" x14ac:dyDescent="0.25">
      <c r="A9532" s="5">
        <v>35741</v>
      </c>
      <c r="B9532">
        <v>927.510009765625</v>
      </c>
    </row>
    <row r="9533" spans="1:2" x14ac:dyDescent="0.25">
      <c r="A9533" s="5">
        <v>35744</v>
      </c>
      <c r="B9533">
        <v>921.13000488281205</v>
      </c>
    </row>
    <row r="9534" spans="1:2" x14ac:dyDescent="0.25">
      <c r="A9534" s="5">
        <v>35745</v>
      </c>
      <c r="B9534">
        <v>923.780029296875</v>
      </c>
    </row>
    <row r="9535" spans="1:2" x14ac:dyDescent="0.25">
      <c r="A9535" s="5">
        <v>35746</v>
      </c>
      <c r="B9535">
        <v>905.96002197265602</v>
      </c>
    </row>
    <row r="9536" spans="1:2" x14ac:dyDescent="0.25">
      <c r="A9536" s="5">
        <v>35747</v>
      </c>
      <c r="B9536">
        <v>916.65997314453102</v>
      </c>
    </row>
    <row r="9537" spans="1:2" x14ac:dyDescent="0.25">
      <c r="A9537" s="5">
        <v>35748</v>
      </c>
      <c r="B9537">
        <v>928.34997558593795</v>
      </c>
    </row>
    <row r="9538" spans="1:2" x14ac:dyDescent="0.25">
      <c r="A9538" s="5">
        <v>35751</v>
      </c>
      <c r="B9538">
        <v>946.20001220703102</v>
      </c>
    </row>
    <row r="9539" spans="1:2" x14ac:dyDescent="0.25">
      <c r="A9539" s="5">
        <v>35752</v>
      </c>
      <c r="B9539">
        <v>938.22998046875</v>
      </c>
    </row>
    <row r="9540" spans="1:2" x14ac:dyDescent="0.25">
      <c r="A9540" s="5">
        <v>35753</v>
      </c>
      <c r="B9540">
        <v>944.59002685546898</v>
      </c>
    </row>
    <row r="9541" spans="1:2" x14ac:dyDescent="0.25">
      <c r="A9541" s="5">
        <v>35754</v>
      </c>
      <c r="B9541">
        <v>958.97998046875</v>
      </c>
    </row>
    <row r="9542" spans="1:2" x14ac:dyDescent="0.25">
      <c r="A9542" s="5">
        <v>35755</v>
      </c>
      <c r="B9542">
        <v>963.09002685546898</v>
      </c>
    </row>
    <row r="9543" spans="1:2" x14ac:dyDescent="0.25">
      <c r="A9543" s="5">
        <v>35758</v>
      </c>
      <c r="B9543">
        <v>946.66998291015602</v>
      </c>
    </row>
    <row r="9544" spans="1:2" x14ac:dyDescent="0.25">
      <c r="A9544" s="5">
        <v>35759</v>
      </c>
      <c r="B9544">
        <v>950.82000732421898</v>
      </c>
    </row>
    <row r="9545" spans="1:2" x14ac:dyDescent="0.25">
      <c r="A9545" s="5">
        <v>35760</v>
      </c>
      <c r="B9545">
        <v>951.64001464843795</v>
      </c>
    </row>
    <row r="9546" spans="1:2" x14ac:dyDescent="0.25">
      <c r="A9546" s="5">
        <v>35762</v>
      </c>
      <c r="B9546">
        <v>955.40002441406205</v>
      </c>
    </row>
    <row r="9547" spans="1:2" x14ac:dyDescent="0.25">
      <c r="A9547" s="5">
        <v>35765</v>
      </c>
      <c r="B9547">
        <v>974.77001953125</v>
      </c>
    </row>
    <row r="9548" spans="1:2" x14ac:dyDescent="0.25">
      <c r="A9548" s="5">
        <v>35766</v>
      </c>
      <c r="B9548">
        <v>971.67999267578102</v>
      </c>
    </row>
    <row r="9549" spans="1:2" x14ac:dyDescent="0.25">
      <c r="A9549" s="5">
        <v>35767</v>
      </c>
      <c r="B9549">
        <v>976.77001953125</v>
      </c>
    </row>
    <row r="9550" spans="1:2" x14ac:dyDescent="0.25">
      <c r="A9550" s="5">
        <v>35768</v>
      </c>
      <c r="B9550">
        <v>973.09997558593795</v>
      </c>
    </row>
    <row r="9551" spans="1:2" x14ac:dyDescent="0.25">
      <c r="A9551" s="5">
        <v>35769</v>
      </c>
      <c r="B9551">
        <v>983.78997802734398</v>
      </c>
    </row>
    <row r="9552" spans="1:2" x14ac:dyDescent="0.25">
      <c r="A9552" s="5">
        <v>35772</v>
      </c>
      <c r="B9552">
        <v>982.36999511718795</v>
      </c>
    </row>
    <row r="9553" spans="1:2" x14ac:dyDescent="0.25">
      <c r="A9553" s="5">
        <v>35773</v>
      </c>
      <c r="B9553">
        <v>975.780029296875</v>
      </c>
    </row>
    <row r="9554" spans="1:2" x14ac:dyDescent="0.25">
      <c r="A9554" s="5">
        <v>35774</v>
      </c>
      <c r="B9554">
        <v>969.78997802734398</v>
      </c>
    </row>
    <row r="9555" spans="1:2" x14ac:dyDescent="0.25">
      <c r="A9555" s="5">
        <v>35775</v>
      </c>
      <c r="B9555">
        <v>954.94000244140602</v>
      </c>
    </row>
    <row r="9556" spans="1:2" x14ac:dyDescent="0.25">
      <c r="A9556" s="5">
        <v>35776</v>
      </c>
      <c r="B9556">
        <v>953.39001464843795</v>
      </c>
    </row>
    <row r="9557" spans="1:2" x14ac:dyDescent="0.25">
      <c r="A9557" s="5">
        <v>35779</v>
      </c>
      <c r="B9557">
        <v>963.39001464843795</v>
      </c>
    </row>
    <row r="9558" spans="1:2" x14ac:dyDescent="0.25">
      <c r="A9558" s="5">
        <v>35780</v>
      </c>
      <c r="B9558">
        <v>968.03997802734398</v>
      </c>
    </row>
    <row r="9559" spans="1:2" x14ac:dyDescent="0.25">
      <c r="A9559" s="5">
        <v>35781</v>
      </c>
      <c r="B9559">
        <v>965.53997802734398</v>
      </c>
    </row>
    <row r="9560" spans="1:2" x14ac:dyDescent="0.25">
      <c r="A9560" s="5">
        <v>35782</v>
      </c>
      <c r="B9560">
        <v>955.29998779296898</v>
      </c>
    </row>
    <row r="9561" spans="1:2" x14ac:dyDescent="0.25">
      <c r="A9561" s="5">
        <v>35783</v>
      </c>
      <c r="B9561">
        <v>946.780029296875</v>
      </c>
    </row>
    <row r="9562" spans="1:2" x14ac:dyDescent="0.25">
      <c r="A9562" s="5">
        <v>35786</v>
      </c>
      <c r="B9562">
        <v>953.70001220703102</v>
      </c>
    </row>
    <row r="9563" spans="1:2" x14ac:dyDescent="0.25">
      <c r="A9563" s="5">
        <v>35787</v>
      </c>
      <c r="B9563">
        <v>939.13000488281205</v>
      </c>
    </row>
    <row r="9564" spans="1:2" x14ac:dyDescent="0.25">
      <c r="A9564" s="5">
        <v>35788</v>
      </c>
      <c r="B9564">
        <v>932.70001220703102</v>
      </c>
    </row>
    <row r="9565" spans="1:2" x14ac:dyDescent="0.25">
      <c r="A9565" s="5">
        <v>35790</v>
      </c>
      <c r="B9565">
        <v>936.46002197265602</v>
      </c>
    </row>
    <row r="9566" spans="1:2" x14ac:dyDescent="0.25">
      <c r="A9566" s="5">
        <v>35793</v>
      </c>
      <c r="B9566">
        <v>953.34997558593795</v>
      </c>
    </row>
    <row r="9567" spans="1:2" x14ac:dyDescent="0.25">
      <c r="A9567" s="5">
        <v>35794</v>
      </c>
      <c r="B9567">
        <v>970.84002685546898</v>
      </c>
    </row>
    <row r="9568" spans="1:2" x14ac:dyDescent="0.25">
      <c r="A9568" s="5">
        <v>35795</v>
      </c>
      <c r="B9568">
        <v>970.42999267578102</v>
      </c>
    </row>
    <row r="9569" spans="1:2" x14ac:dyDescent="0.25">
      <c r="A9569" s="5">
        <v>35797</v>
      </c>
      <c r="B9569">
        <v>975.03997802734398</v>
      </c>
    </row>
    <row r="9570" spans="1:2" x14ac:dyDescent="0.25">
      <c r="A9570" s="5">
        <v>35800</v>
      </c>
      <c r="B9570">
        <v>977.07000732421898</v>
      </c>
    </row>
    <row r="9571" spans="1:2" x14ac:dyDescent="0.25">
      <c r="A9571" s="5">
        <v>35801</v>
      </c>
      <c r="B9571">
        <v>966.58001708984398</v>
      </c>
    </row>
    <row r="9572" spans="1:2" x14ac:dyDescent="0.25">
      <c r="A9572" s="5">
        <v>35802</v>
      </c>
      <c r="B9572">
        <v>964</v>
      </c>
    </row>
    <row r="9573" spans="1:2" x14ac:dyDescent="0.25">
      <c r="A9573" s="5">
        <v>35803</v>
      </c>
      <c r="B9573">
        <v>956.04998779296898</v>
      </c>
    </row>
    <row r="9574" spans="1:2" x14ac:dyDescent="0.25">
      <c r="A9574" s="5">
        <v>35804</v>
      </c>
      <c r="B9574">
        <v>927.69000244140602</v>
      </c>
    </row>
    <row r="9575" spans="1:2" x14ac:dyDescent="0.25">
      <c r="A9575" s="5">
        <v>35807</v>
      </c>
      <c r="B9575">
        <v>939.21002197265602</v>
      </c>
    </row>
    <row r="9576" spans="1:2" x14ac:dyDescent="0.25">
      <c r="A9576" s="5">
        <v>35808</v>
      </c>
      <c r="B9576">
        <v>952.11999511718795</v>
      </c>
    </row>
    <row r="9577" spans="1:2" x14ac:dyDescent="0.25">
      <c r="A9577" s="5">
        <v>35809</v>
      </c>
      <c r="B9577">
        <v>957.94000244140602</v>
      </c>
    </row>
    <row r="9578" spans="1:2" x14ac:dyDescent="0.25">
      <c r="A9578" s="5">
        <v>35810</v>
      </c>
      <c r="B9578">
        <v>950.72998046875</v>
      </c>
    </row>
    <row r="9579" spans="1:2" x14ac:dyDescent="0.25">
      <c r="A9579" s="5">
        <v>35811</v>
      </c>
      <c r="B9579">
        <v>961.510009765625</v>
      </c>
    </row>
    <row r="9580" spans="1:2" x14ac:dyDescent="0.25">
      <c r="A9580" s="5">
        <v>35815</v>
      </c>
      <c r="B9580">
        <v>978.59997558593795</v>
      </c>
    </row>
    <row r="9581" spans="1:2" x14ac:dyDescent="0.25">
      <c r="A9581" s="5">
        <v>35816</v>
      </c>
      <c r="B9581">
        <v>970.80999755859398</v>
      </c>
    </row>
    <row r="9582" spans="1:2" x14ac:dyDescent="0.25">
      <c r="A9582" s="5">
        <v>35817</v>
      </c>
      <c r="B9582">
        <v>963.03997802734398</v>
      </c>
    </row>
    <row r="9583" spans="1:2" x14ac:dyDescent="0.25">
      <c r="A9583" s="5">
        <v>35818</v>
      </c>
      <c r="B9583">
        <v>957.59002685546898</v>
      </c>
    </row>
    <row r="9584" spans="1:2" x14ac:dyDescent="0.25">
      <c r="A9584" s="5">
        <v>35821</v>
      </c>
      <c r="B9584">
        <v>956.95001220703102</v>
      </c>
    </row>
    <row r="9585" spans="1:2" x14ac:dyDescent="0.25">
      <c r="A9585" s="5">
        <v>35822</v>
      </c>
      <c r="B9585">
        <v>969.02001953125</v>
      </c>
    </row>
    <row r="9586" spans="1:2" x14ac:dyDescent="0.25">
      <c r="A9586" s="5">
        <v>35823</v>
      </c>
      <c r="B9586">
        <v>977.46002197265602</v>
      </c>
    </row>
    <row r="9587" spans="1:2" x14ac:dyDescent="0.25">
      <c r="A9587" s="5">
        <v>35824</v>
      </c>
      <c r="B9587">
        <v>985.489990234375</v>
      </c>
    </row>
    <row r="9588" spans="1:2" x14ac:dyDescent="0.25">
      <c r="A9588" s="5">
        <v>35825</v>
      </c>
      <c r="B9588">
        <v>980.280029296875</v>
      </c>
    </row>
    <row r="9589" spans="1:2" x14ac:dyDescent="0.25">
      <c r="A9589" s="5">
        <v>35828</v>
      </c>
      <c r="B9589">
        <v>1001.27001953125</v>
      </c>
    </row>
    <row r="9590" spans="1:2" x14ac:dyDescent="0.25">
      <c r="A9590" s="5">
        <v>35829</v>
      </c>
      <c r="B9590">
        <v>1006</v>
      </c>
    </row>
    <row r="9591" spans="1:2" x14ac:dyDescent="0.25">
      <c r="A9591" s="5">
        <v>35830</v>
      </c>
      <c r="B9591">
        <v>1006.90002441406</v>
      </c>
    </row>
    <row r="9592" spans="1:2" x14ac:dyDescent="0.25">
      <c r="A9592" s="5">
        <v>35831</v>
      </c>
      <c r="B9592">
        <v>1003.53997802734</v>
      </c>
    </row>
    <row r="9593" spans="1:2" x14ac:dyDescent="0.25">
      <c r="A9593" s="5">
        <v>35832</v>
      </c>
      <c r="B9593">
        <v>1012.46002197266</v>
      </c>
    </row>
    <row r="9594" spans="1:2" x14ac:dyDescent="0.25">
      <c r="A9594" s="5">
        <v>35835</v>
      </c>
      <c r="B9594">
        <v>1010.73999023438</v>
      </c>
    </row>
    <row r="9595" spans="1:2" x14ac:dyDescent="0.25">
      <c r="A9595" s="5">
        <v>35836</v>
      </c>
      <c r="B9595">
        <v>1019.01000976562</v>
      </c>
    </row>
    <row r="9596" spans="1:2" x14ac:dyDescent="0.25">
      <c r="A9596" s="5">
        <v>35837</v>
      </c>
      <c r="B9596">
        <v>1020.01000976562</v>
      </c>
    </row>
    <row r="9597" spans="1:2" x14ac:dyDescent="0.25">
      <c r="A9597" s="5">
        <v>35838</v>
      </c>
      <c r="B9597">
        <v>1024.14001464844</v>
      </c>
    </row>
    <row r="9598" spans="1:2" x14ac:dyDescent="0.25">
      <c r="A9598" s="5">
        <v>35839</v>
      </c>
      <c r="B9598">
        <v>1020.09002685547</v>
      </c>
    </row>
    <row r="9599" spans="1:2" x14ac:dyDescent="0.25">
      <c r="A9599" s="5">
        <v>35843</v>
      </c>
      <c r="B9599">
        <v>1022.76000976562</v>
      </c>
    </row>
    <row r="9600" spans="1:2" x14ac:dyDescent="0.25">
      <c r="A9600" s="5">
        <v>35844</v>
      </c>
      <c r="B9600">
        <v>1032.07995605469</v>
      </c>
    </row>
    <row r="9601" spans="1:2" x14ac:dyDescent="0.25">
      <c r="A9601" s="5">
        <v>35845</v>
      </c>
      <c r="B9601">
        <v>1028.28002929688</v>
      </c>
    </row>
    <row r="9602" spans="1:2" x14ac:dyDescent="0.25">
      <c r="A9602" s="5">
        <v>35846</v>
      </c>
      <c r="B9602">
        <v>1034.2099609375</v>
      </c>
    </row>
    <row r="9603" spans="1:2" x14ac:dyDescent="0.25">
      <c r="A9603" s="5">
        <v>35849</v>
      </c>
      <c r="B9603">
        <v>1038.14001464844</v>
      </c>
    </row>
    <row r="9604" spans="1:2" x14ac:dyDescent="0.25">
      <c r="A9604" s="5">
        <v>35850</v>
      </c>
      <c r="B9604">
        <v>1030.56005859375</v>
      </c>
    </row>
    <row r="9605" spans="1:2" x14ac:dyDescent="0.25">
      <c r="A9605" s="5">
        <v>35851</v>
      </c>
      <c r="B9605">
        <v>1042.90002441406</v>
      </c>
    </row>
    <row r="9606" spans="1:2" x14ac:dyDescent="0.25">
      <c r="A9606" s="5">
        <v>35852</v>
      </c>
      <c r="B9606">
        <v>1048.67004394531</v>
      </c>
    </row>
    <row r="9607" spans="1:2" x14ac:dyDescent="0.25">
      <c r="A9607" s="5">
        <v>35853</v>
      </c>
      <c r="B9607">
        <v>1049.33996582031</v>
      </c>
    </row>
    <row r="9608" spans="1:2" x14ac:dyDescent="0.25">
      <c r="A9608" s="5">
        <v>35856</v>
      </c>
      <c r="B9608">
        <v>1047.69995117188</v>
      </c>
    </row>
    <row r="9609" spans="1:2" x14ac:dyDescent="0.25">
      <c r="A9609" s="5">
        <v>35857</v>
      </c>
      <c r="B9609">
        <v>1052.02001953125</v>
      </c>
    </row>
    <row r="9610" spans="1:2" x14ac:dyDescent="0.25">
      <c r="A9610" s="5">
        <v>35858</v>
      </c>
      <c r="B9610">
        <v>1047.32995605469</v>
      </c>
    </row>
    <row r="9611" spans="1:2" x14ac:dyDescent="0.25">
      <c r="A9611" s="5">
        <v>35859</v>
      </c>
      <c r="B9611">
        <v>1035.05004882812</v>
      </c>
    </row>
    <row r="9612" spans="1:2" x14ac:dyDescent="0.25">
      <c r="A9612" s="5">
        <v>35860</v>
      </c>
      <c r="B9612">
        <v>1055.68994140625</v>
      </c>
    </row>
    <row r="9613" spans="1:2" x14ac:dyDescent="0.25">
      <c r="A9613" s="5">
        <v>35863</v>
      </c>
      <c r="B9613">
        <v>1052.31005859375</v>
      </c>
    </row>
    <row r="9614" spans="1:2" x14ac:dyDescent="0.25">
      <c r="A9614" s="5">
        <v>35864</v>
      </c>
      <c r="B9614">
        <v>1064.25</v>
      </c>
    </row>
    <row r="9615" spans="1:2" x14ac:dyDescent="0.25">
      <c r="A9615" s="5">
        <v>35865</v>
      </c>
      <c r="B9615">
        <v>1068.46997070312</v>
      </c>
    </row>
    <row r="9616" spans="1:2" x14ac:dyDescent="0.25">
      <c r="A9616" s="5">
        <v>35866</v>
      </c>
      <c r="B9616">
        <v>1069.92004394531</v>
      </c>
    </row>
    <row r="9617" spans="1:2" x14ac:dyDescent="0.25">
      <c r="A9617" s="5">
        <v>35867</v>
      </c>
      <c r="B9617">
        <v>1068.60998535156</v>
      </c>
    </row>
    <row r="9618" spans="1:2" x14ac:dyDescent="0.25">
      <c r="A9618" s="5">
        <v>35870</v>
      </c>
      <c r="B9618">
        <v>1079.27001953125</v>
      </c>
    </row>
    <row r="9619" spans="1:2" x14ac:dyDescent="0.25">
      <c r="A9619" s="5">
        <v>35871</v>
      </c>
      <c r="B9619">
        <v>1080.44995117188</v>
      </c>
    </row>
    <row r="9620" spans="1:2" x14ac:dyDescent="0.25">
      <c r="A9620" s="5">
        <v>35872</v>
      </c>
      <c r="B9620">
        <v>1085.52001953125</v>
      </c>
    </row>
    <row r="9621" spans="1:2" x14ac:dyDescent="0.25">
      <c r="A9621" s="5">
        <v>35873</v>
      </c>
      <c r="B9621">
        <v>1089.73999023438</v>
      </c>
    </row>
    <row r="9622" spans="1:2" x14ac:dyDescent="0.25">
      <c r="A9622" s="5">
        <v>35874</v>
      </c>
      <c r="B9622">
        <v>1099.16003417969</v>
      </c>
    </row>
    <row r="9623" spans="1:2" x14ac:dyDescent="0.25">
      <c r="A9623" s="5">
        <v>35877</v>
      </c>
      <c r="B9623">
        <v>1095.55004882812</v>
      </c>
    </row>
    <row r="9624" spans="1:2" x14ac:dyDescent="0.25">
      <c r="A9624" s="5">
        <v>35878</v>
      </c>
      <c r="B9624">
        <v>1105.65002441406</v>
      </c>
    </row>
    <row r="9625" spans="1:2" x14ac:dyDescent="0.25">
      <c r="A9625" s="5">
        <v>35879</v>
      </c>
      <c r="B9625">
        <v>1101.93005371094</v>
      </c>
    </row>
    <row r="9626" spans="1:2" x14ac:dyDescent="0.25">
      <c r="A9626" s="5">
        <v>35880</v>
      </c>
      <c r="B9626">
        <v>1100.80004882812</v>
      </c>
    </row>
    <row r="9627" spans="1:2" x14ac:dyDescent="0.25">
      <c r="A9627" s="5">
        <v>35881</v>
      </c>
      <c r="B9627">
        <v>1095.43994140625</v>
      </c>
    </row>
    <row r="9628" spans="1:2" x14ac:dyDescent="0.25">
      <c r="A9628" s="5">
        <v>35884</v>
      </c>
      <c r="B9628">
        <v>1093.59997558594</v>
      </c>
    </row>
    <row r="9629" spans="1:2" x14ac:dyDescent="0.25">
      <c r="A9629" s="5">
        <v>35885</v>
      </c>
      <c r="B9629">
        <v>1101.75</v>
      </c>
    </row>
    <row r="9630" spans="1:2" x14ac:dyDescent="0.25">
      <c r="A9630" s="5">
        <v>35886</v>
      </c>
      <c r="B9630">
        <v>1108.15002441406</v>
      </c>
    </row>
    <row r="9631" spans="1:2" x14ac:dyDescent="0.25">
      <c r="A9631" s="5">
        <v>35887</v>
      </c>
      <c r="B9631">
        <v>1120.01000976562</v>
      </c>
    </row>
    <row r="9632" spans="1:2" x14ac:dyDescent="0.25">
      <c r="A9632" s="5">
        <v>35888</v>
      </c>
      <c r="B9632">
        <v>1122.69995117188</v>
      </c>
    </row>
    <row r="9633" spans="1:2" x14ac:dyDescent="0.25">
      <c r="A9633" s="5">
        <v>35891</v>
      </c>
      <c r="B9633">
        <v>1121.38000488281</v>
      </c>
    </row>
    <row r="9634" spans="1:2" x14ac:dyDescent="0.25">
      <c r="A9634" s="5">
        <v>35892</v>
      </c>
      <c r="B9634">
        <v>1109.55004882812</v>
      </c>
    </row>
    <row r="9635" spans="1:2" x14ac:dyDescent="0.25">
      <c r="A9635" s="5">
        <v>35893</v>
      </c>
      <c r="B9635">
        <v>1101.65002441406</v>
      </c>
    </row>
    <row r="9636" spans="1:2" x14ac:dyDescent="0.25">
      <c r="A9636" s="5">
        <v>35894</v>
      </c>
      <c r="B9636">
        <v>1110.67004394531</v>
      </c>
    </row>
    <row r="9637" spans="1:2" x14ac:dyDescent="0.25">
      <c r="A9637" s="5">
        <v>35898</v>
      </c>
      <c r="B9637">
        <v>1109.68994140625</v>
      </c>
    </row>
    <row r="9638" spans="1:2" x14ac:dyDescent="0.25">
      <c r="A9638" s="5">
        <v>35899</v>
      </c>
      <c r="B9638">
        <v>1115.75</v>
      </c>
    </row>
    <row r="9639" spans="1:2" x14ac:dyDescent="0.25">
      <c r="A9639" s="5">
        <v>35900</v>
      </c>
      <c r="B9639">
        <v>1119.31994628906</v>
      </c>
    </row>
    <row r="9640" spans="1:2" x14ac:dyDescent="0.25">
      <c r="A9640" s="5">
        <v>35901</v>
      </c>
      <c r="B9640">
        <v>1108.17004394531</v>
      </c>
    </row>
    <row r="9641" spans="1:2" x14ac:dyDescent="0.25">
      <c r="A9641" s="5">
        <v>35902</v>
      </c>
      <c r="B9641">
        <v>1122.71997070312</v>
      </c>
    </row>
    <row r="9642" spans="1:2" x14ac:dyDescent="0.25">
      <c r="A9642" s="5">
        <v>35905</v>
      </c>
      <c r="B9642">
        <v>1123.65002441406</v>
      </c>
    </row>
    <row r="9643" spans="1:2" x14ac:dyDescent="0.25">
      <c r="A9643" s="5">
        <v>35906</v>
      </c>
      <c r="B9643">
        <v>1126.67004394531</v>
      </c>
    </row>
    <row r="9644" spans="1:2" x14ac:dyDescent="0.25">
      <c r="A9644" s="5">
        <v>35907</v>
      </c>
      <c r="B9644">
        <v>1130.5400390625</v>
      </c>
    </row>
    <row r="9645" spans="1:2" x14ac:dyDescent="0.25">
      <c r="A9645" s="5">
        <v>35908</v>
      </c>
      <c r="B9645">
        <v>1119.57995605469</v>
      </c>
    </row>
    <row r="9646" spans="1:2" x14ac:dyDescent="0.25">
      <c r="A9646" s="5">
        <v>35909</v>
      </c>
      <c r="B9646">
        <v>1107.90002441406</v>
      </c>
    </row>
    <row r="9647" spans="1:2" x14ac:dyDescent="0.25">
      <c r="A9647" s="5">
        <v>35912</v>
      </c>
      <c r="B9647">
        <v>1086.5400390625</v>
      </c>
    </row>
    <row r="9648" spans="1:2" x14ac:dyDescent="0.25">
      <c r="A9648" s="5">
        <v>35913</v>
      </c>
      <c r="B9648">
        <v>1085.10998535156</v>
      </c>
    </row>
    <row r="9649" spans="1:2" x14ac:dyDescent="0.25">
      <c r="A9649" s="5">
        <v>35914</v>
      </c>
      <c r="B9649">
        <v>1094.61999511719</v>
      </c>
    </row>
    <row r="9650" spans="1:2" x14ac:dyDescent="0.25">
      <c r="A9650" s="5">
        <v>35915</v>
      </c>
      <c r="B9650">
        <v>1111.75</v>
      </c>
    </row>
    <row r="9651" spans="1:2" x14ac:dyDescent="0.25">
      <c r="A9651" s="5">
        <v>35916</v>
      </c>
      <c r="B9651">
        <v>1121</v>
      </c>
    </row>
    <row r="9652" spans="1:2" x14ac:dyDescent="0.25">
      <c r="A9652" s="5">
        <v>35919</v>
      </c>
      <c r="B9652">
        <v>1122.06994628906</v>
      </c>
    </row>
    <row r="9653" spans="1:2" x14ac:dyDescent="0.25">
      <c r="A9653" s="5">
        <v>35920</v>
      </c>
      <c r="B9653">
        <v>1115.5</v>
      </c>
    </row>
    <row r="9654" spans="1:2" x14ac:dyDescent="0.25">
      <c r="A9654" s="5">
        <v>35921</v>
      </c>
      <c r="B9654">
        <v>1104.92004394531</v>
      </c>
    </row>
    <row r="9655" spans="1:2" x14ac:dyDescent="0.25">
      <c r="A9655" s="5">
        <v>35922</v>
      </c>
      <c r="B9655">
        <v>1095.14001464844</v>
      </c>
    </row>
    <row r="9656" spans="1:2" x14ac:dyDescent="0.25">
      <c r="A9656" s="5">
        <v>35923</v>
      </c>
      <c r="B9656">
        <v>1108.14001464844</v>
      </c>
    </row>
    <row r="9657" spans="1:2" x14ac:dyDescent="0.25">
      <c r="A9657" s="5">
        <v>35926</v>
      </c>
      <c r="B9657">
        <v>1106.64001464844</v>
      </c>
    </row>
    <row r="9658" spans="1:2" x14ac:dyDescent="0.25">
      <c r="A9658" s="5">
        <v>35927</v>
      </c>
      <c r="B9658">
        <v>1115.7900390625</v>
      </c>
    </row>
    <row r="9659" spans="1:2" x14ac:dyDescent="0.25">
      <c r="A9659" s="5">
        <v>35928</v>
      </c>
      <c r="B9659">
        <v>1118.85998535156</v>
      </c>
    </row>
    <row r="9660" spans="1:2" x14ac:dyDescent="0.25">
      <c r="A9660" s="5">
        <v>35929</v>
      </c>
      <c r="B9660">
        <v>1117.36999511719</v>
      </c>
    </row>
    <row r="9661" spans="1:2" x14ac:dyDescent="0.25">
      <c r="A9661" s="5">
        <v>35930</v>
      </c>
      <c r="B9661">
        <v>1108.72998046875</v>
      </c>
    </row>
    <row r="9662" spans="1:2" x14ac:dyDescent="0.25">
      <c r="A9662" s="5">
        <v>35933</v>
      </c>
      <c r="B9662">
        <v>1105.81994628906</v>
      </c>
    </row>
    <row r="9663" spans="1:2" x14ac:dyDescent="0.25">
      <c r="A9663" s="5">
        <v>35934</v>
      </c>
      <c r="B9663">
        <v>1109.52001953125</v>
      </c>
    </row>
    <row r="9664" spans="1:2" x14ac:dyDescent="0.25">
      <c r="A9664" s="5">
        <v>35935</v>
      </c>
      <c r="B9664">
        <v>1119.06005859375</v>
      </c>
    </row>
    <row r="9665" spans="1:2" x14ac:dyDescent="0.25">
      <c r="A9665" s="5">
        <v>35936</v>
      </c>
      <c r="B9665">
        <v>1114.64001464844</v>
      </c>
    </row>
    <row r="9666" spans="1:2" x14ac:dyDescent="0.25">
      <c r="A9666" s="5">
        <v>35937</v>
      </c>
      <c r="B9666">
        <v>1110.46997070312</v>
      </c>
    </row>
    <row r="9667" spans="1:2" x14ac:dyDescent="0.25">
      <c r="A9667" s="5">
        <v>35941</v>
      </c>
      <c r="B9667">
        <v>1094.02001953125</v>
      </c>
    </row>
    <row r="9668" spans="1:2" x14ac:dyDescent="0.25">
      <c r="A9668" s="5">
        <v>35942</v>
      </c>
      <c r="B9668">
        <v>1092.22998046875</v>
      </c>
    </row>
    <row r="9669" spans="1:2" x14ac:dyDescent="0.25">
      <c r="A9669" s="5">
        <v>35943</v>
      </c>
      <c r="B9669">
        <v>1097.59997558594</v>
      </c>
    </row>
    <row r="9670" spans="1:2" x14ac:dyDescent="0.25">
      <c r="A9670" s="5">
        <v>35944</v>
      </c>
      <c r="B9670">
        <v>1090.81994628906</v>
      </c>
    </row>
    <row r="9671" spans="1:2" x14ac:dyDescent="0.25">
      <c r="A9671" s="5">
        <v>35947</v>
      </c>
      <c r="B9671">
        <v>1090.97998046875</v>
      </c>
    </row>
    <row r="9672" spans="1:2" x14ac:dyDescent="0.25">
      <c r="A9672" s="5">
        <v>35948</v>
      </c>
      <c r="B9672">
        <v>1093.21997070312</v>
      </c>
    </row>
    <row r="9673" spans="1:2" x14ac:dyDescent="0.25">
      <c r="A9673" s="5">
        <v>35949</v>
      </c>
      <c r="B9673">
        <v>1082.72998046875</v>
      </c>
    </row>
    <row r="9674" spans="1:2" x14ac:dyDescent="0.25">
      <c r="A9674" s="5">
        <v>35950</v>
      </c>
      <c r="B9674">
        <v>1094.82995605469</v>
      </c>
    </row>
    <row r="9675" spans="1:2" x14ac:dyDescent="0.25">
      <c r="A9675" s="5">
        <v>35951</v>
      </c>
      <c r="B9675">
        <v>1113.85998535156</v>
      </c>
    </row>
    <row r="9676" spans="1:2" x14ac:dyDescent="0.25">
      <c r="A9676" s="5">
        <v>35954</v>
      </c>
      <c r="B9676">
        <v>1115.71997070312</v>
      </c>
    </row>
    <row r="9677" spans="1:2" x14ac:dyDescent="0.25">
      <c r="A9677" s="5">
        <v>35955</v>
      </c>
      <c r="B9677">
        <v>1118.41003417969</v>
      </c>
    </row>
    <row r="9678" spans="1:2" x14ac:dyDescent="0.25">
      <c r="A9678" s="5">
        <v>35956</v>
      </c>
      <c r="B9678">
        <v>1112.28002929688</v>
      </c>
    </row>
    <row r="9679" spans="1:2" x14ac:dyDescent="0.25">
      <c r="A9679" s="5">
        <v>35957</v>
      </c>
      <c r="B9679">
        <v>1094.57995605469</v>
      </c>
    </row>
    <row r="9680" spans="1:2" x14ac:dyDescent="0.25">
      <c r="A9680" s="5">
        <v>35958</v>
      </c>
      <c r="B9680">
        <v>1098.83996582031</v>
      </c>
    </row>
    <row r="9681" spans="1:2" x14ac:dyDescent="0.25">
      <c r="A9681" s="5">
        <v>35961</v>
      </c>
      <c r="B9681">
        <v>1077.01000976562</v>
      </c>
    </row>
    <row r="9682" spans="1:2" x14ac:dyDescent="0.25">
      <c r="A9682" s="5">
        <v>35962</v>
      </c>
      <c r="B9682">
        <v>1087.58996582031</v>
      </c>
    </row>
    <row r="9683" spans="1:2" x14ac:dyDescent="0.25">
      <c r="A9683" s="5">
        <v>35963</v>
      </c>
      <c r="B9683">
        <v>1107.10998535156</v>
      </c>
    </row>
    <row r="9684" spans="1:2" x14ac:dyDescent="0.25">
      <c r="A9684" s="5">
        <v>35964</v>
      </c>
      <c r="B9684">
        <v>1106.36999511719</v>
      </c>
    </row>
    <row r="9685" spans="1:2" x14ac:dyDescent="0.25">
      <c r="A9685" s="5">
        <v>35965</v>
      </c>
      <c r="B9685">
        <v>1100.65002441406</v>
      </c>
    </row>
    <row r="9686" spans="1:2" x14ac:dyDescent="0.25">
      <c r="A9686" s="5">
        <v>35968</v>
      </c>
      <c r="B9686">
        <v>1103.2099609375</v>
      </c>
    </row>
    <row r="9687" spans="1:2" x14ac:dyDescent="0.25">
      <c r="A9687" s="5">
        <v>35969</v>
      </c>
      <c r="B9687">
        <v>1119.48999023438</v>
      </c>
    </row>
    <row r="9688" spans="1:2" x14ac:dyDescent="0.25">
      <c r="A9688" s="5">
        <v>35970</v>
      </c>
      <c r="B9688">
        <v>1132.88000488281</v>
      </c>
    </row>
    <row r="9689" spans="1:2" x14ac:dyDescent="0.25">
      <c r="A9689" s="5">
        <v>35971</v>
      </c>
      <c r="B9689">
        <v>1129.28002929688</v>
      </c>
    </row>
    <row r="9690" spans="1:2" x14ac:dyDescent="0.25">
      <c r="A9690" s="5">
        <v>35972</v>
      </c>
      <c r="B9690">
        <v>1133.19995117188</v>
      </c>
    </row>
    <row r="9691" spans="1:2" x14ac:dyDescent="0.25">
      <c r="A9691" s="5">
        <v>35975</v>
      </c>
      <c r="B9691">
        <v>1138.48999023438</v>
      </c>
    </row>
    <row r="9692" spans="1:2" x14ac:dyDescent="0.25">
      <c r="A9692" s="5">
        <v>35976</v>
      </c>
      <c r="B9692">
        <v>1133.83996582031</v>
      </c>
    </row>
    <row r="9693" spans="1:2" x14ac:dyDescent="0.25">
      <c r="A9693" s="5">
        <v>35977</v>
      </c>
      <c r="B9693">
        <v>1148.56005859375</v>
      </c>
    </row>
    <row r="9694" spans="1:2" x14ac:dyDescent="0.25">
      <c r="A9694" s="5">
        <v>35978</v>
      </c>
      <c r="B9694">
        <v>1146.42004394531</v>
      </c>
    </row>
    <row r="9695" spans="1:2" x14ac:dyDescent="0.25">
      <c r="A9695" s="5">
        <v>35982</v>
      </c>
      <c r="B9695">
        <v>1157.32995605469</v>
      </c>
    </row>
    <row r="9696" spans="1:2" x14ac:dyDescent="0.25">
      <c r="A9696" s="5">
        <v>35983</v>
      </c>
      <c r="B9696">
        <v>1154.66003417969</v>
      </c>
    </row>
    <row r="9697" spans="1:2" x14ac:dyDescent="0.25">
      <c r="A9697" s="5">
        <v>35984</v>
      </c>
      <c r="B9697">
        <v>1166.38000488281</v>
      </c>
    </row>
    <row r="9698" spans="1:2" x14ac:dyDescent="0.25">
      <c r="A9698" s="5">
        <v>35985</v>
      </c>
      <c r="B9698">
        <v>1158.56005859375</v>
      </c>
    </row>
    <row r="9699" spans="1:2" x14ac:dyDescent="0.25">
      <c r="A9699" s="5">
        <v>35986</v>
      </c>
      <c r="B9699">
        <v>1164.32995605469</v>
      </c>
    </row>
    <row r="9700" spans="1:2" x14ac:dyDescent="0.25">
      <c r="A9700" s="5">
        <v>35989</v>
      </c>
      <c r="B9700">
        <v>1165.18994140625</v>
      </c>
    </row>
    <row r="9701" spans="1:2" x14ac:dyDescent="0.25">
      <c r="A9701" s="5">
        <v>35990</v>
      </c>
      <c r="B9701">
        <v>1177.57995605469</v>
      </c>
    </row>
    <row r="9702" spans="1:2" x14ac:dyDescent="0.25">
      <c r="A9702" s="5">
        <v>35991</v>
      </c>
      <c r="B9702">
        <v>1174.81005859375</v>
      </c>
    </row>
    <row r="9703" spans="1:2" x14ac:dyDescent="0.25">
      <c r="A9703" s="5">
        <v>35992</v>
      </c>
      <c r="B9703">
        <v>1183.98999023438</v>
      </c>
    </row>
    <row r="9704" spans="1:2" x14ac:dyDescent="0.25">
      <c r="A9704" s="5">
        <v>35993</v>
      </c>
      <c r="B9704">
        <v>1186.75</v>
      </c>
    </row>
    <row r="9705" spans="1:2" x14ac:dyDescent="0.25">
      <c r="A9705" s="5">
        <v>35996</v>
      </c>
      <c r="B9705">
        <v>1184.09997558594</v>
      </c>
    </row>
    <row r="9706" spans="1:2" x14ac:dyDescent="0.25">
      <c r="A9706" s="5">
        <v>35997</v>
      </c>
      <c r="B9706">
        <v>1165.06994628906</v>
      </c>
    </row>
    <row r="9707" spans="1:2" x14ac:dyDescent="0.25">
      <c r="A9707" s="5">
        <v>35998</v>
      </c>
      <c r="B9707">
        <v>1164.07995605469</v>
      </c>
    </row>
    <row r="9708" spans="1:2" x14ac:dyDescent="0.25">
      <c r="A9708" s="5">
        <v>35999</v>
      </c>
      <c r="B9708">
        <v>1139.75</v>
      </c>
    </row>
    <row r="9709" spans="1:2" x14ac:dyDescent="0.25">
      <c r="A9709" s="5">
        <v>36000</v>
      </c>
      <c r="B9709">
        <v>1140.80004882812</v>
      </c>
    </row>
    <row r="9710" spans="1:2" x14ac:dyDescent="0.25">
      <c r="A9710" s="5">
        <v>36003</v>
      </c>
      <c r="B9710">
        <v>1147.27001953125</v>
      </c>
    </row>
    <row r="9711" spans="1:2" x14ac:dyDescent="0.25">
      <c r="A9711" s="5">
        <v>36004</v>
      </c>
      <c r="B9711">
        <v>1130.23999023438</v>
      </c>
    </row>
    <row r="9712" spans="1:2" x14ac:dyDescent="0.25">
      <c r="A9712" s="5">
        <v>36005</v>
      </c>
      <c r="B9712">
        <v>1125.2099609375</v>
      </c>
    </row>
    <row r="9713" spans="1:2" x14ac:dyDescent="0.25">
      <c r="A9713" s="5">
        <v>36006</v>
      </c>
      <c r="B9713">
        <v>1142.94995117188</v>
      </c>
    </row>
    <row r="9714" spans="1:2" x14ac:dyDescent="0.25">
      <c r="A9714" s="5">
        <v>36007</v>
      </c>
      <c r="B9714">
        <v>1120.67004394531</v>
      </c>
    </row>
    <row r="9715" spans="1:2" x14ac:dyDescent="0.25">
      <c r="A9715" s="5">
        <v>36010</v>
      </c>
      <c r="B9715">
        <v>1112.43994140625</v>
      </c>
    </row>
    <row r="9716" spans="1:2" x14ac:dyDescent="0.25">
      <c r="A9716" s="5">
        <v>36011</v>
      </c>
      <c r="B9716">
        <v>1072.11999511719</v>
      </c>
    </row>
    <row r="9717" spans="1:2" x14ac:dyDescent="0.25">
      <c r="A9717" s="5">
        <v>36012</v>
      </c>
      <c r="B9717">
        <v>1081.43005371094</v>
      </c>
    </row>
    <row r="9718" spans="1:2" x14ac:dyDescent="0.25">
      <c r="A9718" s="5">
        <v>36013</v>
      </c>
      <c r="B9718">
        <v>1089.63000488281</v>
      </c>
    </row>
    <row r="9719" spans="1:2" x14ac:dyDescent="0.25">
      <c r="A9719" s="5">
        <v>36014</v>
      </c>
      <c r="B9719">
        <v>1089.44995117188</v>
      </c>
    </row>
    <row r="9720" spans="1:2" x14ac:dyDescent="0.25">
      <c r="A9720" s="5">
        <v>36017</v>
      </c>
      <c r="B9720">
        <v>1083.14001464844</v>
      </c>
    </row>
    <row r="9721" spans="1:2" x14ac:dyDescent="0.25">
      <c r="A9721" s="5">
        <v>36018</v>
      </c>
      <c r="B9721">
        <v>1068.97998046875</v>
      </c>
    </row>
    <row r="9722" spans="1:2" x14ac:dyDescent="0.25">
      <c r="A9722" s="5">
        <v>36019</v>
      </c>
      <c r="B9722">
        <v>1084.21997070312</v>
      </c>
    </row>
    <row r="9723" spans="1:2" x14ac:dyDescent="0.25">
      <c r="A9723" s="5">
        <v>36020</v>
      </c>
      <c r="B9723">
        <v>1074.91003417969</v>
      </c>
    </row>
    <row r="9724" spans="1:2" x14ac:dyDescent="0.25">
      <c r="A9724" s="5">
        <v>36021</v>
      </c>
      <c r="B9724">
        <v>1062.75</v>
      </c>
    </row>
    <row r="9725" spans="1:2" x14ac:dyDescent="0.25">
      <c r="A9725" s="5">
        <v>36024</v>
      </c>
      <c r="B9725">
        <v>1083.67004394531</v>
      </c>
    </row>
    <row r="9726" spans="1:2" x14ac:dyDescent="0.25">
      <c r="A9726" s="5">
        <v>36025</v>
      </c>
      <c r="B9726">
        <v>1101.19995117188</v>
      </c>
    </row>
    <row r="9727" spans="1:2" x14ac:dyDescent="0.25">
      <c r="A9727" s="5">
        <v>36026</v>
      </c>
      <c r="B9727">
        <v>1098.06005859375</v>
      </c>
    </row>
    <row r="9728" spans="1:2" x14ac:dyDescent="0.25">
      <c r="A9728" s="5">
        <v>36027</v>
      </c>
      <c r="B9728">
        <v>1091.59997558594</v>
      </c>
    </row>
    <row r="9729" spans="1:2" x14ac:dyDescent="0.25">
      <c r="A9729" s="5">
        <v>36028</v>
      </c>
      <c r="B9729">
        <v>1081.23999023438</v>
      </c>
    </row>
    <row r="9730" spans="1:2" x14ac:dyDescent="0.25">
      <c r="A9730" s="5">
        <v>36031</v>
      </c>
      <c r="B9730">
        <v>1088.14001464844</v>
      </c>
    </row>
    <row r="9731" spans="1:2" x14ac:dyDescent="0.25">
      <c r="A9731" s="5">
        <v>36032</v>
      </c>
      <c r="B9731">
        <v>1092.84997558594</v>
      </c>
    </row>
    <row r="9732" spans="1:2" x14ac:dyDescent="0.25">
      <c r="A9732" s="5">
        <v>36033</v>
      </c>
      <c r="B9732">
        <v>1084.18994140625</v>
      </c>
    </row>
    <row r="9733" spans="1:2" x14ac:dyDescent="0.25">
      <c r="A9733" s="5">
        <v>36034</v>
      </c>
      <c r="B9733">
        <v>1042.58996582031</v>
      </c>
    </row>
    <row r="9734" spans="1:2" x14ac:dyDescent="0.25">
      <c r="A9734" s="5">
        <v>36035</v>
      </c>
      <c r="B9734">
        <v>1027.14001464844</v>
      </c>
    </row>
    <row r="9735" spans="1:2" x14ac:dyDescent="0.25">
      <c r="A9735" s="5">
        <v>36038</v>
      </c>
      <c r="B9735">
        <v>957.280029296875</v>
      </c>
    </row>
    <row r="9736" spans="1:2" x14ac:dyDescent="0.25">
      <c r="A9736" s="5">
        <v>36039</v>
      </c>
      <c r="B9736">
        <v>994.260009765625</v>
      </c>
    </row>
    <row r="9737" spans="1:2" x14ac:dyDescent="0.25">
      <c r="A9737" s="5">
        <v>36040</v>
      </c>
      <c r="B9737">
        <v>990.47998046875</v>
      </c>
    </row>
    <row r="9738" spans="1:2" x14ac:dyDescent="0.25">
      <c r="A9738" s="5">
        <v>36041</v>
      </c>
      <c r="B9738">
        <v>982.260009765625</v>
      </c>
    </row>
    <row r="9739" spans="1:2" x14ac:dyDescent="0.25">
      <c r="A9739" s="5">
        <v>36042</v>
      </c>
      <c r="B9739">
        <v>973.89001464843795</v>
      </c>
    </row>
    <row r="9740" spans="1:2" x14ac:dyDescent="0.25">
      <c r="A9740" s="5">
        <v>36046</v>
      </c>
      <c r="B9740">
        <v>1023.46002197266</v>
      </c>
    </row>
    <row r="9741" spans="1:2" x14ac:dyDescent="0.25">
      <c r="A9741" s="5">
        <v>36047</v>
      </c>
      <c r="B9741">
        <v>1006.20001220703</v>
      </c>
    </row>
    <row r="9742" spans="1:2" x14ac:dyDescent="0.25">
      <c r="A9742" s="5">
        <v>36048</v>
      </c>
      <c r="B9742">
        <v>980.19000244140602</v>
      </c>
    </row>
    <row r="9743" spans="1:2" x14ac:dyDescent="0.25">
      <c r="A9743" s="5">
        <v>36049</v>
      </c>
      <c r="B9743">
        <v>1009.05999755859</v>
      </c>
    </row>
    <row r="9744" spans="1:2" x14ac:dyDescent="0.25">
      <c r="A9744" s="5">
        <v>36052</v>
      </c>
      <c r="B9744">
        <v>1029.71997070312</v>
      </c>
    </row>
    <row r="9745" spans="1:2" x14ac:dyDescent="0.25">
      <c r="A9745" s="5">
        <v>36053</v>
      </c>
      <c r="B9745">
        <v>1037.68005371094</v>
      </c>
    </row>
    <row r="9746" spans="1:2" x14ac:dyDescent="0.25">
      <c r="A9746" s="5">
        <v>36054</v>
      </c>
      <c r="B9746">
        <v>1045.47998046875</v>
      </c>
    </row>
    <row r="9747" spans="1:2" x14ac:dyDescent="0.25">
      <c r="A9747" s="5">
        <v>36055</v>
      </c>
      <c r="B9747">
        <v>1018.86999511719</v>
      </c>
    </row>
    <row r="9748" spans="1:2" x14ac:dyDescent="0.25">
      <c r="A9748" s="5">
        <v>36056</v>
      </c>
      <c r="B9748">
        <v>1020.09002685547</v>
      </c>
    </row>
    <row r="9749" spans="1:2" x14ac:dyDescent="0.25">
      <c r="A9749" s="5">
        <v>36059</v>
      </c>
      <c r="B9749">
        <v>1023.89001464844</v>
      </c>
    </row>
    <row r="9750" spans="1:2" x14ac:dyDescent="0.25">
      <c r="A9750" s="5">
        <v>36060</v>
      </c>
      <c r="B9750">
        <v>1029.63000488281</v>
      </c>
    </row>
    <row r="9751" spans="1:2" x14ac:dyDescent="0.25">
      <c r="A9751" s="5">
        <v>36061</v>
      </c>
      <c r="B9751">
        <v>1066.08996582031</v>
      </c>
    </row>
    <row r="9752" spans="1:2" x14ac:dyDescent="0.25">
      <c r="A9752" s="5">
        <v>36062</v>
      </c>
      <c r="B9752">
        <v>1042.71997070312</v>
      </c>
    </row>
    <row r="9753" spans="1:2" x14ac:dyDescent="0.25">
      <c r="A9753" s="5">
        <v>36063</v>
      </c>
      <c r="B9753">
        <v>1044.75</v>
      </c>
    </row>
    <row r="9754" spans="1:2" x14ac:dyDescent="0.25">
      <c r="A9754" s="5">
        <v>36066</v>
      </c>
      <c r="B9754">
        <v>1048.68994140625</v>
      </c>
    </row>
    <row r="9755" spans="1:2" x14ac:dyDescent="0.25">
      <c r="A9755" s="5">
        <v>36067</v>
      </c>
      <c r="B9755">
        <v>1049.02001953125</v>
      </c>
    </row>
    <row r="9756" spans="1:2" x14ac:dyDescent="0.25">
      <c r="A9756" s="5">
        <v>36068</v>
      </c>
      <c r="B9756">
        <v>1017.01000976562</v>
      </c>
    </row>
    <row r="9757" spans="1:2" x14ac:dyDescent="0.25">
      <c r="A9757" s="5">
        <v>36069</v>
      </c>
      <c r="B9757">
        <v>986.39001464843795</v>
      </c>
    </row>
    <row r="9758" spans="1:2" x14ac:dyDescent="0.25">
      <c r="A9758" s="5">
        <v>36070</v>
      </c>
      <c r="B9758">
        <v>1002.59997558594</v>
      </c>
    </row>
    <row r="9759" spans="1:2" x14ac:dyDescent="0.25">
      <c r="A9759" s="5">
        <v>36073</v>
      </c>
      <c r="B9759">
        <v>988.55999755859398</v>
      </c>
    </row>
    <row r="9760" spans="1:2" x14ac:dyDescent="0.25">
      <c r="A9760" s="5">
        <v>36074</v>
      </c>
      <c r="B9760">
        <v>984.59002685546898</v>
      </c>
    </row>
    <row r="9761" spans="1:2" x14ac:dyDescent="0.25">
      <c r="A9761" s="5">
        <v>36075</v>
      </c>
      <c r="B9761">
        <v>970.67999267578102</v>
      </c>
    </row>
    <row r="9762" spans="1:2" x14ac:dyDescent="0.25">
      <c r="A9762" s="5">
        <v>36076</v>
      </c>
      <c r="B9762">
        <v>959.44000244140602</v>
      </c>
    </row>
    <row r="9763" spans="1:2" x14ac:dyDescent="0.25">
      <c r="A9763" s="5">
        <v>36077</v>
      </c>
      <c r="B9763">
        <v>984.39001464843795</v>
      </c>
    </row>
    <row r="9764" spans="1:2" x14ac:dyDescent="0.25">
      <c r="A9764" s="5">
        <v>36080</v>
      </c>
      <c r="B9764">
        <v>997.71002197265602</v>
      </c>
    </row>
    <row r="9765" spans="1:2" x14ac:dyDescent="0.25">
      <c r="A9765" s="5">
        <v>36081</v>
      </c>
      <c r="B9765">
        <v>994.79998779296898</v>
      </c>
    </row>
    <row r="9766" spans="1:2" x14ac:dyDescent="0.25">
      <c r="A9766" s="5">
        <v>36082</v>
      </c>
      <c r="B9766">
        <v>1005.53002929688</v>
      </c>
    </row>
    <row r="9767" spans="1:2" x14ac:dyDescent="0.25">
      <c r="A9767" s="5">
        <v>36083</v>
      </c>
      <c r="B9767">
        <v>1047.48999023438</v>
      </c>
    </row>
    <row r="9768" spans="1:2" x14ac:dyDescent="0.25">
      <c r="A9768" s="5">
        <v>36084</v>
      </c>
      <c r="B9768">
        <v>1056.42004394531</v>
      </c>
    </row>
    <row r="9769" spans="1:2" x14ac:dyDescent="0.25">
      <c r="A9769" s="5">
        <v>36087</v>
      </c>
      <c r="B9769">
        <v>1062.39001464844</v>
      </c>
    </row>
    <row r="9770" spans="1:2" x14ac:dyDescent="0.25">
      <c r="A9770" s="5">
        <v>36088</v>
      </c>
      <c r="B9770">
        <v>1063.93005371094</v>
      </c>
    </row>
    <row r="9771" spans="1:2" x14ac:dyDescent="0.25">
      <c r="A9771" s="5">
        <v>36089</v>
      </c>
      <c r="B9771">
        <v>1069.92004394531</v>
      </c>
    </row>
    <row r="9772" spans="1:2" x14ac:dyDescent="0.25">
      <c r="A9772" s="5">
        <v>36090</v>
      </c>
      <c r="B9772">
        <v>1078.47998046875</v>
      </c>
    </row>
    <row r="9773" spans="1:2" x14ac:dyDescent="0.25">
      <c r="A9773" s="5">
        <v>36091</v>
      </c>
      <c r="B9773">
        <v>1070.67004394531</v>
      </c>
    </row>
    <row r="9774" spans="1:2" x14ac:dyDescent="0.25">
      <c r="A9774" s="5">
        <v>36094</v>
      </c>
      <c r="B9774">
        <v>1072.31994628906</v>
      </c>
    </row>
    <row r="9775" spans="1:2" x14ac:dyDescent="0.25">
      <c r="A9775" s="5">
        <v>36095</v>
      </c>
      <c r="B9775">
        <v>1065.33996582031</v>
      </c>
    </row>
    <row r="9776" spans="1:2" x14ac:dyDescent="0.25">
      <c r="A9776" s="5">
        <v>36096</v>
      </c>
      <c r="B9776">
        <v>1068.08996582031</v>
      </c>
    </row>
    <row r="9777" spans="1:2" x14ac:dyDescent="0.25">
      <c r="A9777" s="5">
        <v>36097</v>
      </c>
      <c r="B9777">
        <v>1085.93005371094</v>
      </c>
    </row>
    <row r="9778" spans="1:2" x14ac:dyDescent="0.25">
      <c r="A9778" s="5">
        <v>36098</v>
      </c>
      <c r="B9778">
        <v>1098.67004394531</v>
      </c>
    </row>
    <row r="9779" spans="1:2" x14ac:dyDescent="0.25">
      <c r="A9779" s="5">
        <v>36101</v>
      </c>
      <c r="B9779">
        <v>1111.59997558594</v>
      </c>
    </row>
    <row r="9780" spans="1:2" x14ac:dyDescent="0.25">
      <c r="A9780" s="5">
        <v>36102</v>
      </c>
      <c r="B9780">
        <v>1110.83996582031</v>
      </c>
    </row>
    <row r="9781" spans="1:2" x14ac:dyDescent="0.25">
      <c r="A9781" s="5">
        <v>36103</v>
      </c>
      <c r="B9781">
        <v>1118.67004394531</v>
      </c>
    </row>
    <row r="9782" spans="1:2" x14ac:dyDescent="0.25">
      <c r="A9782" s="5">
        <v>36104</v>
      </c>
      <c r="B9782">
        <v>1133.84997558594</v>
      </c>
    </row>
    <row r="9783" spans="1:2" x14ac:dyDescent="0.25">
      <c r="A9783" s="5">
        <v>36105</v>
      </c>
      <c r="B9783">
        <v>1141.01000976562</v>
      </c>
    </row>
    <row r="9784" spans="1:2" x14ac:dyDescent="0.25">
      <c r="A9784" s="5">
        <v>36108</v>
      </c>
      <c r="B9784">
        <v>1130.19995117188</v>
      </c>
    </row>
    <row r="9785" spans="1:2" x14ac:dyDescent="0.25">
      <c r="A9785" s="5">
        <v>36109</v>
      </c>
      <c r="B9785">
        <v>1128.26000976562</v>
      </c>
    </row>
    <row r="9786" spans="1:2" x14ac:dyDescent="0.25">
      <c r="A9786" s="5">
        <v>36110</v>
      </c>
      <c r="B9786">
        <v>1120.96997070312</v>
      </c>
    </row>
    <row r="9787" spans="1:2" x14ac:dyDescent="0.25">
      <c r="A9787" s="5">
        <v>36111</v>
      </c>
      <c r="B9787">
        <v>1117.68994140625</v>
      </c>
    </row>
    <row r="9788" spans="1:2" x14ac:dyDescent="0.25">
      <c r="A9788" s="5">
        <v>36112</v>
      </c>
      <c r="B9788">
        <v>1125.71997070312</v>
      </c>
    </row>
    <row r="9789" spans="1:2" x14ac:dyDescent="0.25">
      <c r="A9789" s="5">
        <v>36115</v>
      </c>
      <c r="B9789">
        <v>1135.86999511719</v>
      </c>
    </row>
    <row r="9790" spans="1:2" x14ac:dyDescent="0.25">
      <c r="A9790" s="5">
        <v>36116</v>
      </c>
      <c r="B9790">
        <v>1139.31994628906</v>
      </c>
    </row>
    <row r="9791" spans="1:2" x14ac:dyDescent="0.25">
      <c r="A9791" s="5">
        <v>36117</v>
      </c>
      <c r="B9791">
        <v>1144.47998046875</v>
      </c>
    </row>
    <row r="9792" spans="1:2" x14ac:dyDescent="0.25">
      <c r="A9792" s="5">
        <v>36118</v>
      </c>
      <c r="B9792">
        <v>1152.60998535156</v>
      </c>
    </row>
    <row r="9793" spans="1:2" x14ac:dyDescent="0.25">
      <c r="A9793" s="5">
        <v>36119</v>
      </c>
      <c r="B9793">
        <v>1163.55004882812</v>
      </c>
    </row>
    <row r="9794" spans="1:2" x14ac:dyDescent="0.25">
      <c r="A9794" s="5">
        <v>36122</v>
      </c>
      <c r="B9794">
        <v>1188.2099609375</v>
      </c>
    </row>
    <row r="9795" spans="1:2" x14ac:dyDescent="0.25">
      <c r="A9795" s="5">
        <v>36123</v>
      </c>
      <c r="B9795">
        <v>1182.98999023438</v>
      </c>
    </row>
    <row r="9796" spans="1:2" x14ac:dyDescent="0.25">
      <c r="A9796" s="5">
        <v>36124</v>
      </c>
      <c r="B9796">
        <v>1186.86999511719</v>
      </c>
    </row>
    <row r="9797" spans="1:2" x14ac:dyDescent="0.25">
      <c r="A9797" s="5">
        <v>36126</v>
      </c>
      <c r="B9797">
        <v>1192.32995605469</v>
      </c>
    </row>
    <row r="9798" spans="1:2" x14ac:dyDescent="0.25">
      <c r="A9798" s="5">
        <v>36129</v>
      </c>
      <c r="B9798">
        <v>1163.63000488281</v>
      </c>
    </row>
    <row r="9799" spans="1:2" x14ac:dyDescent="0.25">
      <c r="A9799" s="5">
        <v>36130</v>
      </c>
      <c r="B9799">
        <v>1175.28002929688</v>
      </c>
    </row>
    <row r="9800" spans="1:2" x14ac:dyDescent="0.25">
      <c r="A9800" s="5">
        <v>36131</v>
      </c>
      <c r="B9800">
        <v>1171.25</v>
      </c>
    </row>
    <row r="9801" spans="1:2" x14ac:dyDescent="0.25">
      <c r="A9801" s="5">
        <v>36132</v>
      </c>
      <c r="B9801">
        <v>1150.14001464844</v>
      </c>
    </row>
    <row r="9802" spans="1:2" x14ac:dyDescent="0.25">
      <c r="A9802" s="5">
        <v>36133</v>
      </c>
      <c r="B9802">
        <v>1176.73999023438</v>
      </c>
    </row>
    <row r="9803" spans="1:2" x14ac:dyDescent="0.25">
      <c r="A9803" s="5">
        <v>36136</v>
      </c>
      <c r="B9803">
        <v>1187.69995117188</v>
      </c>
    </row>
    <row r="9804" spans="1:2" x14ac:dyDescent="0.25">
      <c r="A9804" s="5">
        <v>36137</v>
      </c>
      <c r="B9804">
        <v>1181.38000488281</v>
      </c>
    </row>
    <row r="9805" spans="1:2" x14ac:dyDescent="0.25">
      <c r="A9805" s="5">
        <v>36138</v>
      </c>
      <c r="B9805">
        <v>1183.48999023438</v>
      </c>
    </row>
    <row r="9806" spans="1:2" x14ac:dyDescent="0.25">
      <c r="A9806" s="5">
        <v>36139</v>
      </c>
      <c r="B9806">
        <v>1165.02001953125</v>
      </c>
    </row>
    <row r="9807" spans="1:2" x14ac:dyDescent="0.25">
      <c r="A9807" s="5">
        <v>36140</v>
      </c>
      <c r="B9807">
        <v>1166.4599609375</v>
      </c>
    </row>
    <row r="9808" spans="1:2" x14ac:dyDescent="0.25">
      <c r="A9808" s="5">
        <v>36143</v>
      </c>
      <c r="B9808">
        <v>1141.19995117188</v>
      </c>
    </row>
    <row r="9809" spans="1:2" x14ac:dyDescent="0.25">
      <c r="A9809" s="5">
        <v>36144</v>
      </c>
      <c r="B9809">
        <v>1162.82995605469</v>
      </c>
    </row>
    <row r="9810" spans="1:2" x14ac:dyDescent="0.25">
      <c r="A9810" s="5">
        <v>36145</v>
      </c>
      <c r="B9810">
        <v>1161.93994140625</v>
      </c>
    </row>
    <row r="9811" spans="1:2" x14ac:dyDescent="0.25">
      <c r="A9811" s="5">
        <v>36146</v>
      </c>
      <c r="B9811">
        <v>1179.97998046875</v>
      </c>
    </row>
    <row r="9812" spans="1:2" x14ac:dyDescent="0.25">
      <c r="A9812" s="5">
        <v>36147</v>
      </c>
      <c r="B9812">
        <v>1188.03002929688</v>
      </c>
    </row>
    <row r="9813" spans="1:2" x14ac:dyDescent="0.25">
      <c r="A9813" s="5">
        <v>36150</v>
      </c>
      <c r="B9813">
        <v>1202.83996582031</v>
      </c>
    </row>
    <row r="9814" spans="1:2" x14ac:dyDescent="0.25">
      <c r="A9814" s="5">
        <v>36151</v>
      </c>
      <c r="B9814">
        <v>1203.56994628906</v>
      </c>
    </row>
    <row r="9815" spans="1:2" x14ac:dyDescent="0.25">
      <c r="A9815" s="5">
        <v>36152</v>
      </c>
      <c r="B9815">
        <v>1228.5400390625</v>
      </c>
    </row>
    <row r="9816" spans="1:2" x14ac:dyDescent="0.25">
      <c r="A9816" s="5">
        <v>36153</v>
      </c>
      <c r="B9816">
        <v>1226.27001953125</v>
      </c>
    </row>
    <row r="9817" spans="1:2" x14ac:dyDescent="0.25">
      <c r="A9817" s="5">
        <v>36157</v>
      </c>
      <c r="B9817">
        <v>1225.48999023438</v>
      </c>
    </row>
    <row r="9818" spans="1:2" x14ac:dyDescent="0.25">
      <c r="A9818" s="5">
        <v>36158</v>
      </c>
      <c r="B9818">
        <v>1241.81005859375</v>
      </c>
    </row>
    <row r="9819" spans="1:2" x14ac:dyDescent="0.25">
      <c r="A9819" s="5">
        <v>36159</v>
      </c>
      <c r="B9819">
        <v>1231.93005371094</v>
      </c>
    </row>
    <row r="9820" spans="1:2" x14ac:dyDescent="0.25">
      <c r="A9820" s="5">
        <v>36160</v>
      </c>
      <c r="B9820">
        <v>1229.22998046875</v>
      </c>
    </row>
    <row r="9821" spans="1:2" x14ac:dyDescent="0.25">
      <c r="A9821" s="5">
        <v>36164</v>
      </c>
      <c r="B9821">
        <v>1228.09997558594</v>
      </c>
    </row>
    <row r="9822" spans="1:2" x14ac:dyDescent="0.25">
      <c r="A9822" s="5">
        <v>36165</v>
      </c>
      <c r="B9822">
        <v>1244.78002929688</v>
      </c>
    </row>
    <row r="9823" spans="1:2" x14ac:dyDescent="0.25">
      <c r="A9823" s="5">
        <v>36166</v>
      </c>
      <c r="B9823">
        <v>1272.33996582031</v>
      </c>
    </row>
    <row r="9824" spans="1:2" x14ac:dyDescent="0.25">
      <c r="A9824" s="5">
        <v>36167</v>
      </c>
      <c r="B9824">
        <v>1269.72998046875</v>
      </c>
    </row>
    <row r="9825" spans="1:2" x14ac:dyDescent="0.25">
      <c r="A9825" s="5">
        <v>36168</v>
      </c>
      <c r="B9825">
        <v>1275.08996582031</v>
      </c>
    </row>
    <row r="9826" spans="1:2" x14ac:dyDescent="0.25">
      <c r="A9826" s="5">
        <v>36171</v>
      </c>
      <c r="B9826">
        <v>1263.88000488281</v>
      </c>
    </row>
    <row r="9827" spans="1:2" x14ac:dyDescent="0.25">
      <c r="A9827" s="5">
        <v>36172</v>
      </c>
      <c r="B9827">
        <v>1239.51000976562</v>
      </c>
    </row>
    <row r="9828" spans="1:2" x14ac:dyDescent="0.25">
      <c r="A9828" s="5">
        <v>36173</v>
      </c>
      <c r="B9828">
        <v>1234.40002441406</v>
      </c>
    </row>
    <row r="9829" spans="1:2" x14ac:dyDescent="0.25">
      <c r="A9829" s="5">
        <v>36174</v>
      </c>
      <c r="B9829">
        <v>1212.18994140625</v>
      </c>
    </row>
    <row r="9830" spans="1:2" x14ac:dyDescent="0.25">
      <c r="A9830" s="5">
        <v>36175</v>
      </c>
      <c r="B9830">
        <v>1243.26000976562</v>
      </c>
    </row>
    <row r="9831" spans="1:2" x14ac:dyDescent="0.25">
      <c r="A9831" s="5">
        <v>36179</v>
      </c>
      <c r="B9831">
        <v>1252</v>
      </c>
    </row>
    <row r="9832" spans="1:2" x14ac:dyDescent="0.25">
      <c r="A9832" s="5">
        <v>36180</v>
      </c>
      <c r="B9832">
        <v>1256.61999511719</v>
      </c>
    </row>
    <row r="9833" spans="1:2" x14ac:dyDescent="0.25">
      <c r="A9833" s="5">
        <v>36181</v>
      </c>
      <c r="B9833">
        <v>1235.16003417969</v>
      </c>
    </row>
    <row r="9834" spans="1:2" x14ac:dyDescent="0.25">
      <c r="A9834" s="5">
        <v>36182</v>
      </c>
      <c r="B9834">
        <v>1225.18994140625</v>
      </c>
    </row>
    <row r="9835" spans="1:2" x14ac:dyDescent="0.25">
      <c r="A9835" s="5">
        <v>36185</v>
      </c>
      <c r="B9835">
        <v>1233.97998046875</v>
      </c>
    </row>
    <row r="9836" spans="1:2" x14ac:dyDescent="0.25">
      <c r="A9836" s="5">
        <v>36186</v>
      </c>
      <c r="B9836">
        <v>1252.31005859375</v>
      </c>
    </row>
    <row r="9837" spans="1:2" x14ac:dyDescent="0.25">
      <c r="A9837" s="5">
        <v>36187</v>
      </c>
      <c r="B9837">
        <v>1243.17004394531</v>
      </c>
    </row>
    <row r="9838" spans="1:2" x14ac:dyDescent="0.25">
      <c r="A9838" s="5">
        <v>36188</v>
      </c>
      <c r="B9838">
        <v>1265.36999511719</v>
      </c>
    </row>
    <row r="9839" spans="1:2" x14ac:dyDescent="0.25">
      <c r="A9839" s="5">
        <v>36189</v>
      </c>
      <c r="B9839">
        <v>1279.64001464844</v>
      </c>
    </row>
    <row r="9840" spans="1:2" x14ac:dyDescent="0.25">
      <c r="A9840" s="5">
        <v>36192</v>
      </c>
      <c r="B9840">
        <v>1273</v>
      </c>
    </row>
    <row r="9841" spans="1:2" x14ac:dyDescent="0.25">
      <c r="A9841" s="5">
        <v>36193</v>
      </c>
      <c r="B9841">
        <v>1261.98999023438</v>
      </c>
    </row>
    <row r="9842" spans="1:2" x14ac:dyDescent="0.25">
      <c r="A9842" s="5">
        <v>36194</v>
      </c>
      <c r="B9842">
        <v>1272.06994628906</v>
      </c>
    </row>
    <row r="9843" spans="1:2" x14ac:dyDescent="0.25">
      <c r="A9843" s="5">
        <v>36195</v>
      </c>
      <c r="B9843">
        <v>1248.48999023438</v>
      </c>
    </row>
    <row r="9844" spans="1:2" x14ac:dyDescent="0.25">
      <c r="A9844" s="5">
        <v>36196</v>
      </c>
      <c r="B9844">
        <v>1239.40002441406</v>
      </c>
    </row>
    <row r="9845" spans="1:2" x14ac:dyDescent="0.25">
      <c r="A9845" s="5">
        <v>36199</v>
      </c>
      <c r="B9845">
        <v>1243.77001953125</v>
      </c>
    </row>
    <row r="9846" spans="1:2" x14ac:dyDescent="0.25">
      <c r="A9846" s="5">
        <v>36200</v>
      </c>
      <c r="B9846">
        <v>1216.14001464844</v>
      </c>
    </row>
    <row r="9847" spans="1:2" x14ac:dyDescent="0.25">
      <c r="A9847" s="5">
        <v>36201</v>
      </c>
      <c r="B9847">
        <v>1223.55004882812</v>
      </c>
    </row>
    <row r="9848" spans="1:2" x14ac:dyDescent="0.25">
      <c r="A9848" s="5">
        <v>36202</v>
      </c>
      <c r="B9848">
        <v>1254.0400390625</v>
      </c>
    </row>
    <row r="9849" spans="1:2" x14ac:dyDescent="0.25">
      <c r="A9849" s="5">
        <v>36203</v>
      </c>
      <c r="B9849">
        <v>1230.13000488281</v>
      </c>
    </row>
    <row r="9850" spans="1:2" x14ac:dyDescent="0.25">
      <c r="A9850" s="5">
        <v>36207</v>
      </c>
      <c r="B9850">
        <v>1241.86999511719</v>
      </c>
    </row>
    <row r="9851" spans="1:2" x14ac:dyDescent="0.25">
      <c r="A9851" s="5">
        <v>36208</v>
      </c>
      <c r="B9851">
        <v>1224.03002929688</v>
      </c>
    </row>
    <row r="9852" spans="1:2" x14ac:dyDescent="0.25">
      <c r="A9852" s="5">
        <v>36209</v>
      </c>
      <c r="B9852">
        <v>1237.28002929688</v>
      </c>
    </row>
    <row r="9853" spans="1:2" x14ac:dyDescent="0.25">
      <c r="A9853" s="5">
        <v>36210</v>
      </c>
      <c r="B9853">
        <v>1239.21997070312</v>
      </c>
    </row>
    <row r="9854" spans="1:2" x14ac:dyDescent="0.25">
      <c r="A9854" s="5">
        <v>36213</v>
      </c>
      <c r="B9854">
        <v>1272.14001464844</v>
      </c>
    </row>
    <row r="9855" spans="1:2" x14ac:dyDescent="0.25">
      <c r="A9855" s="5">
        <v>36214</v>
      </c>
      <c r="B9855">
        <v>1271.18005371094</v>
      </c>
    </row>
    <row r="9856" spans="1:2" x14ac:dyDescent="0.25">
      <c r="A9856" s="5">
        <v>36215</v>
      </c>
      <c r="B9856">
        <v>1253.41003417969</v>
      </c>
    </row>
    <row r="9857" spans="1:2" x14ac:dyDescent="0.25">
      <c r="A9857" s="5">
        <v>36216</v>
      </c>
      <c r="B9857">
        <v>1245.02001953125</v>
      </c>
    </row>
    <row r="9858" spans="1:2" x14ac:dyDescent="0.25">
      <c r="A9858" s="5">
        <v>36217</v>
      </c>
      <c r="B9858">
        <v>1238.32995605469</v>
      </c>
    </row>
    <row r="9859" spans="1:2" x14ac:dyDescent="0.25">
      <c r="A9859" s="5">
        <v>36220</v>
      </c>
      <c r="B9859">
        <v>1236.16003417969</v>
      </c>
    </row>
    <row r="9860" spans="1:2" x14ac:dyDescent="0.25">
      <c r="A9860" s="5">
        <v>36221</v>
      </c>
      <c r="B9860">
        <v>1225.5</v>
      </c>
    </row>
    <row r="9861" spans="1:2" x14ac:dyDescent="0.25">
      <c r="A9861" s="5">
        <v>36222</v>
      </c>
      <c r="B9861">
        <v>1227.69995117188</v>
      </c>
    </row>
    <row r="9862" spans="1:2" x14ac:dyDescent="0.25">
      <c r="A9862" s="5">
        <v>36223</v>
      </c>
      <c r="B9862">
        <v>1246.64001464844</v>
      </c>
    </row>
    <row r="9863" spans="1:2" x14ac:dyDescent="0.25">
      <c r="A9863" s="5">
        <v>36224</v>
      </c>
      <c r="B9863">
        <v>1275.46997070312</v>
      </c>
    </row>
    <row r="9864" spans="1:2" x14ac:dyDescent="0.25">
      <c r="A9864" s="5">
        <v>36227</v>
      </c>
      <c r="B9864">
        <v>1282.72998046875</v>
      </c>
    </row>
    <row r="9865" spans="1:2" x14ac:dyDescent="0.25">
      <c r="A9865" s="5">
        <v>36228</v>
      </c>
      <c r="B9865">
        <v>1279.83996582031</v>
      </c>
    </row>
    <row r="9866" spans="1:2" x14ac:dyDescent="0.25">
      <c r="A9866" s="5">
        <v>36229</v>
      </c>
      <c r="B9866">
        <v>1286.83996582031</v>
      </c>
    </row>
    <row r="9867" spans="1:2" x14ac:dyDescent="0.25">
      <c r="A9867" s="5">
        <v>36230</v>
      </c>
      <c r="B9867">
        <v>1297.68005371094</v>
      </c>
    </row>
    <row r="9868" spans="1:2" x14ac:dyDescent="0.25">
      <c r="A9868" s="5">
        <v>36231</v>
      </c>
      <c r="B9868">
        <v>1294.58996582031</v>
      </c>
    </row>
    <row r="9869" spans="1:2" x14ac:dyDescent="0.25">
      <c r="A9869" s="5">
        <v>36234</v>
      </c>
      <c r="B9869">
        <v>1307.26000976562</v>
      </c>
    </row>
    <row r="9870" spans="1:2" x14ac:dyDescent="0.25">
      <c r="A9870" s="5">
        <v>36235</v>
      </c>
      <c r="B9870">
        <v>1306.38000488281</v>
      </c>
    </row>
    <row r="9871" spans="1:2" x14ac:dyDescent="0.25">
      <c r="A9871" s="5">
        <v>36236</v>
      </c>
      <c r="B9871">
        <v>1297.81994628906</v>
      </c>
    </row>
    <row r="9872" spans="1:2" x14ac:dyDescent="0.25">
      <c r="A9872" s="5">
        <v>36237</v>
      </c>
      <c r="B9872">
        <v>1316.55004882812</v>
      </c>
    </row>
    <row r="9873" spans="1:2" x14ac:dyDescent="0.25">
      <c r="A9873" s="5">
        <v>36238</v>
      </c>
      <c r="B9873">
        <v>1299.2900390625</v>
      </c>
    </row>
    <row r="9874" spans="1:2" x14ac:dyDescent="0.25">
      <c r="A9874" s="5">
        <v>36241</v>
      </c>
      <c r="B9874">
        <v>1297.01000976562</v>
      </c>
    </row>
    <row r="9875" spans="1:2" x14ac:dyDescent="0.25">
      <c r="A9875" s="5">
        <v>36242</v>
      </c>
      <c r="B9875">
        <v>1262.14001464844</v>
      </c>
    </row>
    <row r="9876" spans="1:2" x14ac:dyDescent="0.25">
      <c r="A9876" s="5">
        <v>36243</v>
      </c>
      <c r="B9876">
        <v>1268.58996582031</v>
      </c>
    </row>
    <row r="9877" spans="1:2" x14ac:dyDescent="0.25">
      <c r="A9877" s="5">
        <v>36244</v>
      </c>
      <c r="B9877">
        <v>1289.98999023438</v>
      </c>
    </row>
    <row r="9878" spans="1:2" x14ac:dyDescent="0.25">
      <c r="A9878" s="5">
        <v>36245</v>
      </c>
      <c r="B9878">
        <v>1282.80004882812</v>
      </c>
    </row>
    <row r="9879" spans="1:2" x14ac:dyDescent="0.25">
      <c r="A9879" s="5">
        <v>36248</v>
      </c>
      <c r="B9879">
        <v>1310.17004394531</v>
      </c>
    </row>
    <row r="9880" spans="1:2" x14ac:dyDescent="0.25">
      <c r="A9880" s="5">
        <v>36249</v>
      </c>
      <c r="B9880">
        <v>1300.75</v>
      </c>
    </row>
    <row r="9881" spans="1:2" x14ac:dyDescent="0.25">
      <c r="A9881" s="5">
        <v>36250</v>
      </c>
      <c r="B9881">
        <v>1286.36999511719</v>
      </c>
    </row>
    <row r="9882" spans="1:2" x14ac:dyDescent="0.25">
      <c r="A9882" s="5">
        <v>36251</v>
      </c>
      <c r="B9882">
        <v>1293.71997070312</v>
      </c>
    </row>
    <row r="9883" spans="1:2" x14ac:dyDescent="0.25">
      <c r="A9883" s="5">
        <v>36255</v>
      </c>
      <c r="B9883">
        <v>1321.11999511719</v>
      </c>
    </row>
    <row r="9884" spans="1:2" x14ac:dyDescent="0.25">
      <c r="A9884" s="5">
        <v>36256</v>
      </c>
      <c r="B9884">
        <v>1317.89001464844</v>
      </c>
    </row>
    <row r="9885" spans="1:2" x14ac:dyDescent="0.25">
      <c r="A9885" s="5">
        <v>36257</v>
      </c>
      <c r="B9885">
        <v>1326.89001464844</v>
      </c>
    </row>
    <row r="9886" spans="1:2" x14ac:dyDescent="0.25">
      <c r="A9886" s="5">
        <v>36258</v>
      </c>
      <c r="B9886">
        <v>1343.97998046875</v>
      </c>
    </row>
    <row r="9887" spans="1:2" x14ac:dyDescent="0.25">
      <c r="A9887" s="5">
        <v>36259</v>
      </c>
      <c r="B9887">
        <v>1348.34997558594</v>
      </c>
    </row>
    <row r="9888" spans="1:2" x14ac:dyDescent="0.25">
      <c r="A9888" s="5">
        <v>36262</v>
      </c>
      <c r="B9888">
        <v>1358.63000488281</v>
      </c>
    </row>
    <row r="9889" spans="1:2" x14ac:dyDescent="0.25">
      <c r="A9889" s="5">
        <v>36263</v>
      </c>
      <c r="B9889">
        <v>1349.81994628906</v>
      </c>
    </row>
    <row r="9890" spans="1:2" x14ac:dyDescent="0.25">
      <c r="A9890" s="5">
        <v>36264</v>
      </c>
      <c r="B9890">
        <v>1328.43994140625</v>
      </c>
    </row>
    <row r="9891" spans="1:2" x14ac:dyDescent="0.25">
      <c r="A9891" s="5">
        <v>36265</v>
      </c>
      <c r="B9891">
        <v>1322.84997558594</v>
      </c>
    </row>
    <row r="9892" spans="1:2" x14ac:dyDescent="0.25">
      <c r="A9892" s="5">
        <v>36266</v>
      </c>
      <c r="B9892">
        <v>1319</v>
      </c>
    </row>
    <row r="9893" spans="1:2" x14ac:dyDescent="0.25">
      <c r="A9893" s="5">
        <v>36269</v>
      </c>
      <c r="B9893">
        <v>1289.47998046875</v>
      </c>
    </row>
    <row r="9894" spans="1:2" x14ac:dyDescent="0.25">
      <c r="A9894" s="5">
        <v>36270</v>
      </c>
      <c r="B9894">
        <v>1306.17004394531</v>
      </c>
    </row>
    <row r="9895" spans="1:2" x14ac:dyDescent="0.25">
      <c r="A9895" s="5">
        <v>36271</v>
      </c>
      <c r="B9895">
        <v>1336.11999511719</v>
      </c>
    </row>
    <row r="9896" spans="1:2" x14ac:dyDescent="0.25">
      <c r="A9896" s="5">
        <v>36272</v>
      </c>
      <c r="B9896">
        <v>1358.81994628906</v>
      </c>
    </row>
    <row r="9897" spans="1:2" x14ac:dyDescent="0.25">
      <c r="A9897" s="5">
        <v>36273</v>
      </c>
      <c r="B9897">
        <v>1356.84997558594</v>
      </c>
    </row>
    <row r="9898" spans="1:2" x14ac:dyDescent="0.25">
      <c r="A9898" s="5">
        <v>36276</v>
      </c>
      <c r="B9898">
        <v>1360.0400390625</v>
      </c>
    </row>
    <row r="9899" spans="1:2" x14ac:dyDescent="0.25">
      <c r="A9899" s="5">
        <v>36277</v>
      </c>
      <c r="B9899">
        <v>1362.80004882812</v>
      </c>
    </row>
    <row r="9900" spans="1:2" x14ac:dyDescent="0.25">
      <c r="A9900" s="5">
        <v>36278</v>
      </c>
      <c r="B9900">
        <v>1350.91003417969</v>
      </c>
    </row>
    <row r="9901" spans="1:2" x14ac:dyDescent="0.25">
      <c r="A9901" s="5">
        <v>36279</v>
      </c>
      <c r="B9901">
        <v>1342.82995605469</v>
      </c>
    </row>
    <row r="9902" spans="1:2" x14ac:dyDescent="0.25">
      <c r="A9902" s="5">
        <v>36280</v>
      </c>
      <c r="B9902">
        <v>1335.18005371094</v>
      </c>
    </row>
    <row r="9903" spans="1:2" x14ac:dyDescent="0.25">
      <c r="A9903" s="5">
        <v>36283</v>
      </c>
      <c r="B9903">
        <v>1354.63000488281</v>
      </c>
    </row>
    <row r="9904" spans="1:2" x14ac:dyDescent="0.25">
      <c r="A9904" s="5">
        <v>36284</v>
      </c>
      <c r="B9904">
        <v>1332</v>
      </c>
    </row>
    <row r="9905" spans="1:2" x14ac:dyDescent="0.25">
      <c r="A9905" s="5">
        <v>36285</v>
      </c>
      <c r="B9905">
        <v>1347.31005859375</v>
      </c>
    </row>
    <row r="9906" spans="1:2" x14ac:dyDescent="0.25">
      <c r="A9906" s="5">
        <v>36286</v>
      </c>
      <c r="B9906">
        <v>1332.05004882812</v>
      </c>
    </row>
    <row r="9907" spans="1:2" x14ac:dyDescent="0.25">
      <c r="A9907" s="5">
        <v>36287</v>
      </c>
      <c r="B9907">
        <v>1345</v>
      </c>
    </row>
    <row r="9908" spans="1:2" x14ac:dyDescent="0.25">
      <c r="A9908" s="5">
        <v>36290</v>
      </c>
      <c r="B9908">
        <v>1340.30004882812</v>
      </c>
    </row>
    <row r="9909" spans="1:2" x14ac:dyDescent="0.25">
      <c r="A9909" s="5">
        <v>36291</v>
      </c>
      <c r="B9909">
        <v>1355.60998535156</v>
      </c>
    </row>
    <row r="9910" spans="1:2" x14ac:dyDescent="0.25">
      <c r="A9910" s="5">
        <v>36292</v>
      </c>
      <c r="B9910">
        <v>1364</v>
      </c>
    </row>
    <row r="9911" spans="1:2" x14ac:dyDescent="0.25">
      <c r="A9911" s="5">
        <v>36293</v>
      </c>
      <c r="B9911">
        <v>1367.56005859375</v>
      </c>
    </row>
    <row r="9912" spans="1:2" x14ac:dyDescent="0.25">
      <c r="A9912" s="5">
        <v>36294</v>
      </c>
      <c r="B9912">
        <v>1337.80004882812</v>
      </c>
    </row>
    <row r="9913" spans="1:2" x14ac:dyDescent="0.25">
      <c r="A9913" s="5">
        <v>36297</v>
      </c>
      <c r="B9913">
        <v>1339.48999023438</v>
      </c>
    </row>
    <row r="9914" spans="1:2" x14ac:dyDescent="0.25">
      <c r="A9914" s="5">
        <v>36298</v>
      </c>
      <c r="B9914">
        <v>1333.31994628906</v>
      </c>
    </row>
    <row r="9915" spans="1:2" x14ac:dyDescent="0.25">
      <c r="A9915" s="5">
        <v>36299</v>
      </c>
      <c r="B9915">
        <v>1344.22998046875</v>
      </c>
    </row>
    <row r="9916" spans="1:2" x14ac:dyDescent="0.25">
      <c r="A9916" s="5">
        <v>36300</v>
      </c>
      <c r="B9916">
        <v>1338.82995605469</v>
      </c>
    </row>
    <row r="9917" spans="1:2" x14ac:dyDescent="0.25">
      <c r="A9917" s="5">
        <v>36301</v>
      </c>
      <c r="B9917">
        <v>1330.2900390625</v>
      </c>
    </row>
    <row r="9918" spans="1:2" x14ac:dyDescent="0.25">
      <c r="A9918" s="5">
        <v>36304</v>
      </c>
      <c r="B9918">
        <v>1306.65002441406</v>
      </c>
    </row>
    <row r="9919" spans="1:2" x14ac:dyDescent="0.25">
      <c r="A9919" s="5">
        <v>36305</v>
      </c>
      <c r="B9919">
        <v>1284.40002441406</v>
      </c>
    </row>
    <row r="9920" spans="1:2" x14ac:dyDescent="0.25">
      <c r="A9920" s="5">
        <v>36306</v>
      </c>
      <c r="B9920">
        <v>1304.76000976562</v>
      </c>
    </row>
    <row r="9921" spans="1:2" x14ac:dyDescent="0.25">
      <c r="A9921" s="5">
        <v>36307</v>
      </c>
      <c r="B9921">
        <v>1281.41003417969</v>
      </c>
    </row>
    <row r="9922" spans="1:2" x14ac:dyDescent="0.25">
      <c r="A9922" s="5">
        <v>36308</v>
      </c>
      <c r="B9922">
        <v>1301.83996582031</v>
      </c>
    </row>
    <row r="9923" spans="1:2" x14ac:dyDescent="0.25">
      <c r="A9923" s="5">
        <v>36312</v>
      </c>
      <c r="B9923">
        <v>1294.26000976562</v>
      </c>
    </row>
    <row r="9924" spans="1:2" x14ac:dyDescent="0.25">
      <c r="A9924" s="5">
        <v>36313</v>
      </c>
      <c r="B9924">
        <v>1294.81005859375</v>
      </c>
    </row>
    <row r="9925" spans="1:2" x14ac:dyDescent="0.25">
      <c r="A9925" s="5">
        <v>36314</v>
      </c>
      <c r="B9925">
        <v>1299.5400390625</v>
      </c>
    </row>
    <row r="9926" spans="1:2" x14ac:dyDescent="0.25">
      <c r="A9926" s="5">
        <v>36315</v>
      </c>
      <c r="B9926">
        <v>1327.75</v>
      </c>
    </row>
    <row r="9927" spans="1:2" x14ac:dyDescent="0.25">
      <c r="A9927" s="5">
        <v>36318</v>
      </c>
      <c r="B9927">
        <v>1334.52001953125</v>
      </c>
    </row>
    <row r="9928" spans="1:2" x14ac:dyDescent="0.25">
      <c r="A9928" s="5">
        <v>36319</v>
      </c>
      <c r="B9928">
        <v>1317.32995605469</v>
      </c>
    </row>
    <row r="9929" spans="1:2" x14ac:dyDescent="0.25">
      <c r="A9929" s="5">
        <v>36320</v>
      </c>
      <c r="B9929">
        <v>1318.64001464844</v>
      </c>
    </row>
    <row r="9930" spans="1:2" x14ac:dyDescent="0.25">
      <c r="A9930" s="5">
        <v>36321</v>
      </c>
      <c r="B9930">
        <v>1302.81994628906</v>
      </c>
    </row>
    <row r="9931" spans="1:2" x14ac:dyDescent="0.25">
      <c r="A9931" s="5">
        <v>36322</v>
      </c>
      <c r="B9931">
        <v>1293.64001464844</v>
      </c>
    </row>
    <row r="9932" spans="1:2" x14ac:dyDescent="0.25">
      <c r="A9932" s="5">
        <v>36325</v>
      </c>
      <c r="B9932">
        <v>1294</v>
      </c>
    </row>
    <row r="9933" spans="1:2" x14ac:dyDescent="0.25">
      <c r="A9933" s="5">
        <v>36326</v>
      </c>
      <c r="B9933">
        <v>1301.16003417969</v>
      </c>
    </row>
    <row r="9934" spans="1:2" x14ac:dyDescent="0.25">
      <c r="A9934" s="5">
        <v>36327</v>
      </c>
      <c r="B9934">
        <v>1330.41003417969</v>
      </c>
    </row>
    <row r="9935" spans="1:2" x14ac:dyDescent="0.25">
      <c r="A9935" s="5">
        <v>36328</v>
      </c>
      <c r="B9935">
        <v>1339.90002441406</v>
      </c>
    </row>
    <row r="9936" spans="1:2" x14ac:dyDescent="0.25">
      <c r="A9936" s="5">
        <v>36329</v>
      </c>
      <c r="B9936">
        <v>1342.83996582031</v>
      </c>
    </row>
    <row r="9937" spans="1:2" x14ac:dyDescent="0.25">
      <c r="A9937" s="5">
        <v>36332</v>
      </c>
      <c r="B9937">
        <v>1349</v>
      </c>
    </row>
    <row r="9938" spans="1:2" x14ac:dyDescent="0.25">
      <c r="A9938" s="5">
        <v>36333</v>
      </c>
      <c r="B9938">
        <v>1335.88000488281</v>
      </c>
    </row>
    <row r="9939" spans="1:2" x14ac:dyDescent="0.25">
      <c r="A9939" s="5">
        <v>36334</v>
      </c>
      <c r="B9939">
        <v>1333.06005859375</v>
      </c>
    </row>
    <row r="9940" spans="1:2" x14ac:dyDescent="0.25">
      <c r="A9940" s="5">
        <v>36335</v>
      </c>
      <c r="B9940">
        <v>1315.78002929688</v>
      </c>
    </row>
    <row r="9941" spans="1:2" x14ac:dyDescent="0.25">
      <c r="A9941" s="5">
        <v>36336</v>
      </c>
      <c r="B9941">
        <v>1315.31005859375</v>
      </c>
    </row>
    <row r="9942" spans="1:2" x14ac:dyDescent="0.25">
      <c r="A9942" s="5">
        <v>36339</v>
      </c>
      <c r="B9942">
        <v>1331.34997558594</v>
      </c>
    </row>
    <row r="9943" spans="1:2" x14ac:dyDescent="0.25">
      <c r="A9943" s="5">
        <v>36340</v>
      </c>
      <c r="B9943">
        <v>1351.44995117188</v>
      </c>
    </row>
    <row r="9944" spans="1:2" x14ac:dyDescent="0.25">
      <c r="A9944" s="5">
        <v>36341</v>
      </c>
      <c r="B9944">
        <v>1372.7099609375</v>
      </c>
    </row>
    <row r="9945" spans="1:2" x14ac:dyDescent="0.25">
      <c r="A9945" s="5">
        <v>36342</v>
      </c>
      <c r="B9945">
        <v>1380.9599609375</v>
      </c>
    </row>
    <row r="9946" spans="1:2" x14ac:dyDescent="0.25">
      <c r="A9946" s="5">
        <v>36343</v>
      </c>
      <c r="B9946">
        <v>1391.21997070312</v>
      </c>
    </row>
    <row r="9947" spans="1:2" x14ac:dyDescent="0.25">
      <c r="A9947" s="5">
        <v>36347</v>
      </c>
      <c r="B9947">
        <v>1388.11999511719</v>
      </c>
    </row>
    <row r="9948" spans="1:2" x14ac:dyDescent="0.25">
      <c r="A9948" s="5">
        <v>36348</v>
      </c>
      <c r="B9948">
        <v>1395.85998535156</v>
      </c>
    </row>
    <row r="9949" spans="1:2" x14ac:dyDescent="0.25">
      <c r="A9949" s="5">
        <v>36349</v>
      </c>
      <c r="B9949">
        <v>1394.42004394531</v>
      </c>
    </row>
    <row r="9950" spans="1:2" x14ac:dyDescent="0.25">
      <c r="A9950" s="5">
        <v>36350</v>
      </c>
      <c r="B9950">
        <v>1403.28002929688</v>
      </c>
    </row>
    <row r="9951" spans="1:2" x14ac:dyDescent="0.25">
      <c r="A9951" s="5">
        <v>36353</v>
      </c>
      <c r="B9951">
        <v>1399.09997558594</v>
      </c>
    </row>
    <row r="9952" spans="1:2" x14ac:dyDescent="0.25">
      <c r="A9952" s="5">
        <v>36354</v>
      </c>
      <c r="B9952">
        <v>1393.56005859375</v>
      </c>
    </row>
    <row r="9953" spans="1:2" x14ac:dyDescent="0.25">
      <c r="A9953" s="5">
        <v>36355</v>
      </c>
      <c r="B9953">
        <v>1398.17004394531</v>
      </c>
    </row>
    <row r="9954" spans="1:2" x14ac:dyDescent="0.25">
      <c r="A9954" s="5">
        <v>36356</v>
      </c>
      <c r="B9954">
        <v>1409.61999511719</v>
      </c>
    </row>
    <row r="9955" spans="1:2" x14ac:dyDescent="0.25">
      <c r="A9955" s="5">
        <v>36357</v>
      </c>
      <c r="B9955">
        <v>1418.78002929688</v>
      </c>
    </row>
    <row r="9956" spans="1:2" x14ac:dyDescent="0.25">
      <c r="A9956" s="5">
        <v>36360</v>
      </c>
      <c r="B9956">
        <v>1407.65002441406</v>
      </c>
    </row>
    <row r="9957" spans="1:2" x14ac:dyDescent="0.25">
      <c r="A9957" s="5">
        <v>36361</v>
      </c>
      <c r="B9957">
        <v>1377.09997558594</v>
      </c>
    </row>
    <row r="9958" spans="1:2" x14ac:dyDescent="0.25">
      <c r="A9958" s="5">
        <v>36362</v>
      </c>
      <c r="B9958">
        <v>1379.2900390625</v>
      </c>
    </row>
    <row r="9959" spans="1:2" x14ac:dyDescent="0.25">
      <c r="A9959" s="5">
        <v>36363</v>
      </c>
      <c r="B9959">
        <v>1360.96997070312</v>
      </c>
    </row>
    <row r="9960" spans="1:2" x14ac:dyDescent="0.25">
      <c r="A9960" s="5">
        <v>36364</v>
      </c>
      <c r="B9960">
        <v>1356.93994140625</v>
      </c>
    </row>
    <row r="9961" spans="1:2" x14ac:dyDescent="0.25">
      <c r="A9961" s="5">
        <v>36367</v>
      </c>
      <c r="B9961">
        <v>1347.76000976562</v>
      </c>
    </row>
    <row r="9962" spans="1:2" x14ac:dyDescent="0.25">
      <c r="A9962" s="5">
        <v>36368</v>
      </c>
      <c r="B9962">
        <v>1362.83996582031</v>
      </c>
    </row>
    <row r="9963" spans="1:2" x14ac:dyDescent="0.25">
      <c r="A9963" s="5">
        <v>36369</v>
      </c>
      <c r="B9963">
        <v>1365.40002441406</v>
      </c>
    </row>
    <row r="9964" spans="1:2" x14ac:dyDescent="0.25">
      <c r="A9964" s="5">
        <v>36370</v>
      </c>
      <c r="B9964">
        <v>1341.03002929688</v>
      </c>
    </row>
    <row r="9965" spans="1:2" x14ac:dyDescent="0.25">
      <c r="A9965" s="5">
        <v>36371</v>
      </c>
      <c r="B9965">
        <v>1328.71997070312</v>
      </c>
    </row>
    <row r="9966" spans="1:2" x14ac:dyDescent="0.25">
      <c r="A9966" s="5">
        <v>36374</v>
      </c>
      <c r="B9966">
        <v>1328.05004882812</v>
      </c>
    </row>
    <row r="9967" spans="1:2" x14ac:dyDescent="0.25">
      <c r="A9967" s="5">
        <v>36375</v>
      </c>
      <c r="B9967">
        <v>1322.18005371094</v>
      </c>
    </row>
    <row r="9968" spans="1:2" x14ac:dyDescent="0.25">
      <c r="A9968" s="5">
        <v>36376</v>
      </c>
      <c r="B9968">
        <v>1305.32995605469</v>
      </c>
    </row>
    <row r="9969" spans="1:2" x14ac:dyDescent="0.25">
      <c r="A9969" s="5">
        <v>36377</v>
      </c>
      <c r="B9969">
        <v>1313.7099609375</v>
      </c>
    </row>
    <row r="9970" spans="1:2" x14ac:dyDescent="0.25">
      <c r="A9970" s="5">
        <v>36378</v>
      </c>
      <c r="B9970">
        <v>1300.2900390625</v>
      </c>
    </row>
    <row r="9971" spans="1:2" x14ac:dyDescent="0.25">
      <c r="A9971" s="5">
        <v>36381</v>
      </c>
      <c r="B9971">
        <v>1297.80004882812</v>
      </c>
    </row>
    <row r="9972" spans="1:2" x14ac:dyDescent="0.25">
      <c r="A9972" s="5">
        <v>36382</v>
      </c>
      <c r="B9972">
        <v>1281.43005371094</v>
      </c>
    </row>
    <row r="9973" spans="1:2" x14ac:dyDescent="0.25">
      <c r="A9973" s="5">
        <v>36383</v>
      </c>
      <c r="B9973">
        <v>1301.93005371094</v>
      </c>
    </row>
    <row r="9974" spans="1:2" x14ac:dyDescent="0.25">
      <c r="A9974" s="5">
        <v>36384</v>
      </c>
      <c r="B9974">
        <v>1298.16003417969</v>
      </c>
    </row>
    <row r="9975" spans="1:2" x14ac:dyDescent="0.25">
      <c r="A9975" s="5">
        <v>36385</v>
      </c>
      <c r="B9975">
        <v>1327.68005371094</v>
      </c>
    </row>
    <row r="9976" spans="1:2" x14ac:dyDescent="0.25">
      <c r="A9976" s="5">
        <v>36388</v>
      </c>
      <c r="B9976">
        <v>1330.77001953125</v>
      </c>
    </row>
    <row r="9977" spans="1:2" x14ac:dyDescent="0.25">
      <c r="A9977" s="5">
        <v>36389</v>
      </c>
      <c r="B9977">
        <v>1344.16003417969</v>
      </c>
    </row>
    <row r="9978" spans="1:2" x14ac:dyDescent="0.25">
      <c r="A9978" s="5">
        <v>36390</v>
      </c>
      <c r="B9978">
        <v>1332.83996582031</v>
      </c>
    </row>
    <row r="9979" spans="1:2" x14ac:dyDescent="0.25">
      <c r="A9979" s="5">
        <v>36391</v>
      </c>
      <c r="B9979">
        <v>1323.58996582031</v>
      </c>
    </row>
    <row r="9980" spans="1:2" x14ac:dyDescent="0.25">
      <c r="A9980" s="5">
        <v>36392</v>
      </c>
      <c r="B9980">
        <v>1336.60998535156</v>
      </c>
    </row>
    <row r="9981" spans="1:2" x14ac:dyDescent="0.25">
      <c r="A9981" s="5">
        <v>36395</v>
      </c>
      <c r="B9981">
        <v>1360.21997070312</v>
      </c>
    </row>
    <row r="9982" spans="1:2" x14ac:dyDescent="0.25">
      <c r="A9982" s="5">
        <v>36396</v>
      </c>
      <c r="B9982">
        <v>1363.5</v>
      </c>
    </row>
    <row r="9983" spans="1:2" x14ac:dyDescent="0.25">
      <c r="A9983" s="5">
        <v>36397</v>
      </c>
      <c r="B9983">
        <v>1381.7900390625</v>
      </c>
    </row>
    <row r="9984" spans="1:2" x14ac:dyDescent="0.25">
      <c r="A9984" s="5">
        <v>36398</v>
      </c>
      <c r="B9984">
        <v>1362.01000976562</v>
      </c>
    </row>
    <row r="9985" spans="1:2" x14ac:dyDescent="0.25">
      <c r="A9985" s="5">
        <v>36399</v>
      </c>
      <c r="B9985">
        <v>1348.27001953125</v>
      </c>
    </row>
    <row r="9986" spans="1:2" x14ac:dyDescent="0.25">
      <c r="A9986" s="5">
        <v>36402</v>
      </c>
      <c r="B9986">
        <v>1324.02001953125</v>
      </c>
    </row>
    <row r="9987" spans="1:2" x14ac:dyDescent="0.25">
      <c r="A9987" s="5">
        <v>36403</v>
      </c>
      <c r="B9987">
        <v>1320.41003417969</v>
      </c>
    </row>
    <row r="9988" spans="1:2" x14ac:dyDescent="0.25">
      <c r="A9988" s="5">
        <v>36404</v>
      </c>
      <c r="B9988">
        <v>1331.06994628906</v>
      </c>
    </row>
    <row r="9989" spans="1:2" x14ac:dyDescent="0.25">
      <c r="A9989" s="5">
        <v>36405</v>
      </c>
      <c r="B9989">
        <v>1319.10998535156</v>
      </c>
    </row>
    <row r="9990" spans="1:2" x14ac:dyDescent="0.25">
      <c r="A9990" s="5">
        <v>36406</v>
      </c>
      <c r="B9990">
        <v>1357.23999023438</v>
      </c>
    </row>
    <row r="9991" spans="1:2" x14ac:dyDescent="0.25">
      <c r="A9991" s="5">
        <v>36410</v>
      </c>
      <c r="B9991">
        <v>1350.44995117188</v>
      </c>
    </row>
    <row r="9992" spans="1:2" x14ac:dyDescent="0.25">
      <c r="A9992" s="5">
        <v>36411</v>
      </c>
      <c r="B9992">
        <v>1344.15002441406</v>
      </c>
    </row>
    <row r="9993" spans="1:2" x14ac:dyDescent="0.25">
      <c r="A9993" s="5">
        <v>36412</v>
      </c>
      <c r="B9993">
        <v>1347.66003417969</v>
      </c>
    </row>
    <row r="9994" spans="1:2" x14ac:dyDescent="0.25">
      <c r="A9994" s="5">
        <v>36413</v>
      </c>
      <c r="B9994">
        <v>1351.66003417969</v>
      </c>
    </row>
    <row r="9995" spans="1:2" x14ac:dyDescent="0.25">
      <c r="A9995" s="5">
        <v>36416</v>
      </c>
      <c r="B9995">
        <v>1344.13000488281</v>
      </c>
    </row>
    <row r="9996" spans="1:2" x14ac:dyDescent="0.25">
      <c r="A9996" s="5">
        <v>36417</v>
      </c>
      <c r="B9996">
        <v>1336.2900390625</v>
      </c>
    </row>
    <row r="9997" spans="1:2" x14ac:dyDescent="0.25">
      <c r="A9997" s="5">
        <v>36418</v>
      </c>
      <c r="B9997">
        <v>1317.96997070312</v>
      </c>
    </row>
    <row r="9998" spans="1:2" x14ac:dyDescent="0.25">
      <c r="A9998" s="5">
        <v>36419</v>
      </c>
      <c r="B9998">
        <v>1318.47998046875</v>
      </c>
    </row>
    <row r="9999" spans="1:2" x14ac:dyDescent="0.25">
      <c r="A9999" s="5">
        <v>36420</v>
      </c>
      <c r="B9999">
        <v>1335.42004394531</v>
      </c>
    </row>
    <row r="10000" spans="1:2" x14ac:dyDescent="0.25">
      <c r="A10000" s="5">
        <v>36423</v>
      </c>
      <c r="B10000">
        <v>1335.53002929688</v>
      </c>
    </row>
    <row r="10001" spans="1:2" x14ac:dyDescent="0.25">
      <c r="A10001" s="5">
        <v>36424</v>
      </c>
      <c r="B10001">
        <v>1307.57995605469</v>
      </c>
    </row>
    <row r="10002" spans="1:2" x14ac:dyDescent="0.25">
      <c r="A10002" s="5">
        <v>36425</v>
      </c>
      <c r="B10002">
        <v>1310.51000976562</v>
      </c>
    </row>
    <row r="10003" spans="1:2" x14ac:dyDescent="0.25">
      <c r="A10003" s="5">
        <v>36426</v>
      </c>
      <c r="B10003">
        <v>1280.41003417969</v>
      </c>
    </row>
    <row r="10004" spans="1:2" x14ac:dyDescent="0.25">
      <c r="A10004" s="5">
        <v>36427</v>
      </c>
      <c r="B10004">
        <v>1277.35998535156</v>
      </c>
    </row>
    <row r="10005" spans="1:2" x14ac:dyDescent="0.25">
      <c r="A10005" s="5">
        <v>36430</v>
      </c>
      <c r="B10005">
        <v>1283.31005859375</v>
      </c>
    </row>
    <row r="10006" spans="1:2" x14ac:dyDescent="0.25">
      <c r="A10006" s="5">
        <v>36431</v>
      </c>
      <c r="B10006">
        <v>1282.19995117188</v>
      </c>
    </row>
    <row r="10007" spans="1:2" x14ac:dyDescent="0.25">
      <c r="A10007" s="5">
        <v>36432</v>
      </c>
      <c r="B10007">
        <v>1268.36999511719</v>
      </c>
    </row>
    <row r="10008" spans="1:2" x14ac:dyDescent="0.25">
      <c r="A10008" s="5">
        <v>36433</v>
      </c>
      <c r="B10008">
        <v>1282.7099609375</v>
      </c>
    </row>
    <row r="10009" spans="1:2" x14ac:dyDescent="0.25">
      <c r="A10009" s="5">
        <v>36434</v>
      </c>
      <c r="B10009">
        <v>1282.81005859375</v>
      </c>
    </row>
    <row r="10010" spans="1:2" x14ac:dyDescent="0.25">
      <c r="A10010" s="5">
        <v>36437</v>
      </c>
      <c r="B10010">
        <v>1304.59997558594</v>
      </c>
    </row>
    <row r="10011" spans="1:2" x14ac:dyDescent="0.25">
      <c r="A10011" s="5">
        <v>36438</v>
      </c>
      <c r="B10011">
        <v>1301.34997558594</v>
      </c>
    </row>
    <row r="10012" spans="1:2" x14ac:dyDescent="0.25">
      <c r="A10012" s="5">
        <v>36439</v>
      </c>
      <c r="B10012">
        <v>1325.40002441406</v>
      </c>
    </row>
    <row r="10013" spans="1:2" x14ac:dyDescent="0.25">
      <c r="A10013" s="5">
        <v>36440</v>
      </c>
      <c r="B10013">
        <v>1317.64001464844</v>
      </c>
    </row>
    <row r="10014" spans="1:2" x14ac:dyDescent="0.25">
      <c r="A10014" s="5">
        <v>36441</v>
      </c>
      <c r="B10014">
        <v>1336.02001953125</v>
      </c>
    </row>
    <row r="10015" spans="1:2" x14ac:dyDescent="0.25">
      <c r="A10015" s="5">
        <v>36444</v>
      </c>
      <c r="B10015">
        <v>1335.2099609375</v>
      </c>
    </row>
    <row r="10016" spans="1:2" x14ac:dyDescent="0.25">
      <c r="A10016" s="5">
        <v>36445</v>
      </c>
      <c r="B10016">
        <v>1313.0400390625</v>
      </c>
    </row>
    <row r="10017" spans="1:2" x14ac:dyDescent="0.25">
      <c r="A10017" s="5">
        <v>36446</v>
      </c>
      <c r="B10017">
        <v>1285.55004882812</v>
      </c>
    </row>
    <row r="10018" spans="1:2" x14ac:dyDescent="0.25">
      <c r="A10018" s="5">
        <v>36447</v>
      </c>
      <c r="B10018">
        <v>1283.42004394531</v>
      </c>
    </row>
    <row r="10019" spans="1:2" x14ac:dyDescent="0.25">
      <c r="A10019" s="5">
        <v>36448</v>
      </c>
      <c r="B10019">
        <v>1247.41003417969</v>
      </c>
    </row>
    <row r="10020" spans="1:2" x14ac:dyDescent="0.25">
      <c r="A10020" s="5">
        <v>36451</v>
      </c>
      <c r="B10020">
        <v>1254.13000488281</v>
      </c>
    </row>
    <row r="10021" spans="1:2" x14ac:dyDescent="0.25">
      <c r="A10021" s="5">
        <v>36452</v>
      </c>
      <c r="B10021">
        <v>1261.31994628906</v>
      </c>
    </row>
    <row r="10022" spans="1:2" x14ac:dyDescent="0.25">
      <c r="A10022" s="5">
        <v>36453</v>
      </c>
      <c r="B10022">
        <v>1289.43005371094</v>
      </c>
    </row>
    <row r="10023" spans="1:2" x14ac:dyDescent="0.25">
      <c r="A10023" s="5">
        <v>36454</v>
      </c>
      <c r="B10023">
        <v>1283.60998535156</v>
      </c>
    </row>
    <row r="10024" spans="1:2" x14ac:dyDescent="0.25">
      <c r="A10024" s="5">
        <v>36455</v>
      </c>
      <c r="B10024">
        <v>1301.65002441406</v>
      </c>
    </row>
    <row r="10025" spans="1:2" x14ac:dyDescent="0.25">
      <c r="A10025" s="5">
        <v>36458</v>
      </c>
      <c r="B10025">
        <v>1293.63000488281</v>
      </c>
    </row>
    <row r="10026" spans="1:2" x14ac:dyDescent="0.25">
      <c r="A10026" s="5">
        <v>36459</v>
      </c>
      <c r="B10026">
        <v>1281.91003417969</v>
      </c>
    </row>
    <row r="10027" spans="1:2" x14ac:dyDescent="0.25">
      <c r="A10027" s="5">
        <v>36460</v>
      </c>
      <c r="B10027">
        <v>1296.7099609375</v>
      </c>
    </row>
    <row r="10028" spans="1:2" x14ac:dyDescent="0.25">
      <c r="A10028" s="5">
        <v>36461</v>
      </c>
      <c r="B10028">
        <v>1342.43994140625</v>
      </c>
    </row>
    <row r="10029" spans="1:2" x14ac:dyDescent="0.25">
      <c r="A10029" s="5">
        <v>36462</v>
      </c>
      <c r="B10029">
        <v>1362.93005371094</v>
      </c>
    </row>
    <row r="10030" spans="1:2" x14ac:dyDescent="0.25">
      <c r="A10030" s="5">
        <v>36465</v>
      </c>
      <c r="B10030">
        <v>1354.11999511719</v>
      </c>
    </row>
    <row r="10031" spans="1:2" x14ac:dyDescent="0.25">
      <c r="A10031" s="5">
        <v>36466</v>
      </c>
      <c r="B10031">
        <v>1347.73999023438</v>
      </c>
    </row>
    <row r="10032" spans="1:2" x14ac:dyDescent="0.25">
      <c r="A10032" s="5">
        <v>36467</v>
      </c>
      <c r="B10032">
        <v>1354.93005371094</v>
      </c>
    </row>
    <row r="10033" spans="1:2" x14ac:dyDescent="0.25">
      <c r="A10033" s="5">
        <v>36468</v>
      </c>
      <c r="B10033">
        <v>1362.64001464844</v>
      </c>
    </row>
    <row r="10034" spans="1:2" x14ac:dyDescent="0.25">
      <c r="A10034" s="5">
        <v>36469</v>
      </c>
      <c r="B10034">
        <v>1370.22998046875</v>
      </c>
    </row>
    <row r="10035" spans="1:2" x14ac:dyDescent="0.25">
      <c r="A10035" s="5">
        <v>36472</v>
      </c>
      <c r="B10035">
        <v>1377.01000976562</v>
      </c>
    </row>
    <row r="10036" spans="1:2" x14ac:dyDescent="0.25">
      <c r="A10036" s="5">
        <v>36473</v>
      </c>
      <c r="B10036">
        <v>1365.28002929688</v>
      </c>
    </row>
    <row r="10037" spans="1:2" x14ac:dyDescent="0.25">
      <c r="A10037" s="5">
        <v>36474</v>
      </c>
      <c r="B10037">
        <v>1373.4599609375</v>
      </c>
    </row>
    <row r="10038" spans="1:2" x14ac:dyDescent="0.25">
      <c r="A10038" s="5">
        <v>36475</v>
      </c>
      <c r="B10038">
        <v>1381.4599609375</v>
      </c>
    </row>
    <row r="10039" spans="1:2" x14ac:dyDescent="0.25">
      <c r="A10039" s="5">
        <v>36476</v>
      </c>
      <c r="B10039">
        <v>1396.06005859375</v>
      </c>
    </row>
    <row r="10040" spans="1:2" x14ac:dyDescent="0.25">
      <c r="A10040" s="5">
        <v>36479</v>
      </c>
      <c r="B10040">
        <v>1394.39001464844</v>
      </c>
    </row>
    <row r="10041" spans="1:2" x14ac:dyDescent="0.25">
      <c r="A10041" s="5">
        <v>36480</v>
      </c>
      <c r="B10041">
        <v>1420.06994628906</v>
      </c>
    </row>
    <row r="10042" spans="1:2" x14ac:dyDescent="0.25">
      <c r="A10042" s="5">
        <v>36481</v>
      </c>
      <c r="B10042">
        <v>1410.7099609375</v>
      </c>
    </row>
    <row r="10043" spans="1:2" x14ac:dyDescent="0.25">
      <c r="A10043" s="5">
        <v>36482</v>
      </c>
      <c r="B10043">
        <v>1424.93994140625</v>
      </c>
    </row>
    <row r="10044" spans="1:2" x14ac:dyDescent="0.25">
      <c r="A10044" s="5">
        <v>36483</v>
      </c>
      <c r="B10044">
        <v>1422</v>
      </c>
    </row>
    <row r="10045" spans="1:2" x14ac:dyDescent="0.25">
      <c r="A10045" s="5">
        <v>36486</v>
      </c>
      <c r="B10045">
        <v>1420.93994140625</v>
      </c>
    </row>
    <row r="10046" spans="1:2" x14ac:dyDescent="0.25">
      <c r="A10046" s="5">
        <v>36487</v>
      </c>
      <c r="B10046">
        <v>1404.64001464844</v>
      </c>
    </row>
    <row r="10047" spans="1:2" x14ac:dyDescent="0.25">
      <c r="A10047" s="5">
        <v>36488</v>
      </c>
      <c r="B10047">
        <v>1417.07995605469</v>
      </c>
    </row>
    <row r="10048" spans="1:2" x14ac:dyDescent="0.25">
      <c r="A10048" s="5">
        <v>36490</v>
      </c>
      <c r="B10048">
        <v>1416.61999511719</v>
      </c>
    </row>
    <row r="10049" spans="1:2" x14ac:dyDescent="0.25">
      <c r="A10049" s="5">
        <v>36493</v>
      </c>
      <c r="B10049">
        <v>1407.82995605469</v>
      </c>
    </row>
    <row r="10050" spans="1:2" x14ac:dyDescent="0.25">
      <c r="A10050" s="5">
        <v>36494</v>
      </c>
      <c r="B10050">
        <v>1388.91003417969</v>
      </c>
    </row>
    <row r="10051" spans="1:2" x14ac:dyDescent="0.25">
      <c r="A10051" s="5">
        <v>36495</v>
      </c>
      <c r="B10051">
        <v>1397.71997070312</v>
      </c>
    </row>
    <row r="10052" spans="1:2" x14ac:dyDescent="0.25">
      <c r="A10052" s="5">
        <v>36496</v>
      </c>
      <c r="B10052">
        <v>1409.0400390625</v>
      </c>
    </row>
    <row r="10053" spans="1:2" x14ac:dyDescent="0.25">
      <c r="A10053" s="5">
        <v>36497</v>
      </c>
      <c r="B10053">
        <v>1433.30004882812</v>
      </c>
    </row>
    <row r="10054" spans="1:2" x14ac:dyDescent="0.25">
      <c r="A10054" s="5">
        <v>36500</v>
      </c>
      <c r="B10054">
        <v>1423.32995605469</v>
      </c>
    </row>
    <row r="10055" spans="1:2" x14ac:dyDescent="0.25">
      <c r="A10055" s="5">
        <v>36501</v>
      </c>
      <c r="B10055">
        <v>1409.17004394531</v>
      </c>
    </row>
    <row r="10056" spans="1:2" x14ac:dyDescent="0.25">
      <c r="A10056" s="5">
        <v>36502</v>
      </c>
      <c r="B10056">
        <v>1403.88000488281</v>
      </c>
    </row>
    <row r="10057" spans="1:2" x14ac:dyDescent="0.25">
      <c r="A10057" s="5">
        <v>36503</v>
      </c>
      <c r="B10057">
        <v>1408.10998535156</v>
      </c>
    </row>
    <row r="10058" spans="1:2" x14ac:dyDescent="0.25">
      <c r="A10058" s="5">
        <v>36504</v>
      </c>
      <c r="B10058">
        <v>1417.0400390625</v>
      </c>
    </row>
    <row r="10059" spans="1:2" x14ac:dyDescent="0.25">
      <c r="A10059" s="5">
        <v>36507</v>
      </c>
      <c r="B10059">
        <v>1415.21997070312</v>
      </c>
    </row>
    <row r="10060" spans="1:2" x14ac:dyDescent="0.25">
      <c r="A10060" s="5">
        <v>36508</v>
      </c>
      <c r="B10060">
        <v>1403.17004394531</v>
      </c>
    </row>
    <row r="10061" spans="1:2" x14ac:dyDescent="0.25">
      <c r="A10061" s="5">
        <v>36509</v>
      </c>
      <c r="B10061">
        <v>1413.32995605469</v>
      </c>
    </row>
    <row r="10062" spans="1:2" x14ac:dyDescent="0.25">
      <c r="A10062" s="5">
        <v>36510</v>
      </c>
      <c r="B10062">
        <v>1418.78002929688</v>
      </c>
    </row>
    <row r="10063" spans="1:2" x14ac:dyDescent="0.25">
      <c r="A10063" s="5">
        <v>36511</v>
      </c>
      <c r="B10063">
        <v>1421.03002929688</v>
      </c>
    </row>
    <row r="10064" spans="1:2" x14ac:dyDescent="0.25">
      <c r="A10064" s="5">
        <v>36514</v>
      </c>
      <c r="B10064">
        <v>1418.08996582031</v>
      </c>
    </row>
    <row r="10065" spans="1:2" x14ac:dyDescent="0.25">
      <c r="A10065" s="5">
        <v>36515</v>
      </c>
      <c r="B10065">
        <v>1433.43005371094</v>
      </c>
    </row>
    <row r="10066" spans="1:2" x14ac:dyDescent="0.25">
      <c r="A10066" s="5">
        <v>36516</v>
      </c>
      <c r="B10066">
        <v>1436.13000488281</v>
      </c>
    </row>
    <row r="10067" spans="1:2" x14ac:dyDescent="0.25">
      <c r="A10067" s="5">
        <v>36517</v>
      </c>
      <c r="B10067">
        <v>1458.33996582031</v>
      </c>
    </row>
    <row r="10068" spans="1:2" x14ac:dyDescent="0.25">
      <c r="A10068" s="5">
        <v>36521</v>
      </c>
      <c r="B10068">
        <v>1457.09997558594</v>
      </c>
    </row>
    <row r="10069" spans="1:2" x14ac:dyDescent="0.25">
      <c r="A10069" s="5">
        <v>36522</v>
      </c>
      <c r="B10069">
        <v>1457.66003417969</v>
      </c>
    </row>
    <row r="10070" spans="1:2" x14ac:dyDescent="0.25">
      <c r="A10070" s="5">
        <v>36523</v>
      </c>
      <c r="B10070">
        <v>1463.4599609375</v>
      </c>
    </row>
    <row r="10071" spans="1:2" x14ac:dyDescent="0.25">
      <c r="A10071" s="5">
        <v>36524</v>
      </c>
      <c r="B10071">
        <v>1464.46997070312</v>
      </c>
    </row>
    <row r="10072" spans="1:2" x14ac:dyDescent="0.25">
      <c r="A10072" s="5">
        <v>36525</v>
      </c>
      <c r="B10072">
        <v>1469.25</v>
      </c>
    </row>
    <row r="10073" spans="1:2" x14ac:dyDescent="0.25">
      <c r="A10073" s="5">
        <v>36528</v>
      </c>
      <c r="B10073">
        <v>1455.21997070312</v>
      </c>
    </row>
    <row r="10074" spans="1:2" x14ac:dyDescent="0.25">
      <c r="A10074" s="5">
        <v>36529</v>
      </c>
      <c r="B10074">
        <v>1399.42004394531</v>
      </c>
    </row>
    <row r="10075" spans="1:2" x14ac:dyDescent="0.25">
      <c r="A10075" s="5">
        <v>36530</v>
      </c>
      <c r="B10075">
        <v>1402.10998535156</v>
      </c>
    </row>
    <row r="10076" spans="1:2" x14ac:dyDescent="0.25">
      <c r="A10076" s="5">
        <v>36531</v>
      </c>
      <c r="B10076">
        <v>1403.44995117188</v>
      </c>
    </row>
    <row r="10077" spans="1:2" x14ac:dyDescent="0.25">
      <c r="A10077" s="5">
        <v>36532</v>
      </c>
      <c r="B10077">
        <v>1441.46997070312</v>
      </c>
    </row>
    <row r="10078" spans="1:2" x14ac:dyDescent="0.25">
      <c r="A10078" s="5">
        <v>36535</v>
      </c>
      <c r="B10078">
        <v>1457.59997558594</v>
      </c>
    </row>
    <row r="10079" spans="1:2" x14ac:dyDescent="0.25">
      <c r="A10079" s="5">
        <v>36536</v>
      </c>
      <c r="B10079">
        <v>1438.56005859375</v>
      </c>
    </row>
    <row r="10080" spans="1:2" x14ac:dyDescent="0.25">
      <c r="A10080" s="5">
        <v>36537</v>
      </c>
      <c r="B10080">
        <v>1432.25</v>
      </c>
    </row>
    <row r="10081" spans="1:2" x14ac:dyDescent="0.25">
      <c r="A10081" s="5">
        <v>36538</v>
      </c>
      <c r="B10081">
        <v>1449.68005371094</v>
      </c>
    </row>
    <row r="10082" spans="1:2" x14ac:dyDescent="0.25">
      <c r="A10082" s="5">
        <v>36539</v>
      </c>
      <c r="B10082">
        <v>1465.15002441406</v>
      </c>
    </row>
    <row r="10083" spans="1:2" x14ac:dyDescent="0.25">
      <c r="A10083" s="5">
        <v>36543</v>
      </c>
      <c r="B10083">
        <v>1455.14001464844</v>
      </c>
    </row>
    <row r="10084" spans="1:2" x14ac:dyDescent="0.25">
      <c r="A10084" s="5">
        <v>36544</v>
      </c>
      <c r="B10084">
        <v>1455.90002441406</v>
      </c>
    </row>
    <row r="10085" spans="1:2" x14ac:dyDescent="0.25">
      <c r="A10085" s="5">
        <v>36545</v>
      </c>
      <c r="B10085">
        <v>1445.56994628906</v>
      </c>
    </row>
    <row r="10086" spans="1:2" x14ac:dyDescent="0.25">
      <c r="A10086" s="5">
        <v>36546</v>
      </c>
      <c r="B10086">
        <v>1441.35998535156</v>
      </c>
    </row>
    <row r="10087" spans="1:2" x14ac:dyDescent="0.25">
      <c r="A10087" s="5">
        <v>36549</v>
      </c>
      <c r="B10087">
        <v>1401.53002929688</v>
      </c>
    </row>
    <row r="10088" spans="1:2" x14ac:dyDescent="0.25">
      <c r="A10088" s="5">
        <v>36550</v>
      </c>
      <c r="B10088">
        <v>1410.03002929688</v>
      </c>
    </row>
    <row r="10089" spans="1:2" x14ac:dyDescent="0.25">
      <c r="A10089" s="5">
        <v>36551</v>
      </c>
      <c r="B10089">
        <v>1404.08996582031</v>
      </c>
    </row>
    <row r="10090" spans="1:2" x14ac:dyDescent="0.25">
      <c r="A10090" s="5">
        <v>36552</v>
      </c>
      <c r="B10090">
        <v>1398.56005859375</v>
      </c>
    </row>
    <row r="10091" spans="1:2" x14ac:dyDescent="0.25">
      <c r="A10091" s="5">
        <v>36553</v>
      </c>
      <c r="B10091">
        <v>1360.16003417969</v>
      </c>
    </row>
    <row r="10092" spans="1:2" x14ac:dyDescent="0.25">
      <c r="A10092" s="5">
        <v>36556</v>
      </c>
      <c r="B10092">
        <v>1394.4599609375</v>
      </c>
    </row>
    <row r="10093" spans="1:2" x14ac:dyDescent="0.25">
      <c r="A10093" s="5">
        <v>36557</v>
      </c>
      <c r="B10093">
        <v>1409.28002929688</v>
      </c>
    </row>
    <row r="10094" spans="1:2" x14ac:dyDescent="0.25">
      <c r="A10094" s="5">
        <v>36558</v>
      </c>
      <c r="B10094">
        <v>1409.11999511719</v>
      </c>
    </row>
    <row r="10095" spans="1:2" x14ac:dyDescent="0.25">
      <c r="A10095" s="5">
        <v>36559</v>
      </c>
      <c r="B10095">
        <v>1424.96997070312</v>
      </c>
    </row>
    <row r="10096" spans="1:2" x14ac:dyDescent="0.25">
      <c r="A10096" s="5">
        <v>36560</v>
      </c>
      <c r="B10096">
        <v>1424.36999511719</v>
      </c>
    </row>
    <row r="10097" spans="1:2" x14ac:dyDescent="0.25">
      <c r="A10097" s="5">
        <v>36563</v>
      </c>
      <c r="B10097">
        <v>1424.23999023438</v>
      </c>
    </row>
    <row r="10098" spans="1:2" x14ac:dyDescent="0.25">
      <c r="A10098" s="5">
        <v>36564</v>
      </c>
      <c r="B10098">
        <v>1441.71997070312</v>
      </c>
    </row>
    <row r="10099" spans="1:2" x14ac:dyDescent="0.25">
      <c r="A10099" s="5">
        <v>36565</v>
      </c>
      <c r="B10099">
        <v>1411.7099609375</v>
      </c>
    </row>
    <row r="10100" spans="1:2" x14ac:dyDescent="0.25">
      <c r="A10100" s="5">
        <v>36566</v>
      </c>
      <c r="B10100">
        <v>1416.82995605469</v>
      </c>
    </row>
    <row r="10101" spans="1:2" x14ac:dyDescent="0.25">
      <c r="A10101" s="5">
        <v>36567</v>
      </c>
      <c r="B10101">
        <v>1387.11999511719</v>
      </c>
    </row>
    <row r="10102" spans="1:2" x14ac:dyDescent="0.25">
      <c r="A10102" s="5">
        <v>36570</v>
      </c>
      <c r="B10102">
        <v>1389.93994140625</v>
      </c>
    </row>
    <row r="10103" spans="1:2" x14ac:dyDescent="0.25">
      <c r="A10103" s="5">
        <v>36571</v>
      </c>
      <c r="B10103">
        <v>1402.05004882812</v>
      </c>
    </row>
    <row r="10104" spans="1:2" x14ac:dyDescent="0.25">
      <c r="A10104" s="5">
        <v>36572</v>
      </c>
      <c r="B10104">
        <v>1387.67004394531</v>
      </c>
    </row>
    <row r="10105" spans="1:2" x14ac:dyDescent="0.25">
      <c r="A10105" s="5">
        <v>36573</v>
      </c>
      <c r="B10105">
        <v>1388.26000976562</v>
      </c>
    </row>
    <row r="10106" spans="1:2" x14ac:dyDescent="0.25">
      <c r="A10106" s="5">
        <v>36574</v>
      </c>
      <c r="B10106">
        <v>1346.08996582031</v>
      </c>
    </row>
    <row r="10107" spans="1:2" x14ac:dyDescent="0.25">
      <c r="A10107" s="5">
        <v>36578</v>
      </c>
      <c r="B10107">
        <v>1352.17004394531</v>
      </c>
    </row>
    <row r="10108" spans="1:2" x14ac:dyDescent="0.25">
      <c r="A10108" s="5">
        <v>36579</v>
      </c>
      <c r="B10108">
        <v>1360.68994140625</v>
      </c>
    </row>
    <row r="10109" spans="1:2" x14ac:dyDescent="0.25">
      <c r="A10109" s="5">
        <v>36580</v>
      </c>
      <c r="B10109">
        <v>1353.43005371094</v>
      </c>
    </row>
    <row r="10110" spans="1:2" x14ac:dyDescent="0.25">
      <c r="A10110" s="5">
        <v>36581</v>
      </c>
      <c r="B10110">
        <v>1333.35998535156</v>
      </c>
    </row>
    <row r="10111" spans="1:2" x14ac:dyDescent="0.25">
      <c r="A10111" s="5">
        <v>36584</v>
      </c>
      <c r="B10111">
        <v>1348.05004882812</v>
      </c>
    </row>
    <row r="10112" spans="1:2" x14ac:dyDescent="0.25">
      <c r="A10112" s="5">
        <v>36585</v>
      </c>
      <c r="B10112">
        <v>1366.42004394531</v>
      </c>
    </row>
    <row r="10113" spans="1:2" x14ac:dyDescent="0.25">
      <c r="A10113" s="5">
        <v>36586</v>
      </c>
      <c r="B10113">
        <v>1379.18994140625</v>
      </c>
    </row>
    <row r="10114" spans="1:2" x14ac:dyDescent="0.25">
      <c r="A10114" s="5">
        <v>36587</v>
      </c>
      <c r="B10114">
        <v>1381.76000976562</v>
      </c>
    </row>
    <row r="10115" spans="1:2" x14ac:dyDescent="0.25">
      <c r="A10115" s="5">
        <v>36588</v>
      </c>
      <c r="B10115">
        <v>1409.17004394531</v>
      </c>
    </row>
    <row r="10116" spans="1:2" x14ac:dyDescent="0.25">
      <c r="A10116" s="5">
        <v>36591</v>
      </c>
      <c r="B10116">
        <v>1391.28002929688</v>
      </c>
    </row>
    <row r="10117" spans="1:2" x14ac:dyDescent="0.25">
      <c r="A10117" s="5">
        <v>36592</v>
      </c>
      <c r="B10117">
        <v>1355.61999511719</v>
      </c>
    </row>
    <row r="10118" spans="1:2" x14ac:dyDescent="0.25">
      <c r="A10118" s="5">
        <v>36593</v>
      </c>
      <c r="B10118">
        <v>1366.69995117188</v>
      </c>
    </row>
    <row r="10119" spans="1:2" x14ac:dyDescent="0.25">
      <c r="A10119" s="5">
        <v>36594</v>
      </c>
      <c r="B10119">
        <v>1401.68994140625</v>
      </c>
    </row>
    <row r="10120" spans="1:2" x14ac:dyDescent="0.25">
      <c r="A10120" s="5">
        <v>36595</v>
      </c>
      <c r="B10120">
        <v>1395.06994628906</v>
      </c>
    </row>
    <row r="10121" spans="1:2" x14ac:dyDescent="0.25">
      <c r="A10121" s="5">
        <v>36598</v>
      </c>
      <c r="B10121">
        <v>1383.61999511719</v>
      </c>
    </row>
    <row r="10122" spans="1:2" x14ac:dyDescent="0.25">
      <c r="A10122" s="5">
        <v>36599</v>
      </c>
      <c r="B10122">
        <v>1359.15002441406</v>
      </c>
    </row>
    <row r="10123" spans="1:2" x14ac:dyDescent="0.25">
      <c r="A10123" s="5">
        <v>36600</v>
      </c>
      <c r="B10123">
        <v>1392.14001464844</v>
      </c>
    </row>
    <row r="10124" spans="1:2" x14ac:dyDescent="0.25">
      <c r="A10124" s="5">
        <v>36601</v>
      </c>
      <c r="B10124">
        <v>1458.46997070312</v>
      </c>
    </row>
    <row r="10125" spans="1:2" x14ac:dyDescent="0.25">
      <c r="A10125" s="5">
        <v>36602</v>
      </c>
      <c r="B10125">
        <v>1464.46997070312</v>
      </c>
    </row>
    <row r="10126" spans="1:2" x14ac:dyDescent="0.25">
      <c r="A10126" s="5">
        <v>36605</v>
      </c>
      <c r="B10126">
        <v>1456.63000488281</v>
      </c>
    </row>
    <row r="10127" spans="1:2" x14ac:dyDescent="0.25">
      <c r="A10127" s="5">
        <v>36606</v>
      </c>
      <c r="B10127">
        <v>1493.86999511719</v>
      </c>
    </row>
    <row r="10128" spans="1:2" x14ac:dyDescent="0.25">
      <c r="A10128" s="5">
        <v>36607</v>
      </c>
      <c r="B10128">
        <v>1500.64001464844</v>
      </c>
    </row>
    <row r="10129" spans="1:2" x14ac:dyDescent="0.25">
      <c r="A10129" s="5">
        <v>36608</v>
      </c>
      <c r="B10129">
        <v>1527.34997558594</v>
      </c>
    </row>
    <row r="10130" spans="1:2" x14ac:dyDescent="0.25">
      <c r="A10130" s="5">
        <v>36609</v>
      </c>
      <c r="B10130">
        <v>1527.4599609375</v>
      </c>
    </row>
    <row r="10131" spans="1:2" x14ac:dyDescent="0.25">
      <c r="A10131" s="5">
        <v>36612</v>
      </c>
      <c r="B10131">
        <v>1523.85998535156</v>
      </c>
    </row>
    <row r="10132" spans="1:2" x14ac:dyDescent="0.25">
      <c r="A10132" s="5">
        <v>36613</v>
      </c>
      <c r="B10132">
        <v>1507.72998046875</v>
      </c>
    </row>
    <row r="10133" spans="1:2" x14ac:dyDescent="0.25">
      <c r="A10133" s="5">
        <v>36614</v>
      </c>
      <c r="B10133">
        <v>1508.52001953125</v>
      </c>
    </row>
    <row r="10134" spans="1:2" x14ac:dyDescent="0.25">
      <c r="A10134" s="5">
        <v>36615</v>
      </c>
      <c r="B10134">
        <v>1487.92004394531</v>
      </c>
    </row>
    <row r="10135" spans="1:2" x14ac:dyDescent="0.25">
      <c r="A10135" s="5">
        <v>36616</v>
      </c>
      <c r="B10135">
        <v>1498.57995605469</v>
      </c>
    </row>
    <row r="10136" spans="1:2" x14ac:dyDescent="0.25">
      <c r="A10136" s="5">
        <v>36619</v>
      </c>
      <c r="B10136">
        <v>1505.96997070312</v>
      </c>
    </row>
    <row r="10137" spans="1:2" x14ac:dyDescent="0.25">
      <c r="A10137" s="5">
        <v>36620</v>
      </c>
      <c r="B10137">
        <v>1494.72998046875</v>
      </c>
    </row>
    <row r="10138" spans="1:2" x14ac:dyDescent="0.25">
      <c r="A10138" s="5">
        <v>36621</v>
      </c>
      <c r="B10138">
        <v>1487.36999511719</v>
      </c>
    </row>
    <row r="10139" spans="1:2" x14ac:dyDescent="0.25">
      <c r="A10139" s="5">
        <v>36622</v>
      </c>
      <c r="B10139">
        <v>1501.33996582031</v>
      </c>
    </row>
    <row r="10140" spans="1:2" x14ac:dyDescent="0.25">
      <c r="A10140" s="5">
        <v>36623</v>
      </c>
      <c r="B10140">
        <v>1516.34997558594</v>
      </c>
    </row>
    <row r="10141" spans="1:2" x14ac:dyDescent="0.25">
      <c r="A10141" s="5">
        <v>36626</v>
      </c>
      <c r="B10141">
        <v>1504.4599609375</v>
      </c>
    </row>
    <row r="10142" spans="1:2" x14ac:dyDescent="0.25">
      <c r="A10142" s="5">
        <v>36627</v>
      </c>
      <c r="B10142">
        <v>1500.58996582031</v>
      </c>
    </row>
    <row r="10143" spans="1:2" x14ac:dyDescent="0.25">
      <c r="A10143" s="5">
        <v>36628</v>
      </c>
      <c r="B10143">
        <v>1467.17004394531</v>
      </c>
    </row>
    <row r="10144" spans="1:2" x14ac:dyDescent="0.25">
      <c r="A10144" s="5">
        <v>36629</v>
      </c>
      <c r="B10144">
        <v>1440.51000976562</v>
      </c>
    </row>
    <row r="10145" spans="1:2" x14ac:dyDescent="0.25">
      <c r="A10145" s="5">
        <v>36630</v>
      </c>
      <c r="B10145">
        <v>1356.56005859375</v>
      </c>
    </row>
    <row r="10146" spans="1:2" x14ac:dyDescent="0.25">
      <c r="A10146" s="5">
        <v>36633</v>
      </c>
      <c r="B10146">
        <v>1401.43994140625</v>
      </c>
    </row>
    <row r="10147" spans="1:2" x14ac:dyDescent="0.25">
      <c r="A10147" s="5">
        <v>36634</v>
      </c>
      <c r="B10147">
        <v>1441.60998535156</v>
      </c>
    </row>
    <row r="10148" spans="1:2" x14ac:dyDescent="0.25">
      <c r="A10148" s="5">
        <v>36635</v>
      </c>
      <c r="B10148">
        <v>1427.46997070312</v>
      </c>
    </row>
    <row r="10149" spans="1:2" x14ac:dyDescent="0.25">
      <c r="A10149" s="5">
        <v>36636</v>
      </c>
      <c r="B10149">
        <v>1434.5400390625</v>
      </c>
    </row>
    <row r="10150" spans="1:2" x14ac:dyDescent="0.25">
      <c r="A10150" s="5">
        <v>36640</v>
      </c>
      <c r="B10150">
        <v>1429.85998535156</v>
      </c>
    </row>
    <row r="10151" spans="1:2" x14ac:dyDescent="0.25">
      <c r="A10151" s="5">
        <v>36641</v>
      </c>
      <c r="B10151">
        <v>1477.43994140625</v>
      </c>
    </row>
    <row r="10152" spans="1:2" x14ac:dyDescent="0.25">
      <c r="A10152" s="5">
        <v>36642</v>
      </c>
      <c r="B10152">
        <v>1460.98999023438</v>
      </c>
    </row>
    <row r="10153" spans="1:2" x14ac:dyDescent="0.25">
      <c r="A10153" s="5">
        <v>36643</v>
      </c>
      <c r="B10153">
        <v>1464.92004394531</v>
      </c>
    </row>
    <row r="10154" spans="1:2" x14ac:dyDescent="0.25">
      <c r="A10154" s="5">
        <v>36644</v>
      </c>
      <c r="B10154">
        <v>1452.43005371094</v>
      </c>
    </row>
    <row r="10155" spans="1:2" x14ac:dyDescent="0.25">
      <c r="A10155" s="5">
        <v>36647</v>
      </c>
      <c r="B10155">
        <v>1468.25</v>
      </c>
    </row>
    <row r="10156" spans="1:2" x14ac:dyDescent="0.25">
      <c r="A10156" s="5">
        <v>36648</v>
      </c>
      <c r="B10156">
        <v>1446.2900390625</v>
      </c>
    </row>
    <row r="10157" spans="1:2" x14ac:dyDescent="0.25">
      <c r="A10157" s="5">
        <v>36649</v>
      </c>
      <c r="B10157">
        <v>1415.09997558594</v>
      </c>
    </row>
    <row r="10158" spans="1:2" x14ac:dyDescent="0.25">
      <c r="A10158" s="5">
        <v>36650</v>
      </c>
      <c r="B10158">
        <v>1409.56994628906</v>
      </c>
    </row>
    <row r="10159" spans="1:2" x14ac:dyDescent="0.25">
      <c r="A10159" s="5">
        <v>36651</v>
      </c>
      <c r="B10159">
        <v>1432.63000488281</v>
      </c>
    </row>
    <row r="10160" spans="1:2" x14ac:dyDescent="0.25">
      <c r="A10160" s="5">
        <v>36654</v>
      </c>
      <c r="B10160">
        <v>1424.17004394531</v>
      </c>
    </row>
    <row r="10161" spans="1:2" x14ac:dyDescent="0.25">
      <c r="A10161" s="5">
        <v>36655</v>
      </c>
      <c r="B10161">
        <v>1412.14001464844</v>
      </c>
    </row>
    <row r="10162" spans="1:2" x14ac:dyDescent="0.25">
      <c r="A10162" s="5">
        <v>36656</v>
      </c>
      <c r="B10162">
        <v>1383.05004882812</v>
      </c>
    </row>
    <row r="10163" spans="1:2" x14ac:dyDescent="0.25">
      <c r="A10163" s="5">
        <v>36657</v>
      </c>
      <c r="B10163">
        <v>1407.81005859375</v>
      </c>
    </row>
    <row r="10164" spans="1:2" x14ac:dyDescent="0.25">
      <c r="A10164" s="5">
        <v>36658</v>
      </c>
      <c r="B10164">
        <v>1420.9599609375</v>
      </c>
    </row>
    <row r="10165" spans="1:2" x14ac:dyDescent="0.25">
      <c r="A10165" s="5">
        <v>36661</v>
      </c>
      <c r="B10165">
        <v>1452.35998535156</v>
      </c>
    </row>
    <row r="10166" spans="1:2" x14ac:dyDescent="0.25">
      <c r="A10166" s="5">
        <v>36662</v>
      </c>
      <c r="B10166">
        <v>1466.0400390625</v>
      </c>
    </row>
    <row r="10167" spans="1:2" x14ac:dyDescent="0.25">
      <c r="A10167" s="5">
        <v>36663</v>
      </c>
      <c r="B10167">
        <v>1447.80004882812</v>
      </c>
    </row>
    <row r="10168" spans="1:2" x14ac:dyDescent="0.25">
      <c r="A10168" s="5">
        <v>36664</v>
      </c>
      <c r="B10168">
        <v>1437.2099609375</v>
      </c>
    </row>
    <row r="10169" spans="1:2" x14ac:dyDescent="0.25">
      <c r="A10169" s="5">
        <v>36665</v>
      </c>
      <c r="B10169">
        <v>1406.94995117188</v>
      </c>
    </row>
    <row r="10170" spans="1:2" x14ac:dyDescent="0.25">
      <c r="A10170" s="5">
        <v>36668</v>
      </c>
      <c r="B10170">
        <v>1400.71997070312</v>
      </c>
    </row>
    <row r="10171" spans="1:2" x14ac:dyDescent="0.25">
      <c r="A10171" s="5">
        <v>36669</v>
      </c>
      <c r="B10171">
        <v>1373.85998535156</v>
      </c>
    </row>
    <row r="10172" spans="1:2" x14ac:dyDescent="0.25">
      <c r="A10172" s="5">
        <v>36670</v>
      </c>
      <c r="B10172">
        <v>1399.05004882812</v>
      </c>
    </row>
    <row r="10173" spans="1:2" x14ac:dyDescent="0.25">
      <c r="A10173" s="5">
        <v>36671</v>
      </c>
      <c r="B10173">
        <v>1381.52001953125</v>
      </c>
    </row>
    <row r="10174" spans="1:2" x14ac:dyDescent="0.25">
      <c r="A10174" s="5">
        <v>36672</v>
      </c>
      <c r="B10174">
        <v>1378.02001953125</v>
      </c>
    </row>
    <row r="10175" spans="1:2" x14ac:dyDescent="0.25">
      <c r="A10175" s="5">
        <v>36676</v>
      </c>
      <c r="B10175">
        <v>1422.44995117188</v>
      </c>
    </row>
    <row r="10176" spans="1:2" x14ac:dyDescent="0.25">
      <c r="A10176" s="5">
        <v>36677</v>
      </c>
      <c r="B10176">
        <v>1420.59997558594</v>
      </c>
    </row>
    <row r="10177" spans="1:2" x14ac:dyDescent="0.25">
      <c r="A10177" s="5">
        <v>36678</v>
      </c>
      <c r="B10177">
        <v>1448.81005859375</v>
      </c>
    </row>
    <row r="10178" spans="1:2" x14ac:dyDescent="0.25">
      <c r="A10178" s="5">
        <v>36679</v>
      </c>
      <c r="B10178">
        <v>1477.26000976562</v>
      </c>
    </row>
    <row r="10179" spans="1:2" x14ac:dyDescent="0.25">
      <c r="A10179" s="5">
        <v>36682</v>
      </c>
      <c r="B10179">
        <v>1467.63000488281</v>
      </c>
    </row>
    <row r="10180" spans="1:2" x14ac:dyDescent="0.25">
      <c r="A10180" s="5">
        <v>36683</v>
      </c>
      <c r="B10180">
        <v>1457.83996582031</v>
      </c>
    </row>
    <row r="10181" spans="1:2" x14ac:dyDescent="0.25">
      <c r="A10181" s="5">
        <v>36684</v>
      </c>
      <c r="B10181">
        <v>1471.35998535156</v>
      </c>
    </row>
    <row r="10182" spans="1:2" x14ac:dyDescent="0.25">
      <c r="A10182" s="5">
        <v>36685</v>
      </c>
      <c r="B10182">
        <v>1461.67004394531</v>
      </c>
    </row>
    <row r="10183" spans="1:2" x14ac:dyDescent="0.25">
      <c r="A10183" s="5">
        <v>36686</v>
      </c>
      <c r="B10183">
        <v>1456.94995117188</v>
      </c>
    </row>
    <row r="10184" spans="1:2" x14ac:dyDescent="0.25">
      <c r="A10184" s="5">
        <v>36689</v>
      </c>
      <c r="B10184">
        <v>1446</v>
      </c>
    </row>
    <row r="10185" spans="1:2" x14ac:dyDescent="0.25">
      <c r="A10185" s="5">
        <v>36690</v>
      </c>
      <c r="B10185">
        <v>1469.43994140625</v>
      </c>
    </row>
    <row r="10186" spans="1:2" x14ac:dyDescent="0.25">
      <c r="A10186" s="5">
        <v>36691</v>
      </c>
      <c r="B10186">
        <v>1470.5400390625</v>
      </c>
    </row>
    <row r="10187" spans="1:2" x14ac:dyDescent="0.25">
      <c r="A10187" s="5">
        <v>36692</v>
      </c>
      <c r="B10187">
        <v>1478.72998046875</v>
      </c>
    </row>
    <row r="10188" spans="1:2" x14ac:dyDescent="0.25">
      <c r="A10188" s="5">
        <v>36693</v>
      </c>
      <c r="B10188">
        <v>1464.4599609375</v>
      </c>
    </row>
    <row r="10189" spans="1:2" x14ac:dyDescent="0.25">
      <c r="A10189" s="5">
        <v>36696</v>
      </c>
      <c r="B10189">
        <v>1486</v>
      </c>
    </row>
    <row r="10190" spans="1:2" x14ac:dyDescent="0.25">
      <c r="A10190" s="5">
        <v>36697</v>
      </c>
      <c r="B10190">
        <v>1475.94995117188</v>
      </c>
    </row>
    <row r="10191" spans="1:2" x14ac:dyDescent="0.25">
      <c r="A10191" s="5">
        <v>36698</v>
      </c>
      <c r="B10191">
        <v>1479.13000488281</v>
      </c>
    </row>
    <row r="10192" spans="1:2" x14ac:dyDescent="0.25">
      <c r="A10192" s="5">
        <v>36699</v>
      </c>
      <c r="B10192">
        <v>1452.18005371094</v>
      </c>
    </row>
    <row r="10193" spans="1:2" x14ac:dyDescent="0.25">
      <c r="A10193" s="5">
        <v>36700</v>
      </c>
      <c r="B10193">
        <v>1441.47998046875</v>
      </c>
    </row>
    <row r="10194" spans="1:2" x14ac:dyDescent="0.25">
      <c r="A10194" s="5">
        <v>36703</v>
      </c>
      <c r="B10194">
        <v>1455.31005859375</v>
      </c>
    </row>
    <row r="10195" spans="1:2" x14ac:dyDescent="0.25">
      <c r="A10195" s="5">
        <v>36704</v>
      </c>
      <c r="B10195">
        <v>1450.55004882812</v>
      </c>
    </row>
    <row r="10196" spans="1:2" x14ac:dyDescent="0.25">
      <c r="A10196" s="5">
        <v>36705</v>
      </c>
      <c r="B10196">
        <v>1454.81994628906</v>
      </c>
    </row>
    <row r="10197" spans="1:2" x14ac:dyDescent="0.25">
      <c r="A10197" s="5">
        <v>36706</v>
      </c>
      <c r="B10197">
        <v>1442.39001464844</v>
      </c>
    </row>
    <row r="10198" spans="1:2" x14ac:dyDescent="0.25">
      <c r="A10198" s="5">
        <v>36707</v>
      </c>
      <c r="B10198">
        <v>1454.59997558594</v>
      </c>
    </row>
    <row r="10199" spans="1:2" x14ac:dyDescent="0.25">
      <c r="A10199" s="5">
        <v>36710</v>
      </c>
      <c r="B10199">
        <v>1469.5400390625</v>
      </c>
    </row>
    <row r="10200" spans="1:2" x14ac:dyDescent="0.25">
      <c r="A10200" s="5">
        <v>36712</v>
      </c>
      <c r="B10200">
        <v>1446.22998046875</v>
      </c>
    </row>
    <row r="10201" spans="1:2" x14ac:dyDescent="0.25">
      <c r="A10201" s="5">
        <v>36713</v>
      </c>
      <c r="B10201">
        <v>1456.67004394531</v>
      </c>
    </row>
    <row r="10202" spans="1:2" x14ac:dyDescent="0.25">
      <c r="A10202" s="5">
        <v>36714</v>
      </c>
      <c r="B10202">
        <v>1478.90002441406</v>
      </c>
    </row>
    <row r="10203" spans="1:2" x14ac:dyDescent="0.25">
      <c r="A10203" s="5">
        <v>36717</v>
      </c>
      <c r="B10203">
        <v>1475.61999511719</v>
      </c>
    </row>
    <row r="10204" spans="1:2" x14ac:dyDescent="0.25">
      <c r="A10204" s="5">
        <v>36718</v>
      </c>
      <c r="B10204">
        <v>1480.88000488281</v>
      </c>
    </row>
    <row r="10205" spans="1:2" x14ac:dyDescent="0.25">
      <c r="A10205" s="5">
        <v>36719</v>
      </c>
      <c r="B10205">
        <v>1492.92004394531</v>
      </c>
    </row>
    <row r="10206" spans="1:2" x14ac:dyDescent="0.25">
      <c r="A10206" s="5">
        <v>36720</v>
      </c>
      <c r="B10206">
        <v>1495.83996582031</v>
      </c>
    </row>
    <row r="10207" spans="1:2" x14ac:dyDescent="0.25">
      <c r="A10207" s="5">
        <v>36721</v>
      </c>
      <c r="B10207">
        <v>1509.97998046875</v>
      </c>
    </row>
    <row r="10208" spans="1:2" x14ac:dyDescent="0.25">
      <c r="A10208" s="5">
        <v>36724</v>
      </c>
      <c r="B10208">
        <v>1510.48999023438</v>
      </c>
    </row>
    <row r="10209" spans="1:2" x14ac:dyDescent="0.25">
      <c r="A10209" s="5">
        <v>36725</v>
      </c>
      <c r="B10209">
        <v>1493.73999023438</v>
      </c>
    </row>
    <row r="10210" spans="1:2" x14ac:dyDescent="0.25">
      <c r="A10210" s="5">
        <v>36726</v>
      </c>
      <c r="B10210">
        <v>1481.9599609375</v>
      </c>
    </row>
    <row r="10211" spans="1:2" x14ac:dyDescent="0.25">
      <c r="A10211" s="5">
        <v>36727</v>
      </c>
      <c r="B10211">
        <v>1495.56994628906</v>
      </c>
    </row>
    <row r="10212" spans="1:2" x14ac:dyDescent="0.25">
      <c r="A10212" s="5">
        <v>36728</v>
      </c>
      <c r="B10212">
        <v>1480.18994140625</v>
      </c>
    </row>
    <row r="10213" spans="1:2" x14ac:dyDescent="0.25">
      <c r="A10213" s="5">
        <v>36731</v>
      </c>
      <c r="B10213">
        <v>1464.2900390625</v>
      </c>
    </row>
    <row r="10214" spans="1:2" x14ac:dyDescent="0.25">
      <c r="A10214" s="5">
        <v>36732</v>
      </c>
      <c r="B10214">
        <v>1474.46997070312</v>
      </c>
    </row>
    <row r="10215" spans="1:2" x14ac:dyDescent="0.25">
      <c r="A10215" s="5">
        <v>36733</v>
      </c>
      <c r="B10215">
        <v>1452.42004394531</v>
      </c>
    </row>
    <row r="10216" spans="1:2" x14ac:dyDescent="0.25">
      <c r="A10216" s="5">
        <v>36734</v>
      </c>
      <c r="B10216">
        <v>1449.61999511719</v>
      </c>
    </row>
    <row r="10217" spans="1:2" x14ac:dyDescent="0.25">
      <c r="A10217" s="5">
        <v>36735</v>
      </c>
      <c r="B10217">
        <v>1419.89001464844</v>
      </c>
    </row>
    <row r="10218" spans="1:2" x14ac:dyDescent="0.25">
      <c r="A10218" s="5">
        <v>36738</v>
      </c>
      <c r="B10218">
        <v>1430.82995605469</v>
      </c>
    </row>
    <row r="10219" spans="1:2" x14ac:dyDescent="0.25">
      <c r="A10219" s="5">
        <v>36739</v>
      </c>
      <c r="B10219">
        <v>1438.09997558594</v>
      </c>
    </row>
    <row r="10220" spans="1:2" x14ac:dyDescent="0.25">
      <c r="A10220" s="5">
        <v>36740</v>
      </c>
      <c r="B10220">
        <v>1438.69995117188</v>
      </c>
    </row>
    <row r="10221" spans="1:2" x14ac:dyDescent="0.25">
      <c r="A10221" s="5">
        <v>36741</v>
      </c>
      <c r="B10221">
        <v>1452.56005859375</v>
      </c>
    </row>
    <row r="10222" spans="1:2" x14ac:dyDescent="0.25">
      <c r="A10222" s="5">
        <v>36742</v>
      </c>
      <c r="B10222">
        <v>1462.93005371094</v>
      </c>
    </row>
    <row r="10223" spans="1:2" x14ac:dyDescent="0.25">
      <c r="A10223" s="5">
        <v>36745</v>
      </c>
      <c r="B10223">
        <v>1479.31994628906</v>
      </c>
    </row>
    <row r="10224" spans="1:2" x14ac:dyDescent="0.25">
      <c r="A10224" s="5">
        <v>36746</v>
      </c>
      <c r="B10224">
        <v>1482.80004882812</v>
      </c>
    </row>
    <row r="10225" spans="1:2" x14ac:dyDescent="0.25">
      <c r="A10225" s="5">
        <v>36747</v>
      </c>
      <c r="B10225">
        <v>1472.86999511719</v>
      </c>
    </row>
    <row r="10226" spans="1:2" x14ac:dyDescent="0.25">
      <c r="A10226" s="5">
        <v>36748</v>
      </c>
      <c r="B10226">
        <v>1460.25</v>
      </c>
    </row>
    <row r="10227" spans="1:2" x14ac:dyDescent="0.25">
      <c r="A10227" s="5">
        <v>36749</v>
      </c>
      <c r="B10227">
        <v>1471.83996582031</v>
      </c>
    </row>
    <row r="10228" spans="1:2" x14ac:dyDescent="0.25">
      <c r="A10228" s="5">
        <v>36752</v>
      </c>
      <c r="B10228">
        <v>1491.56005859375</v>
      </c>
    </row>
    <row r="10229" spans="1:2" x14ac:dyDescent="0.25">
      <c r="A10229" s="5">
        <v>36753</v>
      </c>
      <c r="B10229">
        <v>1484.43005371094</v>
      </c>
    </row>
    <row r="10230" spans="1:2" x14ac:dyDescent="0.25">
      <c r="A10230" s="5">
        <v>36754</v>
      </c>
      <c r="B10230">
        <v>1479.84997558594</v>
      </c>
    </row>
    <row r="10231" spans="1:2" x14ac:dyDescent="0.25">
      <c r="A10231" s="5">
        <v>36755</v>
      </c>
      <c r="B10231">
        <v>1496.06994628906</v>
      </c>
    </row>
    <row r="10232" spans="1:2" x14ac:dyDescent="0.25">
      <c r="A10232" s="5">
        <v>36756</v>
      </c>
      <c r="B10232">
        <v>1491.71997070312</v>
      </c>
    </row>
    <row r="10233" spans="1:2" x14ac:dyDescent="0.25">
      <c r="A10233" s="5">
        <v>36759</v>
      </c>
      <c r="B10233">
        <v>1499.47998046875</v>
      </c>
    </row>
    <row r="10234" spans="1:2" x14ac:dyDescent="0.25">
      <c r="A10234" s="5">
        <v>36760</v>
      </c>
      <c r="B10234">
        <v>1498.13000488281</v>
      </c>
    </row>
    <row r="10235" spans="1:2" x14ac:dyDescent="0.25">
      <c r="A10235" s="5">
        <v>36761</v>
      </c>
      <c r="B10235">
        <v>1505.96997070312</v>
      </c>
    </row>
    <row r="10236" spans="1:2" x14ac:dyDescent="0.25">
      <c r="A10236" s="5">
        <v>36762</v>
      </c>
      <c r="B10236">
        <v>1508.31005859375</v>
      </c>
    </row>
    <row r="10237" spans="1:2" x14ac:dyDescent="0.25">
      <c r="A10237" s="5">
        <v>36763</v>
      </c>
      <c r="B10237">
        <v>1506.44995117188</v>
      </c>
    </row>
    <row r="10238" spans="1:2" x14ac:dyDescent="0.25">
      <c r="A10238" s="5">
        <v>36766</v>
      </c>
      <c r="B10238">
        <v>1514.08996582031</v>
      </c>
    </row>
    <row r="10239" spans="1:2" x14ac:dyDescent="0.25">
      <c r="A10239" s="5">
        <v>36767</v>
      </c>
      <c r="B10239">
        <v>1509.83996582031</v>
      </c>
    </row>
    <row r="10240" spans="1:2" x14ac:dyDescent="0.25">
      <c r="A10240" s="5">
        <v>36768</v>
      </c>
      <c r="B10240">
        <v>1502.58996582031</v>
      </c>
    </row>
    <row r="10241" spans="1:2" x14ac:dyDescent="0.25">
      <c r="A10241" s="5">
        <v>36769</v>
      </c>
      <c r="B10241">
        <v>1517.68005371094</v>
      </c>
    </row>
    <row r="10242" spans="1:2" x14ac:dyDescent="0.25">
      <c r="A10242" s="5">
        <v>36770</v>
      </c>
      <c r="B10242">
        <v>1520.77001953125</v>
      </c>
    </row>
    <row r="10243" spans="1:2" x14ac:dyDescent="0.25">
      <c r="A10243" s="5">
        <v>36774</v>
      </c>
      <c r="B10243">
        <v>1507.07995605469</v>
      </c>
    </row>
    <row r="10244" spans="1:2" x14ac:dyDescent="0.25">
      <c r="A10244" s="5">
        <v>36775</v>
      </c>
      <c r="B10244">
        <v>1492.25</v>
      </c>
    </row>
    <row r="10245" spans="1:2" x14ac:dyDescent="0.25">
      <c r="A10245" s="5">
        <v>36776</v>
      </c>
      <c r="B10245">
        <v>1502.51000976562</v>
      </c>
    </row>
    <row r="10246" spans="1:2" x14ac:dyDescent="0.25">
      <c r="A10246" s="5">
        <v>36777</v>
      </c>
      <c r="B10246">
        <v>1494.5</v>
      </c>
    </row>
    <row r="10247" spans="1:2" x14ac:dyDescent="0.25">
      <c r="A10247" s="5">
        <v>36780</v>
      </c>
      <c r="B10247">
        <v>1489.26000976562</v>
      </c>
    </row>
    <row r="10248" spans="1:2" x14ac:dyDescent="0.25">
      <c r="A10248" s="5">
        <v>36781</v>
      </c>
      <c r="B10248">
        <v>1481.98999023438</v>
      </c>
    </row>
    <row r="10249" spans="1:2" x14ac:dyDescent="0.25">
      <c r="A10249" s="5">
        <v>36782</v>
      </c>
      <c r="B10249">
        <v>1484.91003417969</v>
      </c>
    </row>
    <row r="10250" spans="1:2" x14ac:dyDescent="0.25">
      <c r="A10250" s="5">
        <v>36783</v>
      </c>
      <c r="B10250">
        <v>1480.86999511719</v>
      </c>
    </row>
    <row r="10251" spans="1:2" x14ac:dyDescent="0.25">
      <c r="A10251" s="5">
        <v>36784</v>
      </c>
      <c r="B10251">
        <v>1465.81005859375</v>
      </c>
    </row>
    <row r="10252" spans="1:2" x14ac:dyDescent="0.25">
      <c r="A10252" s="5">
        <v>36787</v>
      </c>
      <c r="B10252">
        <v>1444.51000976562</v>
      </c>
    </row>
    <row r="10253" spans="1:2" x14ac:dyDescent="0.25">
      <c r="A10253" s="5">
        <v>36788</v>
      </c>
      <c r="B10253">
        <v>1459.90002441406</v>
      </c>
    </row>
    <row r="10254" spans="1:2" x14ac:dyDescent="0.25">
      <c r="A10254" s="5">
        <v>36789</v>
      </c>
      <c r="B10254">
        <v>1451.33996582031</v>
      </c>
    </row>
    <row r="10255" spans="1:2" x14ac:dyDescent="0.25">
      <c r="A10255" s="5">
        <v>36790</v>
      </c>
      <c r="B10255">
        <v>1449.05004882812</v>
      </c>
    </row>
    <row r="10256" spans="1:2" x14ac:dyDescent="0.25">
      <c r="A10256" s="5">
        <v>36791</v>
      </c>
      <c r="B10256">
        <v>1448.71997070312</v>
      </c>
    </row>
    <row r="10257" spans="1:2" x14ac:dyDescent="0.25">
      <c r="A10257" s="5">
        <v>36794</v>
      </c>
      <c r="B10257">
        <v>1439.03002929688</v>
      </c>
    </row>
    <row r="10258" spans="1:2" x14ac:dyDescent="0.25">
      <c r="A10258" s="5">
        <v>36795</v>
      </c>
      <c r="B10258">
        <v>1427.2099609375</v>
      </c>
    </row>
    <row r="10259" spans="1:2" x14ac:dyDescent="0.25">
      <c r="A10259" s="5">
        <v>36796</v>
      </c>
      <c r="B10259">
        <v>1426.56994628906</v>
      </c>
    </row>
    <row r="10260" spans="1:2" x14ac:dyDescent="0.25">
      <c r="A10260" s="5">
        <v>36797</v>
      </c>
      <c r="B10260">
        <v>1458.2900390625</v>
      </c>
    </row>
    <row r="10261" spans="1:2" x14ac:dyDescent="0.25">
      <c r="A10261" s="5">
        <v>36798</v>
      </c>
      <c r="B10261">
        <v>1436.51000976562</v>
      </c>
    </row>
    <row r="10262" spans="1:2" x14ac:dyDescent="0.25">
      <c r="A10262" s="5">
        <v>36801</v>
      </c>
      <c r="B10262">
        <v>1436.22998046875</v>
      </c>
    </row>
    <row r="10263" spans="1:2" x14ac:dyDescent="0.25">
      <c r="A10263" s="5">
        <v>36802</v>
      </c>
      <c r="B10263">
        <v>1426.4599609375</v>
      </c>
    </row>
    <row r="10264" spans="1:2" x14ac:dyDescent="0.25">
      <c r="A10264" s="5">
        <v>36803</v>
      </c>
      <c r="B10264">
        <v>1434.31994628906</v>
      </c>
    </row>
    <row r="10265" spans="1:2" x14ac:dyDescent="0.25">
      <c r="A10265" s="5">
        <v>36804</v>
      </c>
      <c r="B10265">
        <v>1436.28002929688</v>
      </c>
    </row>
    <row r="10266" spans="1:2" x14ac:dyDescent="0.25">
      <c r="A10266" s="5">
        <v>36805</v>
      </c>
      <c r="B10266">
        <v>1408.98999023438</v>
      </c>
    </row>
    <row r="10267" spans="1:2" x14ac:dyDescent="0.25">
      <c r="A10267" s="5">
        <v>36808</v>
      </c>
      <c r="B10267">
        <v>1402.03002929688</v>
      </c>
    </row>
    <row r="10268" spans="1:2" x14ac:dyDescent="0.25">
      <c r="A10268" s="5">
        <v>36809</v>
      </c>
      <c r="B10268">
        <v>1387.02001953125</v>
      </c>
    </row>
    <row r="10269" spans="1:2" x14ac:dyDescent="0.25">
      <c r="A10269" s="5">
        <v>36810</v>
      </c>
      <c r="B10269">
        <v>1364.58996582031</v>
      </c>
    </row>
    <row r="10270" spans="1:2" x14ac:dyDescent="0.25">
      <c r="A10270" s="5">
        <v>36811</v>
      </c>
      <c r="B10270">
        <v>1329.78002929688</v>
      </c>
    </row>
    <row r="10271" spans="1:2" x14ac:dyDescent="0.25">
      <c r="A10271" s="5">
        <v>36812</v>
      </c>
      <c r="B10271">
        <v>1374.17004394531</v>
      </c>
    </row>
    <row r="10272" spans="1:2" x14ac:dyDescent="0.25">
      <c r="A10272" s="5">
        <v>36815</v>
      </c>
      <c r="B10272">
        <v>1374.61999511719</v>
      </c>
    </row>
    <row r="10273" spans="1:2" x14ac:dyDescent="0.25">
      <c r="A10273" s="5">
        <v>36816</v>
      </c>
      <c r="B10273">
        <v>1349.96997070312</v>
      </c>
    </row>
    <row r="10274" spans="1:2" x14ac:dyDescent="0.25">
      <c r="A10274" s="5">
        <v>36817</v>
      </c>
      <c r="B10274">
        <v>1342.13000488281</v>
      </c>
    </row>
    <row r="10275" spans="1:2" x14ac:dyDescent="0.25">
      <c r="A10275" s="5">
        <v>36818</v>
      </c>
      <c r="B10275">
        <v>1388.76000976562</v>
      </c>
    </row>
    <row r="10276" spans="1:2" x14ac:dyDescent="0.25">
      <c r="A10276" s="5">
        <v>36819</v>
      </c>
      <c r="B10276">
        <v>1396.93005371094</v>
      </c>
    </row>
    <row r="10277" spans="1:2" x14ac:dyDescent="0.25">
      <c r="A10277" s="5">
        <v>36822</v>
      </c>
      <c r="B10277">
        <v>1395.78002929688</v>
      </c>
    </row>
    <row r="10278" spans="1:2" x14ac:dyDescent="0.25">
      <c r="A10278" s="5">
        <v>36823</v>
      </c>
      <c r="B10278">
        <v>1398.13000488281</v>
      </c>
    </row>
    <row r="10279" spans="1:2" x14ac:dyDescent="0.25">
      <c r="A10279" s="5">
        <v>36824</v>
      </c>
      <c r="B10279">
        <v>1364.90002441406</v>
      </c>
    </row>
    <row r="10280" spans="1:2" x14ac:dyDescent="0.25">
      <c r="A10280" s="5">
        <v>36825</v>
      </c>
      <c r="B10280">
        <v>1364.43994140625</v>
      </c>
    </row>
    <row r="10281" spans="1:2" x14ac:dyDescent="0.25">
      <c r="A10281" s="5">
        <v>36826</v>
      </c>
      <c r="B10281">
        <v>1379.57995605469</v>
      </c>
    </row>
    <row r="10282" spans="1:2" x14ac:dyDescent="0.25">
      <c r="A10282" s="5">
        <v>36829</v>
      </c>
      <c r="B10282">
        <v>1398.66003417969</v>
      </c>
    </row>
    <row r="10283" spans="1:2" x14ac:dyDescent="0.25">
      <c r="A10283" s="5">
        <v>36830</v>
      </c>
      <c r="B10283">
        <v>1429.40002441406</v>
      </c>
    </row>
    <row r="10284" spans="1:2" x14ac:dyDescent="0.25">
      <c r="A10284" s="5">
        <v>36831</v>
      </c>
      <c r="B10284">
        <v>1421.21997070312</v>
      </c>
    </row>
    <row r="10285" spans="1:2" x14ac:dyDescent="0.25">
      <c r="A10285" s="5">
        <v>36832</v>
      </c>
      <c r="B10285">
        <v>1428.31994628906</v>
      </c>
    </row>
    <row r="10286" spans="1:2" x14ac:dyDescent="0.25">
      <c r="A10286" s="5">
        <v>36833</v>
      </c>
      <c r="B10286">
        <v>1426.68994140625</v>
      </c>
    </row>
    <row r="10287" spans="1:2" x14ac:dyDescent="0.25">
      <c r="A10287" s="5">
        <v>36836</v>
      </c>
      <c r="B10287">
        <v>1432.18994140625</v>
      </c>
    </row>
    <row r="10288" spans="1:2" x14ac:dyDescent="0.25">
      <c r="A10288" s="5">
        <v>36837</v>
      </c>
      <c r="B10288">
        <v>1431.86999511719</v>
      </c>
    </row>
    <row r="10289" spans="1:2" x14ac:dyDescent="0.25">
      <c r="A10289" s="5">
        <v>36838</v>
      </c>
      <c r="B10289">
        <v>1409.28002929688</v>
      </c>
    </row>
    <row r="10290" spans="1:2" x14ac:dyDescent="0.25">
      <c r="A10290" s="5">
        <v>36839</v>
      </c>
      <c r="B10290">
        <v>1400.14001464844</v>
      </c>
    </row>
    <row r="10291" spans="1:2" x14ac:dyDescent="0.25">
      <c r="A10291" s="5">
        <v>36840</v>
      </c>
      <c r="B10291">
        <v>1365.97998046875</v>
      </c>
    </row>
    <row r="10292" spans="1:2" x14ac:dyDescent="0.25">
      <c r="A10292" s="5">
        <v>36843</v>
      </c>
      <c r="B10292">
        <v>1351.26000976562</v>
      </c>
    </row>
    <row r="10293" spans="1:2" x14ac:dyDescent="0.25">
      <c r="A10293" s="5">
        <v>36844</v>
      </c>
      <c r="B10293">
        <v>1382.94995117188</v>
      </c>
    </row>
    <row r="10294" spans="1:2" x14ac:dyDescent="0.25">
      <c r="A10294" s="5">
        <v>36845</v>
      </c>
      <c r="B10294">
        <v>1389.81005859375</v>
      </c>
    </row>
    <row r="10295" spans="1:2" x14ac:dyDescent="0.25">
      <c r="A10295" s="5">
        <v>36846</v>
      </c>
      <c r="B10295">
        <v>1372.31994628906</v>
      </c>
    </row>
    <row r="10296" spans="1:2" x14ac:dyDescent="0.25">
      <c r="A10296" s="5">
        <v>36847</v>
      </c>
      <c r="B10296">
        <v>1367.71997070312</v>
      </c>
    </row>
    <row r="10297" spans="1:2" x14ac:dyDescent="0.25">
      <c r="A10297" s="5">
        <v>36850</v>
      </c>
      <c r="B10297">
        <v>1342.61999511719</v>
      </c>
    </row>
    <row r="10298" spans="1:2" x14ac:dyDescent="0.25">
      <c r="A10298" s="5">
        <v>36851</v>
      </c>
      <c r="B10298">
        <v>1347.34997558594</v>
      </c>
    </row>
    <row r="10299" spans="1:2" x14ac:dyDescent="0.25">
      <c r="A10299" s="5">
        <v>36852</v>
      </c>
      <c r="B10299">
        <v>1322.35998535156</v>
      </c>
    </row>
    <row r="10300" spans="1:2" x14ac:dyDescent="0.25">
      <c r="A10300" s="5">
        <v>36854</v>
      </c>
      <c r="B10300">
        <v>1341.77001953125</v>
      </c>
    </row>
    <row r="10301" spans="1:2" x14ac:dyDescent="0.25">
      <c r="A10301" s="5">
        <v>36857</v>
      </c>
      <c r="B10301">
        <v>1348.96997070312</v>
      </c>
    </row>
    <row r="10302" spans="1:2" x14ac:dyDescent="0.25">
      <c r="A10302" s="5">
        <v>36858</v>
      </c>
      <c r="B10302">
        <v>1336.08996582031</v>
      </c>
    </row>
    <row r="10303" spans="1:2" x14ac:dyDescent="0.25">
      <c r="A10303" s="5">
        <v>36859</v>
      </c>
      <c r="B10303">
        <v>1341.93005371094</v>
      </c>
    </row>
    <row r="10304" spans="1:2" x14ac:dyDescent="0.25">
      <c r="A10304" s="5">
        <v>36860</v>
      </c>
      <c r="B10304">
        <v>1314.94995117188</v>
      </c>
    </row>
    <row r="10305" spans="1:2" x14ac:dyDescent="0.25">
      <c r="A10305" s="5">
        <v>36861</v>
      </c>
      <c r="B10305">
        <v>1315.22998046875</v>
      </c>
    </row>
    <row r="10306" spans="1:2" x14ac:dyDescent="0.25">
      <c r="A10306" s="5">
        <v>36864</v>
      </c>
      <c r="B10306">
        <v>1324.96997070312</v>
      </c>
    </row>
    <row r="10307" spans="1:2" x14ac:dyDescent="0.25">
      <c r="A10307" s="5">
        <v>36865</v>
      </c>
      <c r="B10307">
        <v>1376.5400390625</v>
      </c>
    </row>
    <row r="10308" spans="1:2" x14ac:dyDescent="0.25">
      <c r="A10308" s="5">
        <v>36866</v>
      </c>
      <c r="B10308">
        <v>1351.4599609375</v>
      </c>
    </row>
    <row r="10309" spans="1:2" x14ac:dyDescent="0.25">
      <c r="A10309" s="5">
        <v>36867</v>
      </c>
      <c r="B10309">
        <v>1343.55004882812</v>
      </c>
    </row>
    <row r="10310" spans="1:2" x14ac:dyDescent="0.25">
      <c r="A10310" s="5">
        <v>36868</v>
      </c>
      <c r="B10310">
        <v>1369.89001464844</v>
      </c>
    </row>
    <row r="10311" spans="1:2" x14ac:dyDescent="0.25">
      <c r="A10311" s="5">
        <v>36871</v>
      </c>
      <c r="B10311">
        <v>1380.19995117188</v>
      </c>
    </row>
    <row r="10312" spans="1:2" x14ac:dyDescent="0.25">
      <c r="A10312" s="5">
        <v>36872</v>
      </c>
      <c r="B10312">
        <v>1371.18005371094</v>
      </c>
    </row>
    <row r="10313" spans="1:2" x14ac:dyDescent="0.25">
      <c r="A10313" s="5">
        <v>36873</v>
      </c>
      <c r="B10313">
        <v>1359.98999023438</v>
      </c>
    </row>
    <row r="10314" spans="1:2" x14ac:dyDescent="0.25">
      <c r="A10314" s="5">
        <v>36874</v>
      </c>
      <c r="B10314">
        <v>1340.93005371094</v>
      </c>
    </row>
    <row r="10315" spans="1:2" x14ac:dyDescent="0.25">
      <c r="A10315" s="5">
        <v>36875</v>
      </c>
      <c r="B10315">
        <v>1312.15002441406</v>
      </c>
    </row>
    <row r="10316" spans="1:2" x14ac:dyDescent="0.25">
      <c r="A10316" s="5">
        <v>36878</v>
      </c>
      <c r="B10316">
        <v>1322.73999023438</v>
      </c>
    </row>
    <row r="10317" spans="1:2" x14ac:dyDescent="0.25">
      <c r="A10317" s="5">
        <v>36879</v>
      </c>
      <c r="B10317">
        <v>1305.59997558594</v>
      </c>
    </row>
    <row r="10318" spans="1:2" x14ac:dyDescent="0.25">
      <c r="A10318" s="5">
        <v>36880</v>
      </c>
      <c r="B10318">
        <v>1264.73999023438</v>
      </c>
    </row>
    <row r="10319" spans="1:2" x14ac:dyDescent="0.25">
      <c r="A10319" s="5">
        <v>36881</v>
      </c>
      <c r="B10319">
        <v>1274.85998535156</v>
      </c>
    </row>
    <row r="10320" spans="1:2" x14ac:dyDescent="0.25">
      <c r="A10320" s="5">
        <v>36882</v>
      </c>
      <c r="B10320">
        <v>1305.94995117188</v>
      </c>
    </row>
    <row r="10321" spans="1:2" x14ac:dyDescent="0.25">
      <c r="A10321" s="5">
        <v>36886</v>
      </c>
      <c r="B10321">
        <v>1315.18994140625</v>
      </c>
    </row>
    <row r="10322" spans="1:2" x14ac:dyDescent="0.25">
      <c r="A10322" s="5">
        <v>36887</v>
      </c>
      <c r="B10322">
        <v>1328.92004394531</v>
      </c>
    </row>
    <row r="10323" spans="1:2" x14ac:dyDescent="0.25">
      <c r="A10323" s="5">
        <v>36888</v>
      </c>
      <c r="B10323">
        <v>1334.21997070312</v>
      </c>
    </row>
    <row r="10324" spans="1:2" x14ac:dyDescent="0.25">
      <c r="A10324" s="5">
        <v>36889</v>
      </c>
      <c r="B10324">
        <v>1320.28002929688</v>
      </c>
    </row>
    <row r="10325" spans="1:2" x14ac:dyDescent="0.25">
      <c r="A10325" s="5">
        <v>36893</v>
      </c>
      <c r="B10325">
        <v>1283.27001953125</v>
      </c>
    </row>
    <row r="10326" spans="1:2" x14ac:dyDescent="0.25">
      <c r="A10326" s="5">
        <v>36894</v>
      </c>
      <c r="B10326">
        <v>1347.56005859375</v>
      </c>
    </row>
    <row r="10327" spans="1:2" x14ac:dyDescent="0.25">
      <c r="A10327" s="5">
        <v>36895</v>
      </c>
      <c r="B10327">
        <v>1333.33996582031</v>
      </c>
    </row>
    <row r="10328" spans="1:2" x14ac:dyDescent="0.25">
      <c r="A10328" s="5">
        <v>36896</v>
      </c>
      <c r="B10328">
        <v>1298.34997558594</v>
      </c>
    </row>
    <row r="10329" spans="1:2" x14ac:dyDescent="0.25">
      <c r="A10329" s="5">
        <v>36899</v>
      </c>
      <c r="B10329">
        <v>1295.85998535156</v>
      </c>
    </row>
    <row r="10330" spans="1:2" x14ac:dyDescent="0.25">
      <c r="A10330" s="5">
        <v>36900</v>
      </c>
      <c r="B10330">
        <v>1300.80004882812</v>
      </c>
    </row>
    <row r="10331" spans="1:2" x14ac:dyDescent="0.25">
      <c r="A10331" s="5">
        <v>36901</v>
      </c>
      <c r="B10331">
        <v>1313.27001953125</v>
      </c>
    </row>
    <row r="10332" spans="1:2" x14ac:dyDescent="0.25">
      <c r="A10332" s="5">
        <v>36902</v>
      </c>
      <c r="B10332">
        <v>1326.81994628906</v>
      </c>
    </row>
    <row r="10333" spans="1:2" x14ac:dyDescent="0.25">
      <c r="A10333" s="5">
        <v>36903</v>
      </c>
      <c r="B10333">
        <v>1318.55004882812</v>
      </c>
    </row>
    <row r="10334" spans="1:2" x14ac:dyDescent="0.25">
      <c r="A10334" s="5">
        <v>36907</v>
      </c>
      <c r="B10334">
        <v>1326.65002441406</v>
      </c>
    </row>
    <row r="10335" spans="1:2" x14ac:dyDescent="0.25">
      <c r="A10335" s="5">
        <v>36908</v>
      </c>
      <c r="B10335">
        <v>1329.46997070312</v>
      </c>
    </row>
    <row r="10336" spans="1:2" x14ac:dyDescent="0.25">
      <c r="A10336" s="5">
        <v>36909</v>
      </c>
      <c r="B10336">
        <v>1347.96997070312</v>
      </c>
    </row>
    <row r="10337" spans="1:2" x14ac:dyDescent="0.25">
      <c r="A10337" s="5">
        <v>36910</v>
      </c>
      <c r="B10337">
        <v>1342.5400390625</v>
      </c>
    </row>
    <row r="10338" spans="1:2" x14ac:dyDescent="0.25">
      <c r="A10338" s="5">
        <v>36913</v>
      </c>
      <c r="B10338">
        <v>1342.90002441406</v>
      </c>
    </row>
    <row r="10339" spans="1:2" x14ac:dyDescent="0.25">
      <c r="A10339" s="5">
        <v>36914</v>
      </c>
      <c r="B10339">
        <v>1360.40002441406</v>
      </c>
    </row>
    <row r="10340" spans="1:2" x14ac:dyDescent="0.25">
      <c r="A10340" s="5">
        <v>36915</v>
      </c>
      <c r="B10340">
        <v>1364.30004882812</v>
      </c>
    </row>
    <row r="10341" spans="1:2" x14ac:dyDescent="0.25">
      <c r="A10341" s="5">
        <v>36916</v>
      </c>
      <c r="B10341">
        <v>1357.51000976562</v>
      </c>
    </row>
    <row r="10342" spans="1:2" x14ac:dyDescent="0.25">
      <c r="A10342" s="5">
        <v>36917</v>
      </c>
      <c r="B10342">
        <v>1354.94995117188</v>
      </c>
    </row>
    <row r="10343" spans="1:2" x14ac:dyDescent="0.25">
      <c r="A10343" s="5">
        <v>36920</v>
      </c>
      <c r="B10343">
        <v>1364.17004394531</v>
      </c>
    </row>
    <row r="10344" spans="1:2" x14ac:dyDescent="0.25">
      <c r="A10344" s="5">
        <v>36921</v>
      </c>
      <c r="B10344">
        <v>1373.72998046875</v>
      </c>
    </row>
    <row r="10345" spans="1:2" x14ac:dyDescent="0.25">
      <c r="A10345" s="5">
        <v>36922</v>
      </c>
      <c r="B10345">
        <v>1366.01000976562</v>
      </c>
    </row>
    <row r="10346" spans="1:2" x14ac:dyDescent="0.25">
      <c r="A10346" s="5">
        <v>36923</v>
      </c>
      <c r="B10346">
        <v>1373.46997070312</v>
      </c>
    </row>
    <row r="10347" spans="1:2" x14ac:dyDescent="0.25">
      <c r="A10347" s="5">
        <v>36924</v>
      </c>
      <c r="B10347">
        <v>1349.46997070312</v>
      </c>
    </row>
    <row r="10348" spans="1:2" x14ac:dyDescent="0.25">
      <c r="A10348" s="5">
        <v>36927</v>
      </c>
      <c r="B10348">
        <v>1354.31005859375</v>
      </c>
    </row>
    <row r="10349" spans="1:2" x14ac:dyDescent="0.25">
      <c r="A10349" s="5">
        <v>36928</v>
      </c>
      <c r="B10349">
        <v>1352.26000976562</v>
      </c>
    </row>
    <row r="10350" spans="1:2" x14ac:dyDescent="0.25">
      <c r="A10350" s="5">
        <v>36929</v>
      </c>
      <c r="B10350">
        <v>1340.89001464844</v>
      </c>
    </row>
    <row r="10351" spans="1:2" x14ac:dyDescent="0.25">
      <c r="A10351" s="5">
        <v>36930</v>
      </c>
      <c r="B10351">
        <v>1332.53002929688</v>
      </c>
    </row>
    <row r="10352" spans="1:2" x14ac:dyDescent="0.25">
      <c r="A10352" s="5">
        <v>36931</v>
      </c>
      <c r="B10352">
        <v>1314.76000976562</v>
      </c>
    </row>
    <row r="10353" spans="1:2" x14ac:dyDescent="0.25">
      <c r="A10353" s="5">
        <v>36934</v>
      </c>
      <c r="B10353">
        <v>1330.31005859375</v>
      </c>
    </row>
    <row r="10354" spans="1:2" x14ac:dyDescent="0.25">
      <c r="A10354" s="5">
        <v>36935</v>
      </c>
      <c r="B10354">
        <v>1318.80004882812</v>
      </c>
    </row>
    <row r="10355" spans="1:2" x14ac:dyDescent="0.25">
      <c r="A10355" s="5">
        <v>36936</v>
      </c>
      <c r="B10355">
        <v>1315.92004394531</v>
      </c>
    </row>
    <row r="10356" spans="1:2" x14ac:dyDescent="0.25">
      <c r="A10356" s="5">
        <v>36937</v>
      </c>
      <c r="B10356">
        <v>1326.60998535156</v>
      </c>
    </row>
    <row r="10357" spans="1:2" x14ac:dyDescent="0.25">
      <c r="A10357" s="5">
        <v>36938</v>
      </c>
      <c r="B10357">
        <v>1301.53002929688</v>
      </c>
    </row>
    <row r="10358" spans="1:2" x14ac:dyDescent="0.25">
      <c r="A10358" s="5">
        <v>36942</v>
      </c>
      <c r="B10358">
        <v>1278.93994140625</v>
      </c>
    </row>
    <row r="10359" spans="1:2" x14ac:dyDescent="0.25">
      <c r="A10359" s="5">
        <v>36943</v>
      </c>
      <c r="B10359">
        <v>1255.27001953125</v>
      </c>
    </row>
    <row r="10360" spans="1:2" x14ac:dyDescent="0.25">
      <c r="A10360" s="5">
        <v>36944</v>
      </c>
      <c r="B10360">
        <v>1252.81994628906</v>
      </c>
    </row>
    <row r="10361" spans="1:2" x14ac:dyDescent="0.25">
      <c r="A10361" s="5">
        <v>36945</v>
      </c>
      <c r="B10361">
        <v>1245.85998535156</v>
      </c>
    </row>
    <row r="10362" spans="1:2" x14ac:dyDescent="0.25">
      <c r="A10362" s="5">
        <v>36948</v>
      </c>
      <c r="B10362">
        <v>1267.65002441406</v>
      </c>
    </row>
    <row r="10363" spans="1:2" x14ac:dyDescent="0.25">
      <c r="A10363" s="5">
        <v>36949</v>
      </c>
      <c r="B10363">
        <v>1257.93994140625</v>
      </c>
    </row>
    <row r="10364" spans="1:2" x14ac:dyDescent="0.25">
      <c r="A10364" s="5">
        <v>36950</v>
      </c>
      <c r="B10364">
        <v>1239.93994140625</v>
      </c>
    </row>
    <row r="10365" spans="1:2" x14ac:dyDescent="0.25">
      <c r="A10365" s="5">
        <v>36951</v>
      </c>
      <c r="B10365">
        <v>1241.22998046875</v>
      </c>
    </row>
    <row r="10366" spans="1:2" x14ac:dyDescent="0.25">
      <c r="A10366" s="5">
        <v>36952</v>
      </c>
      <c r="B10366">
        <v>1234.18005371094</v>
      </c>
    </row>
    <row r="10367" spans="1:2" x14ac:dyDescent="0.25">
      <c r="A10367" s="5">
        <v>36955</v>
      </c>
      <c r="B10367">
        <v>1241.41003417969</v>
      </c>
    </row>
    <row r="10368" spans="1:2" x14ac:dyDescent="0.25">
      <c r="A10368" s="5">
        <v>36956</v>
      </c>
      <c r="B10368">
        <v>1253.80004882812</v>
      </c>
    </row>
    <row r="10369" spans="1:2" x14ac:dyDescent="0.25">
      <c r="A10369" s="5">
        <v>36957</v>
      </c>
      <c r="B10369">
        <v>1261.89001464844</v>
      </c>
    </row>
    <row r="10370" spans="1:2" x14ac:dyDescent="0.25">
      <c r="A10370" s="5">
        <v>36958</v>
      </c>
      <c r="B10370">
        <v>1264.73999023438</v>
      </c>
    </row>
    <row r="10371" spans="1:2" x14ac:dyDescent="0.25">
      <c r="A10371" s="5">
        <v>36959</v>
      </c>
      <c r="B10371">
        <v>1233.42004394531</v>
      </c>
    </row>
    <row r="10372" spans="1:2" x14ac:dyDescent="0.25">
      <c r="A10372" s="5">
        <v>36962</v>
      </c>
      <c r="B10372">
        <v>1180.16003417969</v>
      </c>
    </row>
    <row r="10373" spans="1:2" x14ac:dyDescent="0.25">
      <c r="A10373" s="5">
        <v>36963</v>
      </c>
      <c r="B10373">
        <v>1197.66003417969</v>
      </c>
    </row>
    <row r="10374" spans="1:2" x14ac:dyDescent="0.25">
      <c r="A10374" s="5">
        <v>36964</v>
      </c>
      <c r="B10374">
        <v>1166.7099609375</v>
      </c>
    </row>
    <row r="10375" spans="1:2" x14ac:dyDescent="0.25">
      <c r="A10375" s="5">
        <v>36965</v>
      </c>
      <c r="B10375">
        <v>1173.56005859375</v>
      </c>
    </row>
    <row r="10376" spans="1:2" x14ac:dyDescent="0.25">
      <c r="A10376" s="5">
        <v>36966</v>
      </c>
      <c r="B10376">
        <v>1150.53002929688</v>
      </c>
    </row>
    <row r="10377" spans="1:2" x14ac:dyDescent="0.25">
      <c r="A10377" s="5">
        <v>36969</v>
      </c>
      <c r="B10377">
        <v>1170.81005859375</v>
      </c>
    </row>
    <row r="10378" spans="1:2" x14ac:dyDescent="0.25">
      <c r="A10378" s="5">
        <v>36970</v>
      </c>
      <c r="B10378">
        <v>1142.61999511719</v>
      </c>
    </row>
    <row r="10379" spans="1:2" x14ac:dyDescent="0.25">
      <c r="A10379" s="5">
        <v>36971</v>
      </c>
      <c r="B10379">
        <v>1122.14001464844</v>
      </c>
    </row>
    <row r="10380" spans="1:2" x14ac:dyDescent="0.25">
      <c r="A10380" s="5">
        <v>36972</v>
      </c>
      <c r="B10380">
        <v>1117.57995605469</v>
      </c>
    </row>
    <row r="10381" spans="1:2" x14ac:dyDescent="0.25">
      <c r="A10381" s="5">
        <v>36973</v>
      </c>
      <c r="B10381">
        <v>1139.82995605469</v>
      </c>
    </row>
    <row r="10382" spans="1:2" x14ac:dyDescent="0.25">
      <c r="A10382" s="5">
        <v>36976</v>
      </c>
      <c r="B10382">
        <v>1152.68994140625</v>
      </c>
    </row>
    <row r="10383" spans="1:2" x14ac:dyDescent="0.25">
      <c r="A10383" s="5">
        <v>36977</v>
      </c>
      <c r="B10383">
        <v>1182.17004394531</v>
      </c>
    </row>
    <row r="10384" spans="1:2" x14ac:dyDescent="0.25">
      <c r="A10384" s="5">
        <v>36978</v>
      </c>
      <c r="B10384">
        <v>1153.2900390625</v>
      </c>
    </row>
    <row r="10385" spans="1:2" x14ac:dyDescent="0.25">
      <c r="A10385" s="5">
        <v>36979</v>
      </c>
      <c r="B10385">
        <v>1147.94995117188</v>
      </c>
    </row>
    <row r="10386" spans="1:2" x14ac:dyDescent="0.25">
      <c r="A10386" s="5">
        <v>36980</v>
      </c>
      <c r="B10386">
        <v>1160.32995605469</v>
      </c>
    </row>
    <row r="10387" spans="1:2" x14ac:dyDescent="0.25">
      <c r="A10387" s="5">
        <v>36983</v>
      </c>
      <c r="B10387">
        <v>1145.86999511719</v>
      </c>
    </row>
    <row r="10388" spans="1:2" x14ac:dyDescent="0.25">
      <c r="A10388" s="5">
        <v>36984</v>
      </c>
      <c r="B10388">
        <v>1106.4599609375</v>
      </c>
    </row>
    <row r="10389" spans="1:2" x14ac:dyDescent="0.25">
      <c r="A10389" s="5">
        <v>36985</v>
      </c>
      <c r="B10389">
        <v>1103.25</v>
      </c>
    </row>
    <row r="10390" spans="1:2" x14ac:dyDescent="0.25">
      <c r="A10390" s="5">
        <v>36986</v>
      </c>
      <c r="B10390">
        <v>1151.43994140625</v>
      </c>
    </row>
    <row r="10391" spans="1:2" x14ac:dyDescent="0.25">
      <c r="A10391" s="5">
        <v>36987</v>
      </c>
      <c r="B10391">
        <v>1128.43005371094</v>
      </c>
    </row>
    <row r="10392" spans="1:2" x14ac:dyDescent="0.25">
      <c r="A10392" s="5">
        <v>36990</v>
      </c>
      <c r="B10392">
        <v>1137.58996582031</v>
      </c>
    </row>
    <row r="10393" spans="1:2" x14ac:dyDescent="0.25">
      <c r="A10393" s="5">
        <v>36991</v>
      </c>
      <c r="B10393">
        <v>1168.38000488281</v>
      </c>
    </row>
    <row r="10394" spans="1:2" x14ac:dyDescent="0.25">
      <c r="A10394" s="5">
        <v>36992</v>
      </c>
      <c r="B10394">
        <v>1165.89001464844</v>
      </c>
    </row>
    <row r="10395" spans="1:2" x14ac:dyDescent="0.25">
      <c r="A10395" s="5">
        <v>36993</v>
      </c>
      <c r="B10395">
        <v>1183.5</v>
      </c>
    </row>
    <row r="10396" spans="1:2" x14ac:dyDescent="0.25">
      <c r="A10396" s="5">
        <v>36997</v>
      </c>
      <c r="B10396">
        <v>1179.68005371094</v>
      </c>
    </row>
    <row r="10397" spans="1:2" x14ac:dyDescent="0.25">
      <c r="A10397" s="5">
        <v>36998</v>
      </c>
      <c r="B10397">
        <v>1191.81005859375</v>
      </c>
    </row>
    <row r="10398" spans="1:2" x14ac:dyDescent="0.25">
      <c r="A10398" s="5">
        <v>36999</v>
      </c>
      <c r="B10398">
        <v>1238.16003417969</v>
      </c>
    </row>
    <row r="10399" spans="1:2" x14ac:dyDescent="0.25">
      <c r="A10399" s="5">
        <v>37000</v>
      </c>
      <c r="B10399">
        <v>1253.68994140625</v>
      </c>
    </row>
    <row r="10400" spans="1:2" x14ac:dyDescent="0.25">
      <c r="A10400" s="5">
        <v>37001</v>
      </c>
      <c r="B10400">
        <v>1242.97998046875</v>
      </c>
    </row>
    <row r="10401" spans="1:2" x14ac:dyDescent="0.25">
      <c r="A10401" s="5">
        <v>37004</v>
      </c>
      <c r="B10401">
        <v>1224.35998535156</v>
      </c>
    </row>
    <row r="10402" spans="1:2" x14ac:dyDescent="0.25">
      <c r="A10402" s="5">
        <v>37005</v>
      </c>
      <c r="B10402">
        <v>1209.46997070312</v>
      </c>
    </row>
    <row r="10403" spans="1:2" x14ac:dyDescent="0.25">
      <c r="A10403" s="5">
        <v>37006</v>
      </c>
      <c r="B10403">
        <v>1228.75</v>
      </c>
    </row>
    <row r="10404" spans="1:2" x14ac:dyDescent="0.25">
      <c r="A10404" s="5">
        <v>37007</v>
      </c>
      <c r="B10404">
        <v>1234.52001953125</v>
      </c>
    </row>
    <row r="10405" spans="1:2" x14ac:dyDescent="0.25">
      <c r="A10405" s="5">
        <v>37008</v>
      </c>
      <c r="B10405">
        <v>1253.05004882812</v>
      </c>
    </row>
    <row r="10406" spans="1:2" x14ac:dyDescent="0.25">
      <c r="A10406" s="5">
        <v>37011</v>
      </c>
      <c r="B10406">
        <v>1249.4599609375</v>
      </c>
    </row>
    <row r="10407" spans="1:2" x14ac:dyDescent="0.25">
      <c r="A10407" s="5">
        <v>37012</v>
      </c>
      <c r="B10407">
        <v>1266.43994140625</v>
      </c>
    </row>
    <row r="10408" spans="1:2" x14ac:dyDescent="0.25">
      <c r="A10408" s="5">
        <v>37013</v>
      </c>
      <c r="B10408">
        <v>1267.43005371094</v>
      </c>
    </row>
    <row r="10409" spans="1:2" x14ac:dyDescent="0.25">
      <c r="A10409" s="5">
        <v>37014</v>
      </c>
      <c r="B10409">
        <v>1248.57995605469</v>
      </c>
    </row>
    <row r="10410" spans="1:2" x14ac:dyDescent="0.25">
      <c r="A10410" s="5">
        <v>37015</v>
      </c>
      <c r="B10410">
        <v>1266.60998535156</v>
      </c>
    </row>
    <row r="10411" spans="1:2" x14ac:dyDescent="0.25">
      <c r="A10411" s="5">
        <v>37018</v>
      </c>
      <c r="B10411">
        <v>1263.51000976562</v>
      </c>
    </row>
    <row r="10412" spans="1:2" x14ac:dyDescent="0.25">
      <c r="A10412" s="5">
        <v>37019</v>
      </c>
      <c r="B10412">
        <v>1261.19995117188</v>
      </c>
    </row>
    <row r="10413" spans="1:2" x14ac:dyDescent="0.25">
      <c r="A10413" s="5">
        <v>37020</v>
      </c>
      <c r="B10413">
        <v>1255.5400390625</v>
      </c>
    </row>
    <row r="10414" spans="1:2" x14ac:dyDescent="0.25">
      <c r="A10414" s="5">
        <v>37021</v>
      </c>
      <c r="B10414">
        <v>1255.18005371094</v>
      </c>
    </row>
    <row r="10415" spans="1:2" x14ac:dyDescent="0.25">
      <c r="A10415" s="5">
        <v>37022</v>
      </c>
      <c r="B10415">
        <v>1245.67004394531</v>
      </c>
    </row>
    <row r="10416" spans="1:2" x14ac:dyDescent="0.25">
      <c r="A10416" s="5">
        <v>37025</v>
      </c>
      <c r="B10416">
        <v>1248.92004394531</v>
      </c>
    </row>
    <row r="10417" spans="1:2" x14ac:dyDescent="0.25">
      <c r="A10417" s="5">
        <v>37026</v>
      </c>
      <c r="B10417">
        <v>1249.43994140625</v>
      </c>
    </row>
    <row r="10418" spans="1:2" x14ac:dyDescent="0.25">
      <c r="A10418" s="5">
        <v>37027</v>
      </c>
      <c r="B10418">
        <v>1284.98999023438</v>
      </c>
    </row>
    <row r="10419" spans="1:2" x14ac:dyDescent="0.25">
      <c r="A10419" s="5">
        <v>37028</v>
      </c>
      <c r="B10419">
        <v>1288.48999023438</v>
      </c>
    </row>
    <row r="10420" spans="1:2" x14ac:dyDescent="0.25">
      <c r="A10420" s="5">
        <v>37029</v>
      </c>
      <c r="B10420">
        <v>1291.9599609375</v>
      </c>
    </row>
    <row r="10421" spans="1:2" x14ac:dyDescent="0.25">
      <c r="A10421" s="5">
        <v>37032</v>
      </c>
      <c r="B10421">
        <v>1312.82995605469</v>
      </c>
    </row>
    <row r="10422" spans="1:2" x14ac:dyDescent="0.25">
      <c r="A10422" s="5">
        <v>37033</v>
      </c>
      <c r="B10422">
        <v>1309.38000488281</v>
      </c>
    </row>
    <row r="10423" spans="1:2" x14ac:dyDescent="0.25">
      <c r="A10423" s="5">
        <v>37034</v>
      </c>
      <c r="B10423">
        <v>1289.05004882812</v>
      </c>
    </row>
    <row r="10424" spans="1:2" x14ac:dyDescent="0.25">
      <c r="A10424" s="5">
        <v>37035</v>
      </c>
      <c r="B10424">
        <v>1293.17004394531</v>
      </c>
    </row>
    <row r="10425" spans="1:2" x14ac:dyDescent="0.25">
      <c r="A10425" s="5">
        <v>37036</v>
      </c>
      <c r="B10425">
        <v>1277.89001464844</v>
      </c>
    </row>
    <row r="10426" spans="1:2" x14ac:dyDescent="0.25">
      <c r="A10426" s="5">
        <v>37040</v>
      </c>
      <c r="B10426">
        <v>1267.93005371094</v>
      </c>
    </row>
    <row r="10427" spans="1:2" x14ac:dyDescent="0.25">
      <c r="A10427" s="5">
        <v>37041</v>
      </c>
      <c r="B10427">
        <v>1248.07995605469</v>
      </c>
    </row>
    <row r="10428" spans="1:2" x14ac:dyDescent="0.25">
      <c r="A10428" s="5">
        <v>37042</v>
      </c>
      <c r="B10428">
        <v>1255.81994628906</v>
      </c>
    </row>
    <row r="10429" spans="1:2" x14ac:dyDescent="0.25">
      <c r="A10429" s="5">
        <v>37043</v>
      </c>
      <c r="B10429">
        <v>1260.67004394531</v>
      </c>
    </row>
    <row r="10430" spans="1:2" x14ac:dyDescent="0.25">
      <c r="A10430" s="5">
        <v>37046</v>
      </c>
      <c r="B10430">
        <v>1267.10998535156</v>
      </c>
    </row>
    <row r="10431" spans="1:2" x14ac:dyDescent="0.25">
      <c r="A10431" s="5">
        <v>37047</v>
      </c>
      <c r="B10431">
        <v>1283.56994628906</v>
      </c>
    </row>
    <row r="10432" spans="1:2" x14ac:dyDescent="0.25">
      <c r="A10432" s="5">
        <v>37048</v>
      </c>
      <c r="B10432">
        <v>1270.03002929688</v>
      </c>
    </row>
    <row r="10433" spans="1:2" x14ac:dyDescent="0.25">
      <c r="A10433" s="5">
        <v>37049</v>
      </c>
      <c r="B10433">
        <v>1276.9599609375</v>
      </c>
    </row>
    <row r="10434" spans="1:2" x14ac:dyDescent="0.25">
      <c r="A10434" s="5">
        <v>37050</v>
      </c>
      <c r="B10434">
        <v>1264.9599609375</v>
      </c>
    </row>
    <row r="10435" spans="1:2" x14ac:dyDescent="0.25">
      <c r="A10435" s="5">
        <v>37053</v>
      </c>
      <c r="B10435">
        <v>1254.39001464844</v>
      </c>
    </row>
    <row r="10436" spans="1:2" x14ac:dyDescent="0.25">
      <c r="A10436" s="5">
        <v>37054</v>
      </c>
      <c r="B10436">
        <v>1255.84997558594</v>
      </c>
    </row>
    <row r="10437" spans="1:2" x14ac:dyDescent="0.25">
      <c r="A10437" s="5">
        <v>37055</v>
      </c>
      <c r="B10437">
        <v>1241.59997558594</v>
      </c>
    </row>
    <row r="10438" spans="1:2" x14ac:dyDescent="0.25">
      <c r="A10438" s="5">
        <v>37056</v>
      </c>
      <c r="B10438">
        <v>1219.86999511719</v>
      </c>
    </row>
    <row r="10439" spans="1:2" x14ac:dyDescent="0.25">
      <c r="A10439" s="5">
        <v>37057</v>
      </c>
      <c r="B10439">
        <v>1214.35998535156</v>
      </c>
    </row>
    <row r="10440" spans="1:2" x14ac:dyDescent="0.25">
      <c r="A10440" s="5">
        <v>37060</v>
      </c>
      <c r="B10440">
        <v>1208.43005371094</v>
      </c>
    </row>
    <row r="10441" spans="1:2" x14ac:dyDescent="0.25">
      <c r="A10441" s="5">
        <v>37061</v>
      </c>
      <c r="B10441">
        <v>1212.57995605469</v>
      </c>
    </row>
    <row r="10442" spans="1:2" x14ac:dyDescent="0.25">
      <c r="A10442" s="5">
        <v>37062</v>
      </c>
      <c r="B10442">
        <v>1223.14001464844</v>
      </c>
    </row>
    <row r="10443" spans="1:2" x14ac:dyDescent="0.25">
      <c r="A10443" s="5">
        <v>37063</v>
      </c>
      <c r="B10443">
        <v>1237.0400390625</v>
      </c>
    </row>
    <row r="10444" spans="1:2" x14ac:dyDescent="0.25">
      <c r="A10444" s="5">
        <v>37064</v>
      </c>
      <c r="B10444">
        <v>1225.34997558594</v>
      </c>
    </row>
    <row r="10445" spans="1:2" x14ac:dyDescent="0.25">
      <c r="A10445" s="5">
        <v>37067</v>
      </c>
      <c r="B10445">
        <v>1218.59997558594</v>
      </c>
    </row>
    <row r="10446" spans="1:2" x14ac:dyDescent="0.25">
      <c r="A10446" s="5">
        <v>37068</v>
      </c>
      <c r="B10446">
        <v>1216.76000976562</v>
      </c>
    </row>
    <row r="10447" spans="1:2" x14ac:dyDescent="0.25">
      <c r="A10447" s="5">
        <v>37069</v>
      </c>
      <c r="B10447">
        <v>1211.06994628906</v>
      </c>
    </row>
    <row r="10448" spans="1:2" x14ac:dyDescent="0.25">
      <c r="A10448" s="5">
        <v>37070</v>
      </c>
      <c r="B10448">
        <v>1226.19995117188</v>
      </c>
    </row>
    <row r="10449" spans="1:2" x14ac:dyDescent="0.25">
      <c r="A10449" s="5">
        <v>37071</v>
      </c>
      <c r="B10449">
        <v>1224.38000488281</v>
      </c>
    </row>
    <row r="10450" spans="1:2" x14ac:dyDescent="0.25">
      <c r="A10450" s="5">
        <v>37074</v>
      </c>
      <c r="B10450">
        <v>1236.71997070312</v>
      </c>
    </row>
    <row r="10451" spans="1:2" x14ac:dyDescent="0.25">
      <c r="A10451" s="5">
        <v>37075</v>
      </c>
      <c r="B10451">
        <v>1234.44995117188</v>
      </c>
    </row>
    <row r="10452" spans="1:2" x14ac:dyDescent="0.25">
      <c r="A10452" s="5">
        <v>37077</v>
      </c>
      <c r="B10452">
        <v>1219.23999023438</v>
      </c>
    </row>
    <row r="10453" spans="1:2" x14ac:dyDescent="0.25">
      <c r="A10453" s="5">
        <v>37078</v>
      </c>
      <c r="B10453">
        <v>1190.58996582031</v>
      </c>
    </row>
    <row r="10454" spans="1:2" x14ac:dyDescent="0.25">
      <c r="A10454" s="5">
        <v>37081</v>
      </c>
      <c r="B10454">
        <v>1198.78002929688</v>
      </c>
    </row>
    <row r="10455" spans="1:2" x14ac:dyDescent="0.25">
      <c r="A10455" s="5">
        <v>37082</v>
      </c>
      <c r="B10455">
        <v>1181.52001953125</v>
      </c>
    </row>
    <row r="10456" spans="1:2" x14ac:dyDescent="0.25">
      <c r="A10456" s="5">
        <v>37083</v>
      </c>
      <c r="B10456">
        <v>1180.18005371094</v>
      </c>
    </row>
    <row r="10457" spans="1:2" x14ac:dyDescent="0.25">
      <c r="A10457" s="5">
        <v>37084</v>
      </c>
      <c r="B10457">
        <v>1208.14001464844</v>
      </c>
    </row>
    <row r="10458" spans="1:2" x14ac:dyDescent="0.25">
      <c r="A10458" s="5">
        <v>37085</v>
      </c>
      <c r="B10458">
        <v>1215.68005371094</v>
      </c>
    </row>
    <row r="10459" spans="1:2" x14ac:dyDescent="0.25">
      <c r="A10459" s="5">
        <v>37088</v>
      </c>
      <c r="B10459">
        <v>1202.44995117188</v>
      </c>
    </row>
    <row r="10460" spans="1:2" x14ac:dyDescent="0.25">
      <c r="A10460" s="5">
        <v>37089</v>
      </c>
      <c r="B10460">
        <v>1214.43994140625</v>
      </c>
    </row>
    <row r="10461" spans="1:2" x14ac:dyDescent="0.25">
      <c r="A10461" s="5">
        <v>37090</v>
      </c>
      <c r="B10461">
        <v>1207.7099609375</v>
      </c>
    </row>
    <row r="10462" spans="1:2" x14ac:dyDescent="0.25">
      <c r="A10462" s="5">
        <v>37091</v>
      </c>
      <c r="B10462">
        <v>1215.02001953125</v>
      </c>
    </row>
    <row r="10463" spans="1:2" x14ac:dyDescent="0.25">
      <c r="A10463" s="5">
        <v>37092</v>
      </c>
      <c r="B10463">
        <v>1210.84997558594</v>
      </c>
    </row>
    <row r="10464" spans="1:2" x14ac:dyDescent="0.25">
      <c r="A10464" s="5">
        <v>37095</v>
      </c>
      <c r="B10464">
        <v>1191.03002929688</v>
      </c>
    </row>
    <row r="10465" spans="1:2" x14ac:dyDescent="0.25">
      <c r="A10465" s="5">
        <v>37096</v>
      </c>
      <c r="B10465">
        <v>1171.65002441406</v>
      </c>
    </row>
    <row r="10466" spans="1:2" x14ac:dyDescent="0.25">
      <c r="A10466" s="5">
        <v>37097</v>
      </c>
      <c r="B10466">
        <v>1190.48999023438</v>
      </c>
    </row>
    <row r="10467" spans="1:2" x14ac:dyDescent="0.25">
      <c r="A10467" s="5">
        <v>37098</v>
      </c>
      <c r="B10467">
        <v>1202.93005371094</v>
      </c>
    </row>
    <row r="10468" spans="1:2" x14ac:dyDescent="0.25">
      <c r="A10468" s="5">
        <v>37099</v>
      </c>
      <c r="B10468">
        <v>1205.81994628906</v>
      </c>
    </row>
    <row r="10469" spans="1:2" x14ac:dyDescent="0.25">
      <c r="A10469" s="5">
        <v>37102</v>
      </c>
      <c r="B10469">
        <v>1204.52001953125</v>
      </c>
    </row>
    <row r="10470" spans="1:2" x14ac:dyDescent="0.25">
      <c r="A10470" s="5">
        <v>37103</v>
      </c>
      <c r="B10470">
        <v>1211.22998046875</v>
      </c>
    </row>
    <row r="10471" spans="1:2" x14ac:dyDescent="0.25">
      <c r="A10471" s="5">
        <v>37104</v>
      </c>
      <c r="B10471">
        <v>1215.93005371094</v>
      </c>
    </row>
    <row r="10472" spans="1:2" x14ac:dyDescent="0.25">
      <c r="A10472" s="5">
        <v>37105</v>
      </c>
      <c r="B10472">
        <v>1220.75</v>
      </c>
    </row>
    <row r="10473" spans="1:2" x14ac:dyDescent="0.25">
      <c r="A10473" s="5">
        <v>37106</v>
      </c>
      <c r="B10473">
        <v>1214.34997558594</v>
      </c>
    </row>
    <row r="10474" spans="1:2" x14ac:dyDescent="0.25">
      <c r="A10474" s="5">
        <v>37109</v>
      </c>
      <c r="B10474">
        <v>1200.47998046875</v>
      </c>
    </row>
    <row r="10475" spans="1:2" x14ac:dyDescent="0.25">
      <c r="A10475" s="5">
        <v>37110</v>
      </c>
      <c r="B10475">
        <v>1204.40002441406</v>
      </c>
    </row>
    <row r="10476" spans="1:2" x14ac:dyDescent="0.25">
      <c r="A10476" s="5">
        <v>37111</v>
      </c>
      <c r="B10476">
        <v>1183.53002929688</v>
      </c>
    </row>
    <row r="10477" spans="1:2" x14ac:dyDescent="0.25">
      <c r="A10477" s="5">
        <v>37112</v>
      </c>
      <c r="B10477">
        <v>1183.43005371094</v>
      </c>
    </row>
    <row r="10478" spans="1:2" x14ac:dyDescent="0.25">
      <c r="A10478" s="5">
        <v>37113</v>
      </c>
      <c r="B10478">
        <v>1190.16003417969</v>
      </c>
    </row>
    <row r="10479" spans="1:2" x14ac:dyDescent="0.25">
      <c r="A10479" s="5">
        <v>37116</v>
      </c>
      <c r="B10479">
        <v>1191.2900390625</v>
      </c>
    </row>
    <row r="10480" spans="1:2" x14ac:dyDescent="0.25">
      <c r="A10480" s="5">
        <v>37117</v>
      </c>
      <c r="B10480">
        <v>1186.72998046875</v>
      </c>
    </row>
    <row r="10481" spans="1:2" x14ac:dyDescent="0.25">
      <c r="A10481" s="5">
        <v>37118</v>
      </c>
      <c r="B10481">
        <v>1178.02001953125</v>
      </c>
    </row>
    <row r="10482" spans="1:2" x14ac:dyDescent="0.25">
      <c r="A10482" s="5">
        <v>37119</v>
      </c>
      <c r="B10482">
        <v>1181.66003417969</v>
      </c>
    </row>
    <row r="10483" spans="1:2" x14ac:dyDescent="0.25">
      <c r="A10483" s="5">
        <v>37120</v>
      </c>
      <c r="B10483">
        <v>1161.96997070312</v>
      </c>
    </row>
    <row r="10484" spans="1:2" x14ac:dyDescent="0.25">
      <c r="A10484" s="5">
        <v>37123</v>
      </c>
      <c r="B10484">
        <v>1171.41003417969</v>
      </c>
    </row>
    <row r="10485" spans="1:2" x14ac:dyDescent="0.25">
      <c r="A10485" s="5">
        <v>37124</v>
      </c>
      <c r="B10485">
        <v>1157.26000976562</v>
      </c>
    </row>
    <row r="10486" spans="1:2" x14ac:dyDescent="0.25">
      <c r="A10486" s="5">
        <v>37125</v>
      </c>
      <c r="B10486">
        <v>1165.31005859375</v>
      </c>
    </row>
    <row r="10487" spans="1:2" x14ac:dyDescent="0.25">
      <c r="A10487" s="5">
        <v>37126</v>
      </c>
      <c r="B10487">
        <v>1162.08996582031</v>
      </c>
    </row>
    <row r="10488" spans="1:2" x14ac:dyDescent="0.25">
      <c r="A10488" s="5">
        <v>37127</v>
      </c>
      <c r="B10488">
        <v>1184.93005371094</v>
      </c>
    </row>
    <row r="10489" spans="1:2" x14ac:dyDescent="0.25">
      <c r="A10489" s="5">
        <v>37130</v>
      </c>
      <c r="B10489">
        <v>1179.2099609375</v>
      </c>
    </row>
    <row r="10490" spans="1:2" x14ac:dyDescent="0.25">
      <c r="A10490" s="5">
        <v>37131</v>
      </c>
      <c r="B10490">
        <v>1161.51000976562</v>
      </c>
    </row>
    <row r="10491" spans="1:2" x14ac:dyDescent="0.25">
      <c r="A10491" s="5">
        <v>37132</v>
      </c>
      <c r="B10491">
        <v>1148.56005859375</v>
      </c>
    </row>
    <row r="10492" spans="1:2" x14ac:dyDescent="0.25">
      <c r="A10492" s="5">
        <v>37133</v>
      </c>
      <c r="B10492">
        <v>1129.03002929688</v>
      </c>
    </row>
    <row r="10493" spans="1:2" x14ac:dyDescent="0.25">
      <c r="A10493" s="5">
        <v>37134</v>
      </c>
      <c r="B10493">
        <v>1133.57995605469</v>
      </c>
    </row>
    <row r="10494" spans="1:2" x14ac:dyDescent="0.25">
      <c r="A10494" s="5">
        <v>37138</v>
      </c>
      <c r="B10494">
        <v>1132.93994140625</v>
      </c>
    </row>
    <row r="10495" spans="1:2" x14ac:dyDescent="0.25">
      <c r="A10495" s="5">
        <v>37139</v>
      </c>
      <c r="B10495">
        <v>1131.73999023438</v>
      </c>
    </row>
    <row r="10496" spans="1:2" x14ac:dyDescent="0.25">
      <c r="A10496" s="5">
        <v>37140</v>
      </c>
      <c r="B10496">
        <v>1106.40002441406</v>
      </c>
    </row>
    <row r="10497" spans="1:2" x14ac:dyDescent="0.25">
      <c r="A10497" s="5">
        <v>37141</v>
      </c>
      <c r="B10497">
        <v>1085.78002929688</v>
      </c>
    </row>
    <row r="10498" spans="1:2" x14ac:dyDescent="0.25">
      <c r="A10498" s="5">
        <v>37144</v>
      </c>
      <c r="B10498">
        <v>1092.5400390625</v>
      </c>
    </row>
    <row r="10499" spans="1:2" x14ac:dyDescent="0.25">
      <c r="A10499" s="5">
        <v>37151</v>
      </c>
      <c r="B10499">
        <v>1038.77001953125</v>
      </c>
    </row>
    <row r="10500" spans="1:2" x14ac:dyDescent="0.25">
      <c r="A10500" s="5">
        <v>37152</v>
      </c>
      <c r="B10500">
        <v>1032.73999023438</v>
      </c>
    </row>
    <row r="10501" spans="1:2" x14ac:dyDescent="0.25">
      <c r="A10501" s="5">
        <v>37153</v>
      </c>
      <c r="B10501">
        <v>1016.09997558594</v>
      </c>
    </row>
    <row r="10502" spans="1:2" x14ac:dyDescent="0.25">
      <c r="A10502" s="5">
        <v>37154</v>
      </c>
      <c r="B10502">
        <v>984.53997802734398</v>
      </c>
    </row>
    <row r="10503" spans="1:2" x14ac:dyDescent="0.25">
      <c r="A10503" s="5">
        <v>37155</v>
      </c>
      <c r="B10503">
        <v>965.79998779296898</v>
      </c>
    </row>
    <row r="10504" spans="1:2" x14ac:dyDescent="0.25">
      <c r="A10504" s="5">
        <v>37158</v>
      </c>
      <c r="B10504">
        <v>1003.45001220703</v>
      </c>
    </row>
    <row r="10505" spans="1:2" x14ac:dyDescent="0.25">
      <c r="A10505" s="5">
        <v>37159</v>
      </c>
      <c r="B10505">
        <v>1012.27001953125</v>
      </c>
    </row>
    <row r="10506" spans="1:2" x14ac:dyDescent="0.25">
      <c r="A10506" s="5">
        <v>37160</v>
      </c>
      <c r="B10506">
        <v>1007.03997802734</v>
      </c>
    </row>
    <row r="10507" spans="1:2" x14ac:dyDescent="0.25">
      <c r="A10507" s="5">
        <v>37161</v>
      </c>
      <c r="B10507">
        <v>1018.60998535156</v>
      </c>
    </row>
    <row r="10508" spans="1:2" x14ac:dyDescent="0.25">
      <c r="A10508" s="5">
        <v>37162</v>
      </c>
      <c r="B10508">
        <v>1040.93994140625</v>
      </c>
    </row>
    <row r="10509" spans="1:2" x14ac:dyDescent="0.25">
      <c r="A10509" s="5">
        <v>37165</v>
      </c>
      <c r="B10509">
        <v>1038.55004882812</v>
      </c>
    </row>
    <row r="10510" spans="1:2" x14ac:dyDescent="0.25">
      <c r="A10510" s="5">
        <v>37166</v>
      </c>
      <c r="B10510">
        <v>1051.32995605469</v>
      </c>
    </row>
    <row r="10511" spans="1:2" x14ac:dyDescent="0.25">
      <c r="A10511" s="5">
        <v>37167</v>
      </c>
      <c r="B10511">
        <v>1072.28002929688</v>
      </c>
    </row>
    <row r="10512" spans="1:2" x14ac:dyDescent="0.25">
      <c r="A10512" s="5">
        <v>37168</v>
      </c>
      <c r="B10512">
        <v>1069.63000488281</v>
      </c>
    </row>
    <row r="10513" spans="1:2" x14ac:dyDescent="0.25">
      <c r="A10513" s="5">
        <v>37169</v>
      </c>
      <c r="B10513">
        <v>1071.38000488281</v>
      </c>
    </row>
    <row r="10514" spans="1:2" x14ac:dyDescent="0.25">
      <c r="A10514" s="5">
        <v>37172</v>
      </c>
      <c r="B10514">
        <v>1062.43994140625</v>
      </c>
    </row>
    <row r="10515" spans="1:2" x14ac:dyDescent="0.25">
      <c r="A10515" s="5">
        <v>37173</v>
      </c>
      <c r="B10515">
        <v>1056.75</v>
      </c>
    </row>
    <row r="10516" spans="1:2" x14ac:dyDescent="0.25">
      <c r="A10516" s="5">
        <v>37174</v>
      </c>
      <c r="B10516">
        <v>1080.98999023438</v>
      </c>
    </row>
    <row r="10517" spans="1:2" x14ac:dyDescent="0.25">
      <c r="A10517" s="5">
        <v>37175</v>
      </c>
      <c r="B10517">
        <v>1097.43005371094</v>
      </c>
    </row>
    <row r="10518" spans="1:2" x14ac:dyDescent="0.25">
      <c r="A10518" s="5">
        <v>37176</v>
      </c>
      <c r="B10518">
        <v>1091.65002441406</v>
      </c>
    </row>
    <row r="10519" spans="1:2" x14ac:dyDescent="0.25">
      <c r="A10519" s="5">
        <v>37179</v>
      </c>
      <c r="B10519">
        <v>1089.97998046875</v>
      </c>
    </row>
    <row r="10520" spans="1:2" x14ac:dyDescent="0.25">
      <c r="A10520" s="5">
        <v>37180</v>
      </c>
      <c r="B10520">
        <v>1097.5400390625</v>
      </c>
    </row>
    <row r="10521" spans="1:2" x14ac:dyDescent="0.25">
      <c r="A10521" s="5">
        <v>37181</v>
      </c>
      <c r="B10521">
        <v>1077.08996582031</v>
      </c>
    </row>
    <row r="10522" spans="1:2" x14ac:dyDescent="0.25">
      <c r="A10522" s="5">
        <v>37182</v>
      </c>
      <c r="B10522">
        <v>1068.60998535156</v>
      </c>
    </row>
    <row r="10523" spans="1:2" x14ac:dyDescent="0.25">
      <c r="A10523" s="5">
        <v>37183</v>
      </c>
      <c r="B10523">
        <v>1073.47998046875</v>
      </c>
    </row>
    <row r="10524" spans="1:2" x14ac:dyDescent="0.25">
      <c r="A10524" s="5">
        <v>37186</v>
      </c>
      <c r="B10524">
        <v>1089.90002441406</v>
      </c>
    </row>
    <row r="10525" spans="1:2" x14ac:dyDescent="0.25">
      <c r="A10525" s="5">
        <v>37187</v>
      </c>
      <c r="B10525">
        <v>1084.78002929688</v>
      </c>
    </row>
    <row r="10526" spans="1:2" x14ac:dyDescent="0.25">
      <c r="A10526" s="5">
        <v>37188</v>
      </c>
      <c r="B10526">
        <v>1085.19995117188</v>
      </c>
    </row>
    <row r="10527" spans="1:2" x14ac:dyDescent="0.25">
      <c r="A10527" s="5">
        <v>37189</v>
      </c>
      <c r="B10527">
        <v>1100.08996582031</v>
      </c>
    </row>
    <row r="10528" spans="1:2" x14ac:dyDescent="0.25">
      <c r="A10528" s="5">
        <v>37190</v>
      </c>
      <c r="B10528">
        <v>1104.60998535156</v>
      </c>
    </row>
    <row r="10529" spans="1:2" x14ac:dyDescent="0.25">
      <c r="A10529" s="5">
        <v>37193</v>
      </c>
      <c r="B10529">
        <v>1078.30004882812</v>
      </c>
    </row>
    <row r="10530" spans="1:2" x14ac:dyDescent="0.25">
      <c r="A10530" s="5">
        <v>37194</v>
      </c>
      <c r="B10530">
        <v>1059.7900390625</v>
      </c>
    </row>
    <row r="10531" spans="1:2" x14ac:dyDescent="0.25">
      <c r="A10531" s="5">
        <v>37195</v>
      </c>
      <c r="B10531">
        <v>1059.78002929688</v>
      </c>
    </row>
    <row r="10532" spans="1:2" x14ac:dyDescent="0.25">
      <c r="A10532" s="5">
        <v>37196</v>
      </c>
      <c r="B10532">
        <v>1084.09997558594</v>
      </c>
    </row>
    <row r="10533" spans="1:2" x14ac:dyDescent="0.25">
      <c r="A10533" s="5">
        <v>37197</v>
      </c>
      <c r="B10533">
        <v>1087.19995117188</v>
      </c>
    </row>
    <row r="10534" spans="1:2" x14ac:dyDescent="0.25">
      <c r="A10534" s="5">
        <v>37200</v>
      </c>
      <c r="B10534">
        <v>1102.83996582031</v>
      </c>
    </row>
    <row r="10535" spans="1:2" x14ac:dyDescent="0.25">
      <c r="A10535" s="5">
        <v>37201</v>
      </c>
      <c r="B10535">
        <v>1118.85998535156</v>
      </c>
    </row>
    <row r="10536" spans="1:2" x14ac:dyDescent="0.25">
      <c r="A10536" s="5">
        <v>37202</v>
      </c>
      <c r="B10536">
        <v>1115.80004882812</v>
      </c>
    </row>
    <row r="10537" spans="1:2" x14ac:dyDescent="0.25">
      <c r="A10537" s="5">
        <v>37203</v>
      </c>
      <c r="B10537">
        <v>1118.5400390625</v>
      </c>
    </row>
    <row r="10538" spans="1:2" x14ac:dyDescent="0.25">
      <c r="A10538" s="5">
        <v>37204</v>
      </c>
      <c r="B10538">
        <v>1120.31005859375</v>
      </c>
    </row>
    <row r="10539" spans="1:2" x14ac:dyDescent="0.25">
      <c r="A10539" s="5">
        <v>37207</v>
      </c>
      <c r="B10539">
        <v>1118.32995605469</v>
      </c>
    </row>
    <row r="10540" spans="1:2" x14ac:dyDescent="0.25">
      <c r="A10540" s="5">
        <v>37208</v>
      </c>
      <c r="B10540">
        <v>1139.08996582031</v>
      </c>
    </row>
    <row r="10541" spans="1:2" x14ac:dyDescent="0.25">
      <c r="A10541" s="5">
        <v>37209</v>
      </c>
      <c r="B10541">
        <v>1141.2099609375</v>
      </c>
    </row>
    <row r="10542" spans="1:2" x14ac:dyDescent="0.25">
      <c r="A10542" s="5">
        <v>37210</v>
      </c>
      <c r="B10542">
        <v>1142.23999023438</v>
      </c>
    </row>
    <row r="10543" spans="1:2" x14ac:dyDescent="0.25">
      <c r="A10543" s="5">
        <v>37211</v>
      </c>
      <c r="B10543">
        <v>1138.65002441406</v>
      </c>
    </row>
    <row r="10544" spans="1:2" x14ac:dyDescent="0.25">
      <c r="A10544" s="5">
        <v>37214</v>
      </c>
      <c r="B10544">
        <v>1151.06005859375</v>
      </c>
    </row>
    <row r="10545" spans="1:2" x14ac:dyDescent="0.25">
      <c r="A10545" s="5">
        <v>37215</v>
      </c>
      <c r="B10545">
        <v>1142.66003417969</v>
      </c>
    </row>
    <row r="10546" spans="1:2" x14ac:dyDescent="0.25">
      <c r="A10546" s="5">
        <v>37216</v>
      </c>
      <c r="B10546">
        <v>1137.03002929688</v>
      </c>
    </row>
    <row r="10547" spans="1:2" x14ac:dyDescent="0.25">
      <c r="A10547" s="5">
        <v>37218</v>
      </c>
      <c r="B10547">
        <v>1150.33996582031</v>
      </c>
    </row>
    <row r="10548" spans="1:2" x14ac:dyDescent="0.25">
      <c r="A10548" s="5">
        <v>37221</v>
      </c>
      <c r="B10548">
        <v>1157.42004394531</v>
      </c>
    </row>
    <row r="10549" spans="1:2" x14ac:dyDescent="0.25">
      <c r="A10549" s="5">
        <v>37222</v>
      </c>
      <c r="B10549">
        <v>1149.5</v>
      </c>
    </row>
    <row r="10550" spans="1:2" x14ac:dyDescent="0.25">
      <c r="A10550" s="5">
        <v>37223</v>
      </c>
      <c r="B10550">
        <v>1128.52001953125</v>
      </c>
    </row>
    <row r="10551" spans="1:2" x14ac:dyDescent="0.25">
      <c r="A10551" s="5">
        <v>37224</v>
      </c>
      <c r="B10551">
        <v>1140.19995117188</v>
      </c>
    </row>
    <row r="10552" spans="1:2" x14ac:dyDescent="0.25">
      <c r="A10552" s="5">
        <v>37225</v>
      </c>
      <c r="B10552">
        <v>1139.44995117188</v>
      </c>
    </row>
    <row r="10553" spans="1:2" x14ac:dyDescent="0.25">
      <c r="A10553" s="5">
        <v>37228</v>
      </c>
      <c r="B10553">
        <v>1129.90002441406</v>
      </c>
    </row>
    <row r="10554" spans="1:2" x14ac:dyDescent="0.25">
      <c r="A10554" s="5">
        <v>37229</v>
      </c>
      <c r="B10554">
        <v>1144.80004882812</v>
      </c>
    </row>
    <row r="10555" spans="1:2" x14ac:dyDescent="0.25">
      <c r="A10555" s="5">
        <v>37230</v>
      </c>
      <c r="B10555">
        <v>1170.34997558594</v>
      </c>
    </row>
    <row r="10556" spans="1:2" x14ac:dyDescent="0.25">
      <c r="A10556" s="5">
        <v>37231</v>
      </c>
      <c r="B10556">
        <v>1167.09997558594</v>
      </c>
    </row>
    <row r="10557" spans="1:2" x14ac:dyDescent="0.25">
      <c r="A10557" s="5">
        <v>37232</v>
      </c>
      <c r="B10557">
        <v>1158.31005859375</v>
      </c>
    </row>
    <row r="10558" spans="1:2" x14ac:dyDescent="0.25">
      <c r="A10558" s="5">
        <v>37235</v>
      </c>
      <c r="B10558">
        <v>1139.93005371094</v>
      </c>
    </row>
    <row r="10559" spans="1:2" x14ac:dyDescent="0.25">
      <c r="A10559" s="5">
        <v>37236</v>
      </c>
      <c r="B10559">
        <v>1136.76000976562</v>
      </c>
    </row>
    <row r="10560" spans="1:2" x14ac:dyDescent="0.25">
      <c r="A10560" s="5">
        <v>37237</v>
      </c>
      <c r="B10560">
        <v>1137.06994628906</v>
      </c>
    </row>
    <row r="10561" spans="1:2" x14ac:dyDescent="0.25">
      <c r="A10561" s="5">
        <v>37238</v>
      </c>
      <c r="B10561">
        <v>1119.38000488281</v>
      </c>
    </row>
    <row r="10562" spans="1:2" x14ac:dyDescent="0.25">
      <c r="A10562" s="5">
        <v>37239</v>
      </c>
      <c r="B10562">
        <v>1123.08996582031</v>
      </c>
    </row>
    <row r="10563" spans="1:2" x14ac:dyDescent="0.25">
      <c r="A10563" s="5">
        <v>37242</v>
      </c>
      <c r="B10563">
        <v>1134.35998535156</v>
      </c>
    </row>
    <row r="10564" spans="1:2" x14ac:dyDescent="0.25">
      <c r="A10564" s="5">
        <v>37243</v>
      </c>
      <c r="B10564">
        <v>1142.92004394531</v>
      </c>
    </row>
    <row r="10565" spans="1:2" x14ac:dyDescent="0.25">
      <c r="A10565" s="5">
        <v>37244</v>
      </c>
      <c r="B10565">
        <v>1149.56005859375</v>
      </c>
    </row>
    <row r="10566" spans="1:2" x14ac:dyDescent="0.25">
      <c r="A10566" s="5">
        <v>37245</v>
      </c>
      <c r="B10566">
        <v>1139.93005371094</v>
      </c>
    </row>
    <row r="10567" spans="1:2" x14ac:dyDescent="0.25">
      <c r="A10567" s="5">
        <v>37246</v>
      </c>
      <c r="B10567">
        <v>1144.89001464844</v>
      </c>
    </row>
    <row r="10568" spans="1:2" x14ac:dyDescent="0.25">
      <c r="A10568" s="5">
        <v>37249</v>
      </c>
      <c r="B10568">
        <v>1144.65002441406</v>
      </c>
    </row>
    <row r="10569" spans="1:2" x14ac:dyDescent="0.25">
      <c r="A10569" s="5">
        <v>37251</v>
      </c>
      <c r="B10569">
        <v>1149.36999511719</v>
      </c>
    </row>
    <row r="10570" spans="1:2" x14ac:dyDescent="0.25">
      <c r="A10570" s="5">
        <v>37252</v>
      </c>
      <c r="B10570">
        <v>1157.13000488281</v>
      </c>
    </row>
    <row r="10571" spans="1:2" x14ac:dyDescent="0.25">
      <c r="A10571" s="5">
        <v>37253</v>
      </c>
      <c r="B10571">
        <v>1161.02001953125</v>
      </c>
    </row>
    <row r="10572" spans="1:2" x14ac:dyDescent="0.25">
      <c r="A10572" s="5">
        <v>37256</v>
      </c>
      <c r="B10572">
        <v>1148.07995605469</v>
      </c>
    </row>
    <row r="10573" spans="1:2" x14ac:dyDescent="0.25">
      <c r="A10573" s="5">
        <v>37258</v>
      </c>
      <c r="B10573">
        <v>1154.67004394531</v>
      </c>
    </row>
    <row r="10574" spans="1:2" x14ac:dyDescent="0.25">
      <c r="A10574" s="5">
        <v>37259</v>
      </c>
      <c r="B10574">
        <v>1165.27001953125</v>
      </c>
    </row>
    <row r="10575" spans="1:2" x14ac:dyDescent="0.25">
      <c r="A10575" s="5">
        <v>37260</v>
      </c>
      <c r="B10575">
        <v>1172.51000976562</v>
      </c>
    </row>
    <row r="10576" spans="1:2" x14ac:dyDescent="0.25">
      <c r="A10576" s="5">
        <v>37263</v>
      </c>
      <c r="B10576">
        <v>1164.89001464844</v>
      </c>
    </row>
    <row r="10577" spans="1:2" x14ac:dyDescent="0.25">
      <c r="A10577" s="5">
        <v>37264</v>
      </c>
      <c r="B10577">
        <v>1160.7099609375</v>
      </c>
    </row>
    <row r="10578" spans="1:2" x14ac:dyDescent="0.25">
      <c r="A10578" s="5">
        <v>37265</v>
      </c>
      <c r="B10578">
        <v>1155.14001464844</v>
      </c>
    </row>
    <row r="10579" spans="1:2" x14ac:dyDescent="0.25">
      <c r="A10579" s="5">
        <v>37266</v>
      </c>
      <c r="B10579">
        <v>1156.55004882812</v>
      </c>
    </row>
    <row r="10580" spans="1:2" x14ac:dyDescent="0.25">
      <c r="A10580" s="5">
        <v>37267</v>
      </c>
      <c r="B10580">
        <v>1145.59997558594</v>
      </c>
    </row>
    <row r="10581" spans="1:2" x14ac:dyDescent="0.25">
      <c r="A10581" s="5">
        <v>37270</v>
      </c>
      <c r="B10581">
        <v>1138.41003417969</v>
      </c>
    </row>
    <row r="10582" spans="1:2" x14ac:dyDescent="0.25">
      <c r="A10582" s="5">
        <v>37271</v>
      </c>
      <c r="B10582">
        <v>1146.18994140625</v>
      </c>
    </row>
    <row r="10583" spans="1:2" x14ac:dyDescent="0.25">
      <c r="A10583" s="5">
        <v>37272</v>
      </c>
      <c r="B10583">
        <v>1127.56994628906</v>
      </c>
    </row>
    <row r="10584" spans="1:2" x14ac:dyDescent="0.25">
      <c r="A10584" s="5">
        <v>37273</v>
      </c>
      <c r="B10584">
        <v>1138.88000488281</v>
      </c>
    </row>
    <row r="10585" spans="1:2" x14ac:dyDescent="0.25">
      <c r="A10585" s="5">
        <v>37274</v>
      </c>
      <c r="B10585">
        <v>1127.57995605469</v>
      </c>
    </row>
    <row r="10586" spans="1:2" x14ac:dyDescent="0.25">
      <c r="A10586" s="5">
        <v>37278</v>
      </c>
      <c r="B10586">
        <v>1119.31005859375</v>
      </c>
    </row>
    <row r="10587" spans="1:2" x14ac:dyDescent="0.25">
      <c r="A10587" s="5">
        <v>37279</v>
      </c>
      <c r="B10587">
        <v>1128.18005371094</v>
      </c>
    </row>
    <row r="10588" spans="1:2" x14ac:dyDescent="0.25">
      <c r="A10588" s="5">
        <v>37280</v>
      </c>
      <c r="B10588">
        <v>1132.15002441406</v>
      </c>
    </row>
    <row r="10589" spans="1:2" x14ac:dyDescent="0.25">
      <c r="A10589" s="5">
        <v>37281</v>
      </c>
      <c r="B10589">
        <v>1133.28002929688</v>
      </c>
    </row>
    <row r="10590" spans="1:2" x14ac:dyDescent="0.25">
      <c r="A10590" s="5">
        <v>37284</v>
      </c>
      <c r="B10590">
        <v>1133.06005859375</v>
      </c>
    </row>
    <row r="10591" spans="1:2" x14ac:dyDescent="0.25">
      <c r="A10591" s="5">
        <v>37285</v>
      </c>
      <c r="B10591">
        <v>1100.64001464844</v>
      </c>
    </row>
    <row r="10592" spans="1:2" x14ac:dyDescent="0.25">
      <c r="A10592" s="5">
        <v>37286</v>
      </c>
      <c r="B10592">
        <v>1113.56994628906</v>
      </c>
    </row>
    <row r="10593" spans="1:2" x14ac:dyDescent="0.25">
      <c r="A10593" s="5">
        <v>37287</v>
      </c>
      <c r="B10593">
        <v>1130.19995117188</v>
      </c>
    </row>
    <row r="10594" spans="1:2" x14ac:dyDescent="0.25">
      <c r="A10594" s="5">
        <v>37288</v>
      </c>
      <c r="B10594">
        <v>1122.19995117188</v>
      </c>
    </row>
    <row r="10595" spans="1:2" x14ac:dyDescent="0.25">
      <c r="A10595" s="5">
        <v>37291</v>
      </c>
      <c r="B10595">
        <v>1094.43994140625</v>
      </c>
    </row>
    <row r="10596" spans="1:2" x14ac:dyDescent="0.25">
      <c r="A10596" s="5">
        <v>37292</v>
      </c>
      <c r="B10596">
        <v>1090.02001953125</v>
      </c>
    </row>
    <row r="10597" spans="1:2" x14ac:dyDescent="0.25">
      <c r="A10597" s="5">
        <v>37293</v>
      </c>
      <c r="B10597">
        <v>1083.51000976562</v>
      </c>
    </row>
    <row r="10598" spans="1:2" x14ac:dyDescent="0.25">
      <c r="A10598" s="5">
        <v>37294</v>
      </c>
      <c r="B10598">
        <v>1080.17004394531</v>
      </c>
    </row>
    <row r="10599" spans="1:2" x14ac:dyDescent="0.25">
      <c r="A10599" s="5">
        <v>37295</v>
      </c>
      <c r="B10599">
        <v>1096.21997070312</v>
      </c>
    </row>
    <row r="10600" spans="1:2" x14ac:dyDescent="0.25">
      <c r="A10600" s="5">
        <v>37298</v>
      </c>
      <c r="B10600">
        <v>1111.93994140625</v>
      </c>
    </row>
    <row r="10601" spans="1:2" x14ac:dyDescent="0.25">
      <c r="A10601" s="5">
        <v>37299</v>
      </c>
      <c r="B10601">
        <v>1107.5</v>
      </c>
    </row>
    <row r="10602" spans="1:2" x14ac:dyDescent="0.25">
      <c r="A10602" s="5">
        <v>37300</v>
      </c>
      <c r="B10602">
        <v>1118.51000976562</v>
      </c>
    </row>
    <row r="10603" spans="1:2" x14ac:dyDescent="0.25">
      <c r="A10603" s="5">
        <v>37301</v>
      </c>
      <c r="B10603">
        <v>1116.47998046875</v>
      </c>
    </row>
    <row r="10604" spans="1:2" x14ac:dyDescent="0.25">
      <c r="A10604" s="5">
        <v>37302</v>
      </c>
      <c r="B10604">
        <v>1104.18005371094</v>
      </c>
    </row>
    <row r="10605" spans="1:2" x14ac:dyDescent="0.25">
      <c r="A10605" s="5">
        <v>37306</v>
      </c>
      <c r="B10605">
        <v>1083.33996582031</v>
      </c>
    </row>
    <row r="10606" spans="1:2" x14ac:dyDescent="0.25">
      <c r="A10606" s="5">
        <v>37307</v>
      </c>
      <c r="B10606">
        <v>1097.97998046875</v>
      </c>
    </row>
    <row r="10607" spans="1:2" x14ac:dyDescent="0.25">
      <c r="A10607" s="5">
        <v>37308</v>
      </c>
      <c r="B10607">
        <v>1080.94995117188</v>
      </c>
    </row>
    <row r="10608" spans="1:2" x14ac:dyDescent="0.25">
      <c r="A10608" s="5">
        <v>37309</v>
      </c>
      <c r="B10608">
        <v>1089.83996582031</v>
      </c>
    </row>
    <row r="10609" spans="1:2" x14ac:dyDescent="0.25">
      <c r="A10609" s="5">
        <v>37312</v>
      </c>
      <c r="B10609">
        <v>1109.43005371094</v>
      </c>
    </row>
    <row r="10610" spans="1:2" x14ac:dyDescent="0.25">
      <c r="A10610" s="5">
        <v>37313</v>
      </c>
      <c r="B10610">
        <v>1109.38000488281</v>
      </c>
    </row>
    <row r="10611" spans="1:2" x14ac:dyDescent="0.25">
      <c r="A10611" s="5">
        <v>37314</v>
      </c>
      <c r="B10611">
        <v>1109.89001464844</v>
      </c>
    </row>
    <row r="10612" spans="1:2" x14ac:dyDescent="0.25">
      <c r="A10612" s="5">
        <v>37315</v>
      </c>
      <c r="B10612">
        <v>1106.72998046875</v>
      </c>
    </row>
    <row r="10613" spans="1:2" x14ac:dyDescent="0.25">
      <c r="A10613" s="5">
        <v>37316</v>
      </c>
      <c r="B10613">
        <v>1131.78002929688</v>
      </c>
    </row>
    <row r="10614" spans="1:2" x14ac:dyDescent="0.25">
      <c r="A10614" s="5">
        <v>37319</v>
      </c>
      <c r="B10614">
        <v>1153.83996582031</v>
      </c>
    </row>
    <row r="10615" spans="1:2" x14ac:dyDescent="0.25">
      <c r="A10615" s="5">
        <v>37320</v>
      </c>
      <c r="B10615">
        <v>1146.14001464844</v>
      </c>
    </row>
    <row r="10616" spans="1:2" x14ac:dyDescent="0.25">
      <c r="A10616" s="5">
        <v>37321</v>
      </c>
      <c r="B10616">
        <v>1162.77001953125</v>
      </c>
    </row>
    <row r="10617" spans="1:2" x14ac:dyDescent="0.25">
      <c r="A10617" s="5">
        <v>37322</v>
      </c>
      <c r="B10617">
        <v>1157.5400390625</v>
      </c>
    </row>
    <row r="10618" spans="1:2" x14ac:dyDescent="0.25">
      <c r="A10618" s="5">
        <v>37323</v>
      </c>
      <c r="B10618">
        <v>1164.31005859375</v>
      </c>
    </row>
    <row r="10619" spans="1:2" x14ac:dyDescent="0.25">
      <c r="A10619" s="5">
        <v>37326</v>
      </c>
      <c r="B10619">
        <v>1168.26000976562</v>
      </c>
    </row>
    <row r="10620" spans="1:2" x14ac:dyDescent="0.25">
      <c r="A10620" s="5">
        <v>37327</v>
      </c>
      <c r="B10620">
        <v>1165.57995605469</v>
      </c>
    </row>
    <row r="10621" spans="1:2" x14ac:dyDescent="0.25">
      <c r="A10621" s="5">
        <v>37328</v>
      </c>
      <c r="B10621">
        <v>1154.08996582031</v>
      </c>
    </row>
    <row r="10622" spans="1:2" x14ac:dyDescent="0.25">
      <c r="A10622" s="5">
        <v>37329</v>
      </c>
      <c r="B10622">
        <v>1153.0400390625</v>
      </c>
    </row>
    <row r="10623" spans="1:2" x14ac:dyDescent="0.25">
      <c r="A10623" s="5">
        <v>37330</v>
      </c>
      <c r="B10623">
        <v>1166.16003417969</v>
      </c>
    </row>
    <row r="10624" spans="1:2" x14ac:dyDescent="0.25">
      <c r="A10624" s="5">
        <v>37333</v>
      </c>
      <c r="B10624">
        <v>1165.55004882812</v>
      </c>
    </row>
    <row r="10625" spans="1:2" x14ac:dyDescent="0.25">
      <c r="A10625" s="5">
        <v>37334</v>
      </c>
      <c r="B10625">
        <v>1170.2900390625</v>
      </c>
    </row>
    <row r="10626" spans="1:2" x14ac:dyDescent="0.25">
      <c r="A10626" s="5">
        <v>37335</v>
      </c>
      <c r="B10626">
        <v>1151.84997558594</v>
      </c>
    </row>
    <row r="10627" spans="1:2" x14ac:dyDescent="0.25">
      <c r="A10627" s="5">
        <v>37336</v>
      </c>
      <c r="B10627">
        <v>1153.58996582031</v>
      </c>
    </row>
    <row r="10628" spans="1:2" x14ac:dyDescent="0.25">
      <c r="A10628" s="5">
        <v>37337</v>
      </c>
      <c r="B10628">
        <v>1148.69995117188</v>
      </c>
    </row>
    <row r="10629" spans="1:2" x14ac:dyDescent="0.25">
      <c r="A10629" s="5">
        <v>37340</v>
      </c>
      <c r="B10629">
        <v>1131.86999511719</v>
      </c>
    </row>
    <row r="10630" spans="1:2" x14ac:dyDescent="0.25">
      <c r="A10630" s="5">
        <v>37341</v>
      </c>
      <c r="B10630">
        <v>1138.48999023438</v>
      </c>
    </row>
    <row r="10631" spans="1:2" x14ac:dyDescent="0.25">
      <c r="A10631" s="5">
        <v>37342</v>
      </c>
      <c r="B10631">
        <v>1144.57995605469</v>
      </c>
    </row>
    <row r="10632" spans="1:2" x14ac:dyDescent="0.25">
      <c r="A10632" s="5">
        <v>37343</v>
      </c>
      <c r="B10632">
        <v>1147.39001464844</v>
      </c>
    </row>
    <row r="10633" spans="1:2" x14ac:dyDescent="0.25">
      <c r="A10633" s="5">
        <v>37347</v>
      </c>
      <c r="B10633">
        <v>1146.5400390625</v>
      </c>
    </row>
    <row r="10634" spans="1:2" x14ac:dyDescent="0.25">
      <c r="A10634" s="5">
        <v>37348</v>
      </c>
      <c r="B10634">
        <v>1136.76000976562</v>
      </c>
    </row>
    <row r="10635" spans="1:2" x14ac:dyDescent="0.25">
      <c r="A10635" s="5">
        <v>37349</v>
      </c>
      <c r="B10635">
        <v>1125.40002441406</v>
      </c>
    </row>
    <row r="10636" spans="1:2" x14ac:dyDescent="0.25">
      <c r="A10636" s="5">
        <v>37350</v>
      </c>
      <c r="B10636">
        <v>1126.33996582031</v>
      </c>
    </row>
    <row r="10637" spans="1:2" x14ac:dyDescent="0.25">
      <c r="A10637" s="5">
        <v>37351</v>
      </c>
      <c r="B10637">
        <v>1122.72998046875</v>
      </c>
    </row>
    <row r="10638" spans="1:2" x14ac:dyDescent="0.25">
      <c r="A10638" s="5">
        <v>37354</v>
      </c>
      <c r="B10638">
        <v>1125.2900390625</v>
      </c>
    </row>
    <row r="10639" spans="1:2" x14ac:dyDescent="0.25">
      <c r="A10639" s="5">
        <v>37355</v>
      </c>
      <c r="B10639">
        <v>1117.80004882812</v>
      </c>
    </row>
    <row r="10640" spans="1:2" x14ac:dyDescent="0.25">
      <c r="A10640" s="5">
        <v>37356</v>
      </c>
      <c r="B10640">
        <v>1130.46997070312</v>
      </c>
    </row>
    <row r="10641" spans="1:2" x14ac:dyDescent="0.25">
      <c r="A10641" s="5">
        <v>37357</v>
      </c>
      <c r="B10641">
        <v>1103.68994140625</v>
      </c>
    </row>
    <row r="10642" spans="1:2" x14ac:dyDescent="0.25">
      <c r="A10642" s="5">
        <v>37358</v>
      </c>
      <c r="B10642">
        <v>1111.01000976562</v>
      </c>
    </row>
    <row r="10643" spans="1:2" x14ac:dyDescent="0.25">
      <c r="A10643" s="5">
        <v>37361</v>
      </c>
      <c r="B10643">
        <v>1102.55004882812</v>
      </c>
    </row>
    <row r="10644" spans="1:2" x14ac:dyDescent="0.25">
      <c r="A10644" s="5">
        <v>37362</v>
      </c>
      <c r="B10644">
        <v>1128.36999511719</v>
      </c>
    </row>
    <row r="10645" spans="1:2" x14ac:dyDescent="0.25">
      <c r="A10645" s="5">
        <v>37363</v>
      </c>
      <c r="B10645">
        <v>1126.06994628906</v>
      </c>
    </row>
    <row r="10646" spans="1:2" x14ac:dyDescent="0.25">
      <c r="A10646" s="5">
        <v>37364</v>
      </c>
      <c r="B10646">
        <v>1124.46997070312</v>
      </c>
    </row>
    <row r="10647" spans="1:2" x14ac:dyDescent="0.25">
      <c r="A10647" s="5">
        <v>37365</v>
      </c>
      <c r="B10647">
        <v>1125.17004394531</v>
      </c>
    </row>
    <row r="10648" spans="1:2" x14ac:dyDescent="0.25">
      <c r="A10648" s="5">
        <v>37368</v>
      </c>
      <c r="B10648">
        <v>1107.82995605469</v>
      </c>
    </row>
    <row r="10649" spans="1:2" x14ac:dyDescent="0.25">
      <c r="A10649" s="5">
        <v>37369</v>
      </c>
      <c r="B10649">
        <v>1100.9599609375</v>
      </c>
    </row>
    <row r="10650" spans="1:2" x14ac:dyDescent="0.25">
      <c r="A10650" s="5">
        <v>37370</v>
      </c>
      <c r="B10650">
        <v>1093.14001464844</v>
      </c>
    </row>
    <row r="10651" spans="1:2" x14ac:dyDescent="0.25">
      <c r="A10651" s="5">
        <v>37371</v>
      </c>
      <c r="B10651">
        <v>1091.47998046875</v>
      </c>
    </row>
    <row r="10652" spans="1:2" x14ac:dyDescent="0.25">
      <c r="A10652" s="5">
        <v>37372</v>
      </c>
      <c r="B10652">
        <v>1076.31994628906</v>
      </c>
    </row>
    <row r="10653" spans="1:2" x14ac:dyDescent="0.25">
      <c r="A10653" s="5">
        <v>37375</v>
      </c>
      <c r="B10653">
        <v>1065.44995117188</v>
      </c>
    </row>
    <row r="10654" spans="1:2" x14ac:dyDescent="0.25">
      <c r="A10654" s="5">
        <v>37376</v>
      </c>
      <c r="B10654">
        <v>1076.92004394531</v>
      </c>
    </row>
    <row r="10655" spans="1:2" x14ac:dyDescent="0.25">
      <c r="A10655" s="5">
        <v>37377</v>
      </c>
      <c r="B10655">
        <v>1086.4599609375</v>
      </c>
    </row>
    <row r="10656" spans="1:2" x14ac:dyDescent="0.25">
      <c r="A10656" s="5">
        <v>37378</v>
      </c>
      <c r="B10656">
        <v>1084.56005859375</v>
      </c>
    </row>
    <row r="10657" spans="1:2" x14ac:dyDescent="0.25">
      <c r="A10657" s="5">
        <v>37379</v>
      </c>
      <c r="B10657">
        <v>1073.43005371094</v>
      </c>
    </row>
    <row r="10658" spans="1:2" x14ac:dyDescent="0.25">
      <c r="A10658" s="5">
        <v>37382</v>
      </c>
      <c r="B10658">
        <v>1052.67004394531</v>
      </c>
    </row>
    <row r="10659" spans="1:2" x14ac:dyDescent="0.25">
      <c r="A10659" s="5">
        <v>37383</v>
      </c>
      <c r="B10659">
        <v>1049.48999023438</v>
      </c>
    </row>
    <row r="10660" spans="1:2" x14ac:dyDescent="0.25">
      <c r="A10660" s="5">
        <v>37384</v>
      </c>
      <c r="B10660">
        <v>1088.84997558594</v>
      </c>
    </row>
    <row r="10661" spans="1:2" x14ac:dyDescent="0.25">
      <c r="A10661" s="5">
        <v>37385</v>
      </c>
      <c r="B10661">
        <v>1073.01000976562</v>
      </c>
    </row>
    <row r="10662" spans="1:2" x14ac:dyDescent="0.25">
      <c r="A10662" s="5">
        <v>37386</v>
      </c>
      <c r="B10662">
        <v>1054.98999023438</v>
      </c>
    </row>
    <row r="10663" spans="1:2" x14ac:dyDescent="0.25">
      <c r="A10663" s="5">
        <v>37389</v>
      </c>
      <c r="B10663">
        <v>1074.56005859375</v>
      </c>
    </row>
    <row r="10664" spans="1:2" x14ac:dyDescent="0.25">
      <c r="A10664" s="5">
        <v>37390</v>
      </c>
      <c r="B10664">
        <v>1097.28002929688</v>
      </c>
    </row>
    <row r="10665" spans="1:2" x14ac:dyDescent="0.25">
      <c r="A10665" s="5">
        <v>37391</v>
      </c>
      <c r="B10665">
        <v>1091.06994628906</v>
      </c>
    </row>
    <row r="10666" spans="1:2" x14ac:dyDescent="0.25">
      <c r="A10666" s="5">
        <v>37392</v>
      </c>
      <c r="B10666">
        <v>1098.22998046875</v>
      </c>
    </row>
    <row r="10667" spans="1:2" x14ac:dyDescent="0.25">
      <c r="A10667" s="5">
        <v>37393</v>
      </c>
      <c r="B10667">
        <v>1106.58996582031</v>
      </c>
    </row>
    <row r="10668" spans="1:2" x14ac:dyDescent="0.25">
      <c r="A10668" s="5">
        <v>37396</v>
      </c>
      <c r="B10668">
        <v>1091.88000488281</v>
      </c>
    </row>
    <row r="10669" spans="1:2" x14ac:dyDescent="0.25">
      <c r="A10669" s="5">
        <v>37397</v>
      </c>
      <c r="B10669">
        <v>1079.88000488281</v>
      </c>
    </row>
    <row r="10670" spans="1:2" x14ac:dyDescent="0.25">
      <c r="A10670" s="5">
        <v>37398</v>
      </c>
      <c r="B10670">
        <v>1086.02001953125</v>
      </c>
    </row>
    <row r="10671" spans="1:2" x14ac:dyDescent="0.25">
      <c r="A10671" s="5">
        <v>37399</v>
      </c>
      <c r="B10671">
        <v>1097.07995605469</v>
      </c>
    </row>
    <row r="10672" spans="1:2" x14ac:dyDescent="0.25">
      <c r="A10672" s="5">
        <v>37400</v>
      </c>
      <c r="B10672">
        <v>1083.81994628906</v>
      </c>
    </row>
    <row r="10673" spans="1:2" x14ac:dyDescent="0.25">
      <c r="A10673" s="5">
        <v>37404</v>
      </c>
      <c r="B10673">
        <v>1074.55004882812</v>
      </c>
    </row>
    <row r="10674" spans="1:2" x14ac:dyDescent="0.25">
      <c r="A10674" s="5">
        <v>37405</v>
      </c>
      <c r="B10674">
        <v>1067.66003417969</v>
      </c>
    </row>
    <row r="10675" spans="1:2" x14ac:dyDescent="0.25">
      <c r="A10675" s="5">
        <v>37406</v>
      </c>
      <c r="B10675">
        <v>1064.66003417969</v>
      </c>
    </row>
    <row r="10676" spans="1:2" x14ac:dyDescent="0.25">
      <c r="A10676" s="5">
        <v>37407</v>
      </c>
      <c r="B10676">
        <v>1067.14001464844</v>
      </c>
    </row>
    <row r="10677" spans="1:2" x14ac:dyDescent="0.25">
      <c r="A10677" s="5">
        <v>37410</v>
      </c>
      <c r="B10677">
        <v>1040.68005371094</v>
      </c>
    </row>
    <row r="10678" spans="1:2" x14ac:dyDescent="0.25">
      <c r="A10678" s="5">
        <v>37411</v>
      </c>
      <c r="B10678">
        <v>1040.68994140625</v>
      </c>
    </row>
    <row r="10679" spans="1:2" x14ac:dyDescent="0.25">
      <c r="A10679" s="5">
        <v>37412</v>
      </c>
      <c r="B10679">
        <v>1049.90002441406</v>
      </c>
    </row>
    <row r="10680" spans="1:2" x14ac:dyDescent="0.25">
      <c r="A10680" s="5">
        <v>37413</v>
      </c>
      <c r="B10680">
        <v>1029.15002441406</v>
      </c>
    </row>
    <row r="10681" spans="1:2" x14ac:dyDescent="0.25">
      <c r="A10681" s="5">
        <v>37414</v>
      </c>
      <c r="B10681">
        <v>1027.53002929688</v>
      </c>
    </row>
    <row r="10682" spans="1:2" x14ac:dyDescent="0.25">
      <c r="A10682" s="5">
        <v>37417</v>
      </c>
      <c r="B10682">
        <v>1030.73999023438</v>
      </c>
    </row>
    <row r="10683" spans="1:2" x14ac:dyDescent="0.25">
      <c r="A10683" s="5">
        <v>37418</v>
      </c>
      <c r="B10683">
        <v>1013.59997558594</v>
      </c>
    </row>
    <row r="10684" spans="1:2" x14ac:dyDescent="0.25">
      <c r="A10684" s="5">
        <v>37419</v>
      </c>
      <c r="B10684">
        <v>1020.26000976562</v>
      </c>
    </row>
    <row r="10685" spans="1:2" x14ac:dyDescent="0.25">
      <c r="A10685" s="5">
        <v>37420</v>
      </c>
      <c r="B10685">
        <v>1009.55999755859</v>
      </c>
    </row>
    <row r="10686" spans="1:2" x14ac:dyDescent="0.25">
      <c r="A10686" s="5">
        <v>37421</v>
      </c>
      <c r="B10686">
        <v>1007.27001953125</v>
      </c>
    </row>
    <row r="10687" spans="1:2" x14ac:dyDescent="0.25">
      <c r="A10687" s="5">
        <v>37424</v>
      </c>
      <c r="B10687">
        <v>1036.17004394531</v>
      </c>
    </row>
    <row r="10688" spans="1:2" x14ac:dyDescent="0.25">
      <c r="A10688" s="5">
        <v>37425</v>
      </c>
      <c r="B10688">
        <v>1037.14001464844</v>
      </c>
    </row>
    <row r="10689" spans="1:2" x14ac:dyDescent="0.25">
      <c r="A10689" s="5">
        <v>37426</v>
      </c>
      <c r="B10689">
        <v>1019.98999023438</v>
      </c>
    </row>
    <row r="10690" spans="1:2" x14ac:dyDescent="0.25">
      <c r="A10690" s="5">
        <v>37427</v>
      </c>
      <c r="B10690">
        <v>1006.28997802734</v>
      </c>
    </row>
    <row r="10691" spans="1:2" x14ac:dyDescent="0.25">
      <c r="A10691" s="5">
        <v>37428</v>
      </c>
      <c r="B10691">
        <v>989.14001464843795</v>
      </c>
    </row>
    <row r="10692" spans="1:2" x14ac:dyDescent="0.25">
      <c r="A10692" s="5">
        <v>37431</v>
      </c>
      <c r="B10692">
        <v>992.719970703125</v>
      </c>
    </row>
    <row r="10693" spans="1:2" x14ac:dyDescent="0.25">
      <c r="A10693" s="5">
        <v>37432</v>
      </c>
      <c r="B10693">
        <v>976.14001464843795</v>
      </c>
    </row>
    <row r="10694" spans="1:2" x14ac:dyDescent="0.25">
      <c r="A10694" s="5">
        <v>37433</v>
      </c>
      <c r="B10694">
        <v>973.530029296875</v>
      </c>
    </row>
    <row r="10695" spans="1:2" x14ac:dyDescent="0.25">
      <c r="A10695" s="5">
        <v>37434</v>
      </c>
      <c r="B10695">
        <v>990.64001464843795</v>
      </c>
    </row>
    <row r="10696" spans="1:2" x14ac:dyDescent="0.25">
      <c r="A10696" s="5">
        <v>37435</v>
      </c>
      <c r="B10696">
        <v>989.82000732421898</v>
      </c>
    </row>
    <row r="10697" spans="1:2" x14ac:dyDescent="0.25">
      <c r="A10697" s="5">
        <v>37438</v>
      </c>
      <c r="B10697">
        <v>968.65002441406205</v>
      </c>
    </row>
    <row r="10698" spans="1:2" x14ac:dyDescent="0.25">
      <c r="A10698" s="5">
        <v>37439</v>
      </c>
      <c r="B10698">
        <v>948.09002685546898</v>
      </c>
    </row>
    <row r="10699" spans="1:2" x14ac:dyDescent="0.25">
      <c r="A10699" s="5">
        <v>37440</v>
      </c>
      <c r="B10699">
        <v>953.989990234375</v>
      </c>
    </row>
    <row r="10700" spans="1:2" x14ac:dyDescent="0.25">
      <c r="A10700" s="5">
        <v>37442</v>
      </c>
      <c r="B10700">
        <v>989.030029296875</v>
      </c>
    </row>
    <row r="10701" spans="1:2" x14ac:dyDescent="0.25">
      <c r="A10701" s="5">
        <v>37445</v>
      </c>
      <c r="B10701">
        <v>976.97998046875</v>
      </c>
    </row>
    <row r="10702" spans="1:2" x14ac:dyDescent="0.25">
      <c r="A10702" s="5">
        <v>37446</v>
      </c>
      <c r="B10702">
        <v>952.83001708984398</v>
      </c>
    </row>
    <row r="10703" spans="1:2" x14ac:dyDescent="0.25">
      <c r="A10703" s="5">
        <v>37447</v>
      </c>
      <c r="B10703">
        <v>920.469970703125</v>
      </c>
    </row>
    <row r="10704" spans="1:2" x14ac:dyDescent="0.25">
      <c r="A10704" s="5">
        <v>37448</v>
      </c>
      <c r="B10704">
        <v>927.36999511718795</v>
      </c>
    </row>
    <row r="10705" spans="1:2" x14ac:dyDescent="0.25">
      <c r="A10705" s="5">
        <v>37449</v>
      </c>
      <c r="B10705">
        <v>921.39001464843795</v>
      </c>
    </row>
    <row r="10706" spans="1:2" x14ac:dyDescent="0.25">
      <c r="A10706" s="5">
        <v>37452</v>
      </c>
      <c r="B10706">
        <v>917.92999267578102</v>
      </c>
    </row>
    <row r="10707" spans="1:2" x14ac:dyDescent="0.25">
      <c r="A10707" s="5">
        <v>37453</v>
      </c>
      <c r="B10707">
        <v>900.94000244140602</v>
      </c>
    </row>
    <row r="10708" spans="1:2" x14ac:dyDescent="0.25">
      <c r="A10708" s="5">
        <v>37454</v>
      </c>
      <c r="B10708">
        <v>906.03997802734398</v>
      </c>
    </row>
    <row r="10709" spans="1:2" x14ac:dyDescent="0.25">
      <c r="A10709" s="5">
        <v>37455</v>
      </c>
      <c r="B10709">
        <v>881.55999755859398</v>
      </c>
    </row>
    <row r="10710" spans="1:2" x14ac:dyDescent="0.25">
      <c r="A10710" s="5">
        <v>37456</v>
      </c>
      <c r="B10710">
        <v>847.75</v>
      </c>
    </row>
    <row r="10711" spans="1:2" x14ac:dyDescent="0.25">
      <c r="A10711" s="5">
        <v>37459</v>
      </c>
      <c r="B10711">
        <v>819.84997558593795</v>
      </c>
    </row>
    <row r="10712" spans="1:2" x14ac:dyDescent="0.25">
      <c r="A10712" s="5">
        <v>37460</v>
      </c>
      <c r="B10712">
        <v>797.70001220703102</v>
      </c>
    </row>
    <row r="10713" spans="1:2" x14ac:dyDescent="0.25">
      <c r="A10713" s="5">
        <v>37461</v>
      </c>
      <c r="B10713">
        <v>843.42999267578102</v>
      </c>
    </row>
    <row r="10714" spans="1:2" x14ac:dyDescent="0.25">
      <c r="A10714" s="5">
        <v>37462</v>
      </c>
      <c r="B10714">
        <v>838.67999267578102</v>
      </c>
    </row>
    <row r="10715" spans="1:2" x14ac:dyDescent="0.25">
      <c r="A10715" s="5">
        <v>37463</v>
      </c>
      <c r="B10715">
        <v>852.84002685546898</v>
      </c>
    </row>
    <row r="10716" spans="1:2" x14ac:dyDescent="0.25">
      <c r="A10716" s="5">
        <v>37466</v>
      </c>
      <c r="B10716">
        <v>898.96002197265602</v>
      </c>
    </row>
    <row r="10717" spans="1:2" x14ac:dyDescent="0.25">
      <c r="A10717" s="5">
        <v>37467</v>
      </c>
      <c r="B10717">
        <v>902.780029296875</v>
      </c>
    </row>
    <row r="10718" spans="1:2" x14ac:dyDescent="0.25">
      <c r="A10718" s="5">
        <v>37468</v>
      </c>
      <c r="B10718">
        <v>911.61999511718795</v>
      </c>
    </row>
    <row r="10719" spans="1:2" x14ac:dyDescent="0.25">
      <c r="A10719" s="5">
        <v>37469</v>
      </c>
      <c r="B10719">
        <v>884.65997314453102</v>
      </c>
    </row>
    <row r="10720" spans="1:2" x14ac:dyDescent="0.25">
      <c r="A10720" s="5">
        <v>37470</v>
      </c>
      <c r="B10720">
        <v>864.239990234375</v>
      </c>
    </row>
    <row r="10721" spans="1:2" x14ac:dyDescent="0.25">
      <c r="A10721" s="5">
        <v>37473</v>
      </c>
      <c r="B10721">
        <v>834.59997558593795</v>
      </c>
    </row>
    <row r="10722" spans="1:2" x14ac:dyDescent="0.25">
      <c r="A10722" s="5">
        <v>37474</v>
      </c>
      <c r="B10722">
        <v>859.57000732421898</v>
      </c>
    </row>
    <row r="10723" spans="1:2" x14ac:dyDescent="0.25">
      <c r="A10723" s="5">
        <v>37475</v>
      </c>
      <c r="B10723">
        <v>876.77001953125</v>
      </c>
    </row>
    <row r="10724" spans="1:2" x14ac:dyDescent="0.25">
      <c r="A10724" s="5">
        <v>37476</v>
      </c>
      <c r="B10724">
        <v>905.46002197265602</v>
      </c>
    </row>
    <row r="10725" spans="1:2" x14ac:dyDescent="0.25">
      <c r="A10725" s="5">
        <v>37477</v>
      </c>
      <c r="B10725">
        <v>908.64001464843795</v>
      </c>
    </row>
    <row r="10726" spans="1:2" x14ac:dyDescent="0.25">
      <c r="A10726" s="5">
        <v>37480</v>
      </c>
      <c r="B10726">
        <v>903.79998779296898</v>
      </c>
    </row>
    <row r="10727" spans="1:2" x14ac:dyDescent="0.25">
      <c r="A10727" s="5">
        <v>37481</v>
      </c>
      <c r="B10727">
        <v>884.21002197265602</v>
      </c>
    </row>
    <row r="10728" spans="1:2" x14ac:dyDescent="0.25">
      <c r="A10728" s="5">
        <v>37482</v>
      </c>
      <c r="B10728">
        <v>919.61999511718795</v>
      </c>
    </row>
    <row r="10729" spans="1:2" x14ac:dyDescent="0.25">
      <c r="A10729" s="5">
        <v>37483</v>
      </c>
      <c r="B10729">
        <v>930.25</v>
      </c>
    </row>
    <row r="10730" spans="1:2" x14ac:dyDescent="0.25">
      <c r="A10730" s="5">
        <v>37484</v>
      </c>
      <c r="B10730">
        <v>928.77001953125</v>
      </c>
    </row>
    <row r="10731" spans="1:2" x14ac:dyDescent="0.25">
      <c r="A10731" s="5">
        <v>37487</v>
      </c>
      <c r="B10731">
        <v>950.70001220703102</v>
      </c>
    </row>
    <row r="10732" spans="1:2" x14ac:dyDescent="0.25">
      <c r="A10732" s="5">
        <v>37488</v>
      </c>
      <c r="B10732">
        <v>937.42999267578102</v>
      </c>
    </row>
    <row r="10733" spans="1:2" x14ac:dyDescent="0.25">
      <c r="A10733" s="5">
        <v>37489</v>
      </c>
      <c r="B10733">
        <v>949.35998535156205</v>
      </c>
    </row>
    <row r="10734" spans="1:2" x14ac:dyDescent="0.25">
      <c r="A10734" s="5">
        <v>37490</v>
      </c>
      <c r="B10734">
        <v>962.70001220703102</v>
      </c>
    </row>
    <row r="10735" spans="1:2" x14ac:dyDescent="0.25">
      <c r="A10735" s="5">
        <v>37491</v>
      </c>
      <c r="B10735">
        <v>940.85998535156205</v>
      </c>
    </row>
    <row r="10736" spans="1:2" x14ac:dyDescent="0.25">
      <c r="A10736" s="5">
        <v>37494</v>
      </c>
      <c r="B10736">
        <v>947.95001220703102</v>
      </c>
    </row>
    <row r="10737" spans="1:2" x14ac:dyDescent="0.25">
      <c r="A10737" s="5">
        <v>37495</v>
      </c>
      <c r="B10737">
        <v>934.82000732421898</v>
      </c>
    </row>
    <row r="10738" spans="1:2" x14ac:dyDescent="0.25">
      <c r="A10738" s="5">
        <v>37496</v>
      </c>
      <c r="B10738">
        <v>917.86999511718795</v>
      </c>
    </row>
    <row r="10739" spans="1:2" x14ac:dyDescent="0.25">
      <c r="A10739" s="5">
        <v>37497</v>
      </c>
      <c r="B10739">
        <v>917.79998779296898</v>
      </c>
    </row>
    <row r="10740" spans="1:2" x14ac:dyDescent="0.25">
      <c r="A10740" s="5">
        <v>37498</v>
      </c>
      <c r="B10740">
        <v>916.07000732421898</v>
      </c>
    </row>
    <row r="10741" spans="1:2" x14ac:dyDescent="0.25">
      <c r="A10741" s="5">
        <v>37502</v>
      </c>
      <c r="B10741">
        <v>878.02001953125</v>
      </c>
    </row>
    <row r="10742" spans="1:2" x14ac:dyDescent="0.25">
      <c r="A10742" s="5">
        <v>37503</v>
      </c>
      <c r="B10742">
        <v>893.40002441406205</v>
      </c>
    </row>
    <row r="10743" spans="1:2" x14ac:dyDescent="0.25">
      <c r="A10743" s="5">
        <v>37504</v>
      </c>
      <c r="B10743">
        <v>879.15002441406205</v>
      </c>
    </row>
    <row r="10744" spans="1:2" x14ac:dyDescent="0.25">
      <c r="A10744" s="5">
        <v>37505</v>
      </c>
      <c r="B10744">
        <v>893.91998291015602</v>
      </c>
    </row>
    <row r="10745" spans="1:2" x14ac:dyDescent="0.25">
      <c r="A10745" s="5">
        <v>37508</v>
      </c>
      <c r="B10745">
        <v>902.96002197265602</v>
      </c>
    </row>
    <row r="10746" spans="1:2" x14ac:dyDescent="0.25">
      <c r="A10746" s="5">
        <v>37509</v>
      </c>
      <c r="B10746">
        <v>909.58001708984398</v>
      </c>
    </row>
    <row r="10747" spans="1:2" x14ac:dyDescent="0.25">
      <c r="A10747" s="5">
        <v>37510</v>
      </c>
      <c r="B10747">
        <v>909.45001220703102</v>
      </c>
    </row>
    <row r="10748" spans="1:2" x14ac:dyDescent="0.25">
      <c r="A10748" s="5">
        <v>37511</v>
      </c>
      <c r="B10748">
        <v>886.90997314453102</v>
      </c>
    </row>
    <row r="10749" spans="1:2" x14ac:dyDescent="0.25">
      <c r="A10749" s="5">
        <v>37512</v>
      </c>
      <c r="B10749">
        <v>889.80999755859398</v>
      </c>
    </row>
    <row r="10750" spans="1:2" x14ac:dyDescent="0.25">
      <c r="A10750" s="5">
        <v>37515</v>
      </c>
      <c r="B10750">
        <v>891.09997558593795</v>
      </c>
    </row>
    <row r="10751" spans="1:2" x14ac:dyDescent="0.25">
      <c r="A10751" s="5">
        <v>37516</v>
      </c>
      <c r="B10751">
        <v>873.52001953125</v>
      </c>
    </row>
    <row r="10752" spans="1:2" x14ac:dyDescent="0.25">
      <c r="A10752" s="5">
        <v>37517</v>
      </c>
      <c r="B10752">
        <v>869.46002197265602</v>
      </c>
    </row>
    <row r="10753" spans="1:2" x14ac:dyDescent="0.25">
      <c r="A10753" s="5">
        <v>37518</v>
      </c>
      <c r="B10753">
        <v>843.32000732421898</v>
      </c>
    </row>
    <row r="10754" spans="1:2" x14ac:dyDescent="0.25">
      <c r="A10754" s="5">
        <v>37519</v>
      </c>
      <c r="B10754">
        <v>845.39001464843795</v>
      </c>
    </row>
    <row r="10755" spans="1:2" x14ac:dyDescent="0.25">
      <c r="A10755" s="5">
        <v>37522</v>
      </c>
      <c r="B10755">
        <v>833.70001220703102</v>
      </c>
    </row>
    <row r="10756" spans="1:2" x14ac:dyDescent="0.25">
      <c r="A10756" s="5">
        <v>37523</v>
      </c>
      <c r="B10756">
        <v>819.28997802734398</v>
      </c>
    </row>
    <row r="10757" spans="1:2" x14ac:dyDescent="0.25">
      <c r="A10757" s="5">
        <v>37524</v>
      </c>
      <c r="B10757">
        <v>839.65997314453102</v>
      </c>
    </row>
    <row r="10758" spans="1:2" x14ac:dyDescent="0.25">
      <c r="A10758" s="5">
        <v>37525</v>
      </c>
      <c r="B10758">
        <v>854.95001220703102</v>
      </c>
    </row>
    <row r="10759" spans="1:2" x14ac:dyDescent="0.25">
      <c r="A10759" s="5">
        <v>37526</v>
      </c>
      <c r="B10759">
        <v>827.36999511718795</v>
      </c>
    </row>
    <row r="10760" spans="1:2" x14ac:dyDescent="0.25">
      <c r="A10760" s="5">
        <v>37529</v>
      </c>
      <c r="B10760">
        <v>815.280029296875</v>
      </c>
    </row>
    <row r="10761" spans="1:2" x14ac:dyDescent="0.25">
      <c r="A10761" s="5">
        <v>37530</v>
      </c>
      <c r="B10761">
        <v>847.90997314453102</v>
      </c>
    </row>
    <row r="10762" spans="1:2" x14ac:dyDescent="0.25">
      <c r="A10762" s="5">
        <v>37531</v>
      </c>
      <c r="B10762">
        <v>827.90997314453102</v>
      </c>
    </row>
    <row r="10763" spans="1:2" x14ac:dyDescent="0.25">
      <c r="A10763" s="5">
        <v>37532</v>
      </c>
      <c r="B10763">
        <v>818.95001220703102</v>
      </c>
    </row>
    <row r="10764" spans="1:2" x14ac:dyDescent="0.25">
      <c r="A10764" s="5">
        <v>37533</v>
      </c>
      <c r="B10764">
        <v>800.58001708984398</v>
      </c>
    </row>
    <row r="10765" spans="1:2" x14ac:dyDescent="0.25">
      <c r="A10765" s="5">
        <v>37536</v>
      </c>
      <c r="B10765">
        <v>785.280029296875</v>
      </c>
    </row>
    <row r="10766" spans="1:2" x14ac:dyDescent="0.25">
      <c r="A10766" s="5">
        <v>37537</v>
      </c>
      <c r="B10766">
        <v>798.54998779296898</v>
      </c>
    </row>
    <row r="10767" spans="1:2" x14ac:dyDescent="0.25">
      <c r="A10767" s="5">
        <v>37538</v>
      </c>
      <c r="B10767">
        <v>776.760009765625</v>
      </c>
    </row>
    <row r="10768" spans="1:2" x14ac:dyDescent="0.25">
      <c r="A10768" s="5">
        <v>37539</v>
      </c>
      <c r="B10768">
        <v>803.91998291015602</v>
      </c>
    </row>
    <row r="10769" spans="1:2" x14ac:dyDescent="0.25">
      <c r="A10769" s="5">
        <v>37540</v>
      </c>
      <c r="B10769">
        <v>835.32000732421898</v>
      </c>
    </row>
    <row r="10770" spans="1:2" x14ac:dyDescent="0.25">
      <c r="A10770" s="5">
        <v>37543</v>
      </c>
      <c r="B10770">
        <v>841.44000244140602</v>
      </c>
    </row>
    <row r="10771" spans="1:2" x14ac:dyDescent="0.25">
      <c r="A10771" s="5">
        <v>37544</v>
      </c>
      <c r="B10771">
        <v>881.27001953125</v>
      </c>
    </row>
    <row r="10772" spans="1:2" x14ac:dyDescent="0.25">
      <c r="A10772" s="5">
        <v>37545</v>
      </c>
      <c r="B10772">
        <v>860.02001953125</v>
      </c>
    </row>
    <row r="10773" spans="1:2" x14ac:dyDescent="0.25">
      <c r="A10773" s="5">
        <v>37546</v>
      </c>
      <c r="B10773">
        <v>879.20001220703102</v>
      </c>
    </row>
    <row r="10774" spans="1:2" x14ac:dyDescent="0.25">
      <c r="A10774" s="5">
        <v>37547</v>
      </c>
      <c r="B10774">
        <v>884.39001464843795</v>
      </c>
    </row>
    <row r="10775" spans="1:2" x14ac:dyDescent="0.25">
      <c r="A10775" s="5">
        <v>37550</v>
      </c>
      <c r="B10775">
        <v>899.719970703125</v>
      </c>
    </row>
    <row r="10776" spans="1:2" x14ac:dyDescent="0.25">
      <c r="A10776" s="5">
        <v>37551</v>
      </c>
      <c r="B10776">
        <v>890.15997314453102</v>
      </c>
    </row>
    <row r="10777" spans="1:2" x14ac:dyDescent="0.25">
      <c r="A10777" s="5">
        <v>37552</v>
      </c>
      <c r="B10777">
        <v>896.14001464843795</v>
      </c>
    </row>
    <row r="10778" spans="1:2" x14ac:dyDescent="0.25">
      <c r="A10778" s="5">
        <v>37553</v>
      </c>
      <c r="B10778">
        <v>882.5</v>
      </c>
    </row>
    <row r="10779" spans="1:2" x14ac:dyDescent="0.25">
      <c r="A10779" s="5">
        <v>37554</v>
      </c>
      <c r="B10779">
        <v>897.65002441406205</v>
      </c>
    </row>
    <row r="10780" spans="1:2" x14ac:dyDescent="0.25">
      <c r="A10780" s="5">
        <v>37557</v>
      </c>
      <c r="B10780">
        <v>890.22998046875</v>
      </c>
    </row>
    <row r="10781" spans="1:2" x14ac:dyDescent="0.25">
      <c r="A10781" s="5">
        <v>37558</v>
      </c>
      <c r="B10781">
        <v>882.15002441406205</v>
      </c>
    </row>
    <row r="10782" spans="1:2" x14ac:dyDescent="0.25">
      <c r="A10782" s="5">
        <v>37559</v>
      </c>
      <c r="B10782">
        <v>890.71002197265602</v>
      </c>
    </row>
    <row r="10783" spans="1:2" x14ac:dyDescent="0.25">
      <c r="A10783" s="5">
        <v>37560</v>
      </c>
      <c r="B10783">
        <v>885.760009765625</v>
      </c>
    </row>
    <row r="10784" spans="1:2" x14ac:dyDescent="0.25">
      <c r="A10784" s="5">
        <v>37561</v>
      </c>
      <c r="B10784">
        <v>900.96002197265602</v>
      </c>
    </row>
    <row r="10785" spans="1:2" x14ac:dyDescent="0.25">
      <c r="A10785" s="5">
        <v>37564</v>
      </c>
      <c r="B10785">
        <v>908.34997558593795</v>
      </c>
    </row>
    <row r="10786" spans="1:2" x14ac:dyDescent="0.25">
      <c r="A10786" s="5">
        <v>37565</v>
      </c>
      <c r="B10786">
        <v>915.39001464843795</v>
      </c>
    </row>
    <row r="10787" spans="1:2" x14ac:dyDescent="0.25">
      <c r="A10787" s="5">
        <v>37566</v>
      </c>
      <c r="B10787">
        <v>923.760009765625</v>
      </c>
    </row>
    <row r="10788" spans="1:2" x14ac:dyDescent="0.25">
      <c r="A10788" s="5">
        <v>37567</v>
      </c>
      <c r="B10788">
        <v>902.65002441406205</v>
      </c>
    </row>
    <row r="10789" spans="1:2" x14ac:dyDescent="0.25">
      <c r="A10789" s="5">
        <v>37568</v>
      </c>
      <c r="B10789">
        <v>894.739990234375</v>
      </c>
    </row>
    <row r="10790" spans="1:2" x14ac:dyDescent="0.25">
      <c r="A10790" s="5">
        <v>37571</v>
      </c>
      <c r="B10790">
        <v>876.19000244140602</v>
      </c>
    </row>
    <row r="10791" spans="1:2" x14ac:dyDescent="0.25">
      <c r="A10791" s="5">
        <v>37572</v>
      </c>
      <c r="B10791">
        <v>882.95001220703102</v>
      </c>
    </row>
    <row r="10792" spans="1:2" x14ac:dyDescent="0.25">
      <c r="A10792" s="5">
        <v>37573</v>
      </c>
      <c r="B10792">
        <v>882.530029296875</v>
      </c>
    </row>
    <row r="10793" spans="1:2" x14ac:dyDescent="0.25">
      <c r="A10793" s="5">
        <v>37574</v>
      </c>
      <c r="B10793">
        <v>904.27001953125</v>
      </c>
    </row>
    <row r="10794" spans="1:2" x14ac:dyDescent="0.25">
      <c r="A10794" s="5">
        <v>37575</v>
      </c>
      <c r="B10794">
        <v>909.83001708984398</v>
      </c>
    </row>
    <row r="10795" spans="1:2" x14ac:dyDescent="0.25">
      <c r="A10795" s="5">
        <v>37578</v>
      </c>
      <c r="B10795">
        <v>900.35998535156205</v>
      </c>
    </row>
    <row r="10796" spans="1:2" x14ac:dyDescent="0.25">
      <c r="A10796" s="5">
        <v>37579</v>
      </c>
      <c r="B10796">
        <v>896.739990234375</v>
      </c>
    </row>
    <row r="10797" spans="1:2" x14ac:dyDescent="0.25">
      <c r="A10797" s="5">
        <v>37580</v>
      </c>
      <c r="B10797">
        <v>914.15002441406205</v>
      </c>
    </row>
    <row r="10798" spans="1:2" x14ac:dyDescent="0.25">
      <c r="A10798" s="5">
        <v>37581</v>
      </c>
      <c r="B10798">
        <v>933.760009765625</v>
      </c>
    </row>
    <row r="10799" spans="1:2" x14ac:dyDescent="0.25">
      <c r="A10799" s="5">
        <v>37582</v>
      </c>
      <c r="B10799">
        <v>930.54998779296898</v>
      </c>
    </row>
    <row r="10800" spans="1:2" x14ac:dyDescent="0.25">
      <c r="A10800" s="5">
        <v>37585</v>
      </c>
      <c r="B10800">
        <v>932.86999511718795</v>
      </c>
    </row>
    <row r="10801" spans="1:2" x14ac:dyDescent="0.25">
      <c r="A10801" s="5">
        <v>37586</v>
      </c>
      <c r="B10801">
        <v>913.30999755859398</v>
      </c>
    </row>
    <row r="10802" spans="1:2" x14ac:dyDescent="0.25">
      <c r="A10802" s="5">
        <v>37587</v>
      </c>
      <c r="B10802">
        <v>938.86999511718795</v>
      </c>
    </row>
    <row r="10803" spans="1:2" x14ac:dyDescent="0.25">
      <c r="A10803" s="5">
        <v>37589</v>
      </c>
      <c r="B10803">
        <v>936.30999755859398</v>
      </c>
    </row>
    <row r="10804" spans="1:2" x14ac:dyDescent="0.25">
      <c r="A10804" s="5">
        <v>37592</v>
      </c>
      <c r="B10804">
        <v>934.530029296875</v>
      </c>
    </row>
    <row r="10805" spans="1:2" x14ac:dyDescent="0.25">
      <c r="A10805" s="5">
        <v>37593</v>
      </c>
      <c r="B10805">
        <v>920.75</v>
      </c>
    </row>
    <row r="10806" spans="1:2" x14ac:dyDescent="0.25">
      <c r="A10806" s="5">
        <v>37594</v>
      </c>
      <c r="B10806">
        <v>917.58001708984398</v>
      </c>
    </row>
    <row r="10807" spans="1:2" x14ac:dyDescent="0.25">
      <c r="A10807" s="5">
        <v>37595</v>
      </c>
      <c r="B10807">
        <v>906.54998779296898</v>
      </c>
    </row>
    <row r="10808" spans="1:2" x14ac:dyDescent="0.25">
      <c r="A10808" s="5">
        <v>37596</v>
      </c>
      <c r="B10808">
        <v>912.22998046875</v>
      </c>
    </row>
    <row r="10809" spans="1:2" x14ac:dyDescent="0.25">
      <c r="A10809" s="5">
        <v>37599</v>
      </c>
      <c r="B10809">
        <v>892</v>
      </c>
    </row>
    <row r="10810" spans="1:2" x14ac:dyDescent="0.25">
      <c r="A10810" s="5">
        <v>37600</v>
      </c>
      <c r="B10810">
        <v>904.45001220703102</v>
      </c>
    </row>
    <row r="10811" spans="1:2" x14ac:dyDescent="0.25">
      <c r="A10811" s="5">
        <v>37601</v>
      </c>
      <c r="B10811">
        <v>904.96002197265602</v>
      </c>
    </row>
    <row r="10812" spans="1:2" x14ac:dyDescent="0.25">
      <c r="A10812" s="5">
        <v>37602</v>
      </c>
      <c r="B10812">
        <v>901.58001708984398</v>
      </c>
    </row>
    <row r="10813" spans="1:2" x14ac:dyDescent="0.25">
      <c r="A10813" s="5">
        <v>37603</v>
      </c>
      <c r="B10813">
        <v>889.47998046875</v>
      </c>
    </row>
    <row r="10814" spans="1:2" x14ac:dyDescent="0.25">
      <c r="A10814" s="5">
        <v>37606</v>
      </c>
      <c r="B10814">
        <v>910.40002441406205</v>
      </c>
    </row>
    <row r="10815" spans="1:2" x14ac:dyDescent="0.25">
      <c r="A10815" s="5">
        <v>37607</v>
      </c>
      <c r="B10815">
        <v>902.989990234375</v>
      </c>
    </row>
    <row r="10816" spans="1:2" x14ac:dyDescent="0.25">
      <c r="A10816" s="5">
        <v>37608</v>
      </c>
      <c r="B10816">
        <v>891.11999511718795</v>
      </c>
    </row>
    <row r="10817" spans="1:2" x14ac:dyDescent="0.25">
      <c r="A10817" s="5">
        <v>37609</v>
      </c>
      <c r="B10817">
        <v>884.25</v>
      </c>
    </row>
    <row r="10818" spans="1:2" x14ac:dyDescent="0.25">
      <c r="A10818" s="5">
        <v>37610</v>
      </c>
      <c r="B10818">
        <v>895.760009765625</v>
      </c>
    </row>
    <row r="10819" spans="1:2" x14ac:dyDescent="0.25">
      <c r="A10819" s="5">
        <v>37613</v>
      </c>
      <c r="B10819">
        <v>897.38000488281205</v>
      </c>
    </row>
    <row r="10820" spans="1:2" x14ac:dyDescent="0.25">
      <c r="A10820" s="5">
        <v>37614</v>
      </c>
      <c r="B10820">
        <v>892.469970703125</v>
      </c>
    </row>
    <row r="10821" spans="1:2" x14ac:dyDescent="0.25">
      <c r="A10821" s="5">
        <v>37616</v>
      </c>
      <c r="B10821">
        <v>889.65997314453102</v>
      </c>
    </row>
    <row r="10822" spans="1:2" x14ac:dyDescent="0.25">
      <c r="A10822" s="5">
        <v>37617</v>
      </c>
      <c r="B10822">
        <v>875.40002441406205</v>
      </c>
    </row>
    <row r="10823" spans="1:2" x14ac:dyDescent="0.25">
      <c r="A10823" s="5">
        <v>37620</v>
      </c>
      <c r="B10823">
        <v>879.39001464843795</v>
      </c>
    </row>
    <row r="10824" spans="1:2" x14ac:dyDescent="0.25">
      <c r="A10824" s="5">
        <v>37621</v>
      </c>
      <c r="B10824">
        <v>879.82000732421898</v>
      </c>
    </row>
    <row r="10825" spans="1:2" x14ac:dyDescent="0.25">
      <c r="A10825" s="5">
        <v>37623</v>
      </c>
      <c r="B10825">
        <v>909.030029296875</v>
      </c>
    </row>
    <row r="10826" spans="1:2" x14ac:dyDescent="0.25">
      <c r="A10826" s="5">
        <v>37624</v>
      </c>
      <c r="B10826">
        <v>908.59002685546898</v>
      </c>
    </row>
    <row r="10827" spans="1:2" x14ac:dyDescent="0.25">
      <c r="A10827" s="5">
        <v>37627</v>
      </c>
      <c r="B10827">
        <v>929.010009765625</v>
      </c>
    </row>
    <row r="10828" spans="1:2" x14ac:dyDescent="0.25">
      <c r="A10828" s="5">
        <v>37628</v>
      </c>
      <c r="B10828">
        <v>922.92999267578102</v>
      </c>
    </row>
    <row r="10829" spans="1:2" x14ac:dyDescent="0.25">
      <c r="A10829" s="5">
        <v>37629</v>
      </c>
      <c r="B10829">
        <v>909.92999267578102</v>
      </c>
    </row>
    <row r="10830" spans="1:2" x14ac:dyDescent="0.25">
      <c r="A10830" s="5">
        <v>37630</v>
      </c>
      <c r="B10830">
        <v>927.57000732421898</v>
      </c>
    </row>
    <row r="10831" spans="1:2" x14ac:dyDescent="0.25">
      <c r="A10831" s="5">
        <v>37631</v>
      </c>
      <c r="B10831">
        <v>927.57000732421898</v>
      </c>
    </row>
    <row r="10832" spans="1:2" x14ac:dyDescent="0.25">
      <c r="A10832" s="5">
        <v>37634</v>
      </c>
      <c r="B10832">
        <v>926.260009765625</v>
      </c>
    </row>
    <row r="10833" spans="1:2" x14ac:dyDescent="0.25">
      <c r="A10833" s="5">
        <v>37635</v>
      </c>
      <c r="B10833">
        <v>931.65997314453102</v>
      </c>
    </row>
    <row r="10834" spans="1:2" x14ac:dyDescent="0.25">
      <c r="A10834" s="5">
        <v>37636</v>
      </c>
      <c r="B10834">
        <v>918.219970703125</v>
      </c>
    </row>
    <row r="10835" spans="1:2" x14ac:dyDescent="0.25">
      <c r="A10835" s="5">
        <v>37637</v>
      </c>
      <c r="B10835">
        <v>914.59997558593795</v>
      </c>
    </row>
    <row r="10836" spans="1:2" x14ac:dyDescent="0.25">
      <c r="A10836" s="5">
        <v>37638</v>
      </c>
      <c r="B10836">
        <v>901.780029296875</v>
      </c>
    </row>
    <row r="10837" spans="1:2" x14ac:dyDescent="0.25">
      <c r="A10837" s="5">
        <v>37642</v>
      </c>
      <c r="B10837">
        <v>887.61999511718795</v>
      </c>
    </row>
    <row r="10838" spans="1:2" x14ac:dyDescent="0.25">
      <c r="A10838" s="5">
        <v>37643</v>
      </c>
      <c r="B10838">
        <v>878.35998535156205</v>
      </c>
    </row>
    <row r="10839" spans="1:2" x14ac:dyDescent="0.25">
      <c r="A10839" s="5">
        <v>37644</v>
      </c>
      <c r="B10839">
        <v>887.34002685546898</v>
      </c>
    </row>
    <row r="10840" spans="1:2" x14ac:dyDescent="0.25">
      <c r="A10840" s="5">
        <v>37645</v>
      </c>
      <c r="B10840">
        <v>861.40002441406205</v>
      </c>
    </row>
    <row r="10841" spans="1:2" x14ac:dyDescent="0.25">
      <c r="A10841" s="5">
        <v>37648</v>
      </c>
      <c r="B10841">
        <v>847.47998046875</v>
      </c>
    </row>
    <row r="10842" spans="1:2" x14ac:dyDescent="0.25">
      <c r="A10842" s="5">
        <v>37649</v>
      </c>
      <c r="B10842">
        <v>858.53997802734398</v>
      </c>
    </row>
    <row r="10843" spans="1:2" x14ac:dyDescent="0.25">
      <c r="A10843" s="5">
        <v>37650</v>
      </c>
      <c r="B10843">
        <v>864.35998535156205</v>
      </c>
    </row>
    <row r="10844" spans="1:2" x14ac:dyDescent="0.25">
      <c r="A10844" s="5">
        <v>37651</v>
      </c>
      <c r="B10844">
        <v>844.60998535156205</v>
      </c>
    </row>
    <row r="10845" spans="1:2" x14ac:dyDescent="0.25">
      <c r="A10845" s="5">
        <v>37652</v>
      </c>
      <c r="B10845">
        <v>855.70001220703102</v>
      </c>
    </row>
    <row r="10846" spans="1:2" x14ac:dyDescent="0.25">
      <c r="A10846" s="5">
        <v>37655</v>
      </c>
      <c r="B10846">
        <v>860.32000732421898</v>
      </c>
    </row>
    <row r="10847" spans="1:2" x14ac:dyDescent="0.25">
      <c r="A10847" s="5">
        <v>37656</v>
      </c>
      <c r="B10847">
        <v>848.20001220703102</v>
      </c>
    </row>
    <row r="10848" spans="1:2" x14ac:dyDescent="0.25">
      <c r="A10848" s="5">
        <v>37657</v>
      </c>
      <c r="B10848">
        <v>843.59002685546898</v>
      </c>
    </row>
    <row r="10849" spans="1:2" x14ac:dyDescent="0.25">
      <c r="A10849" s="5">
        <v>37658</v>
      </c>
      <c r="B10849">
        <v>838.15002441406205</v>
      </c>
    </row>
    <row r="10850" spans="1:2" x14ac:dyDescent="0.25">
      <c r="A10850" s="5">
        <v>37659</v>
      </c>
      <c r="B10850">
        <v>829.69000244140602</v>
      </c>
    </row>
    <row r="10851" spans="1:2" x14ac:dyDescent="0.25">
      <c r="A10851" s="5">
        <v>37662</v>
      </c>
      <c r="B10851">
        <v>835.969970703125</v>
      </c>
    </row>
    <row r="10852" spans="1:2" x14ac:dyDescent="0.25">
      <c r="A10852" s="5">
        <v>37663</v>
      </c>
      <c r="B10852">
        <v>829.20001220703102</v>
      </c>
    </row>
    <row r="10853" spans="1:2" x14ac:dyDescent="0.25">
      <c r="A10853" s="5">
        <v>37664</v>
      </c>
      <c r="B10853">
        <v>818.67999267578102</v>
      </c>
    </row>
    <row r="10854" spans="1:2" x14ac:dyDescent="0.25">
      <c r="A10854" s="5">
        <v>37665</v>
      </c>
      <c r="B10854">
        <v>817.36999511718795</v>
      </c>
    </row>
    <row r="10855" spans="1:2" x14ac:dyDescent="0.25">
      <c r="A10855" s="5">
        <v>37666</v>
      </c>
      <c r="B10855">
        <v>834.89001464843795</v>
      </c>
    </row>
    <row r="10856" spans="1:2" x14ac:dyDescent="0.25">
      <c r="A10856" s="5">
        <v>37670</v>
      </c>
      <c r="B10856">
        <v>851.16998291015602</v>
      </c>
    </row>
    <row r="10857" spans="1:2" x14ac:dyDescent="0.25">
      <c r="A10857" s="5">
        <v>37671</v>
      </c>
      <c r="B10857">
        <v>845.13000488281205</v>
      </c>
    </row>
    <row r="10858" spans="1:2" x14ac:dyDescent="0.25">
      <c r="A10858" s="5">
        <v>37672</v>
      </c>
      <c r="B10858">
        <v>837.09997558593795</v>
      </c>
    </row>
    <row r="10859" spans="1:2" x14ac:dyDescent="0.25">
      <c r="A10859" s="5">
        <v>37673</v>
      </c>
      <c r="B10859">
        <v>848.16998291015602</v>
      </c>
    </row>
    <row r="10860" spans="1:2" x14ac:dyDescent="0.25">
      <c r="A10860" s="5">
        <v>37676</v>
      </c>
      <c r="B10860">
        <v>832.58001708984398</v>
      </c>
    </row>
    <row r="10861" spans="1:2" x14ac:dyDescent="0.25">
      <c r="A10861" s="5">
        <v>37677</v>
      </c>
      <c r="B10861">
        <v>838.57000732421898</v>
      </c>
    </row>
    <row r="10862" spans="1:2" x14ac:dyDescent="0.25">
      <c r="A10862" s="5">
        <v>37678</v>
      </c>
      <c r="B10862">
        <v>827.54998779296898</v>
      </c>
    </row>
    <row r="10863" spans="1:2" x14ac:dyDescent="0.25">
      <c r="A10863" s="5">
        <v>37679</v>
      </c>
      <c r="B10863">
        <v>837.280029296875</v>
      </c>
    </row>
    <row r="10864" spans="1:2" x14ac:dyDescent="0.25">
      <c r="A10864" s="5">
        <v>37680</v>
      </c>
      <c r="B10864">
        <v>841.15002441406205</v>
      </c>
    </row>
    <row r="10865" spans="1:2" x14ac:dyDescent="0.25">
      <c r="A10865" s="5">
        <v>37683</v>
      </c>
      <c r="B10865">
        <v>834.80999755859398</v>
      </c>
    </row>
    <row r="10866" spans="1:2" x14ac:dyDescent="0.25">
      <c r="A10866" s="5">
        <v>37684</v>
      </c>
      <c r="B10866">
        <v>821.989990234375</v>
      </c>
    </row>
    <row r="10867" spans="1:2" x14ac:dyDescent="0.25">
      <c r="A10867" s="5">
        <v>37685</v>
      </c>
      <c r="B10867">
        <v>829.84997558593795</v>
      </c>
    </row>
    <row r="10868" spans="1:2" x14ac:dyDescent="0.25">
      <c r="A10868" s="5">
        <v>37686</v>
      </c>
      <c r="B10868">
        <v>822.09997558593795</v>
      </c>
    </row>
    <row r="10869" spans="1:2" x14ac:dyDescent="0.25">
      <c r="A10869" s="5">
        <v>37687</v>
      </c>
      <c r="B10869">
        <v>828.89001464843795</v>
      </c>
    </row>
    <row r="10870" spans="1:2" x14ac:dyDescent="0.25">
      <c r="A10870" s="5">
        <v>37690</v>
      </c>
      <c r="B10870">
        <v>807.47998046875</v>
      </c>
    </row>
    <row r="10871" spans="1:2" x14ac:dyDescent="0.25">
      <c r="A10871" s="5">
        <v>37691</v>
      </c>
      <c r="B10871">
        <v>800.72998046875</v>
      </c>
    </row>
    <row r="10872" spans="1:2" x14ac:dyDescent="0.25">
      <c r="A10872" s="5">
        <v>37692</v>
      </c>
      <c r="B10872">
        <v>804.19000244140602</v>
      </c>
    </row>
    <row r="10873" spans="1:2" x14ac:dyDescent="0.25">
      <c r="A10873" s="5">
        <v>37693</v>
      </c>
      <c r="B10873">
        <v>831.90002441406205</v>
      </c>
    </row>
    <row r="10874" spans="1:2" x14ac:dyDescent="0.25">
      <c r="A10874" s="5">
        <v>37694</v>
      </c>
      <c r="B10874">
        <v>833.27001953125</v>
      </c>
    </row>
    <row r="10875" spans="1:2" x14ac:dyDescent="0.25">
      <c r="A10875" s="5">
        <v>37697</v>
      </c>
      <c r="B10875">
        <v>862.78997802734398</v>
      </c>
    </row>
    <row r="10876" spans="1:2" x14ac:dyDescent="0.25">
      <c r="A10876" s="5">
        <v>37698</v>
      </c>
      <c r="B10876">
        <v>866.45001220703102</v>
      </c>
    </row>
    <row r="10877" spans="1:2" x14ac:dyDescent="0.25">
      <c r="A10877" s="5">
        <v>37699</v>
      </c>
      <c r="B10877">
        <v>874.02001953125</v>
      </c>
    </row>
    <row r="10878" spans="1:2" x14ac:dyDescent="0.25">
      <c r="A10878" s="5">
        <v>37700</v>
      </c>
      <c r="B10878">
        <v>875.66998291015602</v>
      </c>
    </row>
    <row r="10879" spans="1:2" x14ac:dyDescent="0.25">
      <c r="A10879" s="5">
        <v>37701</v>
      </c>
      <c r="B10879">
        <v>895.78997802734398</v>
      </c>
    </row>
    <row r="10880" spans="1:2" x14ac:dyDescent="0.25">
      <c r="A10880" s="5">
        <v>37704</v>
      </c>
      <c r="B10880">
        <v>864.22998046875</v>
      </c>
    </row>
    <row r="10881" spans="1:2" x14ac:dyDescent="0.25">
      <c r="A10881" s="5">
        <v>37705</v>
      </c>
      <c r="B10881">
        <v>874.739990234375</v>
      </c>
    </row>
    <row r="10882" spans="1:2" x14ac:dyDescent="0.25">
      <c r="A10882" s="5">
        <v>37706</v>
      </c>
      <c r="B10882">
        <v>869.95001220703102</v>
      </c>
    </row>
    <row r="10883" spans="1:2" x14ac:dyDescent="0.25">
      <c r="A10883" s="5">
        <v>37707</v>
      </c>
      <c r="B10883">
        <v>868.52001953125</v>
      </c>
    </row>
    <row r="10884" spans="1:2" x14ac:dyDescent="0.25">
      <c r="A10884" s="5">
        <v>37708</v>
      </c>
      <c r="B10884">
        <v>863.5</v>
      </c>
    </row>
    <row r="10885" spans="1:2" x14ac:dyDescent="0.25">
      <c r="A10885" s="5">
        <v>37711</v>
      </c>
      <c r="B10885">
        <v>848.17999267578102</v>
      </c>
    </row>
    <row r="10886" spans="1:2" x14ac:dyDescent="0.25">
      <c r="A10886" s="5">
        <v>37712</v>
      </c>
      <c r="B10886">
        <v>858.47998046875</v>
      </c>
    </row>
    <row r="10887" spans="1:2" x14ac:dyDescent="0.25">
      <c r="A10887" s="5">
        <v>37713</v>
      </c>
      <c r="B10887">
        <v>880.90002441406205</v>
      </c>
    </row>
    <row r="10888" spans="1:2" x14ac:dyDescent="0.25">
      <c r="A10888" s="5">
        <v>37714</v>
      </c>
      <c r="B10888">
        <v>876.45001220703102</v>
      </c>
    </row>
    <row r="10889" spans="1:2" x14ac:dyDescent="0.25">
      <c r="A10889" s="5">
        <v>37715</v>
      </c>
      <c r="B10889">
        <v>878.84997558593795</v>
      </c>
    </row>
    <row r="10890" spans="1:2" x14ac:dyDescent="0.25">
      <c r="A10890" s="5">
        <v>37718</v>
      </c>
      <c r="B10890">
        <v>879.92999267578102</v>
      </c>
    </row>
    <row r="10891" spans="1:2" x14ac:dyDescent="0.25">
      <c r="A10891" s="5">
        <v>37719</v>
      </c>
      <c r="B10891">
        <v>878.28997802734398</v>
      </c>
    </row>
    <row r="10892" spans="1:2" x14ac:dyDescent="0.25">
      <c r="A10892" s="5">
        <v>37720</v>
      </c>
      <c r="B10892">
        <v>865.989990234375</v>
      </c>
    </row>
    <row r="10893" spans="1:2" x14ac:dyDescent="0.25">
      <c r="A10893" s="5">
        <v>37721</v>
      </c>
      <c r="B10893">
        <v>871.58001708984398</v>
      </c>
    </row>
    <row r="10894" spans="1:2" x14ac:dyDescent="0.25">
      <c r="A10894" s="5">
        <v>37722</v>
      </c>
      <c r="B10894">
        <v>868.29998779296898</v>
      </c>
    </row>
    <row r="10895" spans="1:2" x14ac:dyDescent="0.25">
      <c r="A10895" s="5">
        <v>37725</v>
      </c>
      <c r="B10895">
        <v>885.22998046875</v>
      </c>
    </row>
    <row r="10896" spans="1:2" x14ac:dyDescent="0.25">
      <c r="A10896" s="5">
        <v>37726</v>
      </c>
      <c r="B10896">
        <v>890.80999755859398</v>
      </c>
    </row>
    <row r="10897" spans="1:2" x14ac:dyDescent="0.25">
      <c r="A10897" s="5">
        <v>37727</v>
      </c>
      <c r="B10897">
        <v>879.90997314453102</v>
      </c>
    </row>
    <row r="10898" spans="1:2" x14ac:dyDescent="0.25">
      <c r="A10898" s="5">
        <v>37728</v>
      </c>
      <c r="B10898">
        <v>893.58001708984398</v>
      </c>
    </row>
    <row r="10899" spans="1:2" x14ac:dyDescent="0.25">
      <c r="A10899" s="5">
        <v>37732</v>
      </c>
      <c r="B10899">
        <v>892.010009765625</v>
      </c>
    </row>
    <row r="10900" spans="1:2" x14ac:dyDescent="0.25">
      <c r="A10900" s="5">
        <v>37733</v>
      </c>
      <c r="B10900">
        <v>911.36999511718795</v>
      </c>
    </row>
    <row r="10901" spans="1:2" x14ac:dyDescent="0.25">
      <c r="A10901" s="5">
        <v>37734</v>
      </c>
      <c r="B10901">
        <v>919.02001953125</v>
      </c>
    </row>
    <row r="10902" spans="1:2" x14ac:dyDescent="0.25">
      <c r="A10902" s="5">
        <v>37735</v>
      </c>
      <c r="B10902">
        <v>911.42999267578102</v>
      </c>
    </row>
    <row r="10903" spans="1:2" x14ac:dyDescent="0.25">
      <c r="A10903" s="5">
        <v>37736</v>
      </c>
      <c r="B10903">
        <v>898.80999755859398</v>
      </c>
    </row>
    <row r="10904" spans="1:2" x14ac:dyDescent="0.25">
      <c r="A10904" s="5">
        <v>37739</v>
      </c>
      <c r="B10904">
        <v>914.84002685546898</v>
      </c>
    </row>
    <row r="10905" spans="1:2" x14ac:dyDescent="0.25">
      <c r="A10905" s="5">
        <v>37740</v>
      </c>
      <c r="B10905">
        <v>917.84002685546898</v>
      </c>
    </row>
    <row r="10906" spans="1:2" x14ac:dyDescent="0.25">
      <c r="A10906" s="5">
        <v>37741</v>
      </c>
      <c r="B10906">
        <v>916.91998291015602</v>
      </c>
    </row>
    <row r="10907" spans="1:2" x14ac:dyDescent="0.25">
      <c r="A10907" s="5">
        <v>37742</v>
      </c>
      <c r="B10907">
        <v>916.29998779296898</v>
      </c>
    </row>
    <row r="10908" spans="1:2" x14ac:dyDescent="0.25">
      <c r="A10908" s="5">
        <v>37743</v>
      </c>
      <c r="B10908">
        <v>930.08001708984398</v>
      </c>
    </row>
    <row r="10909" spans="1:2" x14ac:dyDescent="0.25">
      <c r="A10909" s="5">
        <v>37746</v>
      </c>
      <c r="B10909">
        <v>926.54998779296898</v>
      </c>
    </row>
    <row r="10910" spans="1:2" x14ac:dyDescent="0.25">
      <c r="A10910" s="5">
        <v>37747</v>
      </c>
      <c r="B10910">
        <v>934.39001464843795</v>
      </c>
    </row>
    <row r="10911" spans="1:2" x14ac:dyDescent="0.25">
      <c r="A10911" s="5">
        <v>37748</v>
      </c>
      <c r="B10911">
        <v>929.61999511718795</v>
      </c>
    </row>
    <row r="10912" spans="1:2" x14ac:dyDescent="0.25">
      <c r="A10912" s="5">
        <v>37749</v>
      </c>
      <c r="B10912">
        <v>920.27001953125</v>
      </c>
    </row>
    <row r="10913" spans="1:2" x14ac:dyDescent="0.25">
      <c r="A10913" s="5">
        <v>37750</v>
      </c>
      <c r="B10913">
        <v>933.40997314453102</v>
      </c>
    </row>
    <row r="10914" spans="1:2" x14ac:dyDescent="0.25">
      <c r="A10914" s="5">
        <v>37753</v>
      </c>
      <c r="B10914">
        <v>945.10998535156205</v>
      </c>
    </row>
    <row r="10915" spans="1:2" x14ac:dyDescent="0.25">
      <c r="A10915" s="5">
        <v>37754</v>
      </c>
      <c r="B10915">
        <v>942.29998779296898</v>
      </c>
    </row>
    <row r="10916" spans="1:2" x14ac:dyDescent="0.25">
      <c r="A10916" s="5">
        <v>37755</v>
      </c>
      <c r="B10916">
        <v>939.280029296875</v>
      </c>
    </row>
    <row r="10917" spans="1:2" x14ac:dyDescent="0.25">
      <c r="A10917" s="5">
        <v>37756</v>
      </c>
      <c r="B10917">
        <v>946.66998291015602</v>
      </c>
    </row>
    <row r="10918" spans="1:2" x14ac:dyDescent="0.25">
      <c r="A10918" s="5">
        <v>37757</v>
      </c>
      <c r="B10918">
        <v>944.29998779296898</v>
      </c>
    </row>
    <row r="10919" spans="1:2" x14ac:dyDescent="0.25">
      <c r="A10919" s="5">
        <v>37760</v>
      </c>
      <c r="B10919">
        <v>920.77001953125</v>
      </c>
    </row>
    <row r="10920" spans="1:2" x14ac:dyDescent="0.25">
      <c r="A10920" s="5">
        <v>37761</v>
      </c>
      <c r="B10920">
        <v>919.72998046875</v>
      </c>
    </row>
    <row r="10921" spans="1:2" x14ac:dyDescent="0.25">
      <c r="A10921" s="5">
        <v>37762</v>
      </c>
      <c r="B10921">
        <v>923.41998291015602</v>
      </c>
    </row>
    <row r="10922" spans="1:2" x14ac:dyDescent="0.25">
      <c r="A10922" s="5">
        <v>37763</v>
      </c>
      <c r="B10922">
        <v>931.86999511718795</v>
      </c>
    </row>
    <row r="10923" spans="1:2" x14ac:dyDescent="0.25">
      <c r="A10923" s="5">
        <v>37764</v>
      </c>
      <c r="B10923">
        <v>933.219970703125</v>
      </c>
    </row>
    <row r="10924" spans="1:2" x14ac:dyDescent="0.25">
      <c r="A10924" s="5">
        <v>37768</v>
      </c>
      <c r="B10924">
        <v>951.47998046875</v>
      </c>
    </row>
    <row r="10925" spans="1:2" x14ac:dyDescent="0.25">
      <c r="A10925" s="5">
        <v>37769</v>
      </c>
      <c r="B10925">
        <v>953.219970703125</v>
      </c>
    </row>
    <row r="10926" spans="1:2" x14ac:dyDescent="0.25">
      <c r="A10926" s="5">
        <v>37770</v>
      </c>
      <c r="B10926">
        <v>949.64001464843795</v>
      </c>
    </row>
    <row r="10927" spans="1:2" x14ac:dyDescent="0.25">
      <c r="A10927" s="5">
        <v>37771</v>
      </c>
      <c r="B10927">
        <v>963.59002685546898</v>
      </c>
    </row>
    <row r="10928" spans="1:2" x14ac:dyDescent="0.25">
      <c r="A10928" s="5">
        <v>37774</v>
      </c>
      <c r="B10928">
        <v>967</v>
      </c>
    </row>
    <row r="10929" spans="1:2" x14ac:dyDescent="0.25">
      <c r="A10929" s="5">
        <v>37775</v>
      </c>
      <c r="B10929">
        <v>971.55999755859398</v>
      </c>
    </row>
    <row r="10930" spans="1:2" x14ac:dyDescent="0.25">
      <c r="A10930" s="5">
        <v>37776</v>
      </c>
      <c r="B10930">
        <v>986.239990234375</v>
      </c>
    </row>
    <row r="10931" spans="1:2" x14ac:dyDescent="0.25">
      <c r="A10931" s="5">
        <v>37777</v>
      </c>
      <c r="B10931">
        <v>990.14001464843795</v>
      </c>
    </row>
    <row r="10932" spans="1:2" x14ac:dyDescent="0.25">
      <c r="A10932" s="5">
        <v>37778</v>
      </c>
      <c r="B10932">
        <v>987.760009765625</v>
      </c>
    </row>
    <row r="10933" spans="1:2" x14ac:dyDescent="0.25">
      <c r="A10933" s="5">
        <v>37781</v>
      </c>
      <c r="B10933">
        <v>975.92999267578102</v>
      </c>
    </row>
    <row r="10934" spans="1:2" x14ac:dyDescent="0.25">
      <c r="A10934" s="5">
        <v>37782</v>
      </c>
      <c r="B10934">
        <v>984.84002685546898</v>
      </c>
    </row>
    <row r="10935" spans="1:2" x14ac:dyDescent="0.25">
      <c r="A10935" s="5">
        <v>37783</v>
      </c>
      <c r="B10935">
        <v>997.47998046875</v>
      </c>
    </row>
    <row r="10936" spans="1:2" x14ac:dyDescent="0.25">
      <c r="A10936" s="5">
        <v>37784</v>
      </c>
      <c r="B10936">
        <v>998.510009765625</v>
      </c>
    </row>
    <row r="10937" spans="1:2" x14ac:dyDescent="0.25">
      <c r="A10937" s="5">
        <v>37785</v>
      </c>
      <c r="B10937">
        <v>988.60998535156205</v>
      </c>
    </row>
    <row r="10938" spans="1:2" x14ac:dyDescent="0.25">
      <c r="A10938" s="5">
        <v>37788</v>
      </c>
      <c r="B10938">
        <v>1010.73999023438</v>
      </c>
    </row>
    <row r="10939" spans="1:2" x14ac:dyDescent="0.25">
      <c r="A10939" s="5">
        <v>37789</v>
      </c>
      <c r="B10939">
        <v>1011.65997314453</v>
      </c>
    </row>
    <row r="10940" spans="1:2" x14ac:dyDescent="0.25">
      <c r="A10940" s="5">
        <v>37790</v>
      </c>
      <c r="B10940">
        <v>1010.09002685547</v>
      </c>
    </row>
    <row r="10941" spans="1:2" x14ac:dyDescent="0.25">
      <c r="A10941" s="5">
        <v>37791</v>
      </c>
      <c r="B10941">
        <v>994.70001220703102</v>
      </c>
    </row>
    <row r="10942" spans="1:2" x14ac:dyDescent="0.25">
      <c r="A10942" s="5">
        <v>37792</v>
      </c>
      <c r="B10942">
        <v>995.69000244140602</v>
      </c>
    </row>
    <row r="10943" spans="1:2" x14ac:dyDescent="0.25">
      <c r="A10943" s="5">
        <v>37795</v>
      </c>
      <c r="B10943">
        <v>981.64001464843795</v>
      </c>
    </row>
    <row r="10944" spans="1:2" x14ac:dyDescent="0.25">
      <c r="A10944" s="5">
        <v>37796</v>
      </c>
      <c r="B10944">
        <v>983.45001220703102</v>
      </c>
    </row>
    <row r="10945" spans="1:2" x14ac:dyDescent="0.25">
      <c r="A10945" s="5">
        <v>37797</v>
      </c>
      <c r="B10945">
        <v>975.32000732421898</v>
      </c>
    </row>
    <row r="10946" spans="1:2" x14ac:dyDescent="0.25">
      <c r="A10946" s="5">
        <v>37798</v>
      </c>
      <c r="B10946">
        <v>985.82000732421898</v>
      </c>
    </row>
    <row r="10947" spans="1:2" x14ac:dyDescent="0.25">
      <c r="A10947" s="5">
        <v>37799</v>
      </c>
      <c r="B10947">
        <v>976.219970703125</v>
      </c>
    </row>
    <row r="10948" spans="1:2" x14ac:dyDescent="0.25">
      <c r="A10948" s="5">
        <v>37802</v>
      </c>
      <c r="B10948">
        <v>974.5</v>
      </c>
    </row>
    <row r="10949" spans="1:2" x14ac:dyDescent="0.25">
      <c r="A10949" s="5">
        <v>37803</v>
      </c>
      <c r="B10949">
        <v>982.32000732421898</v>
      </c>
    </row>
    <row r="10950" spans="1:2" x14ac:dyDescent="0.25">
      <c r="A10950" s="5">
        <v>37804</v>
      </c>
      <c r="B10950">
        <v>993.75</v>
      </c>
    </row>
    <row r="10951" spans="1:2" x14ac:dyDescent="0.25">
      <c r="A10951" s="5">
        <v>37805</v>
      </c>
      <c r="B10951">
        <v>985.70001220703102</v>
      </c>
    </row>
    <row r="10952" spans="1:2" x14ac:dyDescent="0.25">
      <c r="A10952" s="5">
        <v>37809</v>
      </c>
      <c r="B10952">
        <v>1004.41998291016</v>
      </c>
    </row>
    <row r="10953" spans="1:2" x14ac:dyDescent="0.25">
      <c r="A10953" s="5">
        <v>37810</v>
      </c>
      <c r="B10953">
        <v>1007.84002685547</v>
      </c>
    </row>
    <row r="10954" spans="1:2" x14ac:dyDescent="0.25">
      <c r="A10954" s="5">
        <v>37811</v>
      </c>
      <c r="B10954">
        <v>1002.21002197266</v>
      </c>
    </row>
    <row r="10955" spans="1:2" x14ac:dyDescent="0.25">
      <c r="A10955" s="5">
        <v>37812</v>
      </c>
      <c r="B10955">
        <v>988.70001220703102</v>
      </c>
    </row>
    <row r="10956" spans="1:2" x14ac:dyDescent="0.25">
      <c r="A10956" s="5">
        <v>37813</v>
      </c>
      <c r="B10956">
        <v>998.14001464843795</v>
      </c>
    </row>
    <row r="10957" spans="1:2" x14ac:dyDescent="0.25">
      <c r="A10957" s="5">
        <v>37816</v>
      </c>
      <c r="B10957">
        <v>1003.85998535156</v>
      </c>
    </row>
    <row r="10958" spans="1:2" x14ac:dyDescent="0.25">
      <c r="A10958" s="5">
        <v>37817</v>
      </c>
      <c r="B10958">
        <v>1000.41998291016</v>
      </c>
    </row>
    <row r="10959" spans="1:2" x14ac:dyDescent="0.25">
      <c r="A10959" s="5">
        <v>37818</v>
      </c>
      <c r="B10959">
        <v>994.09002685546898</v>
      </c>
    </row>
    <row r="10960" spans="1:2" x14ac:dyDescent="0.25">
      <c r="A10960" s="5">
        <v>37819</v>
      </c>
      <c r="B10960">
        <v>981.72998046875</v>
      </c>
    </row>
    <row r="10961" spans="1:2" x14ac:dyDescent="0.25">
      <c r="A10961" s="5">
        <v>37820</v>
      </c>
      <c r="B10961">
        <v>993.32000732421898</v>
      </c>
    </row>
    <row r="10962" spans="1:2" x14ac:dyDescent="0.25">
      <c r="A10962" s="5">
        <v>37823</v>
      </c>
      <c r="B10962">
        <v>978.79998779296898</v>
      </c>
    </row>
    <row r="10963" spans="1:2" x14ac:dyDescent="0.25">
      <c r="A10963" s="5">
        <v>37824</v>
      </c>
      <c r="B10963">
        <v>988.10998535156205</v>
      </c>
    </row>
    <row r="10964" spans="1:2" x14ac:dyDescent="0.25">
      <c r="A10964" s="5">
        <v>37825</v>
      </c>
      <c r="B10964">
        <v>988.60998535156205</v>
      </c>
    </row>
    <row r="10965" spans="1:2" x14ac:dyDescent="0.25">
      <c r="A10965" s="5">
        <v>37826</v>
      </c>
      <c r="B10965">
        <v>981.59997558593795</v>
      </c>
    </row>
    <row r="10966" spans="1:2" x14ac:dyDescent="0.25">
      <c r="A10966" s="5">
        <v>37827</v>
      </c>
      <c r="B10966">
        <v>998.67999267578102</v>
      </c>
    </row>
    <row r="10967" spans="1:2" x14ac:dyDescent="0.25">
      <c r="A10967" s="5">
        <v>37830</v>
      </c>
      <c r="B10967">
        <v>996.52001953125</v>
      </c>
    </row>
    <row r="10968" spans="1:2" x14ac:dyDescent="0.25">
      <c r="A10968" s="5">
        <v>37831</v>
      </c>
      <c r="B10968">
        <v>989.280029296875</v>
      </c>
    </row>
    <row r="10969" spans="1:2" x14ac:dyDescent="0.25">
      <c r="A10969" s="5">
        <v>37832</v>
      </c>
      <c r="B10969">
        <v>987.489990234375</v>
      </c>
    </row>
    <row r="10970" spans="1:2" x14ac:dyDescent="0.25">
      <c r="A10970" s="5">
        <v>37833</v>
      </c>
      <c r="B10970">
        <v>990.30999755859398</v>
      </c>
    </row>
    <row r="10971" spans="1:2" x14ac:dyDescent="0.25">
      <c r="A10971" s="5">
        <v>37834</v>
      </c>
      <c r="B10971">
        <v>980.15002441406205</v>
      </c>
    </row>
    <row r="10972" spans="1:2" x14ac:dyDescent="0.25">
      <c r="A10972" s="5">
        <v>37837</v>
      </c>
      <c r="B10972">
        <v>982.82000732421898</v>
      </c>
    </row>
    <row r="10973" spans="1:2" x14ac:dyDescent="0.25">
      <c r="A10973" s="5">
        <v>37838</v>
      </c>
      <c r="B10973">
        <v>965.46002197265602</v>
      </c>
    </row>
    <row r="10974" spans="1:2" x14ac:dyDescent="0.25">
      <c r="A10974" s="5">
        <v>37839</v>
      </c>
      <c r="B10974">
        <v>967.08001708984398</v>
      </c>
    </row>
    <row r="10975" spans="1:2" x14ac:dyDescent="0.25">
      <c r="A10975" s="5">
        <v>37840</v>
      </c>
      <c r="B10975">
        <v>974.11999511718795</v>
      </c>
    </row>
    <row r="10976" spans="1:2" x14ac:dyDescent="0.25">
      <c r="A10976" s="5">
        <v>37841</v>
      </c>
      <c r="B10976">
        <v>977.59002685546898</v>
      </c>
    </row>
    <row r="10977" spans="1:2" x14ac:dyDescent="0.25">
      <c r="A10977" s="5">
        <v>37844</v>
      </c>
      <c r="B10977">
        <v>980.59002685546898</v>
      </c>
    </row>
    <row r="10978" spans="1:2" x14ac:dyDescent="0.25">
      <c r="A10978" s="5">
        <v>37845</v>
      </c>
      <c r="B10978">
        <v>990.34997558593795</v>
      </c>
    </row>
    <row r="10979" spans="1:2" x14ac:dyDescent="0.25">
      <c r="A10979" s="5">
        <v>37846</v>
      </c>
      <c r="B10979">
        <v>984.030029296875</v>
      </c>
    </row>
    <row r="10980" spans="1:2" x14ac:dyDescent="0.25">
      <c r="A10980" s="5">
        <v>37847</v>
      </c>
      <c r="B10980">
        <v>990.510009765625</v>
      </c>
    </row>
    <row r="10981" spans="1:2" x14ac:dyDescent="0.25">
      <c r="A10981" s="5">
        <v>37848</v>
      </c>
      <c r="B10981">
        <v>990.66998291015602</v>
      </c>
    </row>
    <row r="10982" spans="1:2" x14ac:dyDescent="0.25">
      <c r="A10982" s="5">
        <v>37851</v>
      </c>
      <c r="B10982">
        <v>999.739990234375</v>
      </c>
    </row>
    <row r="10983" spans="1:2" x14ac:dyDescent="0.25">
      <c r="A10983" s="5">
        <v>37852</v>
      </c>
      <c r="B10983">
        <v>1002.34997558594</v>
      </c>
    </row>
    <row r="10984" spans="1:2" x14ac:dyDescent="0.25">
      <c r="A10984" s="5">
        <v>37853</v>
      </c>
      <c r="B10984">
        <v>1000.29998779297</v>
      </c>
    </row>
    <row r="10985" spans="1:2" x14ac:dyDescent="0.25">
      <c r="A10985" s="5">
        <v>37854</v>
      </c>
      <c r="B10985">
        <v>1003.27001953125</v>
      </c>
    </row>
    <row r="10986" spans="1:2" x14ac:dyDescent="0.25">
      <c r="A10986" s="5">
        <v>37855</v>
      </c>
      <c r="B10986">
        <v>993.05999755859398</v>
      </c>
    </row>
    <row r="10987" spans="1:2" x14ac:dyDescent="0.25">
      <c r="A10987" s="5">
        <v>37858</v>
      </c>
      <c r="B10987">
        <v>993.71002197265602</v>
      </c>
    </row>
    <row r="10988" spans="1:2" x14ac:dyDescent="0.25">
      <c r="A10988" s="5">
        <v>37859</v>
      </c>
      <c r="B10988">
        <v>996.72998046875</v>
      </c>
    </row>
    <row r="10989" spans="1:2" x14ac:dyDescent="0.25">
      <c r="A10989" s="5">
        <v>37860</v>
      </c>
      <c r="B10989">
        <v>996.78997802734398</v>
      </c>
    </row>
    <row r="10990" spans="1:2" x14ac:dyDescent="0.25">
      <c r="A10990" s="5">
        <v>37861</v>
      </c>
      <c r="B10990">
        <v>1002.84002685547</v>
      </c>
    </row>
    <row r="10991" spans="1:2" x14ac:dyDescent="0.25">
      <c r="A10991" s="5">
        <v>37862</v>
      </c>
      <c r="B10991">
        <v>1008.01000976562</v>
      </c>
    </row>
    <row r="10992" spans="1:2" x14ac:dyDescent="0.25">
      <c r="A10992" s="5">
        <v>37866</v>
      </c>
      <c r="B10992">
        <v>1021.98999023438</v>
      </c>
    </row>
    <row r="10993" spans="1:2" x14ac:dyDescent="0.25">
      <c r="A10993" s="5">
        <v>37867</v>
      </c>
      <c r="B10993">
        <v>1026.27001953125</v>
      </c>
    </row>
    <row r="10994" spans="1:2" x14ac:dyDescent="0.25">
      <c r="A10994" s="5">
        <v>37868</v>
      </c>
      <c r="B10994">
        <v>1027.96997070312</v>
      </c>
    </row>
    <row r="10995" spans="1:2" x14ac:dyDescent="0.25">
      <c r="A10995" s="5">
        <v>37869</v>
      </c>
      <c r="B10995">
        <v>1021.39001464844</v>
      </c>
    </row>
    <row r="10996" spans="1:2" x14ac:dyDescent="0.25">
      <c r="A10996" s="5">
        <v>37872</v>
      </c>
      <c r="B10996">
        <v>1031.64001464844</v>
      </c>
    </row>
    <row r="10997" spans="1:2" x14ac:dyDescent="0.25">
      <c r="A10997" s="5">
        <v>37873</v>
      </c>
      <c r="B10997">
        <v>1023.16998291016</v>
      </c>
    </row>
    <row r="10998" spans="1:2" x14ac:dyDescent="0.25">
      <c r="A10998" s="5">
        <v>37874</v>
      </c>
      <c r="B10998">
        <v>1010.91998291016</v>
      </c>
    </row>
    <row r="10999" spans="1:2" x14ac:dyDescent="0.25">
      <c r="A10999" s="5">
        <v>37875</v>
      </c>
      <c r="B10999">
        <v>1016.41998291016</v>
      </c>
    </row>
    <row r="11000" spans="1:2" x14ac:dyDescent="0.25">
      <c r="A11000" s="5">
        <v>37876</v>
      </c>
      <c r="B11000">
        <v>1018.63000488281</v>
      </c>
    </row>
    <row r="11001" spans="1:2" x14ac:dyDescent="0.25">
      <c r="A11001" s="5">
        <v>37879</v>
      </c>
      <c r="B11001">
        <v>1014.80999755859</v>
      </c>
    </row>
    <row r="11002" spans="1:2" x14ac:dyDescent="0.25">
      <c r="A11002" s="5">
        <v>37880</v>
      </c>
      <c r="B11002">
        <v>1029.31994628906</v>
      </c>
    </row>
    <row r="11003" spans="1:2" x14ac:dyDescent="0.25">
      <c r="A11003" s="5">
        <v>37881</v>
      </c>
      <c r="B11003">
        <v>1025.96997070312</v>
      </c>
    </row>
    <row r="11004" spans="1:2" x14ac:dyDescent="0.25">
      <c r="A11004" s="5">
        <v>37882</v>
      </c>
      <c r="B11004">
        <v>1039.57995605469</v>
      </c>
    </row>
    <row r="11005" spans="1:2" x14ac:dyDescent="0.25">
      <c r="A11005" s="5">
        <v>37883</v>
      </c>
      <c r="B11005">
        <v>1036.30004882812</v>
      </c>
    </row>
    <row r="11006" spans="1:2" x14ac:dyDescent="0.25">
      <c r="A11006" s="5">
        <v>37886</v>
      </c>
      <c r="B11006">
        <v>1022.82000732422</v>
      </c>
    </row>
    <row r="11007" spans="1:2" x14ac:dyDescent="0.25">
      <c r="A11007" s="5">
        <v>37887</v>
      </c>
      <c r="B11007">
        <v>1029.03002929688</v>
      </c>
    </row>
    <row r="11008" spans="1:2" x14ac:dyDescent="0.25">
      <c r="A11008" s="5">
        <v>37888</v>
      </c>
      <c r="B11008">
        <v>1009.38000488281</v>
      </c>
    </row>
    <row r="11009" spans="1:2" x14ac:dyDescent="0.25">
      <c r="A11009" s="5">
        <v>37889</v>
      </c>
      <c r="B11009">
        <v>1003.27001953125</v>
      </c>
    </row>
    <row r="11010" spans="1:2" x14ac:dyDescent="0.25">
      <c r="A11010" s="5">
        <v>37890</v>
      </c>
      <c r="B11010">
        <v>996.84997558593795</v>
      </c>
    </row>
    <row r="11011" spans="1:2" x14ac:dyDescent="0.25">
      <c r="A11011" s="5">
        <v>37893</v>
      </c>
      <c r="B11011">
        <v>1006.58001708984</v>
      </c>
    </row>
    <row r="11012" spans="1:2" x14ac:dyDescent="0.25">
      <c r="A11012" s="5">
        <v>37894</v>
      </c>
      <c r="B11012">
        <v>995.969970703125</v>
      </c>
    </row>
    <row r="11013" spans="1:2" x14ac:dyDescent="0.25">
      <c r="A11013" s="5">
        <v>37895</v>
      </c>
      <c r="B11013">
        <v>1018.21997070312</v>
      </c>
    </row>
    <row r="11014" spans="1:2" x14ac:dyDescent="0.25">
      <c r="A11014" s="5">
        <v>37896</v>
      </c>
      <c r="B11014">
        <v>1020.23999023438</v>
      </c>
    </row>
    <row r="11015" spans="1:2" x14ac:dyDescent="0.25">
      <c r="A11015" s="5">
        <v>37897</v>
      </c>
      <c r="B11015">
        <v>1029.84997558594</v>
      </c>
    </row>
    <row r="11016" spans="1:2" x14ac:dyDescent="0.25">
      <c r="A11016" s="5">
        <v>37900</v>
      </c>
      <c r="B11016">
        <v>1034.34997558594</v>
      </c>
    </row>
    <row r="11017" spans="1:2" x14ac:dyDescent="0.25">
      <c r="A11017" s="5">
        <v>37901</v>
      </c>
      <c r="B11017">
        <v>1039.25</v>
      </c>
    </row>
    <row r="11018" spans="1:2" x14ac:dyDescent="0.25">
      <c r="A11018" s="5">
        <v>37902</v>
      </c>
      <c r="B11018">
        <v>1033.78002929688</v>
      </c>
    </row>
    <row r="11019" spans="1:2" x14ac:dyDescent="0.25">
      <c r="A11019" s="5">
        <v>37903</v>
      </c>
      <c r="B11019">
        <v>1038.72998046875</v>
      </c>
    </row>
    <row r="11020" spans="1:2" x14ac:dyDescent="0.25">
      <c r="A11020" s="5">
        <v>37904</v>
      </c>
      <c r="B11020">
        <v>1038.06005859375</v>
      </c>
    </row>
    <row r="11021" spans="1:2" x14ac:dyDescent="0.25">
      <c r="A11021" s="5">
        <v>37907</v>
      </c>
      <c r="B11021">
        <v>1045.34997558594</v>
      </c>
    </row>
    <row r="11022" spans="1:2" x14ac:dyDescent="0.25">
      <c r="A11022" s="5">
        <v>37908</v>
      </c>
      <c r="B11022">
        <v>1049.47998046875</v>
      </c>
    </row>
    <row r="11023" spans="1:2" x14ac:dyDescent="0.25">
      <c r="A11023" s="5">
        <v>37909</v>
      </c>
      <c r="B11023">
        <v>1046.76000976562</v>
      </c>
    </row>
    <row r="11024" spans="1:2" x14ac:dyDescent="0.25">
      <c r="A11024" s="5">
        <v>37910</v>
      </c>
      <c r="B11024">
        <v>1050.06994628906</v>
      </c>
    </row>
    <row r="11025" spans="1:2" x14ac:dyDescent="0.25">
      <c r="A11025" s="5">
        <v>37911</v>
      </c>
      <c r="B11025">
        <v>1039.31994628906</v>
      </c>
    </row>
    <row r="11026" spans="1:2" x14ac:dyDescent="0.25">
      <c r="A11026" s="5">
        <v>37914</v>
      </c>
      <c r="B11026">
        <v>1044.68005371094</v>
      </c>
    </row>
    <row r="11027" spans="1:2" x14ac:dyDescent="0.25">
      <c r="A11027" s="5">
        <v>37915</v>
      </c>
      <c r="B11027">
        <v>1046.03002929688</v>
      </c>
    </row>
    <row r="11028" spans="1:2" x14ac:dyDescent="0.25">
      <c r="A11028" s="5">
        <v>37916</v>
      </c>
      <c r="B11028">
        <v>1030.35998535156</v>
      </c>
    </row>
    <row r="11029" spans="1:2" x14ac:dyDescent="0.25">
      <c r="A11029" s="5">
        <v>37917</v>
      </c>
      <c r="B11029">
        <v>1033.77001953125</v>
      </c>
    </row>
    <row r="11030" spans="1:2" x14ac:dyDescent="0.25">
      <c r="A11030" s="5">
        <v>37918</v>
      </c>
      <c r="B11030">
        <v>1028.91003417969</v>
      </c>
    </row>
    <row r="11031" spans="1:2" x14ac:dyDescent="0.25">
      <c r="A11031" s="5">
        <v>37921</v>
      </c>
      <c r="B11031">
        <v>1031.13000488281</v>
      </c>
    </row>
    <row r="11032" spans="1:2" x14ac:dyDescent="0.25">
      <c r="A11032" s="5">
        <v>37922</v>
      </c>
      <c r="B11032">
        <v>1046.7900390625</v>
      </c>
    </row>
    <row r="11033" spans="1:2" x14ac:dyDescent="0.25">
      <c r="A11033" s="5">
        <v>37923</v>
      </c>
      <c r="B11033">
        <v>1048.10998535156</v>
      </c>
    </row>
    <row r="11034" spans="1:2" x14ac:dyDescent="0.25">
      <c r="A11034" s="5">
        <v>37924</v>
      </c>
      <c r="B11034">
        <v>1046.93994140625</v>
      </c>
    </row>
    <row r="11035" spans="1:2" x14ac:dyDescent="0.25">
      <c r="A11035" s="5">
        <v>37925</v>
      </c>
      <c r="B11035">
        <v>1050.7099609375</v>
      </c>
    </row>
    <row r="11036" spans="1:2" x14ac:dyDescent="0.25">
      <c r="A11036" s="5">
        <v>37928</v>
      </c>
      <c r="B11036">
        <v>1059.02001953125</v>
      </c>
    </row>
    <row r="11037" spans="1:2" x14ac:dyDescent="0.25">
      <c r="A11037" s="5">
        <v>37929</v>
      </c>
      <c r="B11037">
        <v>1053.25</v>
      </c>
    </row>
    <row r="11038" spans="1:2" x14ac:dyDescent="0.25">
      <c r="A11038" s="5">
        <v>37930</v>
      </c>
      <c r="B11038">
        <v>1051.81005859375</v>
      </c>
    </row>
    <row r="11039" spans="1:2" x14ac:dyDescent="0.25">
      <c r="A11039" s="5">
        <v>37931</v>
      </c>
      <c r="B11039">
        <v>1058.05004882812</v>
      </c>
    </row>
    <row r="11040" spans="1:2" x14ac:dyDescent="0.25">
      <c r="A11040" s="5">
        <v>37932</v>
      </c>
      <c r="B11040">
        <v>1053.2099609375</v>
      </c>
    </row>
    <row r="11041" spans="1:2" x14ac:dyDescent="0.25">
      <c r="A11041" s="5">
        <v>37935</v>
      </c>
      <c r="B11041">
        <v>1047.10998535156</v>
      </c>
    </row>
    <row r="11042" spans="1:2" x14ac:dyDescent="0.25">
      <c r="A11042" s="5">
        <v>37936</v>
      </c>
      <c r="B11042">
        <v>1046.56994628906</v>
      </c>
    </row>
    <row r="11043" spans="1:2" x14ac:dyDescent="0.25">
      <c r="A11043" s="5">
        <v>37937</v>
      </c>
      <c r="B11043">
        <v>1058.53002929688</v>
      </c>
    </row>
    <row r="11044" spans="1:2" x14ac:dyDescent="0.25">
      <c r="A11044" s="5">
        <v>37938</v>
      </c>
      <c r="B11044">
        <v>1058.41003417969</v>
      </c>
    </row>
    <row r="11045" spans="1:2" x14ac:dyDescent="0.25">
      <c r="A11045" s="5">
        <v>37939</v>
      </c>
      <c r="B11045">
        <v>1050.34997558594</v>
      </c>
    </row>
    <row r="11046" spans="1:2" x14ac:dyDescent="0.25">
      <c r="A11046" s="5">
        <v>37942</v>
      </c>
      <c r="B11046">
        <v>1043.63000488281</v>
      </c>
    </row>
    <row r="11047" spans="1:2" x14ac:dyDescent="0.25">
      <c r="A11047" s="5">
        <v>37943</v>
      </c>
      <c r="B11047">
        <v>1034.15002441406</v>
      </c>
    </row>
    <row r="11048" spans="1:2" x14ac:dyDescent="0.25">
      <c r="A11048" s="5">
        <v>37944</v>
      </c>
      <c r="B11048">
        <v>1042.43994140625</v>
      </c>
    </row>
    <row r="11049" spans="1:2" x14ac:dyDescent="0.25">
      <c r="A11049" s="5">
        <v>37945</v>
      </c>
      <c r="B11049">
        <v>1033.65002441406</v>
      </c>
    </row>
    <row r="11050" spans="1:2" x14ac:dyDescent="0.25">
      <c r="A11050" s="5">
        <v>37946</v>
      </c>
      <c r="B11050">
        <v>1035.28002929688</v>
      </c>
    </row>
    <row r="11051" spans="1:2" x14ac:dyDescent="0.25">
      <c r="A11051" s="5">
        <v>37949</v>
      </c>
      <c r="B11051">
        <v>1052.07995605469</v>
      </c>
    </row>
    <row r="11052" spans="1:2" x14ac:dyDescent="0.25">
      <c r="A11052" s="5">
        <v>37950</v>
      </c>
      <c r="B11052">
        <v>1053.89001464844</v>
      </c>
    </row>
    <row r="11053" spans="1:2" x14ac:dyDescent="0.25">
      <c r="A11053" s="5">
        <v>37951</v>
      </c>
      <c r="B11053">
        <v>1058.44995117188</v>
      </c>
    </row>
    <row r="11054" spans="1:2" x14ac:dyDescent="0.25">
      <c r="A11054" s="5">
        <v>37953</v>
      </c>
      <c r="B11054">
        <v>1058.19995117188</v>
      </c>
    </row>
    <row r="11055" spans="1:2" x14ac:dyDescent="0.25">
      <c r="A11055" s="5">
        <v>37956</v>
      </c>
      <c r="B11055">
        <v>1070.11999511719</v>
      </c>
    </row>
    <row r="11056" spans="1:2" x14ac:dyDescent="0.25">
      <c r="A11056" s="5">
        <v>37957</v>
      </c>
      <c r="B11056">
        <v>1066.61999511719</v>
      </c>
    </row>
    <row r="11057" spans="1:2" x14ac:dyDescent="0.25">
      <c r="A11057" s="5">
        <v>37958</v>
      </c>
      <c r="B11057">
        <v>1064.72998046875</v>
      </c>
    </row>
    <row r="11058" spans="1:2" x14ac:dyDescent="0.25">
      <c r="A11058" s="5">
        <v>37959</v>
      </c>
      <c r="B11058">
        <v>1069.71997070312</v>
      </c>
    </row>
    <row r="11059" spans="1:2" x14ac:dyDescent="0.25">
      <c r="A11059" s="5">
        <v>37960</v>
      </c>
      <c r="B11059">
        <v>1061.5</v>
      </c>
    </row>
    <row r="11060" spans="1:2" x14ac:dyDescent="0.25">
      <c r="A11060" s="5">
        <v>37963</v>
      </c>
      <c r="B11060">
        <v>1069.30004882812</v>
      </c>
    </row>
    <row r="11061" spans="1:2" x14ac:dyDescent="0.25">
      <c r="A11061" s="5">
        <v>37964</v>
      </c>
      <c r="B11061">
        <v>1060.18005371094</v>
      </c>
    </row>
    <row r="11062" spans="1:2" x14ac:dyDescent="0.25">
      <c r="A11062" s="5">
        <v>37965</v>
      </c>
      <c r="B11062">
        <v>1059.05004882812</v>
      </c>
    </row>
    <row r="11063" spans="1:2" x14ac:dyDescent="0.25">
      <c r="A11063" s="5">
        <v>37966</v>
      </c>
      <c r="B11063">
        <v>1071.2099609375</v>
      </c>
    </row>
    <row r="11064" spans="1:2" x14ac:dyDescent="0.25">
      <c r="A11064" s="5">
        <v>37967</v>
      </c>
      <c r="B11064">
        <v>1074.14001464844</v>
      </c>
    </row>
    <row r="11065" spans="1:2" x14ac:dyDescent="0.25">
      <c r="A11065" s="5">
        <v>37970</v>
      </c>
      <c r="B11065">
        <v>1068.0400390625</v>
      </c>
    </row>
    <row r="11066" spans="1:2" x14ac:dyDescent="0.25">
      <c r="A11066" s="5">
        <v>37971</v>
      </c>
      <c r="B11066">
        <v>1075.13000488281</v>
      </c>
    </row>
    <row r="11067" spans="1:2" x14ac:dyDescent="0.25">
      <c r="A11067" s="5">
        <v>37972</v>
      </c>
      <c r="B11067">
        <v>1076.47998046875</v>
      </c>
    </row>
    <row r="11068" spans="1:2" x14ac:dyDescent="0.25">
      <c r="A11068" s="5">
        <v>37973</v>
      </c>
      <c r="B11068">
        <v>1089.18005371094</v>
      </c>
    </row>
    <row r="11069" spans="1:2" x14ac:dyDescent="0.25">
      <c r="A11069" s="5">
        <v>37974</v>
      </c>
      <c r="B11069">
        <v>1088.66003417969</v>
      </c>
    </row>
    <row r="11070" spans="1:2" x14ac:dyDescent="0.25">
      <c r="A11070" s="5">
        <v>37977</v>
      </c>
      <c r="B11070">
        <v>1092.93994140625</v>
      </c>
    </row>
    <row r="11071" spans="1:2" x14ac:dyDescent="0.25">
      <c r="A11071" s="5">
        <v>37978</v>
      </c>
      <c r="B11071">
        <v>1096.02001953125</v>
      </c>
    </row>
    <row r="11072" spans="1:2" x14ac:dyDescent="0.25">
      <c r="A11072" s="5">
        <v>37979</v>
      </c>
      <c r="B11072">
        <v>1094.0400390625</v>
      </c>
    </row>
    <row r="11073" spans="1:2" x14ac:dyDescent="0.25">
      <c r="A11073" s="5">
        <v>37981</v>
      </c>
      <c r="B11073">
        <v>1095.89001464844</v>
      </c>
    </row>
    <row r="11074" spans="1:2" x14ac:dyDescent="0.25">
      <c r="A11074" s="5">
        <v>37984</v>
      </c>
      <c r="B11074">
        <v>1109.47998046875</v>
      </c>
    </row>
    <row r="11075" spans="1:2" x14ac:dyDescent="0.25">
      <c r="A11075" s="5">
        <v>37985</v>
      </c>
      <c r="B11075">
        <v>1109.64001464844</v>
      </c>
    </row>
    <row r="11076" spans="1:2" x14ac:dyDescent="0.25">
      <c r="A11076" s="5">
        <v>37986</v>
      </c>
      <c r="B11076">
        <v>1111.92004394531</v>
      </c>
    </row>
    <row r="11077" spans="1:2" x14ac:dyDescent="0.25">
      <c r="A11077" s="5">
        <v>37988</v>
      </c>
      <c r="B11077">
        <v>1108.47998046875</v>
      </c>
    </row>
    <row r="11078" spans="1:2" x14ac:dyDescent="0.25">
      <c r="A11078" s="5">
        <v>37991</v>
      </c>
      <c r="B11078">
        <v>1122.21997070312</v>
      </c>
    </row>
    <row r="11079" spans="1:2" x14ac:dyDescent="0.25">
      <c r="A11079" s="5">
        <v>37992</v>
      </c>
      <c r="B11079">
        <v>1123.67004394531</v>
      </c>
    </row>
    <row r="11080" spans="1:2" x14ac:dyDescent="0.25">
      <c r="A11080" s="5">
        <v>37993</v>
      </c>
      <c r="B11080">
        <v>1126.32995605469</v>
      </c>
    </row>
    <row r="11081" spans="1:2" x14ac:dyDescent="0.25">
      <c r="A11081" s="5">
        <v>37994</v>
      </c>
      <c r="B11081">
        <v>1131.92004394531</v>
      </c>
    </row>
    <row r="11082" spans="1:2" x14ac:dyDescent="0.25">
      <c r="A11082" s="5">
        <v>37995</v>
      </c>
      <c r="B11082">
        <v>1121.85998535156</v>
      </c>
    </row>
    <row r="11083" spans="1:2" x14ac:dyDescent="0.25">
      <c r="A11083" s="5">
        <v>37998</v>
      </c>
      <c r="B11083">
        <v>1127.22998046875</v>
      </c>
    </row>
    <row r="11084" spans="1:2" x14ac:dyDescent="0.25">
      <c r="A11084" s="5">
        <v>37999</v>
      </c>
      <c r="B11084">
        <v>1121.21997070312</v>
      </c>
    </row>
    <row r="11085" spans="1:2" x14ac:dyDescent="0.25">
      <c r="A11085" s="5">
        <v>38000</v>
      </c>
      <c r="B11085">
        <v>1130.52001953125</v>
      </c>
    </row>
    <row r="11086" spans="1:2" x14ac:dyDescent="0.25">
      <c r="A11086" s="5">
        <v>38001</v>
      </c>
      <c r="B11086">
        <v>1132.05004882812</v>
      </c>
    </row>
    <row r="11087" spans="1:2" x14ac:dyDescent="0.25">
      <c r="A11087" s="5">
        <v>38002</v>
      </c>
      <c r="B11087">
        <v>1139.82995605469</v>
      </c>
    </row>
    <row r="11088" spans="1:2" x14ac:dyDescent="0.25">
      <c r="A11088" s="5">
        <v>38006</v>
      </c>
      <c r="B11088">
        <v>1138.77001953125</v>
      </c>
    </row>
    <row r="11089" spans="1:2" x14ac:dyDescent="0.25">
      <c r="A11089" s="5">
        <v>38007</v>
      </c>
      <c r="B11089">
        <v>1147.61999511719</v>
      </c>
    </row>
    <row r="11090" spans="1:2" x14ac:dyDescent="0.25">
      <c r="A11090" s="5">
        <v>38008</v>
      </c>
      <c r="B11090">
        <v>1143.93994140625</v>
      </c>
    </row>
    <row r="11091" spans="1:2" x14ac:dyDescent="0.25">
      <c r="A11091" s="5">
        <v>38009</v>
      </c>
      <c r="B11091">
        <v>1141.55004882812</v>
      </c>
    </row>
    <row r="11092" spans="1:2" x14ac:dyDescent="0.25">
      <c r="A11092" s="5">
        <v>38012</v>
      </c>
      <c r="B11092">
        <v>1155.36999511719</v>
      </c>
    </row>
    <row r="11093" spans="1:2" x14ac:dyDescent="0.25">
      <c r="A11093" s="5">
        <v>38013</v>
      </c>
      <c r="B11093">
        <v>1144.05004882812</v>
      </c>
    </row>
    <row r="11094" spans="1:2" x14ac:dyDescent="0.25">
      <c r="A11094" s="5">
        <v>38014</v>
      </c>
      <c r="B11094">
        <v>1128.47998046875</v>
      </c>
    </row>
    <row r="11095" spans="1:2" x14ac:dyDescent="0.25">
      <c r="A11095" s="5">
        <v>38015</v>
      </c>
      <c r="B11095">
        <v>1134.10998535156</v>
      </c>
    </row>
    <row r="11096" spans="1:2" x14ac:dyDescent="0.25">
      <c r="A11096" s="5">
        <v>38016</v>
      </c>
      <c r="B11096">
        <v>1131.13000488281</v>
      </c>
    </row>
    <row r="11097" spans="1:2" x14ac:dyDescent="0.25">
      <c r="A11097" s="5">
        <v>38019</v>
      </c>
      <c r="B11097">
        <v>1135.26000976562</v>
      </c>
    </row>
    <row r="11098" spans="1:2" x14ac:dyDescent="0.25">
      <c r="A11098" s="5">
        <v>38020</v>
      </c>
      <c r="B11098">
        <v>1136.03002929688</v>
      </c>
    </row>
    <row r="11099" spans="1:2" x14ac:dyDescent="0.25">
      <c r="A11099" s="5">
        <v>38021</v>
      </c>
      <c r="B11099">
        <v>1126.52001953125</v>
      </c>
    </row>
    <row r="11100" spans="1:2" x14ac:dyDescent="0.25">
      <c r="A11100" s="5">
        <v>38022</v>
      </c>
      <c r="B11100">
        <v>1128.58996582031</v>
      </c>
    </row>
    <row r="11101" spans="1:2" x14ac:dyDescent="0.25">
      <c r="A11101" s="5">
        <v>38023</v>
      </c>
      <c r="B11101">
        <v>1142.76000976562</v>
      </c>
    </row>
    <row r="11102" spans="1:2" x14ac:dyDescent="0.25">
      <c r="A11102" s="5">
        <v>38026</v>
      </c>
      <c r="B11102">
        <v>1139.81005859375</v>
      </c>
    </row>
    <row r="11103" spans="1:2" x14ac:dyDescent="0.25">
      <c r="A11103" s="5">
        <v>38027</v>
      </c>
      <c r="B11103">
        <v>1145.5400390625</v>
      </c>
    </row>
    <row r="11104" spans="1:2" x14ac:dyDescent="0.25">
      <c r="A11104" s="5">
        <v>38028</v>
      </c>
      <c r="B11104">
        <v>1157.76000976562</v>
      </c>
    </row>
    <row r="11105" spans="1:2" x14ac:dyDescent="0.25">
      <c r="A11105" s="5">
        <v>38029</v>
      </c>
      <c r="B11105">
        <v>1152.10998535156</v>
      </c>
    </row>
    <row r="11106" spans="1:2" x14ac:dyDescent="0.25">
      <c r="A11106" s="5">
        <v>38030</v>
      </c>
      <c r="B11106">
        <v>1145.81005859375</v>
      </c>
    </row>
    <row r="11107" spans="1:2" x14ac:dyDescent="0.25">
      <c r="A11107" s="5">
        <v>38034</v>
      </c>
      <c r="B11107">
        <v>1156.98999023438</v>
      </c>
    </row>
    <row r="11108" spans="1:2" x14ac:dyDescent="0.25">
      <c r="A11108" s="5">
        <v>38035</v>
      </c>
      <c r="B11108">
        <v>1151.81994628906</v>
      </c>
    </row>
    <row r="11109" spans="1:2" x14ac:dyDescent="0.25">
      <c r="A11109" s="5">
        <v>38036</v>
      </c>
      <c r="B11109">
        <v>1147.06005859375</v>
      </c>
    </row>
    <row r="11110" spans="1:2" x14ac:dyDescent="0.25">
      <c r="A11110" s="5">
        <v>38037</v>
      </c>
      <c r="B11110">
        <v>1144.10998535156</v>
      </c>
    </row>
    <row r="11111" spans="1:2" x14ac:dyDescent="0.25">
      <c r="A11111" s="5">
        <v>38040</v>
      </c>
      <c r="B11111">
        <v>1140.98999023438</v>
      </c>
    </row>
    <row r="11112" spans="1:2" x14ac:dyDescent="0.25">
      <c r="A11112" s="5">
        <v>38041</v>
      </c>
      <c r="B11112">
        <v>1139.08996582031</v>
      </c>
    </row>
    <row r="11113" spans="1:2" x14ac:dyDescent="0.25">
      <c r="A11113" s="5">
        <v>38042</v>
      </c>
      <c r="B11113">
        <v>1143.67004394531</v>
      </c>
    </row>
    <row r="11114" spans="1:2" x14ac:dyDescent="0.25">
      <c r="A11114" s="5">
        <v>38043</v>
      </c>
      <c r="B11114">
        <v>1144.91003417969</v>
      </c>
    </row>
    <row r="11115" spans="1:2" x14ac:dyDescent="0.25">
      <c r="A11115" s="5">
        <v>38044</v>
      </c>
      <c r="B11115">
        <v>1144.93994140625</v>
      </c>
    </row>
    <row r="11116" spans="1:2" x14ac:dyDescent="0.25">
      <c r="A11116" s="5">
        <v>38047</v>
      </c>
      <c r="B11116">
        <v>1155.96997070312</v>
      </c>
    </row>
    <row r="11117" spans="1:2" x14ac:dyDescent="0.25">
      <c r="A11117" s="5">
        <v>38048</v>
      </c>
      <c r="B11117">
        <v>1149.09997558594</v>
      </c>
    </row>
    <row r="11118" spans="1:2" x14ac:dyDescent="0.25">
      <c r="A11118" s="5">
        <v>38049</v>
      </c>
      <c r="B11118">
        <v>1151.03002929688</v>
      </c>
    </row>
    <row r="11119" spans="1:2" x14ac:dyDescent="0.25">
      <c r="A11119" s="5">
        <v>38050</v>
      </c>
      <c r="B11119">
        <v>1154.86999511719</v>
      </c>
    </row>
    <row r="11120" spans="1:2" x14ac:dyDescent="0.25">
      <c r="A11120" s="5">
        <v>38051</v>
      </c>
      <c r="B11120">
        <v>1156.85998535156</v>
      </c>
    </row>
    <row r="11121" spans="1:2" x14ac:dyDescent="0.25">
      <c r="A11121" s="5">
        <v>38054</v>
      </c>
      <c r="B11121">
        <v>1147.19995117188</v>
      </c>
    </row>
    <row r="11122" spans="1:2" x14ac:dyDescent="0.25">
      <c r="A11122" s="5">
        <v>38055</v>
      </c>
      <c r="B11122">
        <v>1140.57995605469</v>
      </c>
    </row>
    <row r="11123" spans="1:2" x14ac:dyDescent="0.25">
      <c r="A11123" s="5">
        <v>38056</v>
      </c>
      <c r="B11123">
        <v>1123.89001464844</v>
      </c>
    </row>
    <row r="11124" spans="1:2" x14ac:dyDescent="0.25">
      <c r="A11124" s="5">
        <v>38057</v>
      </c>
      <c r="B11124">
        <v>1106.78002929688</v>
      </c>
    </row>
    <row r="11125" spans="1:2" x14ac:dyDescent="0.25">
      <c r="A11125" s="5">
        <v>38058</v>
      </c>
      <c r="B11125">
        <v>1120.56994628906</v>
      </c>
    </row>
    <row r="11126" spans="1:2" x14ac:dyDescent="0.25">
      <c r="A11126" s="5">
        <v>38061</v>
      </c>
      <c r="B11126">
        <v>1104.48999023438</v>
      </c>
    </row>
    <row r="11127" spans="1:2" x14ac:dyDescent="0.25">
      <c r="A11127" s="5">
        <v>38062</v>
      </c>
      <c r="B11127">
        <v>1110.69995117188</v>
      </c>
    </row>
    <row r="11128" spans="1:2" x14ac:dyDescent="0.25">
      <c r="A11128" s="5">
        <v>38063</v>
      </c>
      <c r="B11128">
        <v>1123.75</v>
      </c>
    </row>
    <row r="11129" spans="1:2" x14ac:dyDescent="0.25">
      <c r="A11129" s="5">
        <v>38064</v>
      </c>
      <c r="B11129">
        <v>1122.31994628906</v>
      </c>
    </row>
    <row r="11130" spans="1:2" x14ac:dyDescent="0.25">
      <c r="A11130" s="5">
        <v>38065</v>
      </c>
      <c r="B11130">
        <v>1109.78002929688</v>
      </c>
    </row>
    <row r="11131" spans="1:2" x14ac:dyDescent="0.25">
      <c r="A11131" s="5">
        <v>38068</v>
      </c>
      <c r="B11131">
        <v>1095.40002441406</v>
      </c>
    </row>
    <row r="11132" spans="1:2" x14ac:dyDescent="0.25">
      <c r="A11132" s="5">
        <v>38069</v>
      </c>
      <c r="B11132">
        <v>1093.94995117188</v>
      </c>
    </row>
    <row r="11133" spans="1:2" x14ac:dyDescent="0.25">
      <c r="A11133" s="5">
        <v>38070</v>
      </c>
      <c r="B11133">
        <v>1091.32995605469</v>
      </c>
    </row>
    <row r="11134" spans="1:2" x14ac:dyDescent="0.25">
      <c r="A11134" s="5">
        <v>38071</v>
      </c>
      <c r="B11134">
        <v>1109.18994140625</v>
      </c>
    </row>
    <row r="11135" spans="1:2" x14ac:dyDescent="0.25">
      <c r="A11135" s="5">
        <v>38072</v>
      </c>
      <c r="B11135">
        <v>1108.06005859375</v>
      </c>
    </row>
    <row r="11136" spans="1:2" x14ac:dyDescent="0.25">
      <c r="A11136" s="5">
        <v>38075</v>
      </c>
      <c r="B11136">
        <v>1122.46997070312</v>
      </c>
    </row>
    <row r="11137" spans="1:2" x14ac:dyDescent="0.25">
      <c r="A11137" s="5">
        <v>38076</v>
      </c>
      <c r="B11137">
        <v>1127</v>
      </c>
    </row>
    <row r="11138" spans="1:2" x14ac:dyDescent="0.25">
      <c r="A11138" s="5">
        <v>38077</v>
      </c>
      <c r="B11138">
        <v>1126.2099609375</v>
      </c>
    </row>
    <row r="11139" spans="1:2" x14ac:dyDescent="0.25">
      <c r="A11139" s="5">
        <v>38078</v>
      </c>
      <c r="B11139">
        <v>1132.17004394531</v>
      </c>
    </row>
    <row r="11140" spans="1:2" x14ac:dyDescent="0.25">
      <c r="A11140" s="5">
        <v>38079</v>
      </c>
      <c r="B11140">
        <v>1141.81005859375</v>
      </c>
    </row>
    <row r="11141" spans="1:2" x14ac:dyDescent="0.25">
      <c r="A11141" s="5">
        <v>38082</v>
      </c>
      <c r="B11141">
        <v>1150.56994628906</v>
      </c>
    </row>
    <row r="11142" spans="1:2" x14ac:dyDescent="0.25">
      <c r="A11142" s="5">
        <v>38083</v>
      </c>
      <c r="B11142">
        <v>1148.16003417969</v>
      </c>
    </row>
    <row r="11143" spans="1:2" x14ac:dyDescent="0.25">
      <c r="A11143" s="5">
        <v>38084</v>
      </c>
      <c r="B11143">
        <v>1140.53002929688</v>
      </c>
    </row>
    <row r="11144" spans="1:2" x14ac:dyDescent="0.25">
      <c r="A11144" s="5">
        <v>38085</v>
      </c>
      <c r="B11144">
        <v>1139.31994628906</v>
      </c>
    </row>
    <row r="11145" spans="1:2" x14ac:dyDescent="0.25">
      <c r="A11145" s="5">
        <v>38089</v>
      </c>
      <c r="B11145">
        <v>1145.19995117188</v>
      </c>
    </row>
    <row r="11146" spans="1:2" x14ac:dyDescent="0.25">
      <c r="A11146" s="5">
        <v>38090</v>
      </c>
      <c r="B11146">
        <v>1129.43994140625</v>
      </c>
    </row>
    <row r="11147" spans="1:2" x14ac:dyDescent="0.25">
      <c r="A11147" s="5">
        <v>38091</v>
      </c>
      <c r="B11147">
        <v>1128.17004394531</v>
      </c>
    </row>
    <row r="11148" spans="1:2" x14ac:dyDescent="0.25">
      <c r="A11148" s="5">
        <v>38092</v>
      </c>
      <c r="B11148">
        <v>1128.83996582031</v>
      </c>
    </row>
    <row r="11149" spans="1:2" x14ac:dyDescent="0.25">
      <c r="A11149" s="5">
        <v>38093</v>
      </c>
      <c r="B11149">
        <v>1134.60998535156</v>
      </c>
    </row>
    <row r="11150" spans="1:2" x14ac:dyDescent="0.25">
      <c r="A11150" s="5">
        <v>38096</v>
      </c>
      <c r="B11150">
        <v>1135.81994628906</v>
      </c>
    </row>
    <row r="11151" spans="1:2" x14ac:dyDescent="0.25">
      <c r="A11151" s="5">
        <v>38097</v>
      </c>
      <c r="B11151">
        <v>1118.15002441406</v>
      </c>
    </row>
    <row r="11152" spans="1:2" x14ac:dyDescent="0.25">
      <c r="A11152" s="5">
        <v>38098</v>
      </c>
      <c r="B11152">
        <v>1124.08996582031</v>
      </c>
    </row>
    <row r="11153" spans="1:2" x14ac:dyDescent="0.25">
      <c r="A11153" s="5">
        <v>38099</v>
      </c>
      <c r="B11153">
        <v>1139.93005371094</v>
      </c>
    </row>
    <row r="11154" spans="1:2" x14ac:dyDescent="0.25">
      <c r="A11154" s="5">
        <v>38100</v>
      </c>
      <c r="B11154">
        <v>1140.59997558594</v>
      </c>
    </row>
    <row r="11155" spans="1:2" x14ac:dyDescent="0.25">
      <c r="A11155" s="5">
        <v>38103</v>
      </c>
      <c r="B11155">
        <v>1135.53002929688</v>
      </c>
    </row>
    <row r="11156" spans="1:2" x14ac:dyDescent="0.25">
      <c r="A11156" s="5">
        <v>38104</v>
      </c>
      <c r="B11156">
        <v>1138.10998535156</v>
      </c>
    </row>
    <row r="11157" spans="1:2" x14ac:dyDescent="0.25">
      <c r="A11157" s="5">
        <v>38105</v>
      </c>
      <c r="B11157">
        <v>1122.41003417969</v>
      </c>
    </row>
    <row r="11158" spans="1:2" x14ac:dyDescent="0.25">
      <c r="A11158" s="5">
        <v>38106</v>
      </c>
      <c r="B11158">
        <v>1113.89001464844</v>
      </c>
    </row>
    <row r="11159" spans="1:2" x14ac:dyDescent="0.25">
      <c r="A11159" s="5">
        <v>38107</v>
      </c>
      <c r="B11159">
        <v>1107.30004882812</v>
      </c>
    </row>
    <row r="11160" spans="1:2" x14ac:dyDescent="0.25">
      <c r="A11160" s="5">
        <v>38110</v>
      </c>
      <c r="B11160">
        <v>1117.48999023438</v>
      </c>
    </row>
    <row r="11161" spans="1:2" x14ac:dyDescent="0.25">
      <c r="A11161" s="5">
        <v>38111</v>
      </c>
      <c r="B11161">
        <v>1119.55004882812</v>
      </c>
    </row>
    <row r="11162" spans="1:2" x14ac:dyDescent="0.25">
      <c r="A11162" s="5">
        <v>38112</v>
      </c>
      <c r="B11162">
        <v>1121.53002929688</v>
      </c>
    </row>
    <row r="11163" spans="1:2" x14ac:dyDescent="0.25">
      <c r="A11163" s="5">
        <v>38113</v>
      </c>
      <c r="B11163">
        <v>1113.98999023438</v>
      </c>
    </row>
    <row r="11164" spans="1:2" x14ac:dyDescent="0.25">
      <c r="A11164" s="5">
        <v>38114</v>
      </c>
      <c r="B11164">
        <v>1098.69995117188</v>
      </c>
    </row>
    <row r="11165" spans="1:2" x14ac:dyDescent="0.25">
      <c r="A11165" s="5">
        <v>38117</v>
      </c>
      <c r="B11165">
        <v>1087.11999511719</v>
      </c>
    </row>
    <row r="11166" spans="1:2" x14ac:dyDescent="0.25">
      <c r="A11166" s="5">
        <v>38118</v>
      </c>
      <c r="B11166">
        <v>1095.44995117188</v>
      </c>
    </row>
    <row r="11167" spans="1:2" x14ac:dyDescent="0.25">
      <c r="A11167" s="5">
        <v>38119</v>
      </c>
      <c r="B11167">
        <v>1097.28002929688</v>
      </c>
    </row>
    <row r="11168" spans="1:2" x14ac:dyDescent="0.25">
      <c r="A11168" s="5">
        <v>38120</v>
      </c>
      <c r="B11168">
        <v>1096.43994140625</v>
      </c>
    </row>
    <row r="11169" spans="1:2" x14ac:dyDescent="0.25">
      <c r="A11169" s="5">
        <v>38121</v>
      </c>
      <c r="B11169">
        <v>1095.69995117188</v>
      </c>
    </row>
    <row r="11170" spans="1:2" x14ac:dyDescent="0.25">
      <c r="A11170" s="5">
        <v>38124</v>
      </c>
      <c r="B11170">
        <v>1084.09997558594</v>
      </c>
    </row>
    <row r="11171" spans="1:2" x14ac:dyDescent="0.25">
      <c r="A11171" s="5">
        <v>38125</v>
      </c>
      <c r="B11171">
        <v>1091.48999023438</v>
      </c>
    </row>
    <row r="11172" spans="1:2" x14ac:dyDescent="0.25">
      <c r="A11172" s="5">
        <v>38126</v>
      </c>
      <c r="B11172">
        <v>1088.68005371094</v>
      </c>
    </row>
    <row r="11173" spans="1:2" x14ac:dyDescent="0.25">
      <c r="A11173" s="5">
        <v>38127</v>
      </c>
      <c r="B11173">
        <v>1089.18994140625</v>
      </c>
    </row>
    <row r="11174" spans="1:2" x14ac:dyDescent="0.25">
      <c r="A11174" s="5">
        <v>38128</v>
      </c>
      <c r="B11174">
        <v>1093.56005859375</v>
      </c>
    </row>
    <row r="11175" spans="1:2" x14ac:dyDescent="0.25">
      <c r="A11175" s="5">
        <v>38131</v>
      </c>
      <c r="B11175">
        <v>1095.41003417969</v>
      </c>
    </row>
    <row r="11176" spans="1:2" x14ac:dyDescent="0.25">
      <c r="A11176" s="5">
        <v>38132</v>
      </c>
      <c r="B11176">
        <v>1113.05004882812</v>
      </c>
    </row>
    <row r="11177" spans="1:2" x14ac:dyDescent="0.25">
      <c r="A11177" s="5">
        <v>38133</v>
      </c>
      <c r="B11177">
        <v>1114.93994140625</v>
      </c>
    </row>
    <row r="11178" spans="1:2" x14ac:dyDescent="0.25">
      <c r="A11178" s="5">
        <v>38134</v>
      </c>
      <c r="B11178">
        <v>1121.28002929688</v>
      </c>
    </row>
    <row r="11179" spans="1:2" x14ac:dyDescent="0.25">
      <c r="A11179" s="5">
        <v>38135</v>
      </c>
      <c r="B11179">
        <v>1120.68005371094</v>
      </c>
    </row>
    <row r="11180" spans="1:2" x14ac:dyDescent="0.25">
      <c r="A11180" s="5">
        <v>38139</v>
      </c>
      <c r="B11180">
        <v>1121.19995117188</v>
      </c>
    </row>
    <row r="11181" spans="1:2" x14ac:dyDescent="0.25">
      <c r="A11181" s="5">
        <v>38140</v>
      </c>
      <c r="B11181">
        <v>1124.98999023438</v>
      </c>
    </row>
    <row r="11182" spans="1:2" x14ac:dyDescent="0.25">
      <c r="A11182" s="5">
        <v>38141</v>
      </c>
      <c r="B11182">
        <v>1116.64001464844</v>
      </c>
    </row>
    <row r="11183" spans="1:2" x14ac:dyDescent="0.25">
      <c r="A11183" s="5">
        <v>38142</v>
      </c>
      <c r="B11183">
        <v>1122.5</v>
      </c>
    </row>
    <row r="11184" spans="1:2" x14ac:dyDescent="0.25">
      <c r="A11184" s="5">
        <v>38145</v>
      </c>
      <c r="B11184">
        <v>1140.42004394531</v>
      </c>
    </row>
    <row r="11185" spans="1:2" x14ac:dyDescent="0.25">
      <c r="A11185" s="5">
        <v>38146</v>
      </c>
      <c r="B11185">
        <v>1142.18005371094</v>
      </c>
    </row>
    <row r="11186" spans="1:2" x14ac:dyDescent="0.25">
      <c r="A11186" s="5">
        <v>38147</v>
      </c>
      <c r="B11186">
        <v>1131.32995605469</v>
      </c>
    </row>
    <row r="11187" spans="1:2" x14ac:dyDescent="0.25">
      <c r="A11187" s="5">
        <v>38148</v>
      </c>
      <c r="B11187">
        <v>1136.46997070312</v>
      </c>
    </row>
    <row r="11188" spans="1:2" x14ac:dyDescent="0.25">
      <c r="A11188" s="5">
        <v>38152</v>
      </c>
      <c r="B11188">
        <v>1125.2900390625</v>
      </c>
    </row>
    <row r="11189" spans="1:2" x14ac:dyDescent="0.25">
      <c r="A11189" s="5">
        <v>38153</v>
      </c>
      <c r="B11189">
        <v>1132.01000976562</v>
      </c>
    </row>
    <row r="11190" spans="1:2" x14ac:dyDescent="0.25">
      <c r="A11190" s="5">
        <v>38154</v>
      </c>
      <c r="B11190">
        <v>1133.56005859375</v>
      </c>
    </row>
    <row r="11191" spans="1:2" x14ac:dyDescent="0.25">
      <c r="A11191" s="5">
        <v>38155</v>
      </c>
      <c r="B11191">
        <v>1132.05004882812</v>
      </c>
    </row>
    <row r="11192" spans="1:2" x14ac:dyDescent="0.25">
      <c r="A11192" s="5">
        <v>38156</v>
      </c>
      <c r="B11192">
        <v>1135.02001953125</v>
      </c>
    </row>
    <row r="11193" spans="1:2" x14ac:dyDescent="0.25">
      <c r="A11193" s="5">
        <v>38159</v>
      </c>
      <c r="B11193">
        <v>1130.30004882812</v>
      </c>
    </row>
    <row r="11194" spans="1:2" x14ac:dyDescent="0.25">
      <c r="A11194" s="5">
        <v>38160</v>
      </c>
      <c r="B11194">
        <v>1134.41003417969</v>
      </c>
    </row>
    <row r="11195" spans="1:2" x14ac:dyDescent="0.25">
      <c r="A11195" s="5">
        <v>38161</v>
      </c>
      <c r="B11195">
        <v>1144.06005859375</v>
      </c>
    </row>
    <row r="11196" spans="1:2" x14ac:dyDescent="0.25">
      <c r="A11196" s="5">
        <v>38162</v>
      </c>
      <c r="B11196">
        <v>1140.65002441406</v>
      </c>
    </row>
    <row r="11197" spans="1:2" x14ac:dyDescent="0.25">
      <c r="A11197" s="5">
        <v>38163</v>
      </c>
      <c r="B11197">
        <v>1134.43005371094</v>
      </c>
    </row>
    <row r="11198" spans="1:2" x14ac:dyDescent="0.25">
      <c r="A11198" s="5">
        <v>38166</v>
      </c>
      <c r="B11198">
        <v>1133.34997558594</v>
      </c>
    </row>
    <row r="11199" spans="1:2" x14ac:dyDescent="0.25">
      <c r="A11199" s="5">
        <v>38167</v>
      </c>
      <c r="B11199">
        <v>1136.19995117188</v>
      </c>
    </row>
    <row r="11200" spans="1:2" x14ac:dyDescent="0.25">
      <c r="A11200" s="5">
        <v>38168</v>
      </c>
      <c r="B11200">
        <v>1140.83996582031</v>
      </c>
    </row>
    <row r="11201" spans="1:2" x14ac:dyDescent="0.25">
      <c r="A11201" s="5">
        <v>38169</v>
      </c>
      <c r="B11201">
        <v>1128.93994140625</v>
      </c>
    </row>
    <row r="11202" spans="1:2" x14ac:dyDescent="0.25">
      <c r="A11202" s="5">
        <v>38170</v>
      </c>
      <c r="B11202">
        <v>1125.38000488281</v>
      </c>
    </row>
    <row r="11203" spans="1:2" x14ac:dyDescent="0.25">
      <c r="A11203" s="5">
        <v>38174</v>
      </c>
      <c r="B11203">
        <v>1116.2099609375</v>
      </c>
    </row>
    <row r="11204" spans="1:2" x14ac:dyDescent="0.25">
      <c r="A11204" s="5">
        <v>38175</v>
      </c>
      <c r="B11204">
        <v>1118.32995605469</v>
      </c>
    </row>
    <row r="11205" spans="1:2" x14ac:dyDescent="0.25">
      <c r="A11205" s="5">
        <v>38176</v>
      </c>
      <c r="B11205">
        <v>1109.10998535156</v>
      </c>
    </row>
    <row r="11206" spans="1:2" x14ac:dyDescent="0.25">
      <c r="A11206" s="5">
        <v>38177</v>
      </c>
      <c r="B11206">
        <v>1112.81005859375</v>
      </c>
    </row>
    <row r="11207" spans="1:2" x14ac:dyDescent="0.25">
      <c r="A11207" s="5">
        <v>38180</v>
      </c>
      <c r="B11207">
        <v>1114.34997558594</v>
      </c>
    </row>
    <row r="11208" spans="1:2" x14ac:dyDescent="0.25">
      <c r="A11208" s="5">
        <v>38181</v>
      </c>
      <c r="B11208">
        <v>1115.14001464844</v>
      </c>
    </row>
    <row r="11209" spans="1:2" x14ac:dyDescent="0.25">
      <c r="A11209" s="5">
        <v>38182</v>
      </c>
      <c r="B11209">
        <v>1111.46997070312</v>
      </c>
    </row>
    <row r="11210" spans="1:2" x14ac:dyDescent="0.25">
      <c r="A11210" s="5">
        <v>38183</v>
      </c>
      <c r="B11210">
        <v>1106.68994140625</v>
      </c>
    </row>
    <row r="11211" spans="1:2" x14ac:dyDescent="0.25">
      <c r="A11211" s="5">
        <v>38184</v>
      </c>
      <c r="B11211">
        <v>1101.39001464844</v>
      </c>
    </row>
    <row r="11212" spans="1:2" x14ac:dyDescent="0.25">
      <c r="A11212" s="5">
        <v>38187</v>
      </c>
      <c r="B11212">
        <v>1100.90002441406</v>
      </c>
    </row>
    <row r="11213" spans="1:2" x14ac:dyDescent="0.25">
      <c r="A11213" s="5">
        <v>38188</v>
      </c>
      <c r="B11213">
        <v>1108.67004394531</v>
      </c>
    </row>
    <row r="11214" spans="1:2" x14ac:dyDescent="0.25">
      <c r="A11214" s="5">
        <v>38189</v>
      </c>
      <c r="B11214">
        <v>1093.88000488281</v>
      </c>
    </row>
    <row r="11215" spans="1:2" x14ac:dyDescent="0.25">
      <c r="A11215" s="5">
        <v>38190</v>
      </c>
      <c r="B11215">
        <v>1096.83996582031</v>
      </c>
    </row>
    <row r="11216" spans="1:2" x14ac:dyDescent="0.25">
      <c r="A11216" s="5">
        <v>38191</v>
      </c>
      <c r="B11216">
        <v>1086.19995117188</v>
      </c>
    </row>
    <row r="11217" spans="1:2" x14ac:dyDescent="0.25">
      <c r="A11217" s="5">
        <v>38194</v>
      </c>
      <c r="B11217">
        <v>1084.06994628906</v>
      </c>
    </row>
    <row r="11218" spans="1:2" x14ac:dyDescent="0.25">
      <c r="A11218" s="5">
        <v>38195</v>
      </c>
      <c r="B11218">
        <v>1094.82995605469</v>
      </c>
    </row>
    <row r="11219" spans="1:2" x14ac:dyDescent="0.25">
      <c r="A11219" s="5">
        <v>38196</v>
      </c>
      <c r="B11219">
        <v>1095.42004394531</v>
      </c>
    </row>
    <row r="11220" spans="1:2" x14ac:dyDescent="0.25">
      <c r="A11220" s="5">
        <v>38197</v>
      </c>
      <c r="B11220">
        <v>1100.43005371094</v>
      </c>
    </row>
    <row r="11221" spans="1:2" x14ac:dyDescent="0.25">
      <c r="A11221" s="5">
        <v>38198</v>
      </c>
      <c r="B11221">
        <v>1101.71997070312</v>
      </c>
    </row>
    <row r="11222" spans="1:2" x14ac:dyDescent="0.25">
      <c r="A11222" s="5">
        <v>38201</v>
      </c>
      <c r="B11222">
        <v>1106.61999511719</v>
      </c>
    </row>
    <row r="11223" spans="1:2" x14ac:dyDescent="0.25">
      <c r="A11223" s="5">
        <v>38202</v>
      </c>
      <c r="B11223">
        <v>1099.68994140625</v>
      </c>
    </row>
    <row r="11224" spans="1:2" x14ac:dyDescent="0.25">
      <c r="A11224" s="5">
        <v>38203</v>
      </c>
      <c r="B11224">
        <v>1098.63000488281</v>
      </c>
    </row>
    <row r="11225" spans="1:2" x14ac:dyDescent="0.25">
      <c r="A11225" s="5">
        <v>38204</v>
      </c>
      <c r="B11225">
        <v>1080.69995117188</v>
      </c>
    </row>
    <row r="11226" spans="1:2" x14ac:dyDescent="0.25">
      <c r="A11226" s="5">
        <v>38205</v>
      </c>
      <c r="B11226">
        <v>1063.96997070312</v>
      </c>
    </row>
    <row r="11227" spans="1:2" x14ac:dyDescent="0.25">
      <c r="A11227" s="5">
        <v>38208</v>
      </c>
      <c r="B11227">
        <v>1065.21997070312</v>
      </c>
    </row>
    <row r="11228" spans="1:2" x14ac:dyDescent="0.25">
      <c r="A11228" s="5">
        <v>38209</v>
      </c>
      <c r="B11228">
        <v>1079.0400390625</v>
      </c>
    </row>
    <row r="11229" spans="1:2" x14ac:dyDescent="0.25">
      <c r="A11229" s="5">
        <v>38210</v>
      </c>
      <c r="B11229">
        <v>1075.7900390625</v>
      </c>
    </row>
    <row r="11230" spans="1:2" x14ac:dyDescent="0.25">
      <c r="A11230" s="5">
        <v>38211</v>
      </c>
      <c r="B11230">
        <v>1063.22998046875</v>
      </c>
    </row>
    <row r="11231" spans="1:2" x14ac:dyDescent="0.25">
      <c r="A11231" s="5">
        <v>38212</v>
      </c>
      <c r="B11231">
        <v>1064.80004882812</v>
      </c>
    </row>
    <row r="11232" spans="1:2" x14ac:dyDescent="0.25">
      <c r="A11232" s="5">
        <v>38215</v>
      </c>
      <c r="B11232">
        <v>1079.33996582031</v>
      </c>
    </row>
    <row r="11233" spans="1:2" x14ac:dyDescent="0.25">
      <c r="A11233" s="5">
        <v>38216</v>
      </c>
      <c r="B11233">
        <v>1081.7099609375</v>
      </c>
    </row>
    <row r="11234" spans="1:2" x14ac:dyDescent="0.25">
      <c r="A11234" s="5">
        <v>38217</v>
      </c>
      <c r="B11234">
        <v>1095.17004394531</v>
      </c>
    </row>
    <row r="11235" spans="1:2" x14ac:dyDescent="0.25">
      <c r="A11235" s="5">
        <v>38218</v>
      </c>
      <c r="B11235">
        <v>1091.22998046875</v>
      </c>
    </row>
    <row r="11236" spans="1:2" x14ac:dyDescent="0.25">
      <c r="A11236" s="5">
        <v>38219</v>
      </c>
      <c r="B11236">
        <v>1098.34997558594</v>
      </c>
    </row>
    <row r="11237" spans="1:2" x14ac:dyDescent="0.25">
      <c r="A11237" s="5">
        <v>38222</v>
      </c>
      <c r="B11237">
        <v>1095.68005371094</v>
      </c>
    </row>
    <row r="11238" spans="1:2" x14ac:dyDescent="0.25">
      <c r="A11238" s="5">
        <v>38223</v>
      </c>
      <c r="B11238">
        <v>1096.18994140625</v>
      </c>
    </row>
    <row r="11239" spans="1:2" x14ac:dyDescent="0.25">
      <c r="A11239" s="5">
        <v>38224</v>
      </c>
      <c r="B11239">
        <v>1104.9599609375</v>
      </c>
    </row>
    <row r="11240" spans="1:2" x14ac:dyDescent="0.25">
      <c r="A11240" s="5">
        <v>38225</v>
      </c>
      <c r="B11240">
        <v>1105.08996582031</v>
      </c>
    </row>
    <row r="11241" spans="1:2" x14ac:dyDescent="0.25">
      <c r="A11241" s="5">
        <v>38226</v>
      </c>
      <c r="B11241">
        <v>1107.77001953125</v>
      </c>
    </row>
    <row r="11242" spans="1:2" x14ac:dyDescent="0.25">
      <c r="A11242" s="5">
        <v>38229</v>
      </c>
      <c r="B11242">
        <v>1099.15002441406</v>
      </c>
    </row>
    <row r="11243" spans="1:2" x14ac:dyDescent="0.25">
      <c r="A11243" s="5">
        <v>38230</v>
      </c>
      <c r="B11243">
        <v>1104.23999023438</v>
      </c>
    </row>
    <row r="11244" spans="1:2" x14ac:dyDescent="0.25">
      <c r="A11244" s="5">
        <v>38231</v>
      </c>
      <c r="B11244">
        <v>1105.91003417969</v>
      </c>
    </row>
    <row r="11245" spans="1:2" x14ac:dyDescent="0.25">
      <c r="A11245" s="5">
        <v>38232</v>
      </c>
      <c r="B11245">
        <v>1118.31005859375</v>
      </c>
    </row>
    <row r="11246" spans="1:2" x14ac:dyDescent="0.25">
      <c r="A11246" s="5">
        <v>38233</v>
      </c>
      <c r="B11246">
        <v>1113.63000488281</v>
      </c>
    </row>
    <row r="11247" spans="1:2" x14ac:dyDescent="0.25">
      <c r="A11247" s="5">
        <v>38237</v>
      </c>
      <c r="B11247">
        <v>1121.30004882812</v>
      </c>
    </row>
    <row r="11248" spans="1:2" x14ac:dyDescent="0.25">
      <c r="A11248" s="5">
        <v>38238</v>
      </c>
      <c r="B11248">
        <v>1116.27001953125</v>
      </c>
    </row>
    <row r="11249" spans="1:2" x14ac:dyDescent="0.25">
      <c r="A11249" s="5">
        <v>38239</v>
      </c>
      <c r="B11249">
        <v>1118.38000488281</v>
      </c>
    </row>
    <row r="11250" spans="1:2" x14ac:dyDescent="0.25">
      <c r="A11250" s="5">
        <v>38240</v>
      </c>
      <c r="B11250">
        <v>1123.92004394531</v>
      </c>
    </row>
    <row r="11251" spans="1:2" x14ac:dyDescent="0.25">
      <c r="A11251" s="5">
        <v>38243</v>
      </c>
      <c r="B11251">
        <v>1125.81994628906</v>
      </c>
    </row>
    <row r="11252" spans="1:2" x14ac:dyDescent="0.25">
      <c r="A11252" s="5">
        <v>38244</v>
      </c>
      <c r="B11252">
        <v>1128.32995605469</v>
      </c>
    </row>
    <row r="11253" spans="1:2" x14ac:dyDescent="0.25">
      <c r="A11253" s="5">
        <v>38245</v>
      </c>
      <c r="B11253">
        <v>1120.36999511719</v>
      </c>
    </row>
    <row r="11254" spans="1:2" x14ac:dyDescent="0.25">
      <c r="A11254" s="5">
        <v>38246</v>
      </c>
      <c r="B11254">
        <v>1123.5</v>
      </c>
    </row>
    <row r="11255" spans="1:2" x14ac:dyDescent="0.25">
      <c r="A11255" s="5">
        <v>38247</v>
      </c>
      <c r="B11255">
        <v>1128.55004882812</v>
      </c>
    </row>
    <row r="11256" spans="1:2" x14ac:dyDescent="0.25">
      <c r="A11256" s="5">
        <v>38250</v>
      </c>
      <c r="B11256">
        <v>1122.19995117188</v>
      </c>
    </row>
    <row r="11257" spans="1:2" x14ac:dyDescent="0.25">
      <c r="A11257" s="5">
        <v>38251</v>
      </c>
      <c r="B11257">
        <v>1129.30004882812</v>
      </c>
    </row>
    <row r="11258" spans="1:2" x14ac:dyDescent="0.25">
      <c r="A11258" s="5">
        <v>38252</v>
      </c>
      <c r="B11258">
        <v>1113.56005859375</v>
      </c>
    </row>
    <row r="11259" spans="1:2" x14ac:dyDescent="0.25">
      <c r="A11259" s="5">
        <v>38253</v>
      </c>
      <c r="B11259">
        <v>1108.35998535156</v>
      </c>
    </row>
    <row r="11260" spans="1:2" x14ac:dyDescent="0.25">
      <c r="A11260" s="5">
        <v>38254</v>
      </c>
      <c r="B11260">
        <v>1110.10998535156</v>
      </c>
    </row>
    <row r="11261" spans="1:2" x14ac:dyDescent="0.25">
      <c r="A11261" s="5">
        <v>38257</v>
      </c>
      <c r="B11261">
        <v>1103.52001953125</v>
      </c>
    </row>
    <row r="11262" spans="1:2" x14ac:dyDescent="0.25">
      <c r="A11262" s="5">
        <v>38258</v>
      </c>
      <c r="B11262">
        <v>1110.06005859375</v>
      </c>
    </row>
    <row r="11263" spans="1:2" x14ac:dyDescent="0.25">
      <c r="A11263" s="5">
        <v>38259</v>
      </c>
      <c r="B11263">
        <v>1114.80004882812</v>
      </c>
    </row>
    <row r="11264" spans="1:2" x14ac:dyDescent="0.25">
      <c r="A11264" s="5">
        <v>38260</v>
      </c>
      <c r="B11264">
        <v>1114.57995605469</v>
      </c>
    </row>
    <row r="11265" spans="1:2" x14ac:dyDescent="0.25">
      <c r="A11265" s="5">
        <v>38261</v>
      </c>
      <c r="B11265">
        <v>1131.5</v>
      </c>
    </row>
    <row r="11266" spans="1:2" x14ac:dyDescent="0.25">
      <c r="A11266" s="5">
        <v>38264</v>
      </c>
      <c r="B11266">
        <v>1135.17004394531</v>
      </c>
    </row>
    <row r="11267" spans="1:2" x14ac:dyDescent="0.25">
      <c r="A11267" s="5">
        <v>38265</v>
      </c>
      <c r="B11267">
        <v>1134.47998046875</v>
      </c>
    </row>
    <row r="11268" spans="1:2" x14ac:dyDescent="0.25">
      <c r="A11268" s="5">
        <v>38266</v>
      </c>
      <c r="B11268">
        <v>1142.05004882812</v>
      </c>
    </row>
    <row r="11269" spans="1:2" x14ac:dyDescent="0.25">
      <c r="A11269" s="5">
        <v>38267</v>
      </c>
      <c r="B11269">
        <v>1130.65002441406</v>
      </c>
    </row>
    <row r="11270" spans="1:2" x14ac:dyDescent="0.25">
      <c r="A11270" s="5">
        <v>38268</v>
      </c>
      <c r="B11270">
        <v>1122.14001464844</v>
      </c>
    </row>
    <row r="11271" spans="1:2" x14ac:dyDescent="0.25">
      <c r="A11271" s="5">
        <v>38271</v>
      </c>
      <c r="B11271">
        <v>1124.39001464844</v>
      </c>
    </row>
    <row r="11272" spans="1:2" x14ac:dyDescent="0.25">
      <c r="A11272" s="5">
        <v>38272</v>
      </c>
      <c r="B11272">
        <v>1121.83996582031</v>
      </c>
    </row>
    <row r="11273" spans="1:2" x14ac:dyDescent="0.25">
      <c r="A11273" s="5">
        <v>38273</v>
      </c>
      <c r="B11273">
        <v>1113.65002441406</v>
      </c>
    </row>
    <row r="11274" spans="1:2" x14ac:dyDescent="0.25">
      <c r="A11274" s="5">
        <v>38274</v>
      </c>
      <c r="B11274">
        <v>1103.2900390625</v>
      </c>
    </row>
    <row r="11275" spans="1:2" x14ac:dyDescent="0.25">
      <c r="A11275" s="5">
        <v>38275</v>
      </c>
      <c r="B11275">
        <v>1108.19995117188</v>
      </c>
    </row>
    <row r="11276" spans="1:2" x14ac:dyDescent="0.25">
      <c r="A11276" s="5">
        <v>38278</v>
      </c>
      <c r="B11276">
        <v>1114.02001953125</v>
      </c>
    </row>
    <row r="11277" spans="1:2" x14ac:dyDescent="0.25">
      <c r="A11277" s="5">
        <v>38279</v>
      </c>
      <c r="B11277">
        <v>1103.22998046875</v>
      </c>
    </row>
    <row r="11278" spans="1:2" x14ac:dyDescent="0.25">
      <c r="A11278" s="5">
        <v>38280</v>
      </c>
      <c r="B11278">
        <v>1103.66003417969</v>
      </c>
    </row>
    <row r="11279" spans="1:2" x14ac:dyDescent="0.25">
      <c r="A11279" s="5">
        <v>38281</v>
      </c>
      <c r="B11279">
        <v>1106.48999023438</v>
      </c>
    </row>
    <row r="11280" spans="1:2" x14ac:dyDescent="0.25">
      <c r="A11280" s="5">
        <v>38282</v>
      </c>
      <c r="B11280">
        <v>1095.73999023438</v>
      </c>
    </row>
    <row r="11281" spans="1:2" x14ac:dyDescent="0.25">
      <c r="A11281" s="5">
        <v>38285</v>
      </c>
      <c r="B11281">
        <v>1094.80004882812</v>
      </c>
    </row>
    <row r="11282" spans="1:2" x14ac:dyDescent="0.25">
      <c r="A11282" s="5">
        <v>38286</v>
      </c>
      <c r="B11282">
        <v>1111.08996582031</v>
      </c>
    </row>
    <row r="11283" spans="1:2" x14ac:dyDescent="0.25">
      <c r="A11283" s="5">
        <v>38287</v>
      </c>
      <c r="B11283">
        <v>1125.40002441406</v>
      </c>
    </row>
    <row r="11284" spans="1:2" x14ac:dyDescent="0.25">
      <c r="A11284" s="5">
        <v>38288</v>
      </c>
      <c r="B11284">
        <v>1127.43994140625</v>
      </c>
    </row>
    <row r="11285" spans="1:2" x14ac:dyDescent="0.25">
      <c r="A11285" s="5">
        <v>38289</v>
      </c>
      <c r="B11285">
        <v>1130.19995117188</v>
      </c>
    </row>
    <row r="11286" spans="1:2" x14ac:dyDescent="0.25">
      <c r="A11286" s="5">
        <v>38292</v>
      </c>
      <c r="B11286">
        <v>1130.51000976562</v>
      </c>
    </row>
    <row r="11287" spans="1:2" x14ac:dyDescent="0.25">
      <c r="A11287" s="5">
        <v>38293</v>
      </c>
      <c r="B11287">
        <v>1130.56005859375</v>
      </c>
    </row>
    <row r="11288" spans="1:2" x14ac:dyDescent="0.25">
      <c r="A11288" s="5">
        <v>38294</v>
      </c>
      <c r="B11288">
        <v>1143.19995117188</v>
      </c>
    </row>
    <row r="11289" spans="1:2" x14ac:dyDescent="0.25">
      <c r="A11289" s="5">
        <v>38295</v>
      </c>
      <c r="B11289">
        <v>1161.67004394531</v>
      </c>
    </row>
    <row r="11290" spans="1:2" x14ac:dyDescent="0.25">
      <c r="A11290" s="5">
        <v>38296</v>
      </c>
      <c r="B11290">
        <v>1166.17004394531</v>
      </c>
    </row>
    <row r="11291" spans="1:2" x14ac:dyDescent="0.25">
      <c r="A11291" s="5">
        <v>38299</v>
      </c>
      <c r="B11291">
        <v>1164.89001464844</v>
      </c>
    </row>
    <row r="11292" spans="1:2" x14ac:dyDescent="0.25">
      <c r="A11292" s="5">
        <v>38300</v>
      </c>
      <c r="B11292">
        <v>1164.07995605469</v>
      </c>
    </row>
    <row r="11293" spans="1:2" x14ac:dyDescent="0.25">
      <c r="A11293" s="5">
        <v>38301</v>
      </c>
      <c r="B11293">
        <v>1162.91003417969</v>
      </c>
    </row>
    <row r="11294" spans="1:2" x14ac:dyDescent="0.25">
      <c r="A11294" s="5">
        <v>38302</v>
      </c>
      <c r="B11294">
        <v>1173.47998046875</v>
      </c>
    </row>
    <row r="11295" spans="1:2" x14ac:dyDescent="0.25">
      <c r="A11295" s="5">
        <v>38303</v>
      </c>
      <c r="B11295">
        <v>1184.17004394531</v>
      </c>
    </row>
    <row r="11296" spans="1:2" x14ac:dyDescent="0.25">
      <c r="A11296" s="5">
        <v>38306</v>
      </c>
      <c r="B11296">
        <v>1183.81005859375</v>
      </c>
    </row>
    <row r="11297" spans="1:2" x14ac:dyDescent="0.25">
      <c r="A11297" s="5">
        <v>38307</v>
      </c>
      <c r="B11297">
        <v>1175.43005371094</v>
      </c>
    </row>
    <row r="11298" spans="1:2" x14ac:dyDescent="0.25">
      <c r="A11298" s="5">
        <v>38308</v>
      </c>
      <c r="B11298">
        <v>1181.93994140625</v>
      </c>
    </row>
    <row r="11299" spans="1:2" x14ac:dyDescent="0.25">
      <c r="A11299" s="5">
        <v>38309</v>
      </c>
      <c r="B11299">
        <v>1183.55004882812</v>
      </c>
    </row>
    <row r="11300" spans="1:2" x14ac:dyDescent="0.25">
      <c r="A11300" s="5">
        <v>38310</v>
      </c>
      <c r="B11300">
        <v>1170.33996582031</v>
      </c>
    </row>
    <row r="11301" spans="1:2" x14ac:dyDescent="0.25">
      <c r="A11301" s="5">
        <v>38313</v>
      </c>
      <c r="B11301">
        <v>1177.23999023438</v>
      </c>
    </row>
    <row r="11302" spans="1:2" x14ac:dyDescent="0.25">
      <c r="A11302" s="5">
        <v>38314</v>
      </c>
      <c r="B11302">
        <v>1176.93994140625</v>
      </c>
    </row>
    <row r="11303" spans="1:2" x14ac:dyDescent="0.25">
      <c r="A11303" s="5">
        <v>38315</v>
      </c>
      <c r="B11303">
        <v>1181.76000976562</v>
      </c>
    </row>
    <row r="11304" spans="1:2" x14ac:dyDescent="0.25">
      <c r="A11304" s="5">
        <v>38317</v>
      </c>
      <c r="B11304">
        <v>1182.65002441406</v>
      </c>
    </row>
    <row r="11305" spans="1:2" x14ac:dyDescent="0.25">
      <c r="A11305" s="5">
        <v>38320</v>
      </c>
      <c r="B11305">
        <v>1178.56994628906</v>
      </c>
    </row>
    <row r="11306" spans="1:2" x14ac:dyDescent="0.25">
      <c r="A11306" s="5">
        <v>38321</v>
      </c>
      <c r="B11306">
        <v>1173.81994628906</v>
      </c>
    </row>
    <row r="11307" spans="1:2" x14ac:dyDescent="0.25">
      <c r="A11307" s="5">
        <v>38322</v>
      </c>
      <c r="B11307">
        <v>1191.36999511719</v>
      </c>
    </row>
    <row r="11308" spans="1:2" x14ac:dyDescent="0.25">
      <c r="A11308" s="5">
        <v>38323</v>
      </c>
      <c r="B11308">
        <v>1190.32995605469</v>
      </c>
    </row>
    <row r="11309" spans="1:2" x14ac:dyDescent="0.25">
      <c r="A11309" s="5">
        <v>38324</v>
      </c>
      <c r="B11309">
        <v>1191.17004394531</v>
      </c>
    </row>
    <row r="11310" spans="1:2" x14ac:dyDescent="0.25">
      <c r="A11310" s="5">
        <v>38327</v>
      </c>
      <c r="B11310">
        <v>1190.25</v>
      </c>
    </row>
    <row r="11311" spans="1:2" x14ac:dyDescent="0.25">
      <c r="A11311" s="5">
        <v>38328</v>
      </c>
      <c r="B11311">
        <v>1177.06994628906</v>
      </c>
    </row>
    <row r="11312" spans="1:2" x14ac:dyDescent="0.25">
      <c r="A11312" s="5">
        <v>38329</v>
      </c>
      <c r="B11312">
        <v>1182.81005859375</v>
      </c>
    </row>
    <row r="11313" spans="1:2" x14ac:dyDescent="0.25">
      <c r="A11313" s="5">
        <v>38330</v>
      </c>
      <c r="B11313">
        <v>1189.23999023438</v>
      </c>
    </row>
    <row r="11314" spans="1:2" x14ac:dyDescent="0.25">
      <c r="A11314" s="5">
        <v>38331</v>
      </c>
      <c r="B11314">
        <v>1188</v>
      </c>
    </row>
    <row r="11315" spans="1:2" x14ac:dyDescent="0.25">
      <c r="A11315" s="5">
        <v>38334</v>
      </c>
      <c r="B11315">
        <v>1198.68005371094</v>
      </c>
    </row>
    <row r="11316" spans="1:2" x14ac:dyDescent="0.25">
      <c r="A11316" s="5">
        <v>38335</v>
      </c>
      <c r="B11316">
        <v>1203.38000488281</v>
      </c>
    </row>
    <row r="11317" spans="1:2" x14ac:dyDescent="0.25">
      <c r="A11317" s="5">
        <v>38336</v>
      </c>
      <c r="B11317">
        <v>1205.71997070312</v>
      </c>
    </row>
    <row r="11318" spans="1:2" x14ac:dyDescent="0.25">
      <c r="A11318" s="5">
        <v>38337</v>
      </c>
      <c r="B11318">
        <v>1203.2099609375</v>
      </c>
    </row>
    <row r="11319" spans="1:2" x14ac:dyDescent="0.25">
      <c r="A11319" s="5">
        <v>38338</v>
      </c>
      <c r="B11319">
        <v>1194.19995117188</v>
      </c>
    </row>
    <row r="11320" spans="1:2" x14ac:dyDescent="0.25">
      <c r="A11320" s="5">
        <v>38341</v>
      </c>
      <c r="B11320">
        <v>1194.65002441406</v>
      </c>
    </row>
    <row r="11321" spans="1:2" x14ac:dyDescent="0.25">
      <c r="A11321" s="5">
        <v>38342</v>
      </c>
      <c r="B11321">
        <v>1205.44995117188</v>
      </c>
    </row>
    <row r="11322" spans="1:2" x14ac:dyDescent="0.25">
      <c r="A11322" s="5">
        <v>38343</v>
      </c>
      <c r="B11322">
        <v>1209.56994628906</v>
      </c>
    </row>
    <row r="11323" spans="1:2" x14ac:dyDescent="0.25">
      <c r="A11323" s="5">
        <v>38344</v>
      </c>
      <c r="B11323">
        <v>1210.13000488281</v>
      </c>
    </row>
    <row r="11324" spans="1:2" x14ac:dyDescent="0.25">
      <c r="A11324" s="5">
        <v>38348</v>
      </c>
      <c r="B11324">
        <v>1204.92004394531</v>
      </c>
    </row>
    <row r="11325" spans="1:2" x14ac:dyDescent="0.25">
      <c r="A11325" s="5">
        <v>38349</v>
      </c>
      <c r="B11325">
        <v>1213.5400390625</v>
      </c>
    </row>
    <row r="11326" spans="1:2" x14ac:dyDescent="0.25">
      <c r="A11326" s="5">
        <v>38350</v>
      </c>
      <c r="B11326">
        <v>1213.44995117188</v>
      </c>
    </row>
    <row r="11327" spans="1:2" x14ac:dyDescent="0.25">
      <c r="A11327" s="5">
        <v>38351</v>
      </c>
      <c r="B11327">
        <v>1213.55004882812</v>
      </c>
    </row>
    <row r="11328" spans="1:2" x14ac:dyDescent="0.25">
      <c r="A11328" s="5">
        <v>38352</v>
      </c>
      <c r="B11328">
        <v>1211.92004394531</v>
      </c>
    </row>
    <row r="11329" spans="1:2" x14ac:dyDescent="0.25">
      <c r="A11329" s="5">
        <v>38355</v>
      </c>
      <c r="B11329">
        <v>1202.07995605469</v>
      </c>
    </row>
    <row r="11330" spans="1:2" x14ac:dyDescent="0.25">
      <c r="A11330" s="5">
        <v>38356</v>
      </c>
      <c r="B11330">
        <v>1188.05004882812</v>
      </c>
    </row>
    <row r="11331" spans="1:2" x14ac:dyDescent="0.25">
      <c r="A11331" s="5">
        <v>38357</v>
      </c>
      <c r="B11331">
        <v>1183.73999023438</v>
      </c>
    </row>
    <row r="11332" spans="1:2" x14ac:dyDescent="0.25">
      <c r="A11332" s="5">
        <v>38358</v>
      </c>
      <c r="B11332">
        <v>1187.89001464844</v>
      </c>
    </row>
    <row r="11333" spans="1:2" x14ac:dyDescent="0.25">
      <c r="A11333" s="5">
        <v>38359</v>
      </c>
      <c r="B11333">
        <v>1186.18994140625</v>
      </c>
    </row>
    <row r="11334" spans="1:2" x14ac:dyDescent="0.25">
      <c r="A11334" s="5">
        <v>38362</v>
      </c>
      <c r="B11334">
        <v>1190.25</v>
      </c>
    </row>
    <row r="11335" spans="1:2" x14ac:dyDescent="0.25">
      <c r="A11335" s="5">
        <v>38363</v>
      </c>
      <c r="B11335">
        <v>1182.98999023438</v>
      </c>
    </row>
    <row r="11336" spans="1:2" x14ac:dyDescent="0.25">
      <c r="A11336" s="5">
        <v>38364</v>
      </c>
      <c r="B11336">
        <v>1187.69995117188</v>
      </c>
    </row>
    <row r="11337" spans="1:2" x14ac:dyDescent="0.25">
      <c r="A11337" s="5">
        <v>38365</v>
      </c>
      <c r="B11337">
        <v>1177.44995117188</v>
      </c>
    </row>
    <row r="11338" spans="1:2" x14ac:dyDescent="0.25">
      <c r="A11338" s="5">
        <v>38366</v>
      </c>
      <c r="B11338">
        <v>1184.52001953125</v>
      </c>
    </row>
    <row r="11339" spans="1:2" x14ac:dyDescent="0.25">
      <c r="A11339" s="5">
        <v>38370</v>
      </c>
      <c r="B11339">
        <v>1195.97998046875</v>
      </c>
    </row>
    <row r="11340" spans="1:2" x14ac:dyDescent="0.25">
      <c r="A11340" s="5">
        <v>38371</v>
      </c>
      <c r="B11340">
        <v>1184.63000488281</v>
      </c>
    </row>
    <row r="11341" spans="1:2" x14ac:dyDescent="0.25">
      <c r="A11341" s="5">
        <v>38372</v>
      </c>
      <c r="B11341">
        <v>1175.41003417969</v>
      </c>
    </row>
    <row r="11342" spans="1:2" x14ac:dyDescent="0.25">
      <c r="A11342" s="5">
        <v>38373</v>
      </c>
      <c r="B11342">
        <v>1167.86999511719</v>
      </c>
    </row>
    <row r="11343" spans="1:2" x14ac:dyDescent="0.25">
      <c r="A11343" s="5">
        <v>38376</v>
      </c>
      <c r="B11343">
        <v>1163.75</v>
      </c>
    </row>
    <row r="11344" spans="1:2" x14ac:dyDescent="0.25">
      <c r="A11344" s="5">
        <v>38377</v>
      </c>
      <c r="B11344">
        <v>1168.41003417969</v>
      </c>
    </row>
    <row r="11345" spans="1:2" x14ac:dyDescent="0.25">
      <c r="A11345" s="5">
        <v>38378</v>
      </c>
      <c r="B11345">
        <v>1174.06994628906</v>
      </c>
    </row>
    <row r="11346" spans="1:2" x14ac:dyDescent="0.25">
      <c r="A11346" s="5">
        <v>38379</v>
      </c>
      <c r="B11346">
        <v>1174.55004882812</v>
      </c>
    </row>
    <row r="11347" spans="1:2" x14ac:dyDescent="0.25">
      <c r="A11347" s="5">
        <v>38380</v>
      </c>
      <c r="B11347">
        <v>1171.35998535156</v>
      </c>
    </row>
    <row r="11348" spans="1:2" x14ac:dyDescent="0.25">
      <c r="A11348" s="5">
        <v>38383</v>
      </c>
      <c r="B11348">
        <v>1181.27001953125</v>
      </c>
    </row>
    <row r="11349" spans="1:2" x14ac:dyDescent="0.25">
      <c r="A11349" s="5">
        <v>38384</v>
      </c>
      <c r="B11349">
        <v>1189.41003417969</v>
      </c>
    </row>
    <row r="11350" spans="1:2" x14ac:dyDescent="0.25">
      <c r="A11350" s="5">
        <v>38385</v>
      </c>
      <c r="B11350">
        <v>1193.18994140625</v>
      </c>
    </row>
    <row r="11351" spans="1:2" x14ac:dyDescent="0.25">
      <c r="A11351" s="5">
        <v>38386</v>
      </c>
      <c r="B11351">
        <v>1189.89001464844</v>
      </c>
    </row>
    <row r="11352" spans="1:2" x14ac:dyDescent="0.25">
      <c r="A11352" s="5">
        <v>38387</v>
      </c>
      <c r="B11352">
        <v>1203.03002929688</v>
      </c>
    </row>
    <row r="11353" spans="1:2" x14ac:dyDescent="0.25">
      <c r="A11353" s="5">
        <v>38390</v>
      </c>
      <c r="B11353">
        <v>1201.71997070312</v>
      </c>
    </row>
    <row r="11354" spans="1:2" x14ac:dyDescent="0.25">
      <c r="A11354" s="5">
        <v>38391</v>
      </c>
      <c r="B11354">
        <v>1202.30004882812</v>
      </c>
    </row>
    <row r="11355" spans="1:2" x14ac:dyDescent="0.25">
      <c r="A11355" s="5">
        <v>38392</v>
      </c>
      <c r="B11355">
        <v>1191.98999023438</v>
      </c>
    </row>
    <row r="11356" spans="1:2" x14ac:dyDescent="0.25">
      <c r="A11356" s="5">
        <v>38393</v>
      </c>
      <c r="B11356">
        <v>1197.01000976562</v>
      </c>
    </row>
    <row r="11357" spans="1:2" x14ac:dyDescent="0.25">
      <c r="A11357" s="5">
        <v>38394</v>
      </c>
      <c r="B11357">
        <v>1205.30004882812</v>
      </c>
    </row>
    <row r="11358" spans="1:2" x14ac:dyDescent="0.25">
      <c r="A11358" s="5">
        <v>38397</v>
      </c>
      <c r="B11358">
        <v>1206.14001464844</v>
      </c>
    </row>
    <row r="11359" spans="1:2" x14ac:dyDescent="0.25">
      <c r="A11359" s="5">
        <v>38398</v>
      </c>
      <c r="B11359">
        <v>1210.11999511719</v>
      </c>
    </row>
    <row r="11360" spans="1:2" x14ac:dyDescent="0.25">
      <c r="A11360" s="5">
        <v>38399</v>
      </c>
      <c r="B11360">
        <v>1210.33996582031</v>
      </c>
    </row>
    <row r="11361" spans="1:2" x14ac:dyDescent="0.25">
      <c r="A11361" s="5">
        <v>38400</v>
      </c>
      <c r="B11361">
        <v>1200.75</v>
      </c>
    </row>
    <row r="11362" spans="1:2" x14ac:dyDescent="0.25">
      <c r="A11362" s="5">
        <v>38401</v>
      </c>
      <c r="B11362">
        <v>1201.58996582031</v>
      </c>
    </row>
    <row r="11363" spans="1:2" x14ac:dyDescent="0.25">
      <c r="A11363" s="5">
        <v>38405</v>
      </c>
      <c r="B11363">
        <v>1184.16003417969</v>
      </c>
    </row>
    <row r="11364" spans="1:2" x14ac:dyDescent="0.25">
      <c r="A11364" s="5">
        <v>38406</v>
      </c>
      <c r="B11364">
        <v>1190.80004882812</v>
      </c>
    </row>
    <row r="11365" spans="1:2" x14ac:dyDescent="0.25">
      <c r="A11365" s="5">
        <v>38407</v>
      </c>
      <c r="B11365">
        <v>1200.19995117188</v>
      </c>
    </row>
    <row r="11366" spans="1:2" x14ac:dyDescent="0.25">
      <c r="A11366" s="5">
        <v>38408</v>
      </c>
      <c r="B11366">
        <v>1211.36999511719</v>
      </c>
    </row>
    <row r="11367" spans="1:2" x14ac:dyDescent="0.25">
      <c r="A11367" s="5">
        <v>38411</v>
      </c>
      <c r="B11367">
        <v>1203.59997558594</v>
      </c>
    </row>
    <row r="11368" spans="1:2" x14ac:dyDescent="0.25">
      <c r="A11368" s="5">
        <v>38412</v>
      </c>
      <c r="B11368">
        <v>1210.41003417969</v>
      </c>
    </row>
    <row r="11369" spans="1:2" x14ac:dyDescent="0.25">
      <c r="A11369" s="5">
        <v>38413</v>
      </c>
      <c r="B11369">
        <v>1210.07995605469</v>
      </c>
    </row>
    <row r="11370" spans="1:2" x14ac:dyDescent="0.25">
      <c r="A11370" s="5">
        <v>38414</v>
      </c>
      <c r="B11370">
        <v>1210.46997070312</v>
      </c>
    </row>
    <row r="11371" spans="1:2" x14ac:dyDescent="0.25">
      <c r="A11371" s="5">
        <v>38415</v>
      </c>
      <c r="B11371">
        <v>1222.11999511719</v>
      </c>
    </row>
    <row r="11372" spans="1:2" x14ac:dyDescent="0.25">
      <c r="A11372" s="5">
        <v>38418</v>
      </c>
      <c r="B11372">
        <v>1225.31005859375</v>
      </c>
    </row>
    <row r="11373" spans="1:2" x14ac:dyDescent="0.25">
      <c r="A11373" s="5">
        <v>38419</v>
      </c>
      <c r="B11373">
        <v>1219.43005371094</v>
      </c>
    </row>
    <row r="11374" spans="1:2" x14ac:dyDescent="0.25">
      <c r="A11374" s="5">
        <v>38420</v>
      </c>
      <c r="B11374">
        <v>1207.01000976562</v>
      </c>
    </row>
    <row r="11375" spans="1:2" x14ac:dyDescent="0.25">
      <c r="A11375" s="5">
        <v>38421</v>
      </c>
      <c r="B11375">
        <v>1209.25</v>
      </c>
    </row>
    <row r="11376" spans="1:2" x14ac:dyDescent="0.25">
      <c r="A11376" s="5">
        <v>38422</v>
      </c>
      <c r="B11376">
        <v>1200.07995605469</v>
      </c>
    </row>
    <row r="11377" spans="1:2" x14ac:dyDescent="0.25">
      <c r="A11377" s="5">
        <v>38425</v>
      </c>
      <c r="B11377">
        <v>1206.82995605469</v>
      </c>
    </row>
    <row r="11378" spans="1:2" x14ac:dyDescent="0.25">
      <c r="A11378" s="5">
        <v>38426</v>
      </c>
      <c r="B11378">
        <v>1197.75</v>
      </c>
    </row>
    <row r="11379" spans="1:2" x14ac:dyDescent="0.25">
      <c r="A11379" s="5">
        <v>38427</v>
      </c>
      <c r="B11379">
        <v>1188.06994628906</v>
      </c>
    </row>
    <row r="11380" spans="1:2" x14ac:dyDescent="0.25">
      <c r="A11380" s="5">
        <v>38428</v>
      </c>
      <c r="B11380">
        <v>1190.2099609375</v>
      </c>
    </row>
    <row r="11381" spans="1:2" x14ac:dyDescent="0.25">
      <c r="A11381" s="5">
        <v>38429</v>
      </c>
      <c r="B11381">
        <v>1189.65002441406</v>
      </c>
    </row>
    <row r="11382" spans="1:2" x14ac:dyDescent="0.25">
      <c r="A11382" s="5">
        <v>38432</v>
      </c>
      <c r="B11382">
        <v>1183.78002929688</v>
      </c>
    </row>
    <row r="11383" spans="1:2" x14ac:dyDescent="0.25">
      <c r="A11383" s="5">
        <v>38433</v>
      </c>
      <c r="B11383">
        <v>1171.7099609375</v>
      </c>
    </row>
    <row r="11384" spans="1:2" x14ac:dyDescent="0.25">
      <c r="A11384" s="5">
        <v>38434</v>
      </c>
      <c r="B11384">
        <v>1172.53002929688</v>
      </c>
    </row>
    <row r="11385" spans="1:2" x14ac:dyDescent="0.25">
      <c r="A11385" s="5">
        <v>38435</v>
      </c>
      <c r="B11385">
        <v>1171.42004394531</v>
      </c>
    </row>
    <row r="11386" spans="1:2" x14ac:dyDescent="0.25">
      <c r="A11386" s="5">
        <v>38439</v>
      </c>
      <c r="B11386">
        <v>1174.28002929688</v>
      </c>
    </row>
    <row r="11387" spans="1:2" x14ac:dyDescent="0.25">
      <c r="A11387" s="5">
        <v>38440</v>
      </c>
      <c r="B11387">
        <v>1165.35998535156</v>
      </c>
    </row>
    <row r="11388" spans="1:2" x14ac:dyDescent="0.25">
      <c r="A11388" s="5">
        <v>38441</v>
      </c>
      <c r="B11388">
        <v>1181.41003417969</v>
      </c>
    </row>
    <row r="11389" spans="1:2" x14ac:dyDescent="0.25">
      <c r="A11389" s="5">
        <v>38442</v>
      </c>
      <c r="B11389">
        <v>1180.58996582031</v>
      </c>
    </row>
    <row r="11390" spans="1:2" x14ac:dyDescent="0.25">
      <c r="A11390" s="5">
        <v>38443</v>
      </c>
      <c r="B11390">
        <v>1172.92004394531</v>
      </c>
    </row>
    <row r="11391" spans="1:2" x14ac:dyDescent="0.25">
      <c r="A11391" s="5">
        <v>38446</v>
      </c>
      <c r="B11391">
        <v>1176.11999511719</v>
      </c>
    </row>
    <row r="11392" spans="1:2" x14ac:dyDescent="0.25">
      <c r="A11392" s="5">
        <v>38447</v>
      </c>
      <c r="B11392">
        <v>1181.39001464844</v>
      </c>
    </row>
    <row r="11393" spans="1:2" x14ac:dyDescent="0.25">
      <c r="A11393" s="5">
        <v>38448</v>
      </c>
      <c r="B11393">
        <v>1184.06994628906</v>
      </c>
    </row>
    <row r="11394" spans="1:2" x14ac:dyDescent="0.25">
      <c r="A11394" s="5">
        <v>38449</v>
      </c>
      <c r="B11394">
        <v>1191.14001464844</v>
      </c>
    </row>
    <row r="11395" spans="1:2" x14ac:dyDescent="0.25">
      <c r="A11395" s="5">
        <v>38450</v>
      </c>
      <c r="B11395">
        <v>1181.19995117188</v>
      </c>
    </row>
    <row r="11396" spans="1:2" x14ac:dyDescent="0.25">
      <c r="A11396" s="5">
        <v>38453</v>
      </c>
      <c r="B11396">
        <v>1181.2099609375</v>
      </c>
    </row>
    <row r="11397" spans="1:2" x14ac:dyDescent="0.25">
      <c r="A11397" s="5">
        <v>38454</v>
      </c>
      <c r="B11397">
        <v>1187.76000976562</v>
      </c>
    </row>
    <row r="11398" spans="1:2" x14ac:dyDescent="0.25">
      <c r="A11398" s="5">
        <v>38455</v>
      </c>
      <c r="B11398">
        <v>1173.7900390625</v>
      </c>
    </row>
    <row r="11399" spans="1:2" x14ac:dyDescent="0.25">
      <c r="A11399" s="5">
        <v>38456</v>
      </c>
      <c r="B11399">
        <v>1162.05004882812</v>
      </c>
    </row>
    <row r="11400" spans="1:2" x14ac:dyDescent="0.25">
      <c r="A11400" s="5">
        <v>38457</v>
      </c>
      <c r="B11400">
        <v>1142.61999511719</v>
      </c>
    </row>
    <row r="11401" spans="1:2" x14ac:dyDescent="0.25">
      <c r="A11401" s="5">
        <v>38460</v>
      </c>
      <c r="B11401">
        <v>1145.97998046875</v>
      </c>
    </row>
    <row r="11402" spans="1:2" x14ac:dyDescent="0.25">
      <c r="A11402" s="5">
        <v>38461</v>
      </c>
      <c r="B11402">
        <v>1152.78002929688</v>
      </c>
    </row>
    <row r="11403" spans="1:2" x14ac:dyDescent="0.25">
      <c r="A11403" s="5">
        <v>38462</v>
      </c>
      <c r="B11403">
        <v>1137.5</v>
      </c>
    </row>
    <row r="11404" spans="1:2" x14ac:dyDescent="0.25">
      <c r="A11404" s="5">
        <v>38463</v>
      </c>
      <c r="B11404">
        <v>1159.94995117188</v>
      </c>
    </row>
    <row r="11405" spans="1:2" x14ac:dyDescent="0.25">
      <c r="A11405" s="5">
        <v>38464</v>
      </c>
      <c r="B11405">
        <v>1152.11999511719</v>
      </c>
    </row>
    <row r="11406" spans="1:2" x14ac:dyDescent="0.25">
      <c r="A11406" s="5">
        <v>38467</v>
      </c>
      <c r="B11406">
        <v>1162.09997558594</v>
      </c>
    </row>
    <row r="11407" spans="1:2" x14ac:dyDescent="0.25">
      <c r="A11407" s="5">
        <v>38468</v>
      </c>
      <c r="B11407">
        <v>1151.82995605469</v>
      </c>
    </row>
    <row r="11408" spans="1:2" x14ac:dyDescent="0.25">
      <c r="A11408" s="5">
        <v>38469</v>
      </c>
      <c r="B11408">
        <v>1156.38000488281</v>
      </c>
    </row>
    <row r="11409" spans="1:2" x14ac:dyDescent="0.25">
      <c r="A11409" s="5">
        <v>38470</v>
      </c>
      <c r="B11409">
        <v>1143.21997070312</v>
      </c>
    </row>
    <row r="11410" spans="1:2" x14ac:dyDescent="0.25">
      <c r="A11410" s="5">
        <v>38471</v>
      </c>
      <c r="B11410">
        <v>1156.84997558594</v>
      </c>
    </row>
    <row r="11411" spans="1:2" x14ac:dyDescent="0.25">
      <c r="A11411" s="5">
        <v>38474</v>
      </c>
      <c r="B11411">
        <v>1162.16003417969</v>
      </c>
    </row>
    <row r="11412" spans="1:2" x14ac:dyDescent="0.25">
      <c r="A11412" s="5">
        <v>38475</v>
      </c>
      <c r="B11412">
        <v>1161.17004394531</v>
      </c>
    </row>
    <row r="11413" spans="1:2" x14ac:dyDescent="0.25">
      <c r="A11413" s="5">
        <v>38476</v>
      </c>
      <c r="B11413">
        <v>1175.65002441406</v>
      </c>
    </row>
    <row r="11414" spans="1:2" x14ac:dyDescent="0.25">
      <c r="A11414" s="5">
        <v>38477</v>
      </c>
      <c r="B11414">
        <v>1172.63000488281</v>
      </c>
    </row>
    <row r="11415" spans="1:2" x14ac:dyDescent="0.25">
      <c r="A11415" s="5">
        <v>38478</v>
      </c>
      <c r="B11415">
        <v>1171.34997558594</v>
      </c>
    </row>
    <row r="11416" spans="1:2" x14ac:dyDescent="0.25">
      <c r="A11416" s="5">
        <v>38481</v>
      </c>
      <c r="B11416">
        <v>1178.83996582031</v>
      </c>
    </row>
    <row r="11417" spans="1:2" x14ac:dyDescent="0.25">
      <c r="A11417" s="5">
        <v>38482</v>
      </c>
      <c r="B11417">
        <v>1166.21997070312</v>
      </c>
    </row>
    <row r="11418" spans="1:2" x14ac:dyDescent="0.25">
      <c r="A11418" s="5">
        <v>38483</v>
      </c>
      <c r="B11418">
        <v>1171.10998535156</v>
      </c>
    </row>
    <row r="11419" spans="1:2" x14ac:dyDescent="0.25">
      <c r="A11419" s="5">
        <v>38484</v>
      </c>
      <c r="B11419">
        <v>1159.35998535156</v>
      </c>
    </row>
    <row r="11420" spans="1:2" x14ac:dyDescent="0.25">
      <c r="A11420" s="5">
        <v>38485</v>
      </c>
      <c r="B11420">
        <v>1154.05004882812</v>
      </c>
    </row>
    <row r="11421" spans="1:2" x14ac:dyDescent="0.25">
      <c r="A11421" s="5">
        <v>38488</v>
      </c>
      <c r="B11421">
        <v>1165.68994140625</v>
      </c>
    </row>
    <row r="11422" spans="1:2" x14ac:dyDescent="0.25">
      <c r="A11422" s="5">
        <v>38489</v>
      </c>
      <c r="B11422">
        <v>1173.80004882812</v>
      </c>
    </row>
    <row r="11423" spans="1:2" x14ac:dyDescent="0.25">
      <c r="A11423" s="5">
        <v>38490</v>
      </c>
      <c r="B11423">
        <v>1185.56005859375</v>
      </c>
    </row>
    <row r="11424" spans="1:2" x14ac:dyDescent="0.25">
      <c r="A11424" s="5">
        <v>38491</v>
      </c>
      <c r="B11424">
        <v>1191.07995605469</v>
      </c>
    </row>
    <row r="11425" spans="1:2" x14ac:dyDescent="0.25">
      <c r="A11425" s="5">
        <v>38492</v>
      </c>
      <c r="B11425">
        <v>1189.28002929688</v>
      </c>
    </row>
    <row r="11426" spans="1:2" x14ac:dyDescent="0.25">
      <c r="A11426" s="5">
        <v>38495</v>
      </c>
      <c r="B11426">
        <v>1193.85998535156</v>
      </c>
    </row>
    <row r="11427" spans="1:2" x14ac:dyDescent="0.25">
      <c r="A11427" s="5">
        <v>38496</v>
      </c>
      <c r="B11427">
        <v>1194.06994628906</v>
      </c>
    </row>
    <row r="11428" spans="1:2" x14ac:dyDescent="0.25">
      <c r="A11428" s="5">
        <v>38497</v>
      </c>
      <c r="B11428">
        <v>1190.01000976562</v>
      </c>
    </row>
    <row r="11429" spans="1:2" x14ac:dyDescent="0.25">
      <c r="A11429" s="5">
        <v>38498</v>
      </c>
      <c r="B11429">
        <v>1197.61999511719</v>
      </c>
    </row>
    <row r="11430" spans="1:2" x14ac:dyDescent="0.25">
      <c r="A11430" s="5">
        <v>38499</v>
      </c>
      <c r="B11430">
        <v>1198.78002929688</v>
      </c>
    </row>
    <row r="11431" spans="1:2" x14ac:dyDescent="0.25">
      <c r="A11431" s="5">
        <v>38503</v>
      </c>
      <c r="B11431">
        <v>1191.5</v>
      </c>
    </row>
    <row r="11432" spans="1:2" x14ac:dyDescent="0.25">
      <c r="A11432" s="5">
        <v>38504</v>
      </c>
      <c r="B11432">
        <v>1202.21997070312</v>
      </c>
    </row>
    <row r="11433" spans="1:2" x14ac:dyDescent="0.25">
      <c r="A11433" s="5">
        <v>38505</v>
      </c>
      <c r="B11433">
        <v>1204.2900390625</v>
      </c>
    </row>
    <row r="11434" spans="1:2" x14ac:dyDescent="0.25">
      <c r="A11434" s="5">
        <v>38506</v>
      </c>
      <c r="B11434">
        <v>1196.02001953125</v>
      </c>
    </row>
    <row r="11435" spans="1:2" x14ac:dyDescent="0.25">
      <c r="A11435" s="5">
        <v>38509</v>
      </c>
      <c r="B11435">
        <v>1197.51000976562</v>
      </c>
    </row>
    <row r="11436" spans="1:2" x14ac:dyDescent="0.25">
      <c r="A11436" s="5">
        <v>38510</v>
      </c>
      <c r="B11436">
        <v>1197.26000976562</v>
      </c>
    </row>
    <row r="11437" spans="1:2" x14ac:dyDescent="0.25">
      <c r="A11437" s="5">
        <v>38511</v>
      </c>
      <c r="B11437">
        <v>1194.67004394531</v>
      </c>
    </row>
    <row r="11438" spans="1:2" x14ac:dyDescent="0.25">
      <c r="A11438" s="5">
        <v>38512</v>
      </c>
      <c r="B11438">
        <v>1200.93005371094</v>
      </c>
    </row>
    <row r="11439" spans="1:2" x14ac:dyDescent="0.25">
      <c r="A11439" s="5">
        <v>38513</v>
      </c>
      <c r="B11439">
        <v>1198.10998535156</v>
      </c>
    </row>
    <row r="11440" spans="1:2" x14ac:dyDescent="0.25">
      <c r="A11440" s="5">
        <v>38516</v>
      </c>
      <c r="B11440">
        <v>1200.81994628906</v>
      </c>
    </row>
    <row r="11441" spans="1:2" x14ac:dyDescent="0.25">
      <c r="A11441" s="5">
        <v>38517</v>
      </c>
      <c r="B11441">
        <v>1203.91003417969</v>
      </c>
    </row>
    <row r="11442" spans="1:2" x14ac:dyDescent="0.25">
      <c r="A11442" s="5">
        <v>38518</v>
      </c>
      <c r="B11442">
        <v>1206.57995605469</v>
      </c>
    </row>
    <row r="11443" spans="1:2" x14ac:dyDescent="0.25">
      <c r="A11443" s="5">
        <v>38519</v>
      </c>
      <c r="B11443">
        <v>1210.9599609375</v>
      </c>
    </row>
    <row r="11444" spans="1:2" x14ac:dyDescent="0.25">
      <c r="A11444" s="5">
        <v>38520</v>
      </c>
      <c r="B11444">
        <v>1216.9599609375</v>
      </c>
    </row>
    <row r="11445" spans="1:2" x14ac:dyDescent="0.25">
      <c r="A11445" s="5">
        <v>38523</v>
      </c>
      <c r="B11445">
        <v>1216.09997558594</v>
      </c>
    </row>
    <row r="11446" spans="1:2" x14ac:dyDescent="0.25">
      <c r="A11446" s="5">
        <v>38524</v>
      </c>
      <c r="B11446">
        <v>1213.60998535156</v>
      </c>
    </row>
    <row r="11447" spans="1:2" x14ac:dyDescent="0.25">
      <c r="A11447" s="5">
        <v>38525</v>
      </c>
      <c r="B11447">
        <v>1213.88000488281</v>
      </c>
    </row>
    <row r="11448" spans="1:2" x14ac:dyDescent="0.25">
      <c r="A11448" s="5">
        <v>38526</v>
      </c>
      <c r="B11448">
        <v>1200.72998046875</v>
      </c>
    </row>
    <row r="11449" spans="1:2" x14ac:dyDescent="0.25">
      <c r="A11449" s="5">
        <v>38527</v>
      </c>
      <c r="B11449">
        <v>1191.56994628906</v>
      </c>
    </row>
    <row r="11450" spans="1:2" x14ac:dyDescent="0.25">
      <c r="A11450" s="5">
        <v>38530</v>
      </c>
      <c r="B11450">
        <v>1190.68994140625</v>
      </c>
    </row>
    <row r="11451" spans="1:2" x14ac:dyDescent="0.25">
      <c r="A11451" s="5">
        <v>38531</v>
      </c>
      <c r="B11451">
        <v>1201.56994628906</v>
      </c>
    </row>
    <row r="11452" spans="1:2" x14ac:dyDescent="0.25">
      <c r="A11452" s="5">
        <v>38532</v>
      </c>
      <c r="B11452">
        <v>1199.84997558594</v>
      </c>
    </row>
    <row r="11453" spans="1:2" x14ac:dyDescent="0.25">
      <c r="A11453" s="5">
        <v>38533</v>
      </c>
      <c r="B11453">
        <v>1191.32995605469</v>
      </c>
    </row>
    <row r="11454" spans="1:2" x14ac:dyDescent="0.25">
      <c r="A11454" s="5">
        <v>38534</v>
      </c>
      <c r="B11454">
        <v>1194.43994140625</v>
      </c>
    </row>
    <row r="11455" spans="1:2" x14ac:dyDescent="0.25">
      <c r="A11455" s="5">
        <v>38538</v>
      </c>
      <c r="B11455">
        <v>1204.98999023438</v>
      </c>
    </row>
    <row r="11456" spans="1:2" x14ac:dyDescent="0.25">
      <c r="A11456" s="5">
        <v>38539</v>
      </c>
      <c r="B11456">
        <v>1194.93994140625</v>
      </c>
    </row>
    <row r="11457" spans="1:2" x14ac:dyDescent="0.25">
      <c r="A11457" s="5">
        <v>38540</v>
      </c>
      <c r="B11457">
        <v>1197.86999511719</v>
      </c>
    </row>
    <row r="11458" spans="1:2" x14ac:dyDescent="0.25">
      <c r="A11458" s="5">
        <v>38541</v>
      </c>
      <c r="B11458">
        <v>1211.85998535156</v>
      </c>
    </row>
    <row r="11459" spans="1:2" x14ac:dyDescent="0.25">
      <c r="A11459" s="5">
        <v>38544</v>
      </c>
      <c r="B11459">
        <v>1219.43994140625</v>
      </c>
    </row>
    <row r="11460" spans="1:2" x14ac:dyDescent="0.25">
      <c r="A11460" s="5">
        <v>38545</v>
      </c>
      <c r="B11460">
        <v>1222.2099609375</v>
      </c>
    </row>
    <row r="11461" spans="1:2" x14ac:dyDescent="0.25">
      <c r="A11461" s="5">
        <v>38546</v>
      </c>
      <c r="B11461">
        <v>1223.2900390625</v>
      </c>
    </row>
    <row r="11462" spans="1:2" x14ac:dyDescent="0.25">
      <c r="A11462" s="5">
        <v>38547</v>
      </c>
      <c r="B11462">
        <v>1226.5</v>
      </c>
    </row>
    <row r="11463" spans="1:2" x14ac:dyDescent="0.25">
      <c r="A11463" s="5">
        <v>38548</v>
      </c>
      <c r="B11463">
        <v>1227.92004394531</v>
      </c>
    </row>
    <row r="11464" spans="1:2" x14ac:dyDescent="0.25">
      <c r="A11464" s="5">
        <v>38551</v>
      </c>
      <c r="B11464">
        <v>1221.13000488281</v>
      </c>
    </row>
    <row r="11465" spans="1:2" x14ac:dyDescent="0.25">
      <c r="A11465" s="5">
        <v>38552</v>
      </c>
      <c r="B11465">
        <v>1229.34997558594</v>
      </c>
    </row>
    <row r="11466" spans="1:2" x14ac:dyDescent="0.25">
      <c r="A11466" s="5">
        <v>38553</v>
      </c>
      <c r="B11466">
        <v>1235.19995117188</v>
      </c>
    </row>
    <row r="11467" spans="1:2" x14ac:dyDescent="0.25">
      <c r="A11467" s="5">
        <v>38554</v>
      </c>
      <c r="B11467">
        <v>1227.0400390625</v>
      </c>
    </row>
    <row r="11468" spans="1:2" x14ac:dyDescent="0.25">
      <c r="A11468" s="5">
        <v>38555</v>
      </c>
      <c r="B11468">
        <v>1233.68005371094</v>
      </c>
    </row>
    <row r="11469" spans="1:2" x14ac:dyDescent="0.25">
      <c r="A11469" s="5">
        <v>38558</v>
      </c>
      <c r="B11469">
        <v>1229.03002929688</v>
      </c>
    </row>
    <row r="11470" spans="1:2" x14ac:dyDescent="0.25">
      <c r="A11470" s="5">
        <v>38559</v>
      </c>
      <c r="B11470">
        <v>1231.16003417969</v>
      </c>
    </row>
    <row r="11471" spans="1:2" x14ac:dyDescent="0.25">
      <c r="A11471" s="5">
        <v>38560</v>
      </c>
      <c r="B11471">
        <v>1236.7900390625</v>
      </c>
    </row>
    <row r="11472" spans="1:2" x14ac:dyDescent="0.25">
      <c r="A11472" s="5">
        <v>38561</v>
      </c>
      <c r="B11472">
        <v>1243.71997070312</v>
      </c>
    </row>
    <row r="11473" spans="1:2" x14ac:dyDescent="0.25">
      <c r="A11473" s="5">
        <v>38562</v>
      </c>
      <c r="B11473">
        <v>1234.18005371094</v>
      </c>
    </row>
    <row r="11474" spans="1:2" x14ac:dyDescent="0.25">
      <c r="A11474" s="5">
        <v>38565</v>
      </c>
      <c r="B11474">
        <v>1235.34997558594</v>
      </c>
    </row>
    <row r="11475" spans="1:2" x14ac:dyDescent="0.25">
      <c r="A11475" s="5">
        <v>38566</v>
      </c>
      <c r="B11475">
        <v>1244.11999511719</v>
      </c>
    </row>
    <row r="11476" spans="1:2" x14ac:dyDescent="0.25">
      <c r="A11476" s="5">
        <v>38567</v>
      </c>
      <c r="B11476">
        <v>1245.0400390625</v>
      </c>
    </row>
    <row r="11477" spans="1:2" x14ac:dyDescent="0.25">
      <c r="A11477" s="5">
        <v>38568</v>
      </c>
      <c r="B11477">
        <v>1235.85998535156</v>
      </c>
    </row>
    <row r="11478" spans="1:2" x14ac:dyDescent="0.25">
      <c r="A11478" s="5">
        <v>38569</v>
      </c>
      <c r="B11478">
        <v>1226.42004394531</v>
      </c>
    </row>
    <row r="11479" spans="1:2" x14ac:dyDescent="0.25">
      <c r="A11479" s="5">
        <v>38572</v>
      </c>
      <c r="B11479">
        <v>1223.13000488281</v>
      </c>
    </row>
    <row r="11480" spans="1:2" x14ac:dyDescent="0.25">
      <c r="A11480" s="5">
        <v>38573</v>
      </c>
      <c r="B11480">
        <v>1231.38000488281</v>
      </c>
    </row>
    <row r="11481" spans="1:2" x14ac:dyDescent="0.25">
      <c r="A11481" s="5">
        <v>38574</v>
      </c>
      <c r="B11481">
        <v>1229.13000488281</v>
      </c>
    </row>
    <row r="11482" spans="1:2" x14ac:dyDescent="0.25">
      <c r="A11482" s="5">
        <v>38575</v>
      </c>
      <c r="B11482">
        <v>1237.81005859375</v>
      </c>
    </row>
    <row r="11483" spans="1:2" x14ac:dyDescent="0.25">
      <c r="A11483" s="5">
        <v>38576</v>
      </c>
      <c r="B11483">
        <v>1230.39001464844</v>
      </c>
    </row>
    <row r="11484" spans="1:2" x14ac:dyDescent="0.25">
      <c r="A11484" s="5">
        <v>38579</v>
      </c>
      <c r="B11484">
        <v>1233.86999511719</v>
      </c>
    </row>
    <row r="11485" spans="1:2" x14ac:dyDescent="0.25">
      <c r="A11485" s="5">
        <v>38580</v>
      </c>
      <c r="B11485">
        <v>1219.33996582031</v>
      </c>
    </row>
    <row r="11486" spans="1:2" x14ac:dyDescent="0.25">
      <c r="A11486" s="5">
        <v>38581</v>
      </c>
      <c r="B11486">
        <v>1220.23999023438</v>
      </c>
    </row>
    <row r="11487" spans="1:2" x14ac:dyDescent="0.25">
      <c r="A11487" s="5">
        <v>38582</v>
      </c>
      <c r="B11487">
        <v>1219.02001953125</v>
      </c>
    </row>
    <row r="11488" spans="1:2" x14ac:dyDescent="0.25">
      <c r="A11488" s="5">
        <v>38583</v>
      </c>
      <c r="B11488">
        <v>1219.7099609375</v>
      </c>
    </row>
    <row r="11489" spans="1:2" x14ac:dyDescent="0.25">
      <c r="A11489" s="5">
        <v>38586</v>
      </c>
      <c r="B11489">
        <v>1221.72998046875</v>
      </c>
    </row>
    <row r="11490" spans="1:2" x14ac:dyDescent="0.25">
      <c r="A11490" s="5">
        <v>38587</v>
      </c>
      <c r="B11490">
        <v>1217.58996582031</v>
      </c>
    </row>
    <row r="11491" spans="1:2" x14ac:dyDescent="0.25">
      <c r="A11491" s="5">
        <v>38588</v>
      </c>
      <c r="B11491">
        <v>1209.58996582031</v>
      </c>
    </row>
    <row r="11492" spans="1:2" x14ac:dyDescent="0.25">
      <c r="A11492" s="5">
        <v>38589</v>
      </c>
      <c r="B11492">
        <v>1212.36999511719</v>
      </c>
    </row>
    <row r="11493" spans="1:2" x14ac:dyDescent="0.25">
      <c r="A11493" s="5">
        <v>38590</v>
      </c>
      <c r="B11493">
        <v>1205.09997558594</v>
      </c>
    </row>
    <row r="11494" spans="1:2" x14ac:dyDescent="0.25">
      <c r="A11494" s="5">
        <v>38593</v>
      </c>
      <c r="B11494">
        <v>1212.28002929688</v>
      </c>
    </row>
    <row r="11495" spans="1:2" x14ac:dyDescent="0.25">
      <c r="A11495" s="5">
        <v>38594</v>
      </c>
      <c r="B11495">
        <v>1208.41003417969</v>
      </c>
    </row>
    <row r="11496" spans="1:2" x14ac:dyDescent="0.25">
      <c r="A11496" s="5">
        <v>38595</v>
      </c>
      <c r="B11496">
        <v>1220.32995605469</v>
      </c>
    </row>
    <row r="11497" spans="1:2" x14ac:dyDescent="0.25">
      <c r="A11497" s="5">
        <v>38596</v>
      </c>
      <c r="B11497">
        <v>1221.58996582031</v>
      </c>
    </row>
    <row r="11498" spans="1:2" x14ac:dyDescent="0.25">
      <c r="A11498" s="5">
        <v>38597</v>
      </c>
      <c r="B11498">
        <v>1218.02001953125</v>
      </c>
    </row>
    <row r="11499" spans="1:2" x14ac:dyDescent="0.25">
      <c r="A11499" s="5">
        <v>38601</v>
      </c>
      <c r="B11499">
        <v>1233.39001464844</v>
      </c>
    </row>
    <row r="11500" spans="1:2" x14ac:dyDescent="0.25">
      <c r="A11500" s="5">
        <v>38602</v>
      </c>
      <c r="B11500">
        <v>1236.35998535156</v>
      </c>
    </row>
    <row r="11501" spans="1:2" x14ac:dyDescent="0.25">
      <c r="A11501" s="5">
        <v>38603</v>
      </c>
      <c r="B11501">
        <v>1231.67004394531</v>
      </c>
    </row>
    <row r="11502" spans="1:2" x14ac:dyDescent="0.25">
      <c r="A11502" s="5">
        <v>38604</v>
      </c>
      <c r="B11502">
        <v>1241.47998046875</v>
      </c>
    </row>
    <row r="11503" spans="1:2" x14ac:dyDescent="0.25">
      <c r="A11503" s="5">
        <v>38607</v>
      </c>
      <c r="B11503">
        <v>1240.56005859375</v>
      </c>
    </row>
    <row r="11504" spans="1:2" x14ac:dyDescent="0.25">
      <c r="A11504" s="5">
        <v>38608</v>
      </c>
      <c r="B11504">
        <v>1231.19995117188</v>
      </c>
    </row>
    <row r="11505" spans="1:2" x14ac:dyDescent="0.25">
      <c r="A11505" s="5">
        <v>38609</v>
      </c>
      <c r="B11505">
        <v>1227.16003417969</v>
      </c>
    </row>
    <row r="11506" spans="1:2" x14ac:dyDescent="0.25">
      <c r="A11506" s="5">
        <v>38610</v>
      </c>
      <c r="B11506">
        <v>1227.72998046875</v>
      </c>
    </row>
    <row r="11507" spans="1:2" x14ac:dyDescent="0.25">
      <c r="A11507" s="5">
        <v>38611</v>
      </c>
      <c r="B11507">
        <v>1237.91003417969</v>
      </c>
    </row>
    <row r="11508" spans="1:2" x14ac:dyDescent="0.25">
      <c r="A11508" s="5">
        <v>38614</v>
      </c>
      <c r="B11508">
        <v>1231.02001953125</v>
      </c>
    </row>
    <row r="11509" spans="1:2" x14ac:dyDescent="0.25">
      <c r="A11509" s="5">
        <v>38615</v>
      </c>
      <c r="B11509">
        <v>1221.33996582031</v>
      </c>
    </row>
    <row r="11510" spans="1:2" x14ac:dyDescent="0.25">
      <c r="A11510" s="5">
        <v>38616</v>
      </c>
      <c r="B11510">
        <v>1210.19995117188</v>
      </c>
    </row>
    <row r="11511" spans="1:2" x14ac:dyDescent="0.25">
      <c r="A11511" s="5">
        <v>38617</v>
      </c>
      <c r="B11511">
        <v>1214.61999511719</v>
      </c>
    </row>
    <row r="11512" spans="1:2" x14ac:dyDescent="0.25">
      <c r="A11512" s="5">
        <v>38618</v>
      </c>
      <c r="B11512">
        <v>1215.2900390625</v>
      </c>
    </row>
    <row r="11513" spans="1:2" x14ac:dyDescent="0.25">
      <c r="A11513" s="5">
        <v>38621</v>
      </c>
      <c r="B11513">
        <v>1215.63000488281</v>
      </c>
    </row>
    <row r="11514" spans="1:2" x14ac:dyDescent="0.25">
      <c r="A11514" s="5">
        <v>38622</v>
      </c>
      <c r="B11514">
        <v>1215.66003417969</v>
      </c>
    </row>
    <row r="11515" spans="1:2" x14ac:dyDescent="0.25">
      <c r="A11515" s="5">
        <v>38623</v>
      </c>
      <c r="B11515">
        <v>1216.89001464844</v>
      </c>
    </row>
    <row r="11516" spans="1:2" x14ac:dyDescent="0.25">
      <c r="A11516" s="5">
        <v>38624</v>
      </c>
      <c r="B11516">
        <v>1227.68005371094</v>
      </c>
    </row>
    <row r="11517" spans="1:2" x14ac:dyDescent="0.25">
      <c r="A11517" s="5">
        <v>38625</v>
      </c>
      <c r="B11517">
        <v>1228.81005859375</v>
      </c>
    </row>
    <row r="11518" spans="1:2" x14ac:dyDescent="0.25">
      <c r="A11518" s="5">
        <v>38628</v>
      </c>
      <c r="B11518">
        <v>1226.69995117188</v>
      </c>
    </row>
    <row r="11519" spans="1:2" x14ac:dyDescent="0.25">
      <c r="A11519" s="5">
        <v>38629</v>
      </c>
      <c r="B11519">
        <v>1214.46997070312</v>
      </c>
    </row>
    <row r="11520" spans="1:2" x14ac:dyDescent="0.25">
      <c r="A11520" s="5">
        <v>38630</v>
      </c>
      <c r="B11520">
        <v>1196.39001464844</v>
      </c>
    </row>
    <row r="11521" spans="1:2" x14ac:dyDescent="0.25">
      <c r="A11521" s="5">
        <v>38631</v>
      </c>
      <c r="B11521">
        <v>1191.48999023438</v>
      </c>
    </row>
    <row r="11522" spans="1:2" x14ac:dyDescent="0.25">
      <c r="A11522" s="5">
        <v>38632</v>
      </c>
      <c r="B11522">
        <v>1195.90002441406</v>
      </c>
    </row>
    <row r="11523" spans="1:2" x14ac:dyDescent="0.25">
      <c r="A11523" s="5">
        <v>38635</v>
      </c>
      <c r="B11523">
        <v>1187.32995605469</v>
      </c>
    </row>
    <row r="11524" spans="1:2" x14ac:dyDescent="0.25">
      <c r="A11524" s="5">
        <v>38636</v>
      </c>
      <c r="B11524">
        <v>1184.86999511719</v>
      </c>
    </row>
    <row r="11525" spans="1:2" x14ac:dyDescent="0.25">
      <c r="A11525" s="5">
        <v>38637</v>
      </c>
      <c r="B11525">
        <v>1177.68005371094</v>
      </c>
    </row>
    <row r="11526" spans="1:2" x14ac:dyDescent="0.25">
      <c r="A11526" s="5">
        <v>38638</v>
      </c>
      <c r="B11526">
        <v>1176.83996582031</v>
      </c>
    </row>
    <row r="11527" spans="1:2" x14ac:dyDescent="0.25">
      <c r="A11527" s="5">
        <v>38639</v>
      </c>
      <c r="B11527">
        <v>1186.56994628906</v>
      </c>
    </row>
    <row r="11528" spans="1:2" x14ac:dyDescent="0.25">
      <c r="A11528" s="5">
        <v>38642</v>
      </c>
      <c r="B11528">
        <v>1190.09997558594</v>
      </c>
    </row>
    <row r="11529" spans="1:2" x14ac:dyDescent="0.25">
      <c r="A11529" s="5">
        <v>38643</v>
      </c>
      <c r="B11529">
        <v>1178.14001464844</v>
      </c>
    </row>
    <row r="11530" spans="1:2" x14ac:dyDescent="0.25">
      <c r="A11530" s="5">
        <v>38644</v>
      </c>
      <c r="B11530">
        <v>1195.76000976562</v>
      </c>
    </row>
    <row r="11531" spans="1:2" x14ac:dyDescent="0.25">
      <c r="A11531" s="5">
        <v>38645</v>
      </c>
      <c r="B11531">
        <v>1177.80004882812</v>
      </c>
    </row>
    <row r="11532" spans="1:2" x14ac:dyDescent="0.25">
      <c r="A11532" s="5">
        <v>38646</v>
      </c>
      <c r="B11532">
        <v>1179.58996582031</v>
      </c>
    </row>
    <row r="11533" spans="1:2" x14ac:dyDescent="0.25">
      <c r="A11533" s="5">
        <v>38649</v>
      </c>
      <c r="B11533">
        <v>1199.38000488281</v>
      </c>
    </row>
    <row r="11534" spans="1:2" x14ac:dyDescent="0.25">
      <c r="A11534" s="5">
        <v>38650</v>
      </c>
      <c r="B11534">
        <v>1196.5400390625</v>
      </c>
    </row>
    <row r="11535" spans="1:2" x14ac:dyDescent="0.25">
      <c r="A11535" s="5">
        <v>38651</v>
      </c>
      <c r="B11535">
        <v>1191.38000488281</v>
      </c>
    </row>
    <row r="11536" spans="1:2" x14ac:dyDescent="0.25">
      <c r="A11536" s="5">
        <v>38652</v>
      </c>
      <c r="B11536">
        <v>1178.90002441406</v>
      </c>
    </row>
    <row r="11537" spans="1:2" x14ac:dyDescent="0.25">
      <c r="A11537" s="5">
        <v>38653</v>
      </c>
      <c r="B11537">
        <v>1198.41003417969</v>
      </c>
    </row>
    <row r="11538" spans="1:2" x14ac:dyDescent="0.25">
      <c r="A11538" s="5">
        <v>38656</v>
      </c>
      <c r="B11538">
        <v>1207.01000976562</v>
      </c>
    </row>
    <row r="11539" spans="1:2" x14ac:dyDescent="0.25">
      <c r="A11539" s="5">
        <v>38657</v>
      </c>
      <c r="B11539">
        <v>1202.76000976562</v>
      </c>
    </row>
    <row r="11540" spans="1:2" x14ac:dyDescent="0.25">
      <c r="A11540" s="5">
        <v>38658</v>
      </c>
      <c r="B11540">
        <v>1214.76000976562</v>
      </c>
    </row>
    <row r="11541" spans="1:2" x14ac:dyDescent="0.25">
      <c r="A11541" s="5">
        <v>38659</v>
      </c>
      <c r="B11541">
        <v>1219.93994140625</v>
      </c>
    </row>
    <row r="11542" spans="1:2" x14ac:dyDescent="0.25">
      <c r="A11542" s="5">
        <v>38660</v>
      </c>
      <c r="B11542">
        <v>1220.14001464844</v>
      </c>
    </row>
    <row r="11543" spans="1:2" x14ac:dyDescent="0.25">
      <c r="A11543" s="5">
        <v>38663</v>
      </c>
      <c r="B11543">
        <v>1222.81005859375</v>
      </c>
    </row>
    <row r="11544" spans="1:2" x14ac:dyDescent="0.25">
      <c r="A11544" s="5">
        <v>38664</v>
      </c>
      <c r="B11544">
        <v>1218.58996582031</v>
      </c>
    </row>
    <row r="11545" spans="1:2" x14ac:dyDescent="0.25">
      <c r="A11545" s="5">
        <v>38665</v>
      </c>
      <c r="B11545">
        <v>1220.65002441406</v>
      </c>
    </row>
    <row r="11546" spans="1:2" x14ac:dyDescent="0.25">
      <c r="A11546" s="5">
        <v>38666</v>
      </c>
      <c r="B11546">
        <v>1230.9599609375</v>
      </c>
    </row>
    <row r="11547" spans="1:2" x14ac:dyDescent="0.25">
      <c r="A11547" s="5">
        <v>38667</v>
      </c>
      <c r="B11547">
        <v>1234.71997070312</v>
      </c>
    </row>
    <row r="11548" spans="1:2" x14ac:dyDescent="0.25">
      <c r="A11548" s="5">
        <v>38670</v>
      </c>
      <c r="B11548">
        <v>1233.76000976562</v>
      </c>
    </row>
    <row r="11549" spans="1:2" x14ac:dyDescent="0.25">
      <c r="A11549" s="5">
        <v>38671</v>
      </c>
      <c r="B11549">
        <v>1229.01000976562</v>
      </c>
    </row>
    <row r="11550" spans="1:2" x14ac:dyDescent="0.25">
      <c r="A11550" s="5">
        <v>38672</v>
      </c>
      <c r="B11550">
        <v>1231.2099609375</v>
      </c>
    </row>
    <row r="11551" spans="1:2" x14ac:dyDescent="0.25">
      <c r="A11551" s="5">
        <v>38673</v>
      </c>
      <c r="B11551">
        <v>1242.80004882812</v>
      </c>
    </row>
    <row r="11552" spans="1:2" x14ac:dyDescent="0.25">
      <c r="A11552" s="5">
        <v>38674</v>
      </c>
      <c r="B11552">
        <v>1248.27001953125</v>
      </c>
    </row>
    <row r="11553" spans="1:2" x14ac:dyDescent="0.25">
      <c r="A11553" s="5">
        <v>38677</v>
      </c>
      <c r="B11553">
        <v>1254.84997558594</v>
      </c>
    </row>
    <row r="11554" spans="1:2" x14ac:dyDescent="0.25">
      <c r="A11554" s="5">
        <v>38678</v>
      </c>
      <c r="B11554">
        <v>1261.22998046875</v>
      </c>
    </row>
    <row r="11555" spans="1:2" x14ac:dyDescent="0.25">
      <c r="A11555" s="5">
        <v>38679</v>
      </c>
      <c r="B11555">
        <v>1265.60998535156</v>
      </c>
    </row>
    <row r="11556" spans="1:2" x14ac:dyDescent="0.25">
      <c r="A11556" s="5">
        <v>38681</v>
      </c>
      <c r="B11556">
        <v>1268.25</v>
      </c>
    </row>
    <row r="11557" spans="1:2" x14ac:dyDescent="0.25">
      <c r="A11557" s="5">
        <v>38684</v>
      </c>
      <c r="B11557">
        <v>1257.4599609375</v>
      </c>
    </row>
    <row r="11558" spans="1:2" x14ac:dyDescent="0.25">
      <c r="A11558" s="5">
        <v>38685</v>
      </c>
      <c r="B11558">
        <v>1257.47998046875</v>
      </c>
    </row>
    <row r="11559" spans="1:2" x14ac:dyDescent="0.25">
      <c r="A11559" s="5">
        <v>38686</v>
      </c>
      <c r="B11559">
        <v>1249.47998046875</v>
      </c>
    </row>
    <row r="11560" spans="1:2" x14ac:dyDescent="0.25">
      <c r="A11560" s="5">
        <v>38687</v>
      </c>
      <c r="B11560">
        <v>1264.67004394531</v>
      </c>
    </row>
    <row r="11561" spans="1:2" x14ac:dyDescent="0.25">
      <c r="A11561" s="5">
        <v>38688</v>
      </c>
      <c r="B11561">
        <v>1265.07995605469</v>
      </c>
    </row>
    <row r="11562" spans="1:2" x14ac:dyDescent="0.25">
      <c r="A11562" s="5">
        <v>38691</v>
      </c>
      <c r="B11562">
        <v>1262.08996582031</v>
      </c>
    </row>
    <row r="11563" spans="1:2" x14ac:dyDescent="0.25">
      <c r="A11563" s="5">
        <v>38692</v>
      </c>
      <c r="B11563">
        <v>1263.69995117188</v>
      </c>
    </row>
    <row r="11564" spans="1:2" x14ac:dyDescent="0.25">
      <c r="A11564" s="5">
        <v>38693</v>
      </c>
      <c r="B11564">
        <v>1257.36999511719</v>
      </c>
    </row>
    <row r="11565" spans="1:2" x14ac:dyDescent="0.25">
      <c r="A11565" s="5">
        <v>38694</v>
      </c>
      <c r="B11565">
        <v>1255.83996582031</v>
      </c>
    </row>
    <row r="11566" spans="1:2" x14ac:dyDescent="0.25">
      <c r="A11566" s="5">
        <v>38695</v>
      </c>
      <c r="B11566">
        <v>1259.36999511719</v>
      </c>
    </row>
    <row r="11567" spans="1:2" x14ac:dyDescent="0.25">
      <c r="A11567" s="5">
        <v>38698</v>
      </c>
      <c r="B11567">
        <v>1260.43005371094</v>
      </c>
    </row>
    <row r="11568" spans="1:2" x14ac:dyDescent="0.25">
      <c r="A11568" s="5">
        <v>38699</v>
      </c>
      <c r="B11568">
        <v>1267.43005371094</v>
      </c>
    </row>
    <row r="11569" spans="1:2" x14ac:dyDescent="0.25">
      <c r="A11569" s="5">
        <v>38700</v>
      </c>
      <c r="B11569">
        <v>1272.73999023438</v>
      </c>
    </row>
    <row r="11570" spans="1:2" x14ac:dyDescent="0.25">
      <c r="A11570" s="5">
        <v>38701</v>
      </c>
      <c r="B11570">
        <v>1270.93994140625</v>
      </c>
    </row>
    <row r="11571" spans="1:2" x14ac:dyDescent="0.25">
      <c r="A11571" s="5">
        <v>38702</v>
      </c>
      <c r="B11571">
        <v>1267.31994628906</v>
      </c>
    </row>
    <row r="11572" spans="1:2" x14ac:dyDescent="0.25">
      <c r="A11572" s="5">
        <v>38705</v>
      </c>
      <c r="B11572">
        <v>1259.92004394531</v>
      </c>
    </row>
    <row r="11573" spans="1:2" x14ac:dyDescent="0.25">
      <c r="A11573" s="5">
        <v>38706</v>
      </c>
      <c r="B11573">
        <v>1259.61999511719</v>
      </c>
    </row>
    <row r="11574" spans="1:2" x14ac:dyDescent="0.25">
      <c r="A11574" s="5">
        <v>38707</v>
      </c>
      <c r="B11574">
        <v>1262.7900390625</v>
      </c>
    </row>
    <row r="11575" spans="1:2" x14ac:dyDescent="0.25">
      <c r="A11575" s="5">
        <v>38708</v>
      </c>
      <c r="B11575">
        <v>1268.11999511719</v>
      </c>
    </row>
    <row r="11576" spans="1:2" x14ac:dyDescent="0.25">
      <c r="A11576" s="5">
        <v>38709</v>
      </c>
      <c r="B11576">
        <v>1268.66003417969</v>
      </c>
    </row>
    <row r="11577" spans="1:2" x14ac:dyDescent="0.25">
      <c r="A11577" s="5">
        <v>38713</v>
      </c>
      <c r="B11577">
        <v>1256.5400390625</v>
      </c>
    </row>
    <row r="11578" spans="1:2" x14ac:dyDescent="0.25">
      <c r="A11578" s="5">
        <v>38714</v>
      </c>
      <c r="B11578">
        <v>1258.17004394531</v>
      </c>
    </row>
    <row r="11579" spans="1:2" x14ac:dyDescent="0.25">
      <c r="A11579" s="5">
        <v>38715</v>
      </c>
      <c r="B11579">
        <v>1254.42004394531</v>
      </c>
    </row>
    <row r="11580" spans="1:2" x14ac:dyDescent="0.25">
      <c r="A11580" s="5">
        <v>38716</v>
      </c>
      <c r="B11580">
        <v>1248.2900390625</v>
      </c>
    </row>
    <row r="11581" spans="1:2" x14ac:dyDescent="0.25">
      <c r="A11581" s="5">
        <v>38720</v>
      </c>
      <c r="B11581">
        <v>1268.80004882812</v>
      </c>
    </row>
    <row r="11582" spans="1:2" x14ac:dyDescent="0.25">
      <c r="A11582" s="5">
        <v>38721</v>
      </c>
      <c r="B11582">
        <v>1273.4599609375</v>
      </c>
    </row>
    <row r="11583" spans="1:2" x14ac:dyDescent="0.25">
      <c r="A11583" s="5">
        <v>38722</v>
      </c>
      <c r="B11583">
        <v>1273.47998046875</v>
      </c>
    </row>
    <row r="11584" spans="1:2" x14ac:dyDescent="0.25">
      <c r="A11584" s="5">
        <v>38723</v>
      </c>
      <c r="B11584">
        <v>1285.44995117188</v>
      </c>
    </row>
    <row r="11585" spans="1:2" x14ac:dyDescent="0.25">
      <c r="A11585" s="5">
        <v>38726</v>
      </c>
      <c r="B11585">
        <v>1290.15002441406</v>
      </c>
    </row>
    <row r="11586" spans="1:2" x14ac:dyDescent="0.25">
      <c r="A11586" s="5">
        <v>38727</v>
      </c>
      <c r="B11586">
        <v>1289.68994140625</v>
      </c>
    </row>
    <row r="11587" spans="1:2" x14ac:dyDescent="0.25">
      <c r="A11587" s="5">
        <v>38728</v>
      </c>
      <c r="B11587">
        <v>1294.18005371094</v>
      </c>
    </row>
    <row r="11588" spans="1:2" x14ac:dyDescent="0.25">
      <c r="A11588" s="5">
        <v>38729</v>
      </c>
      <c r="B11588">
        <v>1286.06005859375</v>
      </c>
    </row>
    <row r="11589" spans="1:2" x14ac:dyDescent="0.25">
      <c r="A11589" s="5">
        <v>38730</v>
      </c>
      <c r="B11589">
        <v>1287.60998535156</v>
      </c>
    </row>
    <row r="11590" spans="1:2" x14ac:dyDescent="0.25">
      <c r="A11590" s="5">
        <v>38734</v>
      </c>
      <c r="B11590">
        <v>1282.93005371094</v>
      </c>
    </row>
    <row r="11591" spans="1:2" x14ac:dyDescent="0.25">
      <c r="A11591" s="5">
        <v>38735</v>
      </c>
      <c r="B11591">
        <v>1277.93005371094</v>
      </c>
    </row>
    <row r="11592" spans="1:2" x14ac:dyDescent="0.25">
      <c r="A11592" s="5">
        <v>38736</v>
      </c>
      <c r="B11592">
        <v>1285.0400390625</v>
      </c>
    </row>
    <row r="11593" spans="1:2" x14ac:dyDescent="0.25">
      <c r="A11593" s="5">
        <v>38737</v>
      </c>
      <c r="B11593">
        <v>1261.48999023438</v>
      </c>
    </row>
    <row r="11594" spans="1:2" x14ac:dyDescent="0.25">
      <c r="A11594" s="5">
        <v>38740</v>
      </c>
      <c r="B11594">
        <v>1263.81994628906</v>
      </c>
    </row>
    <row r="11595" spans="1:2" x14ac:dyDescent="0.25">
      <c r="A11595" s="5">
        <v>38741</v>
      </c>
      <c r="B11595">
        <v>1266.85998535156</v>
      </c>
    </row>
    <row r="11596" spans="1:2" x14ac:dyDescent="0.25">
      <c r="A11596" s="5">
        <v>38742</v>
      </c>
      <c r="B11596">
        <v>1264.68005371094</v>
      </c>
    </row>
    <row r="11597" spans="1:2" x14ac:dyDescent="0.25">
      <c r="A11597" s="5">
        <v>38743</v>
      </c>
      <c r="B11597">
        <v>1273.82995605469</v>
      </c>
    </row>
    <row r="11598" spans="1:2" x14ac:dyDescent="0.25">
      <c r="A11598" s="5">
        <v>38744</v>
      </c>
      <c r="B11598">
        <v>1283.71997070312</v>
      </c>
    </row>
    <row r="11599" spans="1:2" x14ac:dyDescent="0.25">
      <c r="A11599" s="5">
        <v>38747</v>
      </c>
      <c r="B11599">
        <v>1285.18994140625</v>
      </c>
    </row>
    <row r="11600" spans="1:2" x14ac:dyDescent="0.25">
      <c r="A11600" s="5">
        <v>38748</v>
      </c>
      <c r="B11600">
        <v>1280.07995605469</v>
      </c>
    </row>
    <row r="11601" spans="1:2" x14ac:dyDescent="0.25">
      <c r="A11601" s="5">
        <v>38749</v>
      </c>
      <c r="B11601">
        <v>1282.4599609375</v>
      </c>
    </row>
    <row r="11602" spans="1:2" x14ac:dyDescent="0.25">
      <c r="A11602" s="5">
        <v>38750</v>
      </c>
      <c r="B11602">
        <v>1270.83996582031</v>
      </c>
    </row>
    <row r="11603" spans="1:2" x14ac:dyDescent="0.25">
      <c r="A11603" s="5">
        <v>38751</v>
      </c>
      <c r="B11603">
        <v>1264.03002929688</v>
      </c>
    </row>
    <row r="11604" spans="1:2" x14ac:dyDescent="0.25">
      <c r="A11604" s="5">
        <v>38754</v>
      </c>
      <c r="B11604">
        <v>1265.02001953125</v>
      </c>
    </row>
    <row r="11605" spans="1:2" x14ac:dyDescent="0.25">
      <c r="A11605" s="5">
        <v>38755</v>
      </c>
      <c r="B11605">
        <v>1254.78002929688</v>
      </c>
    </row>
    <row r="11606" spans="1:2" x14ac:dyDescent="0.25">
      <c r="A11606" s="5">
        <v>38756</v>
      </c>
      <c r="B11606">
        <v>1265.65002441406</v>
      </c>
    </row>
    <row r="11607" spans="1:2" x14ac:dyDescent="0.25">
      <c r="A11607" s="5">
        <v>38757</v>
      </c>
      <c r="B11607">
        <v>1263.78002929688</v>
      </c>
    </row>
    <row r="11608" spans="1:2" x14ac:dyDescent="0.25">
      <c r="A11608" s="5">
        <v>38758</v>
      </c>
      <c r="B11608">
        <v>1266.98999023438</v>
      </c>
    </row>
    <row r="11609" spans="1:2" x14ac:dyDescent="0.25">
      <c r="A11609" s="5">
        <v>38761</v>
      </c>
      <c r="B11609">
        <v>1262.85998535156</v>
      </c>
    </row>
    <row r="11610" spans="1:2" x14ac:dyDescent="0.25">
      <c r="A11610" s="5">
        <v>38762</v>
      </c>
      <c r="B11610">
        <v>1275.53002929688</v>
      </c>
    </row>
    <row r="11611" spans="1:2" x14ac:dyDescent="0.25">
      <c r="A11611" s="5">
        <v>38763</v>
      </c>
      <c r="B11611">
        <v>1280</v>
      </c>
    </row>
    <row r="11612" spans="1:2" x14ac:dyDescent="0.25">
      <c r="A11612" s="5">
        <v>38764</v>
      </c>
      <c r="B11612">
        <v>1289.38000488281</v>
      </c>
    </row>
    <row r="11613" spans="1:2" x14ac:dyDescent="0.25">
      <c r="A11613" s="5">
        <v>38765</v>
      </c>
      <c r="B11613">
        <v>1287.23999023438</v>
      </c>
    </row>
    <row r="11614" spans="1:2" x14ac:dyDescent="0.25">
      <c r="A11614" s="5">
        <v>38769</v>
      </c>
      <c r="B11614">
        <v>1283.03002929688</v>
      </c>
    </row>
    <row r="11615" spans="1:2" x14ac:dyDescent="0.25">
      <c r="A11615" s="5">
        <v>38770</v>
      </c>
      <c r="B11615">
        <v>1292.67004394531</v>
      </c>
    </row>
    <row r="11616" spans="1:2" x14ac:dyDescent="0.25">
      <c r="A11616" s="5">
        <v>38771</v>
      </c>
      <c r="B11616">
        <v>1287.7900390625</v>
      </c>
    </row>
    <row r="11617" spans="1:2" x14ac:dyDescent="0.25">
      <c r="A11617" s="5">
        <v>38772</v>
      </c>
      <c r="B11617">
        <v>1289.43005371094</v>
      </c>
    </row>
    <row r="11618" spans="1:2" x14ac:dyDescent="0.25">
      <c r="A11618" s="5">
        <v>38775</v>
      </c>
      <c r="B11618">
        <v>1294.11999511719</v>
      </c>
    </row>
    <row r="11619" spans="1:2" x14ac:dyDescent="0.25">
      <c r="A11619" s="5">
        <v>38776</v>
      </c>
      <c r="B11619">
        <v>1280.66003417969</v>
      </c>
    </row>
    <row r="11620" spans="1:2" x14ac:dyDescent="0.25">
      <c r="A11620" s="5">
        <v>38777</v>
      </c>
      <c r="B11620">
        <v>1291.23999023438</v>
      </c>
    </row>
    <row r="11621" spans="1:2" x14ac:dyDescent="0.25">
      <c r="A11621" s="5">
        <v>38778</v>
      </c>
      <c r="B11621">
        <v>1289.14001464844</v>
      </c>
    </row>
    <row r="11622" spans="1:2" x14ac:dyDescent="0.25">
      <c r="A11622" s="5">
        <v>38779</v>
      </c>
      <c r="B11622">
        <v>1287.22998046875</v>
      </c>
    </row>
    <row r="11623" spans="1:2" x14ac:dyDescent="0.25">
      <c r="A11623" s="5">
        <v>38782</v>
      </c>
      <c r="B11623">
        <v>1278.26000976562</v>
      </c>
    </row>
    <row r="11624" spans="1:2" x14ac:dyDescent="0.25">
      <c r="A11624" s="5">
        <v>38783</v>
      </c>
      <c r="B11624">
        <v>1275.88000488281</v>
      </c>
    </row>
    <row r="11625" spans="1:2" x14ac:dyDescent="0.25">
      <c r="A11625" s="5">
        <v>38784</v>
      </c>
      <c r="B11625">
        <v>1278.46997070312</v>
      </c>
    </row>
    <row r="11626" spans="1:2" x14ac:dyDescent="0.25">
      <c r="A11626" s="5">
        <v>38785</v>
      </c>
      <c r="B11626">
        <v>1272.22998046875</v>
      </c>
    </row>
    <row r="11627" spans="1:2" x14ac:dyDescent="0.25">
      <c r="A11627" s="5">
        <v>38786</v>
      </c>
      <c r="B11627">
        <v>1281.42004394531</v>
      </c>
    </row>
    <row r="11628" spans="1:2" x14ac:dyDescent="0.25">
      <c r="A11628" s="5">
        <v>38789</v>
      </c>
      <c r="B11628">
        <v>1284.13000488281</v>
      </c>
    </row>
    <row r="11629" spans="1:2" x14ac:dyDescent="0.25">
      <c r="A11629" s="5">
        <v>38790</v>
      </c>
      <c r="B11629">
        <v>1297.47998046875</v>
      </c>
    </row>
    <row r="11630" spans="1:2" x14ac:dyDescent="0.25">
      <c r="A11630" s="5">
        <v>38791</v>
      </c>
      <c r="B11630">
        <v>1303.02001953125</v>
      </c>
    </row>
    <row r="11631" spans="1:2" x14ac:dyDescent="0.25">
      <c r="A11631" s="5">
        <v>38792</v>
      </c>
      <c r="B11631">
        <v>1305.32995605469</v>
      </c>
    </row>
    <row r="11632" spans="1:2" x14ac:dyDescent="0.25">
      <c r="A11632" s="5">
        <v>38793</v>
      </c>
      <c r="B11632">
        <v>1307.25</v>
      </c>
    </row>
    <row r="11633" spans="1:2" x14ac:dyDescent="0.25">
      <c r="A11633" s="5">
        <v>38796</v>
      </c>
      <c r="B11633">
        <v>1305.07995605469</v>
      </c>
    </row>
    <row r="11634" spans="1:2" x14ac:dyDescent="0.25">
      <c r="A11634" s="5">
        <v>38797</v>
      </c>
      <c r="B11634">
        <v>1297.22998046875</v>
      </c>
    </row>
    <row r="11635" spans="1:2" x14ac:dyDescent="0.25">
      <c r="A11635" s="5">
        <v>38798</v>
      </c>
      <c r="B11635">
        <v>1305.0400390625</v>
      </c>
    </row>
    <row r="11636" spans="1:2" x14ac:dyDescent="0.25">
      <c r="A11636" s="5">
        <v>38799</v>
      </c>
      <c r="B11636">
        <v>1301.67004394531</v>
      </c>
    </row>
    <row r="11637" spans="1:2" x14ac:dyDescent="0.25">
      <c r="A11637" s="5">
        <v>38800</v>
      </c>
      <c r="B11637">
        <v>1302.94995117188</v>
      </c>
    </row>
    <row r="11638" spans="1:2" x14ac:dyDescent="0.25">
      <c r="A11638" s="5">
        <v>38803</v>
      </c>
      <c r="B11638">
        <v>1301.60998535156</v>
      </c>
    </row>
    <row r="11639" spans="1:2" x14ac:dyDescent="0.25">
      <c r="A11639" s="5">
        <v>38804</v>
      </c>
      <c r="B11639">
        <v>1293.22998046875</v>
      </c>
    </row>
    <row r="11640" spans="1:2" x14ac:dyDescent="0.25">
      <c r="A11640" s="5">
        <v>38805</v>
      </c>
      <c r="B11640">
        <v>1302.89001464844</v>
      </c>
    </row>
    <row r="11641" spans="1:2" x14ac:dyDescent="0.25">
      <c r="A11641" s="5">
        <v>38806</v>
      </c>
      <c r="B11641">
        <v>1300.25</v>
      </c>
    </row>
    <row r="11642" spans="1:2" x14ac:dyDescent="0.25">
      <c r="A11642" s="5">
        <v>38807</v>
      </c>
      <c r="B11642">
        <v>1294.86999511719</v>
      </c>
    </row>
    <row r="11643" spans="1:2" x14ac:dyDescent="0.25">
      <c r="A11643" s="5">
        <v>38810</v>
      </c>
      <c r="B11643">
        <v>1297.81005859375</v>
      </c>
    </row>
    <row r="11644" spans="1:2" x14ac:dyDescent="0.25">
      <c r="A11644" s="5">
        <v>38811</v>
      </c>
      <c r="B11644">
        <v>1305.93005371094</v>
      </c>
    </row>
    <row r="11645" spans="1:2" x14ac:dyDescent="0.25">
      <c r="A11645" s="5">
        <v>38812</v>
      </c>
      <c r="B11645">
        <v>1311.56005859375</v>
      </c>
    </row>
    <row r="11646" spans="1:2" x14ac:dyDescent="0.25">
      <c r="A11646" s="5">
        <v>38813</v>
      </c>
      <c r="B11646">
        <v>1309.0400390625</v>
      </c>
    </row>
    <row r="11647" spans="1:2" x14ac:dyDescent="0.25">
      <c r="A11647" s="5">
        <v>38814</v>
      </c>
      <c r="B11647">
        <v>1295.5</v>
      </c>
    </row>
    <row r="11648" spans="1:2" x14ac:dyDescent="0.25">
      <c r="A11648" s="5">
        <v>38817</v>
      </c>
      <c r="B11648">
        <v>1296.61999511719</v>
      </c>
    </row>
    <row r="11649" spans="1:2" x14ac:dyDescent="0.25">
      <c r="A11649" s="5">
        <v>38818</v>
      </c>
      <c r="B11649">
        <v>1286.56994628906</v>
      </c>
    </row>
    <row r="11650" spans="1:2" x14ac:dyDescent="0.25">
      <c r="A11650" s="5">
        <v>38819</v>
      </c>
      <c r="B11650">
        <v>1288.11999511719</v>
      </c>
    </row>
    <row r="11651" spans="1:2" x14ac:dyDescent="0.25">
      <c r="A11651" s="5">
        <v>38820</v>
      </c>
      <c r="B11651">
        <v>1289.11999511719</v>
      </c>
    </row>
    <row r="11652" spans="1:2" x14ac:dyDescent="0.25">
      <c r="A11652" s="5">
        <v>38824</v>
      </c>
      <c r="B11652">
        <v>1285.32995605469</v>
      </c>
    </row>
    <row r="11653" spans="1:2" x14ac:dyDescent="0.25">
      <c r="A11653" s="5">
        <v>38825</v>
      </c>
      <c r="B11653">
        <v>1307.28002929688</v>
      </c>
    </row>
    <row r="11654" spans="1:2" x14ac:dyDescent="0.25">
      <c r="A11654" s="5">
        <v>38826</v>
      </c>
      <c r="B11654">
        <v>1309.93005371094</v>
      </c>
    </row>
    <row r="11655" spans="1:2" x14ac:dyDescent="0.25">
      <c r="A11655" s="5">
        <v>38827</v>
      </c>
      <c r="B11655">
        <v>1311.4599609375</v>
      </c>
    </row>
    <row r="11656" spans="1:2" x14ac:dyDescent="0.25">
      <c r="A11656" s="5">
        <v>38828</v>
      </c>
      <c r="B11656">
        <v>1311.28002929688</v>
      </c>
    </row>
    <row r="11657" spans="1:2" x14ac:dyDescent="0.25">
      <c r="A11657" s="5">
        <v>38831</v>
      </c>
      <c r="B11657">
        <v>1308.10998535156</v>
      </c>
    </row>
    <row r="11658" spans="1:2" x14ac:dyDescent="0.25">
      <c r="A11658" s="5">
        <v>38832</v>
      </c>
      <c r="B11658">
        <v>1301.73999023438</v>
      </c>
    </row>
    <row r="11659" spans="1:2" x14ac:dyDescent="0.25">
      <c r="A11659" s="5">
        <v>38833</v>
      </c>
      <c r="B11659">
        <v>1305.41003417969</v>
      </c>
    </row>
    <row r="11660" spans="1:2" x14ac:dyDescent="0.25">
      <c r="A11660" s="5">
        <v>38834</v>
      </c>
      <c r="B11660">
        <v>1309.71997070312</v>
      </c>
    </row>
    <row r="11661" spans="1:2" x14ac:dyDescent="0.25">
      <c r="A11661" s="5">
        <v>38835</v>
      </c>
      <c r="B11661">
        <v>1310.60998535156</v>
      </c>
    </row>
    <row r="11662" spans="1:2" x14ac:dyDescent="0.25">
      <c r="A11662" s="5">
        <v>38838</v>
      </c>
      <c r="B11662">
        <v>1305.18994140625</v>
      </c>
    </row>
    <row r="11663" spans="1:2" x14ac:dyDescent="0.25">
      <c r="A11663" s="5">
        <v>38839</v>
      </c>
      <c r="B11663">
        <v>1313.2099609375</v>
      </c>
    </row>
    <row r="11664" spans="1:2" x14ac:dyDescent="0.25">
      <c r="A11664" s="5">
        <v>38840</v>
      </c>
      <c r="B11664">
        <v>1308.11999511719</v>
      </c>
    </row>
    <row r="11665" spans="1:2" x14ac:dyDescent="0.25">
      <c r="A11665" s="5">
        <v>38841</v>
      </c>
      <c r="B11665">
        <v>1312.25</v>
      </c>
    </row>
    <row r="11666" spans="1:2" x14ac:dyDescent="0.25">
      <c r="A11666" s="5">
        <v>38842</v>
      </c>
      <c r="B11666">
        <v>1325.76000976562</v>
      </c>
    </row>
    <row r="11667" spans="1:2" x14ac:dyDescent="0.25">
      <c r="A11667" s="5">
        <v>38845</v>
      </c>
      <c r="B11667">
        <v>1324.66003417969</v>
      </c>
    </row>
    <row r="11668" spans="1:2" x14ac:dyDescent="0.25">
      <c r="A11668" s="5">
        <v>38846</v>
      </c>
      <c r="B11668">
        <v>1325.14001464844</v>
      </c>
    </row>
    <row r="11669" spans="1:2" x14ac:dyDescent="0.25">
      <c r="A11669" s="5">
        <v>38847</v>
      </c>
      <c r="B11669">
        <v>1322.84997558594</v>
      </c>
    </row>
    <row r="11670" spans="1:2" x14ac:dyDescent="0.25">
      <c r="A11670" s="5">
        <v>38848</v>
      </c>
      <c r="B11670">
        <v>1305.92004394531</v>
      </c>
    </row>
    <row r="11671" spans="1:2" x14ac:dyDescent="0.25">
      <c r="A11671" s="5">
        <v>38849</v>
      </c>
      <c r="B11671">
        <v>1291.23999023438</v>
      </c>
    </row>
    <row r="11672" spans="1:2" x14ac:dyDescent="0.25">
      <c r="A11672" s="5">
        <v>38852</v>
      </c>
      <c r="B11672">
        <v>1294.5</v>
      </c>
    </row>
    <row r="11673" spans="1:2" x14ac:dyDescent="0.25">
      <c r="A11673" s="5">
        <v>38853</v>
      </c>
      <c r="B11673">
        <v>1292.07995605469</v>
      </c>
    </row>
    <row r="11674" spans="1:2" x14ac:dyDescent="0.25">
      <c r="A11674" s="5">
        <v>38854</v>
      </c>
      <c r="B11674">
        <v>1270.31994628906</v>
      </c>
    </row>
    <row r="11675" spans="1:2" x14ac:dyDescent="0.25">
      <c r="A11675" s="5">
        <v>38855</v>
      </c>
      <c r="B11675">
        <v>1261.81005859375</v>
      </c>
    </row>
    <row r="11676" spans="1:2" x14ac:dyDescent="0.25">
      <c r="A11676" s="5">
        <v>38856</v>
      </c>
      <c r="B11676">
        <v>1267.03002929688</v>
      </c>
    </row>
    <row r="11677" spans="1:2" x14ac:dyDescent="0.25">
      <c r="A11677" s="5">
        <v>38859</v>
      </c>
      <c r="B11677">
        <v>1262.06994628906</v>
      </c>
    </row>
    <row r="11678" spans="1:2" x14ac:dyDescent="0.25">
      <c r="A11678" s="5">
        <v>38860</v>
      </c>
      <c r="B11678">
        <v>1256.57995605469</v>
      </c>
    </row>
    <row r="11679" spans="1:2" x14ac:dyDescent="0.25">
      <c r="A11679" s="5">
        <v>38861</v>
      </c>
      <c r="B11679">
        <v>1258.56994628906</v>
      </c>
    </row>
    <row r="11680" spans="1:2" x14ac:dyDescent="0.25">
      <c r="A11680" s="5">
        <v>38862</v>
      </c>
      <c r="B11680">
        <v>1272.88000488281</v>
      </c>
    </row>
    <row r="11681" spans="1:2" x14ac:dyDescent="0.25">
      <c r="A11681" s="5">
        <v>38863</v>
      </c>
      <c r="B11681">
        <v>1280.16003417969</v>
      </c>
    </row>
    <row r="11682" spans="1:2" x14ac:dyDescent="0.25">
      <c r="A11682" s="5">
        <v>38867</v>
      </c>
      <c r="B11682">
        <v>1259.86999511719</v>
      </c>
    </row>
    <row r="11683" spans="1:2" x14ac:dyDescent="0.25">
      <c r="A11683" s="5">
        <v>38868</v>
      </c>
      <c r="B11683">
        <v>1270.08996582031</v>
      </c>
    </row>
    <row r="11684" spans="1:2" x14ac:dyDescent="0.25">
      <c r="A11684" s="5">
        <v>38869</v>
      </c>
      <c r="B11684">
        <v>1285.7099609375</v>
      </c>
    </row>
    <row r="11685" spans="1:2" x14ac:dyDescent="0.25">
      <c r="A11685" s="5">
        <v>38870</v>
      </c>
      <c r="B11685">
        <v>1288.21997070312</v>
      </c>
    </row>
    <row r="11686" spans="1:2" x14ac:dyDescent="0.25">
      <c r="A11686" s="5">
        <v>38873</v>
      </c>
      <c r="B11686">
        <v>1265.2900390625</v>
      </c>
    </row>
    <row r="11687" spans="1:2" x14ac:dyDescent="0.25">
      <c r="A11687" s="5">
        <v>38874</v>
      </c>
      <c r="B11687">
        <v>1263.84997558594</v>
      </c>
    </row>
    <row r="11688" spans="1:2" x14ac:dyDescent="0.25">
      <c r="A11688" s="5">
        <v>38875</v>
      </c>
      <c r="B11688">
        <v>1256.15002441406</v>
      </c>
    </row>
    <row r="11689" spans="1:2" x14ac:dyDescent="0.25">
      <c r="A11689" s="5">
        <v>38876</v>
      </c>
      <c r="B11689">
        <v>1257.93005371094</v>
      </c>
    </row>
    <row r="11690" spans="1:2" x14ac:dyDescent="0.25">
      <c r="A11690" s="5">
        <v>38877</v>
      </c>
      <c r="B11690">
        <v>1252.30004882812</v>
      </c>
    </row>
    <row r="11691" spans="1:2" x14ac:dyDescent="0.25">
      <c r="A11691" s="5">
        <v>38880</v>
      </c>
      <c r="B11691">
        <v>1237.43994140625</v>
      </c>
    </row>
    <row r="11692" spans="1:2" x14ac:dyDescent="0.25">
      <c r="A11692" s="5">
        <v>38881</v>
      </c>
      <c r="B11692">
        <v>1223.68994140625</v>
      </c>
    </row>
    <row r="11693" spans="1:2" x14ac:dyDescent="0.25">
      <c r="A11693" s="5">
        <v>38882</v>
      </c>
      <c r="B11693">
        <v>1230.0400390625</v>
      </c>
    </row>
    <row r="11694" spans="1:2" x14ac:dyDescent="0.25">
      <c r="A11694" s="5">
        <v>38883</v>
      </c>
      <c r="B11694">
        <v>1256.16003417969</v>
      </c>
    </row>
    <row r="11695" spans="1:2" x14ac:dyDescent="0.25">
      <c r="A11695" s="5">
        <v>38884</v>
      </c>
      <c r="B11695">
        <v>1251.5400390625</v>
      </c>
    </row>
    <row r="11696" spans="1:2" x14ac:dyDescent="0.25">
      <c r="A11696" s="5">
        <v>38887</v>
      </c>
      <c r="B11696">
        <v>1240.13000488281</v>
      </c>
    </row>
    <row r="11697" spans="1:2" x14ac:dyDescent="0.25">
      <c r="A11697" s="5">
        <v>38888</v>
      </c>
      <c r="B11697">
        <v>1240.11999511719</v>
      </c>
    </row>
    <row r="11698" spans="1:2" x14ac:dyDescent="0.25">
      <c r="A11698" s="5">
        <v>38889</v>
      </c>
      <c r="B11698">
        <v>1252.19995117188</v>
      </c>
    </row>
    <row r="11699" spans="1:2" x14ac:dyDescent="0.25">
      <c r="A11699" s="5">
        <v>38890</v>
      </c>
      <c r="B11699">
        <v>1245.59997558594</v>
      </c>
    </row>
    <row r="11700" spans="1:2" x14ac:dyDescent="0.25">
      <c r="A11700" s="5">
        <v>38891</v>
      </c>
      <c r="B11700">
        <v>1244.5</v>
      </c>
    </row>
    <row r="11701" spans="1:2" x14ac:dyDescent="0.25">
      <c r="A11701" s="5">
        <v>38894</v>
      </c>
      <c r="B11701">
        <v>1250.56005859375</v>
      </c>
    </row>
    <row r="11702" spans="1:2" x14ac:dyDescent="0.25">
      <c r="A11702" s="5">
        <v>38895</v>
      </c>
      <c r="B11702">
        <v>1239.19995117188</v>
      </c>
    </row>
    <row r="11703" spans="1:2" x14ac:dyDescent="0.25">
      <c r="A11703" s="5">
        <v>38896</v>
      </c>
      <c r="B11703">
        <v>1246</v>
      </c>
    </row>
    <row r="11704" spans="1:2" x14ac:dyDescent="0.25">
      <c r="A11704" s="5">
        <v>38897</v>
      </c>
      <c r="B11704">
        <v>1272.86999511719</v>
      </c>
    </row>
    <row r="11705" spans="1:2" x14ac:dyDescent="0.25">
      <c r="A11705" s="5">
        <v>38898</v>
      </c>
      <c r="B11705">
        <v>1270.19995117188</v>
      </c>
    </row>
    <row r="11706" spans="1:2" x14ac:dyDescent="0.25">
      <c r="A11706" s="5">
        <v>38901</v>
      </c>
      <c r="B11706">
        <v>1280.18994140625</v>
      </c>
    </row>
    <row r="11707" spans="1:2" x14ac:dyDescent="0.25">
      <c r="A11707" s="5">
        <v>38903</v>
      </c>
      <c r="B11707">
        <v>1270.91003417969</v>
      </c>
    </row>
    <row r="11708" spans="1:2" x14ac:dyDescent="0.25">
      <c r="A11708" s="5">
        <v>38904</v>
      </c>
      <c r="B11708">
        <v>1274.07995605469</v>
      </c>
    </row>
    <row r="11709" spans="1:2" x14ac:dyDescent="0.25">
      <c r="A11709" s="5">
        <v>38905</v>
      </c>
      <c r="B11709">
        <v>1265.47998046875</v>
      </c>
    </row>
    <row r="11710" spans="1:2" x14ac:dyDescent="0.25">
      <c r="A11710" s="5">
        <v>38908</v>
      </c>
      <c r="B11710">
        <v>1267.33996582031</v>
      </c>
    </row>
    <row r="11711" spans="1:2" x14ac:dyDescent="0.25">
      <c r="A11711" s="5">
        <v>38909</v>
      </c>
      <c r="B11711">
        <v>1272.43005371094</v>
      </c>
    </row>
    <row r="11712" spans="1:2" x14ac:dyDescent="0.25">
      <c r="A11712" s="5">
        <v>38910</v>
      </c>
      <c r="B11712">
        <v>1258.59997558594</v>
      </c>
    </row>
    <row r="11713" spans="1:2" x14ac:dyDescent="0.25">
      <c r="A11713" s="5">
        <v>38911</v>
      </c>
      <c r="B11713">
        <v>1242.28002929688</v>
      </c>
    </row>
    <row r="11714" spans="1:2" x14ac:dyDescent="0.25">
      <c r="A11714" s="5">
        <v>38912</v>
      </c>
      <c r="B11714">
        <v>1236.19995117188</v>
      </c>
    </row>
    <row r="11715" spans="1:2" x14ac:dyDescent="0.25">
      <c r="A11715" s="5">
        <v>38915</v>
      </c>
      <c r="B11715">
        <v>1234.48999023438</v>
      </c>
    </row>
    <row r="11716" spans="1:2" x14ac:dyDescent="0.25">
      <c r="A11716" s="5">
        <v>38916</v>
      </c>
      <c r="B11716">
        <v>1236.85998535156</v>
      </c>
    </row>
    <row r="11717" spans="1:2" x14ac:dyDescent="0.25">
      <c r="A11717" s="5">
        <v>38917</v>
      </c>
      <c r="B11717">
        <v>1259.81005859375</v>
      </c>
    </row>
    <row r="11718" spans="1:2" x14ac:dyDescent="0.25">
      <c r="A11718" s="5">
        <v>38918</v>
      </c>
      <c r="B11718">
        <v>1249.13000488281</v>
      </c>
    </row>
    <row r="11719" spans="1:2" x14ac:dyDescent="0.25">
      <c r="A11719" s="5">
        <v>38919</v>
      </c>
      <c r="B11719">
        <v>1240.2900390625</v>
      </c>
    </row>
    <row r="11720" spans="1:2" x14ac:dyDescent="0.25">
      <c r="A11720" s="5">
        <v>38922</v>
      </c>
      <c r="B11720">
        <v>1260.91003417969</v>
      </c>
    </row>
    <row r="11721" spans="1:2" x14ac:dyDescent="0.25">
      <c r="A11721" s="5">
        <v>38923</v>
      </c>
      <c r="B11721">
        <v>1268.88000488281</v>
      </c>
    </row>
    <row r="11722" spans="1:2" x14ac:dyDescent="0.25">
      <c r="A11722" s="5">
        <v>38924</v>
      </c>
      <c r="B11722">
        <v>1268.40002441406</v>
      </c>
    </row>
    <row r="11723" spans="1:2" x14ac:dyDescent="0.25">
      <c r="A11723" s="5">
        <v>38925</v>
      </c>
      <c r="B11723">
        <v>1263.19995117188</v>
      </c>
    </row>
    <row r="11724" spans="1:2" x14ac:dyDescent="0.25">
      <c r="A11724" s="5">
        <v>38926</v>
      </c>
      <c r="B11724">
        <v>1278.55004882812</v>
      </c>
    </row>
    <row r="11725" spans="1:2" x14ac:dyDescent="0.25">
      <c r="A11725" s="5">
        <v>38929</v>
      </c>
      <c r="B11725">
        <v>1276.66003417969</v>
      </c>
    </row>
    <row r="11726" spans="1:2" x14ac:dyDescent="0.25">
      <c r="A11726" s="5">
        <v>38930</v>
      </c>
      <c r="B11726">
        <v>1270.92004394531</v>
      </c>
    </row>
    <row r="11727" spans="1:2" x14ac:dyDescent="0.25">
      <c r="A11727" s="5">
        <v>38931</v>
      </c>
      <c r="B11727">
        <v>1277.41003417969</v>
      </c>
    </row>
    <row r="11728" spans="1:2" x14ac:dyDescent="0.25">
      <c r="A11728" s="5">
        <v>38932</v>
      </c>
      <c r="B11728">
        <v>1280.27001953125</v>
      </c>
    </row>
    <row r="11729" spans="1:2" x14ac:dyDescent="0.25">
      <c r="A11729" s="5">
        <v>38933</v>
      </c>
      <c r="B11729">
        <v>1279.35998535156</v>
      </c>
    </row>
    <row r="11730" spans="1:2" x14ac:dyDescent="0.25">
      <c r="A11730" s="5">
        <v>38936</v>
      </c>
      <c r="B11730">
        <v>1275.77001953125</v>
      </c>
    </row>
    <row r="11731" spans="1:2" x14ac:dyDescent="0.25">
      <c r="A11731" s="5">
        <v>38937</v>
      </c>
      <c r="B11731">
        <v>1271.47998046875</v>
      </c>
    </row>
    <row r="11732" spans="1:2" x14ac:dyDescent="0.25">
      <c r="A11732" s="5">
        <v>38938</v>
      </c>
      <c r="B11732">
        <v>1265.94995117188</v>
      </c>
    </row>
    <row r="11733" spans="1:2" x14ac:dyDescent="0.25">
      <c r="A11733" s="5">
        <v>38939</v>
      </c>
      <c r="B11733">
        <v>1271.81005859375</v>
      </c>
    </row>
    <row r="11734" spans="1:2" x14ac:dyDescent="0.25">
      <c r="A11734" s="5">
        <v>38940</v>
      </c>
      <c r="B11734">
        <v>1266.73999023438</v>
      </c>
    </row>
    <row r="11735" spans="1:2" x14ac:dyDescent="0.25">
      <c r="A11735" s="5">
        <v>38943</v>
      </c>
      <c r="B11735">
        <v>1268.2099609375</v>
      </c>
    </row>
    <row r="11736" spans="1:2" x14ac:dyDescent="0.25">
      <c r="A11736" s="5">
        <v>38944</v>
      </c>
      <c r="B11736">
        <v>1285.57995605469</v>
      </c>
    </row>
    <row r="11737" spans="1:2" x14ac:dyDescent="0.25">
      <c r="A11737" s="5">
        <v>38945</v>
      </c>
      <c r="B11737">
        <v>1295.43005371094</v>
      </c>
    </row>
    <row r="11738" spans="1:2" x14ac:dyDescent="0.25">
      <c r="A11738" s="5">
        <v>38946</v>
      </c>
      <c r="B11738">
        <v>1297.47998046875</v>
      </c>
    </row>
    <row r="11739" spans="1:2" x14ac:dyDescent="0.25">
      <c r="A11739" s="5">
        <v>38947</v>
      </c>
      <c r="B11739">
        <v>1302.30004882812</v>
      </c>
    </row>
    <row r="11740" spans="1:2" x14ac:dyDescent="0.25">
      <c r="A11740" s="5">
        <v>38950</v>
      </c>
      <c r="B11740">
        <v>1297.52001953125</v>
      </c>
    </row>
    <row r="11741" spans="1:2" x14ac:dyDescent="0.25">
      <c r="A11741" s="5">
        <v>38951</v>
      </c>
      <c r="B11741">
        <v>1298.81994628906</v>
      </c>
    </row>
    <row r="11742" spans="1:2" x14ac:dyDescent="0.25">
      <c r="A11742" s="5">
        <v>38952</v>
      </c>
      <c r="B11742">
        <v>1292.98999023438</v>
      </c>
    </row>
    <row r="11743" spans="1:2" x14ac:dyDescent="0.25">
      <c r="A11743" s="5">
        <v>38953</v>
      </c>
      <c r="B11743">
        <v>1296.06005859375</v>
      </c>
    </row>
    <row r="11744" spans="1:2" x14ac:dyDescent="0.25">
      <c r="A11744" s="5">
        <v>38954</v>
      </c>
      <c r="B11744">
        <v>1295.08996582031</v>
      </c>
    </row>
    <row r="11745" spans="1:2" x14ac:dyDescent="0.25">
      <c r="A11745" s="5">
        <v>38957</v>
      </c>
      <c r="B11745">
        <v>1301.78002929688</v>
      </c>
    </row>
    <row r="11746" spans="1:2" x14ac:dyDescent="0.25">
      <c r="A11746" s="5">
        <v>38958</v>
      </c>
      <c r="B11746">
        <v>1304.28002929688</v>
      </c>
    </row>
    <row r="11747" spans="1:2" x14ac:dyDescent="0.25">
      <c r="A11747" s="5">
        <v>38959</v>
      </c>
      <c r="B11747">
        <v>1305.36999511719</v>
      </c>
    </row>
    <row r="11748" spans="1:2" x14ac:dyDescent="0.25">
      <c r="A11748" s="5">
        <v>38960</v>
      </c>
      <c r="B11748">
        <v>1303.81994628906</v>
      </c>
    </row>
    <row r="11749" spans="1:2" x14ac:dyDescent="0.25">
      <c r="A11749" s="5">
        <v>38961</v>
      </c>
      <c r="B11749">
        <v>1311.01000976562</v>
      </c>
    </row>
    <row r="11750" spans="1:2" x14ac:dyDescent="0.25">
      <c r="A11750" s="5">
        <v>38965</v>
      </c>
      <c r="B11750">
        <v>1313.25</v>
      </c>
    </row>
    <row r="11751" spans="1:2" x14ac:dyDescent="0.25">
      <c r="A11751" s="5">
        <v>38966</v>
      </c>
      <c r="B11751">
        <v>1300.26000976562</v>
      </c>
    </row>
    <row r="11752" spans="1:2" x14ac:dyDescent="0.25">
      <c r="A11752" s="5">
        <v>38967</v>
      </c>
      <c r="B11752">
        <v>1294.02001953125</v>
      </c>
    </row>
    <row r="11753" spans="1:2" x14ac:dyDescent="0.25">
      <c r="A11753" s="5">
        <v>38968</v>
      </c>
      <c r="B11753">
        <v>1298.92004394531</v>
      </c>
    </row>
    <row r="11754" spans="1:2" x14ac:dyDescent="0.25">
      <c r="A11754" s="5">
        <v>38971</v>
      </c>
      <c r="B11754">
        <v>1299.5400390625</v>
      </c>
    </row>
    <row r="11755" spans="1:2" x14ac:dyDescent="0.25">
      <c r="A11755" s="5">
        <v>38972</v>
      </c>
      <c r="B11755">
        <v>1313</v>
      </c>
    </row>
    <row r="11756" spans="1:2" x14ac:dyDescent="0.25">
      <c r="A11756" s="5">
        <v>38973</v>
      </c>
      <c r="B11756">
        <v>1318.06994628906</v>
      </c>
    </row>
    <row r="11757" spans="1:2" x14ac:dyDescent="0.25">
      <c r="A11757" s="5">
        <v>38974</v>
      </c>
      <c r="B11757">
        <v>1316.28002929688</v>
      </c>
    </row>
    <row r="11758" spans="1:2" x14ac:dyDescent="0.25">
      <c r="A11758" s="5">
        <v>38975</v>
      </c>
      <c r="B11758">
        <v>1319.66003417969</v>
      </c>
    </row>
    <row r="11759" spans="1:2" x14ac:dyDescent="0.25">
      <c r="A11759" s="5">
        <v>38978</v>
      </c>
      <c r="B11759">
        <v>1321.18005371094</v>
      </c>
    </row>
    <row r="11760" spans="1:2" x14ac:dyDescent="0.25">
      <c r="A11760" s="5">
        <v>38979</v>
      </c>
      <c r="B11760">
        <v>1317.64001464844</v>
      </c>
    </row>
    <row r="11761" spans="1:2" x14ac:dyDescent="0.25">
      <c r="A11761" s="5">
        <v>38980</v>
      </c>
      <c r="B11761">
        <v>1325.18005371094</v>
      </c>
    </row>
    <row r="11762" spans="1:2" x14ac:dyDescent="0.25">
      <c r="A11762" s="5">
        <v>38981</v>
      </c>
      <c r="B11762">
        <v>1318.03002929688</v>
      </c>
    </row>
    <row r="11763" spans="1:2" x14ac:dyDescent="0.25">
      <c r="A11763" s="5">
        <v>38982</v>
      </c>
      <c r="B11763">
        <v>1314.78002929688</v>
      </c>
    </row>
    <row r="11764" spans="1:2" x14ac:dyDescent="0.25">
      <c r="A11764" s="5">
        <v>38985</v>
      </c>
      <c r="B11764">
        <v>1326.36999511719</v>
      </c>
    </row>
    <row r="11765" spans="1:2" x14ac:dyDescent="0.25">
      <c r="A11765" s="5">
        <v>38986</v>
      </c>
      <c r="B11765">
        <v>1336.34997558594</v>
      </c>
    </row>
    <row r="11766" spans="1:2" x14ac:dyDescent="0.25">
      <c r="A11766" s="5">
        <v>38987</v>
      </c>
      <c r="B11766">
        <v>1336.58996582031</v>
      </c>
    </row>
    <row r="11767" spans="1:2" x14ac:dyDescent="0.25">
      <c r="A11767" s="5">
        <v>38988</v>
      </c>
      <c r="B11767">
        <v>1338.88000488281</v>
      </c>
    </row>
    <row r="11768" spans="1:2" x14ac:dyDescent="0.25">
      <c r="A11768" s="5">
        <v>38989</v>
      </c>
      <c r="B11768">
        <v>1335.84997558594</v>
      </c>
    </row>
    <row r="11769" spans="1:2" x14ac:dyDescent="0.25">
      <c r="A11769" s="5">
        <v>38992</v>
      </c>
      <c r="B11769">
        <v>1331.31994628906</v>
      </c>
    </row>
    <row r="11770" spans="1:2" x14ac:dyDescent="0.25">
      <c r="A11770" s="5">
        <v>38993</v>
      </c>
      <c r="B11770">
        <v>1334.10998535156</v>
      </c>
    </row>
    <row r="11771" spans="1:2" x14ac:dyDescent="0.25">
      <c r="A11771" s="5">
        <v>38994</v>
      </c>
      <c r="B11771">
        <v>1350.19995117188</v>
      </c>
    </row>
    <row r="11772" spans="1:2" x14ac:dyDescent="0.25">
      <c r="A11772" s="5">
        <v>38995</v>
      </c>
      <c r="B11772">
        <v>1353.21997070312</v>
      </c>
    </row>
    <row r="11773" spans="1:2" x14ac:dyDescent="0.25">
      <c r="A11773" s="5">
        <v>38996</v>
      </c>
      <c r="B11773">
        <v>1349.58996582031</v>
      </c>
    </row>
    <row r="11774" spans="1:2" x14ac:dyDescent="0.25">
      <c r="A11774" s="5">
        <v>38999</v>
      </c>
      <c r="B11774">
        <v>1350.66003417969</v>
      </c>
    </row>
    <row r="11775" spans="1:2" x14ac:dyDescent="0.25">
      <c r="A11775" s="5">
        <v>39000</v>
      </c>
      <c r="B11775">
        <v>1353.42004394531</v>
      </c>
    </row>
    <row r="11776" spans="1:2" x14ac:dyDescent="0.25">
      <c r="A11776" s="5">
        <v>39001</v>
      </c>
      <c r="B11776">
        <v>1349.94995117188</v>
      </c>
    </row>
    <row r="11777" spans="1:2" x14ac:dyDescent="0.25">
      <c r="A11777" s="5">
        <v>39002</v>
      </c>
      <c r="B11777">
        <v>1362.82995605469</v>
      </c>
    </row>
    <row r="11778" spans="1:2" x14ac:dyDescent="0.25">
      <c r="A11778" s="5">
        <v>39003</v>
      </c>
      <c r="B11778">
        <v>1365.61999511719</v>
      </c>
    </row>
    <row r="11779" spans="1:2" x14ac:dyDescent="0.25">
      <c r="A11779" s="5">
        <v>39006</v>
      </c>
      <c r="B11779">
        <v>1369.06005859375</v>
      </c>
    </row>
    <row r="11780" spans="1:2" x14ac:dyDescent="0.25">
      <c r="A11780" s="5">
        <v>39007</v>
      </c>
      <c r="B11780">
        <v>1364.05004882812</v>
      </c>
    </row>
    <row r="11781" spans="1:2" x14ac:dyDescent="0.25">
      <c r="A11781" s="5">
        <v>39008</v>
      </c>
      <c r="B11781">
        <v>1365.80004882812</v>
      </c>
    </row>
    <row r="11782" spans="1:2" x14ac:dyDescent="0.25">
      <c r="A11782" s="5">
        <v>39009</v>
      </c>
      <c r="B11782">
        <v>1366.9599609375</v>
      </c>
    </row>
    <row r="11783" spans="1:2" x14ac:dyDescent="0.25">
      <c r="A11783" s="5">
        <v>39010</v>
      </c>
      <c r="B11783">
        <v>1368.59997558594</v>
      </c>
    </row>
    <row r="11784" spans="1:2" x14ac:dyDescent="0.25">
      <c r="A11784" s="5">
        <v>39013</v>
      </c>
      <c r="B11784">
        <v>1377.02001953125</v>
      </c>
    </row>
    <row r="11785" spans="1:2" x14ac:dyDescent="0.25">
      <c r="A11785" s="5">
        <v>39014</v>
      </c>
      <c r="B11785">
        <v>1377.38000488281</v>
      </c>
    </row>
    <row r="11786" spans="1:2" x14ac:dyDescent="0.25">
      <c r="A11786" s="5">
        <v>39015</v>
      </c>
      <c r="B11786">
        <v>1382.21997070312</v>
      </c>
    </row>
    <row r="11787" spans="1:2" x14ac:dyDescent="0.25">
      <c r="A11787" s="5">
        <v>39016</v>
      </c>
      <c r="B11787">
        <v>1389.07995605469</v>
      </c>
    </row>
    <row r="11788" spans="1:2" x14ac:dyDescent="0.25">
      <c r="A11788" s="5">
        <v>39017</v>
      </c>
      <c r="B11788">
        <v>1377.33996582031</v>
      </c>
    </row>
    <row r="11789" spans="1:2" x14ac:dyDescent="0.25">
      <c r="A11789" s="5">
        <v>39020</v>
      </c>
      <c r="B11789">
        <v>1377.93005371094</v>
      </c>
    </row>
    <row r="11790" spans="1:2" x14ac:dyDescent="0.25">
      <c r="A11790" s="5">
        <v>39021</v>
      </c>
      <c r="B11790">
        <v>1377.93994140625</v>
      </c>
    </row>
    <row r="11791" spans="1:2" x14ac:dyDescent="0.25">
      <c r="A11791" s="5">
        <v>39022</v>
      </c>
      <c r="B11791">
        <v>1367.81005859375</v>
      </c>
    </row>
    <row r="11792" spans="1:2" x14ac:dyDescent="0.25">
      <c r="A11792" s="5">
        <v>39023</v>
      </c>
      <c r="B11792">
        <v>1367.33996582031</v>
      </c>
    </row>
    <row r="11793" spans="1:2" x14ac:dyDescent="0.25">
      <c r="A11793" s="5">
        <v>39024</v>
      </c>
      <c r="B11793">
        <v>1364.30004882812</v>
      </c>
    </row>
    <row r="11794" spans="1:2" x14ac:dyDescent="0.25">
      <c r="A11794" s="5">
        <v>39027</v>
      </c>
      <c r="B11794">
        <v>1379.78002929688</v>
      </c>
    </row>
    <row r="11795" spans="1:2" x14ac:dyDescent="0.25">
      <c r="A11795" s="5">
        <v>39028</v>
      </c>
      <c r="B11795">
        <v>1382.83996582031</v>
      </c>
    </row>
    <row r="11796" spans="1:2" x14ac:dyDescent="0.25">
      <c r="A11796" s="5">
        <v>39029</v>
      </c>
      <c r="B11796">
        <v>1385.71997070312</v>
      </c>
    </row>
    <row r="11797" spans="1:2" x14ac:dyDescent="0.25">
      <c r="A11797" s="5">
        <v>39030</v>
      </c>
      <c r="B11797">
        <v>1378.32995605469</v>
      </c>
    </row>
    <row r="11798" spans="1:2" x14ac:dyDescent="0.25">
      <c r="A11798" s="5">
        <v>39031</v>
      </c>
      <c r="B11798">
        <v>1380.90002441406</v>
      </c>
    </row>
    <row r="11799" spans="1:2" x14ac:dyDescent="0.25">
      <c r="A11799" s="5">
        <v>39034</v>
      </c>
      <c r="B11799">
        <v>1384.42004394531</v>
      </c>
    </row>
    <row r="11800" spans="1:2" x14ac:dyDescent="0.25">
      <c r="A11800" s="5">
        <v>39035</v>
      </c>
      <c r="B11800">
        <v>1393.21997070312</v>
      </c>
    </row>
    <row r="11801" spans="1:2" x14ac:dyDescent="0.25">
      <c r="A11801" s="5">
        <v>39036</v>
      </c>
      <c r="B11801">
        <v>1396.56994628906</v>
      </c>
    </row>
    <row r="11802" spans="1:2" x14ac:dyDescent="0.25">
      <c r="A11802" s="5">
        <v>39037</v>
      </c>
      <c r="B11802">
        <v>1399.76000976562</v>
      </c>
    </row>
    <row r="11803" spans="1:2" x14ac:dyDescent="0.25">
      <c r="A11803" s="5">
        <v>39038</v>
      </c>
      <c r="B11803">
        <v>1401.19995117188</v>
      </c>
    </row>
    <row r="11804" spans="1:2" x14ac:dyDescent="0.25">
      <c r="A11804" s="5">
        <v>39041</v>
      </c>
      <c r="B11804">
        <v>1400.5</v>
      </c>
    </row>
    <row r="11805" spans="1:2" x14ac:dyDescent="0.25">
      <c r="A11805" s="5">
        <v>39042</v>
      </c>
      <c r="B11805">
        <v>1402.81005859375</v>
      </c>
    </row>
    <row r="11806" spans="1:2" x14ac:dyDescent="0.25">
      <c r="A11806" s="5">
        <v>39043</v>
      </c>
      <c r="B11806">
        <v>1406.08996582031</v>
      </c>
    </row>
    <row r="11807" spans="1:2" x14ac:dyDescent="0.25">
      <c r="A11807" s="5">
        <v>39045</v>
      </c>
      <c r="B11807">
        <v>1400.94995117188</v>
      </c>
    </row>
    <row r="11808" spans="1:2" x14ac:dyDescent="0.25">
      <c r="A11808" s="5">
        <v>39048</v>
      </c>
      <c r="B11808">
        <v>1381.9599609375</v>
      </c>
    </row>
    <row r="11809" spans="1:2" x14ac:dyDescent="0.25">
      <c r="A11809" s="5">
        <v>39049</v>
      </c>
      <c r="B11809">
        <v>1386.71997070312</v>
      </c>
    </row>
    <row r="11810" spans="1:2" x14ac:dyDescent="0.25">
      <c r="A11810" s="5">
        <v>39050</v>
      </c>
      <c r="B11810">
        <v>1399.47998046875</v>
      </c>
    </row>
    <row r="11811" spans="1:2" x14ac:dyDescent="0.25">
      <c r="A11811" s="5">
        <v>39051</v>
      </c>
      <c r="B11811">
        <v>1400.63000488281</v>
      </c>
    </row>
    <row r="11812" spans="1:2" x14ac:dyDescent="0.25">
      <c r="A11812" s="5">
        <v>39052</v>
      </c>
      <c r="B11812">
        <v>1396.7099609375</v>
      </c>
    </row>
    <row r="11813" spans="1:2" x14ac:dyDescent="0.25">
      <c r="A11813" s="5">
        <v>39055</v>
      </c>
      <c r="B11813">
        <v>1409.11999511719</v>
      </c>
    </row>
    <row r="11814" spans="1:2" x14ac:dyDescent="0.25">
      <c r="A11814" s="5">
        <v>39056</v>
      </c>
      <c r="B11814">
        <v>1414.76000976562</v>
      </c>
    </row>
    <row r="11815" spans="1:2" x14ac:dyDescent="0.25">
      <c r="A11815" s="5">
        <v>39057</v>
      </c>
      <c r="B11815">
        <v>1412.90002441406</v>
      </c>
    </row>
    <row r="11816" spans="1:2" x14ac:dyDescent="0.25">
      <c r="A11816" s="5">
        <v>39058</v>
      </c>
      <c r="B11816">
        <v>1407.2900390625</v>
      </c>
    </row>
    <row r="11817" spans="1:2" x14ac:dyDescent="0.25">
      <c r="A11817" s="5">
        <v>39059</v>
      </c>
      <c r="B11817">
        <v>1409.83996582031</v>
      </c>
    </row>
    <row r="11818" spans="1:2" x14ac:dyDescent="0.25">
      <c r="A11818" s="5">
        <v>39062</v>
      </c>
      <c r="B11818">
        <v>1413.0400390625</v>
      </c>
    </row>
    <row r="11819" spans="1:2" x14ac:dyDescent="0.25">
      <c r="A11819" s="5">
        <v>39063</v>
      </c>
      <c r="B11819">
        <v>1411.56005859375</v>
      </c>
    </row>
    <row r="11820" spans="1:2" x14ac:dyDescent="0.25">
      <c r="A11820" s="5">
        <v>39064</v>
      </c>
      <c r="B11820">
        <v>1413.2099609375</v>
      </c>
    </row>
    <row r="11821" spans="1:2" x14ac:dyDescent="0.25">
      <c r="A11821" s="5">
        <v>39065</v>
      </c>
      <c r="B11821">
        <v>1425.48999023438</v>
      </c>
    </row>
    <row r="11822" spans="1:2" x14ac:dyDescent="0.25">
      <c r="A11822" s="5">
        <v>39066</v>
      </c>
      <c r="B11822">
        <v>1427.08996582031</v>
      </c>
    </row>
    <row r="11823" spans="1:2" x14ac:dyDescent="0.25">
      <c r="A11823" s="5">
        <v>39069</v>
      </c>
      <c r="B11823">
        <v>1422.47998046875</v>
      </c>
    </row>
    <row r="11824" spans="1:2" x14ac:dyDescent="0.25">
      <c r="A11824" s="5">
        <v>39070</v>
      </c>
      <c r="B11824">
        <v>1425.55004882812</v>
      </c>
    </row>
    <row r="11825" spans="1:2" x14ac:dyDescent="0.25">
      <c r="A11825" s="5">
        <v>39071</v>
      </c>
      <c r="B11825">
        <v>1423.53002929688</v>
      </c>
    </row>
    <row r="11826" spans="1:2" x14ac:dyDescent="0.25">
      <c r="A11826" s="5">
        <v>39072</v>
      </c>
      <c r="B11826">
        <v>1418.30004882812</v>
      </c>
    </row>
    <row r="11827" spans="1:2" x14ac:dyDescent="0.25">
      <c r="A11827" s="5">
        <v>39073</v>
      </c>
      <c r="B11827">
        <v>1410.76000976562</v>
      </c>
    </row>
    <row r="11828" spans="1:2" x14ac:dyDescent="0.25">
      <c r="A11828" s="5">
        <v>39077</v>
      </c>
      <c r="B11828">
        <v>1416.90002441406</v>
      </c>
    </row>
    <row r="11829" spans="1:2" x14ac:dyDescent="0.25">
      <c r="A11829" s="5">
        <v>39078</v>
      </c>
      <c r="B11829">
        <v>1426.83996582031</v>
      </c>
    </row>
    <row r="11830" spans="1:2" x14ac:dyDescent="0.25">
      <c r="A11830" s="5">
        <v>39079</v>
      </c>
      <c r="B11830">
        <v>1424.72998046875</v>
      </c>
    </row>
    <row r="11831" spans="1:2" x14ac:dyDescent="0.25">
      <c r="A11831" s="5">
        <v>39080</v>
      </c>
      <c r="B11831">
        <v>1418.30004882812</v>
      </c>
    </row>
    <row r="11832" spans="1:2" x14ac:dyDescent="0.25">
      <c r="A11832" s="5">
        <v>39085</v>
      </c>
      <c r="B11832">
        <v>1416.59997558594</v>
      </c>
    </row>
    <row r="11833" spans="1:2" x14ac:dyDescent="0.25">
      <c r="A11833" s="5">
        <v>39086</v>
      </c>
      <c r="B11833">
        <v>1418.33996582031</v>
      </c>
    </row>
    <row r="11834" spans="1:2" x14ac:dyDescent="0.25">
      <c r="A11834" s="5">
        <v>39087</v>
      </c>
      <c r="B11834">
        <v>1409.7099609375</v>
      </c>
    </row>
    <row r="11835" spans="1:2" x14ac:dyDescent="0.25">
      <c r="A11835" s="5">
        <v>39090</v>
      </c>
      <c r="B11835">
        <v>1412.83996582031</v>
      </c>
    </row>
    <row r="11836" spans="1:2" x14ac:dyDescent="0.25">
      <c r="A11836" s="5">
        <v>39091</v>
      </c>
      <c r="B11836">
        <v>1412.10998535156</v>
      </c>
    </row>
    <row r="11837" spans="1:2" x14ac:dyDescent="0.25">
      <c r="A11837" s="5">
        <v>39092</v>
      </c>
      <c r="B11837">
        <v>1414.84997558594</v>
      </c>
    </row>
    <row r="11838" spans="1:2" x14ac:dyDescent="0.25">
      <c r="A11838" s="5">
        <v>39093</v>
      </c>
      <c r="B11838">
        <v>1423.81994628906</v>
      </c>
    </row>
    <row r="11839" spans="1:2" x14ac:dyDescent="0.25">
      <c r="A11839" s="5">
        <v>39094</v>
      </c>
      <c r="B11839">
        <v>1430.72998046875</v>
      </c>
    </row>
    <row r="11840" spans="1:2" x14ac:dyDescent="0.25">
      <c r="A11840" s="5">
        <v>39098</v>
      </c>
      <c r="B11840">
        <v>1431.90002441406</v>
      </c>
    </row>
    <row r="11841" spans="1:2" x14ac:dyDescent="0.25">
      <c r="A11841" s="5">
        <v>39099</v>
      </c>
      <c r="B11841">
        <v>1430.61999511719</v>
      </c>
    </row>
    <row r="11842" spans="1:2" x14ac:dyDescent="0.25">
      <c r="A11842" s="5">
        <v>39100</v>
      </c>
      <c r="B11842">
        <v>1426.36999511719</v>
      </c>
    </row>
    <row r="11843" spans="1:2" x14ac:dyDescent="0.25">
      <c r="A11843" s="5">
        <v>39101</v>
      </c>
      <c r="B11843">
        <v>1430.5</v>
      </c>
    </row>
    <row r="11844" spans="1:2" x14ac:dyDescent="0.25">
      <c r="A11844" s="5">
        <v>39104</v>
      </c>
      <c r="B11844">
        <v>1422.94995117188</v>
      </c>
    </row>
    <row r="11845" spans="1:2" x14ac:dyDescent="0.25">
      <c r="A11845" s="5">
        <v>39105</v>
      </c>
      <c r="B11845">
        <v>1427.98999023438</v>
      </c>
    </row>
    <row r="11846" spans="1:2" x14ac:dyDescent="0.25">
      <c r="A11846" s="5">
        <v>39106</v>
      </c>
      <c r="B11846">
        <v>1440.13000488281</v>
      </c>
    </row>
    <row r="11847" spans="1:2" x14ac:dyDescent="0.25">
      <c r="A11847" s="5">
        <v>39107</v>
      </c>
      <c r="B11847">
        <v>1423.90002441406</v>
      </c>
    </row>
    <row r="11848" spans="1:2" x14ac:dyDescent="0.25">
      <c r="A11848" s="5">
        <v>39108</v>
      </c>
      <c r="B11848">
        <v>1422.18005371094</v>
      </c>
    </row>
    <row r="11849" spans="1:2" x14ac:dyDescent="0.25">
      <c r="A11849" s="5">
        <v>39111</v>
      </c>
      <c r="B11849">
        <v>1420.61999511719</v>
      </c>
    </row>
    <row r="11850" spans="1:2" x14ac:dyDescent="0.25">
      <c r="A11850" s="5">
        <v>39112</v>
      </c>
      <c r="B11850">
        <v>1428.81994628906</v>
      </c>
    </row>
    <row r="11851" spans="1:2" x14ac:dyDescent="0.25">
      <c r="A11851" s="5">
        <v>39113</v>
      </c>
      <c r="B11851">
        <v>1438.23999023438</v>
      </c>
    </row>
    <row r="11852" spans="1:2" x14ac:dyDescent="0.25">
      <c r="A11852" s="5">
        <v>39114</v>
      </c>
      <c r="B11852">
        <v>1445.93994140625</v>
      </c>
    </row>
    <row r="11853" spans="1:2" x14ac:dyDescent="0.25">
      <c r="A11853" s="5">
        <v>39115</v>
      </c>
      <c r="B11853">
        <v>1448.39001464844</v>
      </c>
    </row>
    <row r="11854" spans="1:2" x14ac:dyDescent="0.25">
      <c r="A11854" s="5">
        <v>39118</v>
      </c>
      <c r="B11854">
        <v>1446.98999023438</v>
      </c>
    </row>
    <row r="11855" spans="1:2" x14ac:dyDescent="0.25">
      <c r="A11855" s="5">
        <v>39119</v>
      </c>
      <c r="B11855">
        <v>1448</v>
      </c>
    </row>
    <row r="11856" spans="1:2" x14ac:dyDescent="0.25">
      <c r="A11856" s="5">
        <v>39120</v>
      </c>
      <c r="B11856">
        <v>1450.02001953125</v>
      </c>
    </row>
    <row r="11857" spans="1:2" x14ac:dyDescent="0.25">
      <c r="A11857" s="5">
        <v>39121</v>
      </c>
      <c r="B11857">
        <v>1448.31005859375</v>
      </c>
    </row>
    <row r="11858" spans="1:2" x14ac:dyDescent="0.25">
      <c r="A11858" s="5">
        <v>39122</v>
      </c>
      <c r="B11858">
        <v>1438.06005859375</v>
      </c>
    </row>
    <row r="11859" spans="1:2" x14ac:dyDescent="0.25">
      <c r="A11859" s="5">
        <v>39125</v>
      </c>
      <c r="B11859">
        <v>1433.36999511719</v>
      </c>
    </row>
    <row r="11860" spans="1:2" x14ac:dyDescent="0.25">
      <c r="A11860" s="5">
        <v>39126</v>
      </c>
      <c r="B11860">
        <v>1444.26000976562</v>
      </c>
    </row>
    <row r="11861" spans="1:2" x14ac:dyDescent="0.25">
      <c r="A11861" s="5">
        <v>39127</v>
      </c>
      <c r="B11861">
        <v>1455.30004882812</v>
      </c>
    </row>
    <row r="11862" spans="1:2" x14ac:dyDescent="0.25">
      <c r="A11862" s="5">
        <v>39128</v>
      </c>
      <c r="B11862">
        <v>1456.81005859375</v>
      </c>
    </row>
    <row r="11863" spans="1:2" x14ac:dyDescent="0.25">
      <c r="A11863" s="5">
        <v>39129</v>
      </c>
      <c r="B11863">
        <v>1455.5400390625</v>
      </c>
    </row>
    <row r="11864" spans="1:2" x14ac:dyDescent="0.25">
      <c r="A11864" s="5">
        <v>39133</v>
      </c>
      <c r="B11864">
        <v>1459.68005371094</v>
      </c>
    </row>
    <row r="11865" spans="1:2" x14ac:dyDescent="0.25">
      <c r="A11865" s="5">
        <v>39134</v>
      </c>
      <c r="B11865">
        <v>1457.63000488281</v>
      </c>
    </row>
    <row r="11866" spans="1:2" x14ac:dyDescent="0.25">
      <c r="A11866" s="5">
        <v>39135</v>
      </c>
      <c r="B11866">
        <v>1456.38000488281</v>
      </c>
    </row>
    <row r="11867" spans="1:2" x14ac:dyDescent="0.25">
      <c r="A11867" s="5">
        <v>39136</v>
      </c>
      <c r="B11867">
        <v>1451.18994140625</v>
      </c>
    </row>
    <row r="11868" spans="1:2" x14ac:dyDescent="0.25">
      <c r="A11868" s="5">
        <v>39139</v>
      </c>
      <c r="B11868">
        <v>1449.36999511719</v>
      </c>
    </row>
    <row r="11869" spans="1:2" x14ac:dyDescent="0.25">
      <c r="A11869" s="5">
        <v>39140</v>
      </c>
      <c r="B11869">
        <v>1399.0400390625</v>
      </c>
    </row>
    <row r="11870" spans="1:2" x14ac:dyDescent="0.25">
      <c r="A11870" s="5">
        <v>39141</v>
      </c>
      <c r="B11870">
        <v>1406.81994628906</v>
      </c>
    </row>
    <row r="11871" spans="1:2" x14ac:dyDescent="0.25">
      <c r="A11871" s="5">
        <v>39142</v>
      </c>
      <c r="B11871">
        <v>1403.17004394531</v>
      </c>
    </row>
    <row r="11872" spans="1:2" x14ac:dyDescent="0.25">
      <c r="A11872" s="5">
        <v>39143</v>
      </c>
      <c r="B11872">
        <v>1387.17004394531</v>
      </c>
    </row>
    <row r="11873" spans="1:2" x14ac:dyDescent="0.25">
      <c r="A11873" s="5">
        <v>39146</v>
      </c>
      <c r="B11873">
        <v>1374.11999511719</v>
      </c>
    </row>
    <row r="11874" spans="1:2" x14ac:dyDescent="0.25">
      <c r="A11874" s="5">
        <v>39147</v>
      </c>
      <c r="B11874">
        <v>1395.41003417969</v>
      </c>
    </row>
    <row r="11875" spans="1:2" x14ac:dyDescent="0.25">
      <c r="A11875" s="5">
        <v>39148</v>
      </c>
      <c r="B11875">
        <v>1391.96997070312</v>
      </c>
    </row>
    <row r="11876" spans="1:2" x14ac:dyDescent="0.25">
      <c r="A11876" s="5">
        <v>39149</v>
      </c>
      <c r="B11876">
        <v>1401.89001464844</v>
      </c>
    </row>
    <row r="11877" spans="1:2" x14ac:dyDescent="0.25">
      <c r="A11877" s="5">
        <v>39150</v>
      </c>
      <c r="B11877">
        <v>1402.83996582031</v>
      </c>
    </row>
    <row r="11878" spans="1:2" x14ac:dyDescent="0.25">
      <c r="A11878" s="5">
        <v>39153</v>
      </c>
      <c r="B11878">
        <v>1406.59997558594</v>
      </c>
    </row>
    <row r="11879" spans="1:2" x14ac:dyDescent="0.25">
      <c r="A11879" s="5">
        <v>39154</v>
      </c>
      <c r="B11879">
        <v>1377.94995117188</v>
      </c>
    </row>
    <row r="11880" spans="1:2" x14ac:dyDescent="0.25">
      <c r="A11880" s="5">
        <v>39155</v>
      </c>
      <c r="B11880">
        <v>1387.17004394531</v>
      </c>
    </row>
    <row r="11881" spans="1:2" x14ac:dyDescent="0.25">
      <c r="A11881" s="5">
        <v>39156</v>
      </c>
      <c r="B11881">
        <v>1392.28002929688</v>
      </c>
    </row>
    <row r="11882" spans="1:2" x14ac:dyDescent="0.25">
      <c r="A11882" s="5">
        <v>39157</v>
      </c>
      <c r="B11882">
        <v>1386.94995117188</v>
      </c>
    </row>
    <row r="11883" spans="1:2" x14ac:dyDescent="0.25">
      <c r="A11883" s="5">
        <v>39160</v>
      </c>
      <c r="B11883">
        <v>1402.06005859375</v>
      </c>
    </row>
    <row r="11884" spans="1:2" x14ac:dyDescent="0.25">
      <c r="A11884" s="5">
        <v>39161</v>
      </c>
      <c r="B11884">
        <v>1410.93994140625</v>
      </c>
    </row>
    <row r="11885" spans="1:2" x14ac:dyDescent="0.25">
      <c r="A11885" s="5">
        <v>39162</v>
      </c>
      <c r="B11885">
        <v>1435.0400390625</v>
      </c>
    </row>
    <row r="11886" spans="1:2" x14ac:dyDescent="0.25">
      <c r="A11886" s="5">
        <v>39163</v>
      </c>
      <c r="B11886">
        <v>1434.5400390625</v>
      </c>
    </row>
    <row r="11887" spans="1:2" x14ac:dyDescent="0.25">
      <c r="A11887" s="5">
        <v>39164</v>
      </c>
      <c r="B11887">
        <v>1436.10998535156</v>
      </c>
    </row>
    <row r="11888" spans="1:2" x14ac:dyDescent="0.25">
      <c r="A11888" s="5">
        <v>39167</v>
      </c>
      <c r="B11888">
        <v>1437.5</v>
      </c>
    </row>
    <row r="11889" spans="1:2" x14ac:dyDescent="0.25">
      <c r="A11889" s="5">
        <v>39168</v>
      </c>
      <c r="B11889">
        <v>1428.60998535156</v>
      </c>
    </row>
    <row r="11890" spans="1:2" x14ac:dyDescent="0.25">
      <c r="A11890" s="5">
        <v>39169</v>
      </c>
      <c r="B11890">
        <v>1417.22998046875</v>
      </c>
    </row>
    <row r="11891" spans="1:2" x14ac:dyDescent="0.25">
      <c r="A11891" s="5">
        <v>39170</v>
      </c>
      <c r="B11891">
        <v>1422.53002929688</v>
      </c>
    </row>
    <row r="11892" spans="1:2" x14ac:dyDescent="0.25">
      <c r="A11892" s="5">
        <v>39171</v>
      </c>
      <c r="B11892">
        <v>1420.85998535156</v>
      </c>
    </row>
    <row r="11893" spans="1:2" x14ac:dyDescent="0.25">
      <c r="A11893" s="5">
        <v>39174</v>
      </c>
      <c r="B11893">
        <v>1424.55004882812</v>
      </c>
    </row>
    <row r="11894" spans="1:2" x14ac:dyDescent="0.25">
      <c r="A11894" s="5">
        <v>39175</v>
      </c>
      <c r="B11894">
        <v>1437.77001953125</v>
      </c>
    </row>
    <row r="11895" spans="1:2" x14ac:dyDescent="0.25">
      <c r="A11895" s="5">
        <v>39176</v>
      </c>
      <c r="B11895">
        <v>1439.36999511719</v>
      </c>
    </row>
    <row r="11896" spans="1:2" x14ac:dyDescent="0.25">
      <c r="A11896" s="5">
        <v>39177</v>
      </c>
      <c r="B11896">
        <v>1443.76000976562</v>
      </c>
    </row>
    <row r="11897" spans="1:2" x14ac:dyDescent="0.25">
      <c r="A11897" s="5">
        <v>39181</v>
      </c>
      <c r="B11897">
        <v>1444.60998535156</v>
      </c>
    </row>
    <row r="11898" spans="1:2" x14ac:dyDescent="0.25">
      <c r="A11898" s="5">
        <v>39182</v>
      </c>
      <c r="B11898">
        <v>1448.39001464844</v>
      </c>
    </row>
    <row r="11899" spans="1:2" x14ac:dyDescent="0.25">
      <c r="A11899" s="5">
        <v>39183</v>
      </c>
      <c r="B11899">
        <v>1438.86999511719</v>
      </c>
    </row>
    <row r="11900" spans="1:2" x14ac:dyDescent="0.25">
      <c r="A11900" s="5">
        <v>39184</v>
      </c>
      <c r="B11900">
        <v>1447.80004882812</v>
      </c>
    </row>
    <row r="11901" spans="1:2" x14ac:dyDescent="0.25">
      <c r="A11901" s="5">
        <v>39185</v>
      </c>
      <c r="B11901">
        <v>1452.84997558594</v>
      </c>
    </row>
    <row r="11902" spans="1:2" x14ac:dyDescent="0.25">
      <c r="A11902" s="5">
        <v>39188</v>
      </c>
      <c r="B11902">
        <v>1468.32995605469</v>
      </c>
    </row>
    <row r="11903" spans="1:2" x14ac:dyDescent="0.25">
      <c r="A11903" s="5">
        <v>39189</v>
      </c>
      <c r="B11903">
        <v>1471.47998046875</v>
      </c>
    </row>
    <row r="11904" spans="1:2" x14ac:dyDescent="0.25">
      <c r="A11904" s="5">
        <v>39190</v>
      </c>
      <c r="B11904">
        <v>1472.5</v>
      </c>
    </row>
    <row r="11905" spans="1:2" x14ac:dyDescent="0.25">
      <c r="A11905" s="5">
        <v>39191</v>
      </c>
      <c r="B11905">
        <v>1470.72998046875</v>
      </c>
    </row>
    <row r="11906" spans="1:2" x14ac:dyDescent="0.25">
      <c r="A11906" s="5">
        <v>39192</v>
      </c>
      <c r="B11906">
        <v>1484.34997558594</v>
      </c>
    </row>
    <row r="11907" spans="1:2" x14ac:dyDescent="0.25">
      <c r="A11907" s="5">
        <v>39195</v>
      </c>
      <c r="B11907">
        <v>1480.93005371094</v>
      </c>
    </row>
    <row r="11908" spans="1:2" x14ac:dyDescent="0.25">
      <c r="A11908" s="5">
        <v>39196</v>
      </c>
      <c r="B11908">
        <v>1480.41003417969</v>
      </c>
    </row>
    <row r="11909" spans="1:2" x14ac:dyDescent="0.25">
      <c r="A11909" s="5">
        <v>39197</v>
      </c>
      <c r="B11909">
        <v>1495.42004394531</v>
      </c>
    </row>
    <row r="11910" spans="1:2" x14ac:dyDescent="0.25">
      <c r="A11910" s="5">
        <v>39198</v>
      </c>
      <c r="B11910">
        <v>1494.25</v>
      </c>
    </row>
    <row r="11911" spans="1:2" x14ac:dyDescent="0.25">
      <c r="A11911" s="5">
        <v>39199</v>
      </c>
      <c r="B11911">
        <v>1494.06994628906</v>
      </c>
    </row>
    <row r="11912" spans="1:2" x14ac:dyDescent="0.25">
      <c r="A11912" s="5">
        <v>39202</v>
      </c>
      <c r="B11912">
        <v>1482.36999511719</v>
      </c>
    </row>
    <row r="11913" spans="1:2" x14ac:dyDescent="0.25">
      <c r="A11913" s="5">
        <v>39203</v>
      </c>
      <c r="B11913">
        <v>1486.30004882812</v>
      </c>
    </row>
    <row r="11914" spans="1:2" x14ac:dyDescent="0.25">
      <c r="A11914" s="5">
        <v>39204</v>
      </c>
      <c r="B11914">
        <v>1495.92004394531</v>
      </c>
    </row>
    <row r="11915" spans="1:2" x14ac:dyDescent="0.25">
      <c r="A11915" s="5">
        <v>39205</v>
      </c>
      <c r="B11915">
        <v>1502.39001464844</v>
      </c>
    </row>
    <row r="11916" spans="1:2" x14ac:dyDescent="0.25">
      <c r="A11916" s="5">
        <v>39206</v>
      </c>
      <c r="B11916">
        <v>1505.61999511719</v>
      </c>
    </row>
    <row r="11917" spans="1:2" x14ac:dyDescent="0.25">
      <c r="A11917" s="5">
        <v>39209</v>
      </c>
      <c r="B11917">
        <v>1509.47998046875</v>
      </c>
    </row>
    <row r="11918" spans="1:2" x14ac:dyDescent="0.25">
      <c r="A11918" s="5">
        <v>39210</v>
      </c>
      <c r="B11918">
        <v>1507.71997070312</v>
      </c>
    </row>
    <row r="11919" spans="1:2" x14ac:dyDescent="0.25">
      <c r="A11919" s="5">
        <v>39211</v>
      </c>
      <c r="B11919">
        <v>1512.57995605469</v>
      </c>
    </row>
    <row r="11920" spans="1:2" x14ac:dyDescent="0.25">
      <c r="A11920" s="5">
        <v>39212</v>
      </c>
      <c r="B11920">
        <v>1491.46997070312</v>
      </c>
    </row>
    <row r="11921" spans="1:2" x14ac:dyDescent="0.25">
      <c r="A11921" s="5">
        <v>39213</v>
      </c>
      <c r="B11921">
        <v>1505.84997558594</v>
      </c>
    </row>
    <row r="11922" spans="1:2" x14ac:dyDescent="0.25">
      <c r="A11922" s="5">
        <v>39216</v>
      </c>
      <c r="B11922">
        <v>1503.15002441406</v>
      </c>
    </row>
    <row r="11923" spans="1:2" x14ac:dyDescent="0.25">
      <c r="A11923" s="5">
        <v>39217</v>
      </c>
      <c r="B11923">
        <v>1501.18994140625</v>
      </c>
    </row>
    <row r="11924" spans="1:2" x14ac:dyDescent="0.25">
      <c r="A11924" s="5">
        <v>39218</v>
      </c>
      <c r="B11924">
        <v>1514.14001464844</v>
      </c>
    </row>
    <row r="11925" spans="1:2" x14ac:dyDescent="0.25">
      <c r="A11925" s="5">
        <v>39219</v>
      </c>
      <c r="B11925">
        <v>1512.75</v>
      </c>
    </row>
    <row r="11926" spans="1:2" x14ac:dyDescent="0.25">
      <c r="A11926" s="5">
        <v>39220</v>
      </c>
      <c r="B11926">
        <v>1522.75</v>
      </c>
    </row>
    <row r="11927" spans="1:2" x14ac:dyDescent="0.25">
      <c r="A11927" s="5">
        <v>39223</v>
      </c>
      <c r="B11927">
        <v>1525.09997558594</v>
      </c>
    </row>
    <row r="11928" spans="1:2" x14ac:dyDescent="0.25">
      <c r="A11928" s="5">
        <v>39224</v>
      </c>
      <c r="B11928">
        <v>1524.11999511719</v>
      </c>
    </row>
    <row r="11929" spans="1:2" x14ac:dyDescent="0.25">
      <c r="A11929" s="5">
        <v>39225</v>
      </c>
      <c r="B11929">
        <v>1522.28002929688</v>
      </c>
    </row>
    <row r="11930" spans="1:2" x14ac:dyDescent="0.25">
      <c r="A11930" s="5">
        <v>39226</v>
      </c>
      <c r="B11930">
        <v>1507.51000976562</v>
      </c>
    </row>
    <row r="11931" spans="1:2" x14ac:dyDescent="0.25">
      <c r="A11931" s="5">
        <v>39227</v>
      </c>
      <c r="B11931">
        <v>1515.72998046875</v>
      </c>
    </row>
    <row r="11932" spans="1:2" x14ac:dyDescent="0.25">
      <c r="A11932" s="5">
        <v>39231</v>
      </c>
      <c r="B11932">
        <v>1518.10998535156</v>
      </c>
    </row>
    <row r="11933" spans="1:2" x14ac:dyDescent="0.25">
      <c r="A11933" s="5">
        <v>39232</v>
      </c>
      <c r="B11933">
        <v>1530.22998046875</v>
      </c>
    </row>
    <row r="11934" spans="1:2" x14ac:dyDescent="0.25">
      <c r="A11934" s="5">
        <v>39233</v>
      </c>
      <c r="B11934">
        <v>1530.61999511719</v>
      </c>
    </row>
    <row r="11935" spans="1:2" x14ac:dyDescent="0.25">
      <c r="A11935" s="5">
        <v>39234</v>
      </c>
      <c r="B11935">
        <v>1536.33996582031</v>
      </c>
    </row>
    <row r="11936" spans="1:2" x14ac:dyDescent="0.25">
      <c r="A11936" s="5">
        <v>39237</v>
      </c>
      <c r="B11936">
        <v>1539.18005371094</v>
      </c>
    </row>
    <row r="11937" spans="1:2" x14ac:dyDescent="0.25">
      <c r="A11937" s="5">
        <v>39238</v>
      </c>
      <c r="B11937">
        <v>1530.94995117188</v>
      </c>
    </row>
    <row r="11938" spans="1:2" x14ac:dyDescent="0.25">
      <c r="A11938" s="5">
        <v>39239</v>
      </c>
      <c r="B11938">
        <v>1517.38000488281</v>
      </c>
    </row>
    <row r="11939" spans="1:2" x14ac:dyDescent="0.25">
      <c r="A11939" s="5">
        <v>39240</v>
      </c>
      <c r="B11939">
        <v>1490.71997070312</v>
      </c>
    </row>
    <row r="11940" spans="1:2" x14ac:dyDescent="0.25">
      <c r="A11940" s="5">
        <v>39241</v>
      </c>
      <c r="B11940">
        <v>1507.67004394531</v>
      </c>
    </row>
    <row r="11941" spans="1:2" x14ac:dyDescent="0.25">
      <c r="A11941" s="5">
        <v>39244</v>
      </c>
      <c r="B11941">
        <v>1509.11999511719</v>
      </c>
    </row>
    <row r="11942" spans="1:2" x14ac:dyDescent="0.25">
      <c r="A11942" s="5">
        <v>39245</v>
      </c>
      <c r="B11942">
        <v>1493</v>
      </c>
    </row>
    <row r="11943" spans="1:2" x14ac:dyDescent="0.25">
      <c r="A11943" s="5">
        <v>39246</v>
      </c>
      <c r="B11943">
        <v>1515.67004394531</v>
      </c>
    </row>
    <row r="11944" spans="1:2" x14ac:dyDescent="0.25">
      <c r="A11944" s="5">
        <v>39247</v>
      </c>
      <c r="B11944">
        <v>1522.96997070312</v>
      </c>
    </row>
    <row r="11945" spans="1:2" x14ac:dyDescent="0.25">
      <c r="A11945" s="5">
        <v>39248</v>
      </c>
      <c r="B11945">
        <v>1532.91003417969</v>
      </c>
    </row>
    <row r="11946" spans="1:2" x14ac:dyDescent="0.25">
      <c r="A11946" s="5">
        <v>39251</v>
      </c>
      <c r="B11946">
        <v>1531.05004882812</v>
      </c>
    </row>
    <row r="11947" spans="1:2" x14ac:dyDescent="0.25">
      <c r="A11947" s="5">
        <v>39252</v>
      </c>
      <c r="B11947">
        <v>1533.69995117188</v>
      </c>
    </row>
    <row r="11948" spans="1:2" x14ac:dyDescent="0.25">
      <c r="A11948" s="5">
        <v>39253</v>
      </c>
      <c r="B11948">
        <v>1512.83996582031</v>
      </c>
    </row>
    <row r="11949" spans="1:2" x14ac:dyDescent="0.25">
      <c r="A11949" s="5">
        <v>39254</v>
      </c>
      <c r="B11949">
        <v>1522.18994140625</v>
      </c>
    </row>
    <row r="11950" spans="1:2" x14ac:dyDescent="0.25">
      <c r="A11950" s="5">
        <v>39255</v>
      </c>
      <c r="B11950">
        <v>1502.56005859375</v>
      </c>
    </row>
    <row r="11951" spans="1:2" x14ac:dyDescent="0.25">
      <c r="A11951" s="5">
        <v>39258</v>
      </c>
      <c r="B11951">
        <v>1497.73999023438</v>
      </c>
    </row>
    <row r="11952" spans="1:2" x14ac:dyDescent="0.25">
      <c r="A11952" s="5">
        <v>39259</v>
      </c>
      <c r="B11952">
        <v>1492.89001464844</v>
      </c>
    </row>
    <row r="11953" spans="1:2" x14ac:dyDescent="0.25">
      <c r="A11953" s="5">
        <v>39260</v>
      </c>
      <c r="B11953">
        <v>1506.33996582031</v>
      </c>
    </row>
    <row r="11954" spans="1:2" x14ac:dyDescent="0.25">
      <c r="A11954" s="5">
        <v>39261</v>
      </c>
      <c r="B11954">
        <v>1505.7099609375</v>
      </c>
    </row>
    <row r="11955" spans="1:2" x14ac:dyDescent="0.25">
      <c r="A11955" s="5">
        <v>39262</v>
      </c>
      <c r="B11955">
        <v>1503.34997558594</v>
      </c>
    </row>
    <row r="11956" spans="1:2" x14ac:dyDescent="0.25">
      <c r="A11956" s="5">
        <v>39265</v>
      </c>
      <c r="B11956">
        <v>1519.43005371094</v>
      </c>
    </row>
    <row r="11957" spans="1:2" x14ac:dyDescent="0.25">
      <c r="A11957" s="5">
        <v>39266</v>
      </c>
      <c r="B11957">
        <v>1524.86999511719</v>
      </c>
    </row>
    <row r="11958" spans="1:2" x14ac:dyDescent="0.25">
      <c r="A11958" s="5">
        <v>39268</v>
      </c>
      <c r="B11958">
        <v>1525.40002441406</v>
      </c>
    </row>
    <row r="11959" spans="1:2" x14ac:dyDescent="0.25">
      <c r="A11959" s="5">
        <v>39269</v>
      </c>
      <c r="B11959">
        <v>1530.43994140625</v>
      </c>
    </row>
    <row r="11960" spans="1:2" x14ac:dyDescent="0.25">
      <c r="A11960" s="5">
        <v>39272</v>
      </c>
      <c r="B11960">
        <v>1531.84997558594</v>
      </c>
    </row>
    <row r="11961" spans="1:2" x14ac:dyDescent="0.25">
      <c r="A11961" s="5">
        <v>39273</v>
      </c>
      <c r="B11961">
        <v>1510.11999511719</v>
      </c>
    </row>
    <row r="11962" spans="1:2" x14ac:dyDescent="0.25">
      <c r="A11962" s="5">
        <v>39274</v>
      </c>
      <c r="B11962">
        <v>1518.76000976562</v>
      </c>
    </row>
    <row r="11963" spans="1:2" x14ac:dyDescent="0.25">
      <c r="A11963" s="5">
        <v>39275</v>
      </c>
      <c r="B11963">
        <v>1547.69995117188</v>
      </c>
    </row>
    <row r="11964" spans="1:2" x14ac:dyDescent="0.25">
      <c r="A11964" s="5">
        <v>39276</v>
      </c>
      <c r="B11964">
        <v>1552.5</v>
      </c>
    </row>
    <row r="11965" spans="1:2" x14ac:dyDescent="0.25">
      <c r="A11965" s="5">
        <v>39279</v>
      </c>
      <c r="B11965">
        <v>1549.52001953125</v>
      </c>
    </row>
    <row r="11966" spans="1:2" x14ac:dyDescent="0.25">
      <c r="A11966" s="5">
        <v>39280</v>
      </c>
      <c r="B11966">
        <v>1549.36999511719</v>
      </c>
    </row>
    <row r="11967" spans="1:2" x14ac:dyDescent="0.25">
      <c r="A11967" s="5">
        <v>39281</v>
      </c>
      <c r="B11967">
        <v>1546.17004394531</v>
      </c>
    </row>
    <row r="11968" spans="1:2" x14ac:dyDescent="0.25">
      <c r="A11968" s="5">
        <v>39282</v>
      </c>
      <c r="B11968">
        <v>1553.07995605469</v>
      </c>
    </row>
    <row r="11969" spans="1:2" x14ac:dyDescent="0.25">
      <c r="A11969" s="5">
        <v>39283</v>
      </c>
      <c r="B11969">
        <v>1534.09997558594</v>
      </c>
    </row>
    <row r="11970" spans="1:2" x14ac:dyDescent="0.25">
      <c r="A11970" s="5">
        <v>39286</v>
      </c>
      <c r="B11970">
        <v>1541.56994628906</v>
      </c>
    </row>
    <row r="11971" spans="1:2" x14ac:dyDescent="0.25">
      <c r="A11971" s="5">
        <v>39287</v>
      </c>
      <c r="B11971">
        <v>1511.0400390625</v>
      </c>
    </row>
    <row r="11972" spans="1:2" x14ac:dyDescent="0.25">
      <c r="A11972" s="5">
        <v>39288</v>
      </c>
      <c r="B11972">
        <v>1518.08996582031</v>
      </c>
    </row>
    <row r="11973" spans="1:2" x14ac:dyDescent="0.25">
      <c r="A11973" s="5">
        <v>39289</v>
      </c>
      <c r="B11973">
        <v>1482.66003417969</v>
      </c>
    </row>
    <row r="11974" spans="1:2" x14ac:dyDescent="0.25">
      <c r="A11974" s="5">
        <v>39290</v>
      </c>
      <c r="B11974">
        <v>1458.94995117188</v>
      </c>
    </row>
    <row r="11975" spans="1:2" x14ac:dyDescent="0.25">
      <c r="A11975" s="5">
        <v>39293</v>
      </c>
      <c r="B11975">
        <v>1473.91003417969</v>
      </c>
    </row>
    <row r="11976" spans="1:2" x14ac:dyDescent="0.25">
      <c r="A11976" s="5">
        <v>39294</v>
      </c>
      <c r="B11976">
        <v>1455.27001953125</v>
      </c>
    </row>
    <row r="11977" spans="1:2" x14ac:dyDescent="0.25">
      <c r="A11977" s="5">
        <v>39295</v>
      </c>
      <c r="B11977">
        <v>1465.81005859375</v>
      </c>
    </row>
    <row r="11978" spans="1:2" x14ac:dyDescent="0.25">
      <c r="A11978" s="5">
        <v>39296</v>
      </c>
      <c r="B11978">
        <v>1472.19995117188</v>
      </c>
    </row>
    <row r="11979" spans="1:2" x14ac:dyDescent="0.25">
      <c r="A11979" s="5">
        <v>39297</v>
      </c>
      <c r="B11979">
        <v>1433.06005859375</v>
      </c>
    </row>
    <row r="11980" spans="1:2" x14ac:dyDescent="0.25">
      <c r="A11980" s="5">
        <v>39300</v>
      </c>
      <c r="B11980">
        <v>1467.67004394531</v>
      </c>
    </row>
    <row r="11981" spans="1:2" x14ac:dyDescent="0.25">
      <c r="A11981" s="5">
        <v>39301</v>
      </c>
      <c r="B11981">
        <v>1476.7099609375</v>
      </c>
    </row>
    <row r="11982" spans="1:2" x14ac:dyDescent="0.25">
      <c r="A11982" s="5">
        <v>39302</v>
      </c>
      <c r="B11982">
        <v>1497.48999023438</v>
      </c>
    </row>
    <row r="11983" spans="1:2" x14ac:dyDescent="0.25">
      <c r="A11983" s="5">
        <v>39303</v>
      </c>
      <c r="B11983">
        <v>1453.08996582031</v>
      </c>
    </row>
    <row r="11984" spans="1:2" x14ac:dyDescent="0.25">
      <c r="A11984" s="5">
        <v>39304</v>
      </c>
      <c r="B11984">
        <v>1453.64001464844</v>
      </c>
    </row>
    <row r="11985" spans="1:2" x14ac:dyDescent="0.25">
      <c r="A11985" s="5">
        <v>39307</v>
      </c>
      <c r="B11985">
        <v>1452.92004394531</v>
      </c>
    </row>
    <row r="11986" spans="1:2" x14ac:dyDescent="0.25">
      <c r="A11986" s="5">
        <v>39308</v>
      </c>
      <c r="B11986">
        <v>1426.5400390625</v>
      </c>
    </row>
    <row r="11987" spans="1:2" x14ac:dyDescent="0.25">
      <c r="A11987" s="5">
        <v>39309</v>
      </c>
      <c r="B11987">
        <v>1406.69995117188</v>
      </c>
    </row>
    <row r="11988" spans="1:2" x14ac:dyDescent="0.25">
      <c r="A11988" s="5">
        <v>39310</v>
      </c>
      <c r="B11988">
        <v>1411.27001953125</v>
      </c>
    </row>
    <row r="11989" spans="1:2" x14ac:dyDescent="0.25">
      <c r="A11989" s="5">
        <v>39311</v>
      </c>
      <c r="B11989">
        <v>1445.93994140625</v>
      </c>
    </row>
    <row r="11990" spans="1:2" x14ac:dyDescent="0.25">
      <c r="A11990" s="5">
        <v>39314</v>
      </c>
      <c r="B11990">
        <v>1445.55004882812</v>
      </c>
    </row>
    <row r="11991" spans="1:2" x14ac:dyDescent="0.25">
      <c r="A11991" s="5">
        <v>39315</v>
      </c>
      <c r="B11991">
        <v>1447.11999511719</v>
      </c>
    </row>
    <row r="11992" spans="1:2" x14ac:dyDescent="0.25">
      <c r="A11992" s="5">
        <v>39316</v>
      </c>
      <c r="B11992">
        <v>1464.06994628906</v>
      </c>
    </row>
    <row r="11993" spans="1:2" x14ac:dyDescent="0.25">
      <c r="A11993" s="5">
        <v>39317</v>
      </c>
      <c r="B11993">
        <v>1462.5</v>
      </c>
    </row>
    <row r="11994" spans="1:2" x14ac:dyDescent="0.25">
      <c r="A11994" s="5">
        <v>39318</v>
      </c>
      <c r="B11994">
        <v>1479.36999511719</v>
      </c>
    </row>
    <row r="11995" spans="1:2" x14ac:dyDescent="0.25">
      <c r="A11995" s="5">
        <v>39321</v>
      </c>
      <c r="B11995">
        <v>1466.7900390625</v>
      </c>
    </row>
    <row r="11996" spans="1:2" x14ac:dyDescent="0.25">
      <c r="A11996" s="5">
        <v>39322</v>
      </c>
      <c r="B11996">
        <v>1432.35998535156</v>
      </c>
    </row>
    <row r="11997" spans="1:2" x14ac:dyDescent="0.25">
      <c r="A11997" s="5">
        <v>39323</v>
      </c>
      <c r="B11997">
        <v>1463.76000976562</v>
      </c>
    </row>
    <row r="11998" spans="1:2" x14ac:dyDescent="0.25">
      <c r="A11998" s="5">
        <v>39324</v>
      </c>
      <c r="B11998">
        <v>1457.64001464844</v>
      </c>
    </row>
    <row r="11999" spans="1:2" x14ac:dyDescent="0.25">
      <c r="A11999" s="5">
        <v>39325</v>
      </c>
      <c r="B11999">
        <v>1473.98999023438</v>
      </c>
    </row>
    <row r="12000" spans="1:2" x14ac:dyDescent="0.25">
      <c r="A12000" s="5">
        <v>39329</v>
      </c>
      <c r="B12000">
        <v>1489.42004394531</v>
      </c>
    </row>
    <row r="12001" spans="1:2" x14ac:dyDescent="0.25">
      <c r="A12001" s="5">
        <v>39330</v>
      </c>
      <c r="B12001">
        <v>1472.2900390625</v>
      </c>
    </row>
    <row r="12002" spans="1:2" x14ac:dyDescent="0.25">
      <c r="A12002" s="5">
        <v>39331</v>
      </c>
      <c r="B12002">
        <v>1478.55004882812</v>
      </c>
    </row>
    <row r="12003" spans="1:2" x14ac:dyDescent="0.25">
      <c r="A12003" s="5">
        <v>39332</v>
      </c>
      <c r="B12003">
        <v>1453.55004882812</v>
      </c>
    </row>
    <row r="12004" spans="1:2" x14ac:dyDescent="0.25">
      <c r="A12004" s="5">
        <v>39335</v>
      </c>
      <c r="B12004">
        <v>1451.69995117188</v>
      </c>
    </row>
    <row r="12005" spans="1:2" x14ac:dyDescent="0.25">
      <c r="A12005" s="5">
        <v>39336</v>
      </c>
      <c r="B12005">
        <v>1471.48999023438</v>
      </c>
    </row>
    <row r="12006" spans="1:2" x14ac:dyDescent="0.25">
      <c r="A12006" s="5">
        <v>39337</v>
      </c>
      <c r="B12006">
        <v>1471.56005859375</v>
      </c>
    </row>
    <row r="12007" spans="1:2" x14ac:dyDescent="0.25">
      <c r="A12007" s="5">
        <v>39338</v>
      </c>
      <c r="B12007">
        <v>1483.94995117188</v>
      </c>
    </row>
    <row r="12008" spans="1:2" x14ac:dyDescent="0.25">
      <c r="A12008" s="5">
        <v>39339</v>
      </c>
      <c r="B12008">
        <v>1484.25</v>
      </c>
    </row>
    <row r="12009" spans="1:2" x14ac:dyDescent="0.25">
      <c r="A12009" s="5">
        <v>39342</v>
      </c>
      <c r="B12009">
        <v>1476.65002441406</v>
      </c>
    </row>
    <row r="12010" spans="1:2" x14ac:dyDescent="0.25">
      <c r="A12010" s="5">
        <v>39343</v>
      </c>
      <c r="B12010">
        <v>1519.78002929688</v>
      </c>
    </row>
    <row r="12011" spans="1:2" x14ac:dyDescent="0.25">
      <c r="A12011" s="5">
        <v>39344</v>
      </c>
      <c r="B12011">
        <v>1529.03002929688</v>
      </c>
    </row>
    <row r="12012" spans="1:2" x14ac:dyDescent="0.25">
      <c r="A12012" s="5">
        <v>39345</v>
      </c>
      <c r="B12012">
        <v>1518.75</v>
      </c>
    </row>
    <row r="12013" spans="1:2" x14ac:dyDescent="0.25">
      <c r="A12013" s="5">
        <v>39346</v>
      </c>
      <c r="B12013">
        <v>1525.75</v>
      </c>
    </row>
    <row r="12014" spans="1:2" x14ac:dyDescent="0.25">
      <c r="A12014" s="5">
        <v>39349</v>
      </c>
      <c r="B12014">
        <v>1517.72998046875</v>
      </c>
    </row>
    <row r="12015" spans="1:2" x14ac:dyDescent="0.25">
      <c r="A12015" s="5">
        <v>39350</v>
      </c>
      <c r="B12015">
        <v>1517.2099609375</v>
      </c>
    </row>
    <row r="12016" spans="1:2" x14ac:dyDescent="0.25">
      <c r="A12016" s="5">
        <v>39351</v>
      </c>
      <c r="B12016">
        <v>1525.42004394531</v>
      </c>
    </row>
    <row r="12017" spans="1:2" x14ac:dyDescent="0.25">
      <c r="A12017" s="5">
        <v>39352</v>
      </c>
      <c r="B12017">
        <v>1531.38000488281</v>
      </c>
    </row>
    <row r="12018" spans="1:2" x14ac:dyDescent="0.25">
      <c r="A12018" s="5">
        <v>39353</v>
      </c>
      <c r="B12018">
        <v>1526.75</v>
      </c>
    </row>
    <row r="12019" spans="1:2" x14ac:dyDescent="0.25">
      <c r="A12019" s="5">
        <v>39356</v>
      </c>
      <c r="B12019">
        <v>1547.0400390625</v>
      </c>
    </row>
    <row r="12020" spans="1:2" x14ac:dyDescent="0.25">
      <c r="A12020" s="5">
        <v>39357</v>
      </c>
      <c r="B12020">
        <v>1546.63000488281</v>
      </c>
    </row>
    <row r="12021" spans="1:2" x14ac:dyDescent="0.25">
      <c r="A12021" s="5">
        <v>39358</v>
      </c>
      <c r="B12021">
        <v>1539.58996582031</v>
      </c>
    </row>
    <row r="12022" spans="1:2" x14ac:dyDescent="0.25">
      <c r="A12022" s="5">
        <v>39359</v>
      </c>
      <c r="B12022">
        <v>1542.83996582031</v>
      </c>
    </row>
    <row r="12023" spans="1:2" x14ac:dyDescent="0.25">
      <c r="A12023" s="5">
        <v>39360</v>
      </c>
      <c r="B12023">
        <v>1557.58996582031</v>
      </c>
    </row>
    <row r="12024" spans="1:2" x14ac:dyDescent="0.25">
      <c r="A12024" s="5">
        <v>39363</v>
      </c>
      <c r="B12024">
        <v>1552.57995605469</v>
      </c>
    </row>
    <row r="12025" spans="1:2" x14ac:dyDescent="0.25">
      <c r="A12025" s="5">
        <v>39364</v>
      </c>
      <c r="B12025">
        <v>1565.15002441406</v>
      </c>
    </row>
    <row r="12026" spans="1:2" x14ac:dyDescent="0.25">
      <c r="A12026" s="5">
        <v>39365</v>
      </c>
      <c r="B12026">
        <v>1562.46997070312</v>
      </c>
    </row>
    <row r="12027" spans="1:2" x14ac:dyDescent="0.25">
      <c r="A12027" s="5">
        <v>39366</v>
      </c>
      <c r="B12027">
        <v>1554.41003417969</v>
      </c>
    </row>
    <row r="12028" spans="1:2" x14ac:dyDescent="0.25">
      <c r="A12028" s="5">
        <v>39367</v>
      </c>
      <c r="B12028">
        <v>1561.80004882812</v>
      </c>
    </row>
    <row r="12029" spans="1:2" x14ac:dyDescent="0.25">
      <c r="A12029" s="5">
        <v>39370</v>
      </c>
      <c r="B12029">
        <v>1548.7099609375</v>
      </c>
    </row>
    <row r="12030" spans="1:2" x14ac:dyDescent="0.25">
      <c r="A12030" s="5">
        <v>39371</v>
      </c>
      <c r="B12030">
        <v>1538.53002929688</v>
      </c>
    </row>
    <row r="12031" spans="1:2" x14ac:dyDescent="0.25">
      <c r="A12031" s="5">
        <v>39372</v>
      </c>
      <c r="B12031">
        <v>1541.23999023438</v>
      </c>
    </row>
    <row r="12032" spans="1:2" x14ac:dyDescent="0.25">
      <c r="A12032" s="5">
        <v>39373</v>
      </c>
      <c r="B12032">
        <v>1540.07995605469</v>
      </c>
    </row>
    <row r="12033" spans="1:2" x14ac:dyDescent="0.25">
      <c r="A12033" s="5">
        <v>39374</v>
      </c>
      <c r="B12033">
        <v>1500.63000488281</v>
      </c>
    </row>
    <row r="12034" spans="1:2" x14ac:dyDescent="0.25">
      <c r="A12034" s="5">
        <v>39377</v>
      </c>
      <c r="B12034">
        <v>1506.32995605469</v>
      </c>
    </row>
    <row r="12035" spans="1:2" x14ac:dyDescent="0.25">
      <c r="A12035" s="5">
        <v>39378</v>
      </c>
      <c r="B12035">
        <v>1519.58996582031</v>
      </c>
    </row>
    <row r="12036" spans="1:2" x14ac:dyDescent="0.25">
      <c r="A12036" s="5">
        <v>39379</v>
      </c>
      <c r="B12036">
        <v>1515.88000488281</v>
      </c>
    </row>
    <row r="12037" spans="1:2" x14ac:dyDescent="0.25">
      <c r="A12037" s="5">
        <v>39380</v>
      </c>
      <c r="B12037">
        <v>1514.40002441406</v>
      </c>
    </row>
    <row r="12038" spans="1:2" x14ac:dyDescent="0.25">
      <c r="A12038" s="5">
        <v>39381</v>
      </c>
      <c r="B12038">
        <v>1535.28002929688</v>
      </c>
    </row>
    <row r="12039" spans="1:2" x14ac:dyDescent="0.25">
      <c r="A12039" s="5">
        <v>39384</v>
      </c>
      <c r="B12039">
        <v>1540.97998046875</v>
      </c>
    </row>
    <row r="12040" spans="1:2" x14ac:dyDescent="0.25">
      <c r="A12040" s="5">
        <v>39385</v>
      </c>
      <c r="B12040">
        <v>1531.02001953125</v>
      </c>
    </row>
    <row r="12041" spans="1:2" x14ac:dyDescent="0.25">
      <c r="A12041" s="5">
        <v>39386</v>
      </c>
      <c r="B12041">
        <v>1549.38000488281</v>
      </c>
    </row>
    <row r="12042" spans="1:2" x14ac:dyDescent="0.25">
      <c r="A12042" s="5">
        <v>39387</v>
      </c>
      <c r="B12042">
        <v>1508.43994140625</v>
      </c>
    </row>
    <row r="12043" spans="1:2" x14ac:dyDescent="0.25">
      <c r="A12043" s="5">
        <v>39388</v>
      </c>
      <c r="B12043">
        <v>1509.65002441406</v>
      </c>
    </row>
    <row r="12044" spans="1:2" x14ac:dyDescent="0.25">
      <c r="A12044" s="5">
        <v>39391</v>
      </c>
      <c r="B12044">
        <v>1502.17004394531</v>
      </c>
    </row>
    <row r="12045" spans="1:2" x14ac:dyDescent="0.25">
      <c r="A12045" s="5">
        <v>39392</v>
      </c>
      <c r="B12045">
        <v>1520.27001953125</v>
      </c>
    </row>
    <row r="12046" spans="1:2" x14ac:dyDescent="0.25">
      <c r="A12046" s="5">
        <v>39393</v>
      </c>
      <c r="B12046">
        <v>1475.61999511719</v>
      </c>
    </row>
    <row r="12047" spans="1:2" x14ac:dyDescent="0.25">
      <c r="A12047" s="5">
        <v>39394</v>
      </c>
      <c r="B12047">
        <v>1474.77001953125</v>
      </c>
    </row>
    <row r="12048" spans="1:2" x14ac:dyDescent="0.25">
      <c r="A12048" s="5">
        <v>39395</v>
      </c>
      <c r="B12048">
        <v>1453.69995117188</v>
      </c>
    </row>
    <row r="12049" spans="1:2" x14ac:dyDescent="0.25">
      <c r="A12049" s="5">
        <v>39398</v>
      </c>
      <c r="B12049">
        <v>1439.18005371094</v>
      </c>
    </row>
    <row r="12050" spans="1:2" x14ac:dyDescent="0.25">
      <c r="A12050" s="5">
        <v>39399</v>
      </c>
      <c r="B12050">
        <v>1481.05004882812</v>
      </c>
    </row>
    <row r="12051" spans="1:2" x14ac:dyDescent="0.25">
      <c r="A12051" s="5">
        <v>39400</v>
      </c>
      <c r="B12051">
        <v>1470.57995605469</v>
      </c>
    </row>
    <row r="12052" spans="1:2" x14ac:dyDescent="0.25">
      <c r="A12052" s="5">
        <v>39401</v>
      </c>
      <c r="B12052">
        <v>1451.15002441406</v>
      </c>
    </row>
    <row r="12053" spans="1:2" x14ac:dyDescent="0.25">
      <c r="A12053" s="5">
        <v>39402</v>
      </c>
      <c r="B12053">
        <v>1458.73999023438</v>
      </c>
    </row>
    <row r="12054" spans="1:2" x14ac:dyDescent="0.25">
      <c r="A12054" s="5">
        <v>39405</v>
      </c>
      <c r="B12054">
        <v>1433.27001953125</v>
      </c>
    </row>
    <row r="12055" spans="1:2" x14ac:dyDescent="0.25">
      <c r="A12055" s="5">
        <v>39406</v>
      </c>
      <c r="B12055">
        <v>1439.69995117188</v>
      </c>
    </row>
    <row r="12056" spans="1:2" x14ac:dyDescent="0.25">
      <c r="A12056" s="5">
        <v>39407</v>
      </c>
      <c r="B12056">
        <v>1416.77001953125</v>
      </c>
    </row>
    <row r="12057" spans="1:2" x14ac:dyDescent="0.25">
      <c r="A12057" s="5">
        <v>39409</v>
      </c>
      <c r="B12057">
        <v>1440.69995117188</v>
      </c>
    </row>
    <row r="12058" spans="1:2" x14ac:dyDescent="0.25">
      <c r="A12058" s="5">
        <v>39412</v>
      </c>
      <c r="B12058">
        <v>1407.21997070312</v>
      </c>
    </row>
    <row r="12059" spans="1:2" x14ac:dyDescent="0.25">
      <c r="A12059" s="5">
        <v>39413</v>
      </c>
      <c r="B12059">
        <v>1428.22998046875</v>
      </c>
    </row>
    <row r="12060" spans="1:2" x14ac:dyDescent="0.25">
      <c r="A12060" s="5">
        <v>39414</v>
      </c>
      <c r="B12060">
        <v>1469.02001953125</v>
      </c>
    </row>
    <row r="12061" spans="1:2" x14ac:dyDescent="0.25">
      <c r="A12061" s="5">
        <v>39415</v>
      </c>
      <c r="B12061">
        <v>1469.71997070312</v>
      </c>
    </row>
    <row r="12062" spans="1:2" x14ac:dyDescent="0.25">
      <c r="A12062" s="5">
        <v>39416</v>
      </c>
      <c r="B12062">
        <v>1481.14001464844</v>
      </c>
    </row>
    <row r="12063" spans="1:2" x14ac:dyDescent="0.25">
      <c r="A12063" s="5">
        <v>39419</v>
      </c>
      <c r="B12063">
        <v>1472.42004394531</v>
      </c>
    </row>
    <row r="12064" spans="1:2" x14ac:dyDescent="0.25">
      <c r="A12064" s="5">
        <v>39420</v>
      </c>
      <c r="B12064">
        <v>1462.7900390625</v>
      </c>
    </row>
    <row r="12065" spans="1:2" x14ac:dyDescent="0.25">
      <c r="A12065" s="5">
        <v>39421</v>
      </c>
      <c r="B12065">
        <v>1485.01000976562</v>
      </c>
    </row>
    <row r="12066" spans="1:2" x14ac:dyDescent="0.25">
      <c r="A12066" s="5">
        <v>39422</v>
      </c>
      <c r="B12066">
        <v>1507.33996582031</v>
      </c>
    </row>
    <row r="12067" spans="1:2" x14ac:dyDescent="0.25">
      <c r="A12067" s="5">
        <v>39423</v>
      </c>
      <c r="B12067">
        <v>1504.66003417969</v>
      </c>
    </row>
    <row r="12068" spans="1:2" x14ac:dyDescent="0.25">
      <c r="A12068" s="5">
        <v>39426</v>
      </c>
      <c r="B12068">
        <v>1515.9599609375</v>
      </c>
    </row>
    <row r="12069" spans="1:2" x14ac:dyDescent="0.25">
      <c r="A12069" s="5">
        <v>39427</v>
      </c>
      <c r="B12069">
        <v>1477.65002441406</v>
      </c>
    </row>
    <row r="12070" spans="1:2" x14ac:dyDescent="0.25">
      <c r="A12070" s="5">
        <v>39428</v>
      </c>
      <c r="B12070">
        <v>1486.58996582031</v>
      </c>
    </row>
    <row r="12071" spans="1:2" x14ac:dyDescent="0.25">
      <c r="A12071" s="5">
        <v>39429</v>
      </c>
      <c r="B12071">
        <v>1488.41003417969</v>
      </c>
    </row>
    <row r="12072" spans="1:2" x14ac:dyDescent="0.25">
      <c r="A12072" s="5">
        <v>39430</v>
      </c>
      <c r="B12072">
        <v>1467.94995117188</v>
      </c>
    </row>
    <row r="12073" spans="1:2" x14ac:dyDescent="0.25">
      <c r="A12073" s="5">
        <v>39433</v>
      </c>
      <c r="B12073">
        <v>1445.90002441406</v>
      </c>
    </row>
    <row r="12074" spans="1:2" x14ac:dyDescent="0.25">
      <c r="A12074" s="5">
        <v>39434</v>
      </c>
      <c r="B12074">
        <v>1454.97998046875</v>
      </c>
    </row>
    <row r="12075" spans="1:2" x14ac:dyDescent="0.25">
      <c r="A12075" s="5">
        <v>39435</v>
      </c>
      <c r="B12075">
        <v>1453</v>
      </c>
    </row>
    <row r="12076" spans="1:2" x14ac:dyDescent="0.25">
      <c r="A12076" s="5">
        <v>39436</v>
      </c>
      <c r="B12076">
        <v>1460.11999511719</v>
      </c>
    </row>
    <row r="12077" spans="1:2" x14ac:dyDescent="0.25">
      <c r="A12077" s="5">
        <v>39437</v>
      </c>
      <c r="B12077">
        <v>1484.4599609375</v>
      </c>
    </row>
    <row r="12078" spans="1:2" x14ac:dyDescent="0.25">
      <c r="A12078" s="5">
        <v>39440</v>
      </c>
      <c r="B12078">
        <v>1496.44995117188</v>
      </c>
    </row>
    <row r="12079" spans="1:2" x14ac:dyDescent="0.25">
      <c r="A12079" s="5">
        <v>39442</v>
      </c>
      <c r="B12079">
        <v>1497.66003417969</v>
      </c>
    </row>
    <row r="12080" spans="1:2" x14ac:dyDescent="0.25">
      <c r="A12080" s="5">
        <v>39443</v>
      </c>
      <c r="B12080">
        <v>1476.27001953125</v>
      </c>
    </row>
    <row r="12081" spans="1:2" x14ac:dyDescent="0.25">
      <c r="A12081" s="5">
        <v>39444</v>
      </c>
      <c r="B12081">
        <v>1478.48999023438</v>
      </c>
    </row>
    <row r="12082" spans="1:2" x14ac:dyDescent="0.25">
      <c r="A12082" s="5">
        <v>39447</v>
      </c>
      <c r="B12082">
        <v>1468.35998535156</v>
      </c>
    </row>
    <row r="12083" spans="1:2" x14ac:dyDescent="0.25">
      <c r="A12083" s="5">
        <v>39449</v>
      </c>
      <c r="B12083">
        <v>1447.16003417969</v>
      </c>
    </row>
    <row r="12084" spans="1:2" x14ac:dyDescent="0.25">
      <c r="A12084" s="5">
        <v>39450</v>
      </c>
      <c r="B12084">
        <v>1447.16003417969</v>
      </c>
    </row>
    <row r="12085" spans="1:2" x14ac:dyDescent="0.25">
      <c r="A12085" s="5">
        <v>39451</v>
      </c>
      <c r="B12085">
        <v>1411.63000488281</v>
      </c>
    </row>
    <row r="12086" spans="1:2" x14ac:dyDescent="0.25">
      <c r="A12086" s="5">
        <v>39454</v>
      </c>
      <c r="B12086">
        <v>1416.18005371094</v>
      </c>
    </row>
    <row r="12087" spans="1:2" x14ac:dyDescent="0.25">
      <c r="A12087" s="5">
        <v>39455</v>
      </c>
      <c r="B12087">
        <v>1390.18994140625</v>
      </c>
    </row>
    <row r="12088" spans="1:2" x14ac:dyDescent="0.25">
      <c r="A12088" s="5">
        <v>39456</v>
      </c>
      <c r="B12088">
        <v>1409.13000488281</v>
      </c>
    </row>
    <row r="12089" spans="1:2" x14ac:dyDescent="0.25">
      <c r="A12089" s="5">
        <v>39457</v>
      </c>
      <c r="B12089">
        <v>1420.32995605469</v>
      </c>
    </row>
    <row r="12090" spans="1:2" x14ac:dyDescent="0.25">
      <c r="A12090" s="5">
        <v>39458</v>
      </c>
      <c r="B12090">
        <v>1401.02001953125</v>
      </c>
    </row>
    <row r="12091" spans="1:2" x14ac:dyDescent="0.25">
      <c r="A12091" s="5">
        <v>39461</v>
      </c>
      <c r="B12091">
        <v>1416.25</v>
      </c>
    </row>
    <row r="12092" spans="1:2" x14ac:dyDescent="0.25">
      <c r="A12092" s="5">
        <v>39462</v>
      </c>
      <c r="B12092">
        <v>1380.94995117188</v>
      </c>
    </row>
    <row r="12093" spans="1:2" x14ac:dyDescent="0.25">
      <c r="A12093" s="5">
        <v>39463</v>
      </c>
      <c r="B12093">
        <v>1373.19995117188</v>
      </c>
    </row>
    <row r="12094" spans="1:2" x14ac:dyDescent="0.25">
      <c r="A12094" s="5">
        <v>39464</v>
      </c>
      <c r="B12094">
        <v>1333.25</v>
      </c>
    </row>
    <row r="12095" spans="1:2" x14ac:dyDescent="0.25">
      <c r="A12095" s="5">
        <v>39465</v>
      </c>
      <c r="B12095">
        <v>1325.18994140625</v>
      </c>
    </row>
    <row r="12096" spans="1:2" x14ac:dyDescent="0.25">
      <c r="A12096" s="5">
        <v>39469</v>
      </c>
      <c r="B12096">
        <v>1310.5</v>
      </c>
    </row>
    <row r="12097" spans="1:2" x14ac:dyDescent="0.25">
      <c r="A12097" s="5">
        <v>39470</v>
      </c>
      <c r="B12097">
        <v>1338.59997558594</v>
      </c>
    </row>
    <row r="12098" spans="1:2" x14ac:dyDescent="0.25">
      <c r="A12098" s="5">
        <v>39471</v>
      </c>
      <c r="B12098">
        <v>1352.06994628906</v>
      </c>
    </row>
    <row r="12099" spans="1:2" x14ac:dyDescent="0.25">
      <c r="A12099" s="5">
        <v>39472</v>
      </c>
      <c r="B12099">
        <v>1330.60998535156</v>
      </c>
    </row>
    <row r="12100" spans="1:2" x14ac:dyDescent="0.25">
      <c r="A12100" s="5">
        <v>39475</v>
      </c>
      <c r="B12100">
        <v>1353.9599609375</v>
      </c>
    </row>
    <row r="12101" spans="1:2" x14ac:dyDescent="0.25">
      <c r="A12101" s="5">
        <v>39476</v>
      </c>
      <c r="B12101">
        <v>1362.30004882812</v>
      </c>
    </row>
    <row r="12102" spans="1:2" x14ac:dyDescent="0.25">
      <c r="A12102" s="5">
        <v>39477</v>
      </c>
      <c r="B12102">
        <v>1355.81005859375</v>
      </c>
    </row>
    <row r="12103" spans="1:2" x14ac:dyDescent="0.25">
      <c r="A12103" s="5">
        <v>39478</v>
      </c>
      <c r="B12103">
        <v>1378.55004882812</v>
      </c>
    </row>
    <row r="12104" spans="1:2" x14ac:dyDescent="0.25">
      <c r="A12104" s="5">
        <v>39479</v>
      </c>
      <c r="B12104">
        <v>1395.42004394531</v>
      </c>
    </row>
    <row r="12105" spans="1:2" x14ac:dyDescent="0.25">
      <c r="A12105" s="5">
        <v>39482</v>
      </c>
      <c r="B12105">
        <v>1380.81994628906</v>
      </c>
    </row>
    <row r="12106" spans="1:2" x14ac:dyDescent="0.25">
      <c r="A12106" s="5">
        <v>39483</v>
      </c>
      <c r="B12106">
        <v>1336.64001464844</v>
      </c>
    </row>
    <row r="12107" spans="1:2" x14ac:dyDescent="0.25">
      <c r="A12107" s="5">
        <v>39484</v>
      </c>
      <c r="B12107">
        <v>1326.44995117188</v>
      </c>
    </row>
    <row r="12108" spans="1:2" x14ac:dyDescent="0.25">
      <c r="A12108" s="5">
        <v>39485</v>
      </c>
      <c r="B12108">
        <v>1336.91003417969</v>
      </c>
    </row>
    <row r="12109" spans="1:2" x14ac:dyDescent="0.25">
      <c r="A12109" s="5">
        <v>39486</v>
      </c>
      <c r="B12109">
        <v>1331.2900390625</v>
      </c>
    </row>
    <row r="12110" spans="1:2" x14ac:dyDescent="0.25">
      <c r="A12110" s="5">
        <v>39489</v>
      </c>
      <c r="B12110">
        <v>1339.13000488281</v>
      </c>
    </row>
    <row r="12111" spans="1:2" x14ac:dyDescent="0.25">
      <c r="A12111" s="5">
        <v>39490</v>
      </c>
      <c r="B12111">
        <v>1348.85998535156</v>
      </c>
    </row>
    <row r="12112" spans="1:2" x14ac:dyDescent="0.25">
      <c r="A12112" s="5">
        <v>39491</v>
      </c>
      <c r="B12112">
        <v>1367.2099609375</v>
      </c>
    </row>
    <row r="12113" spans="1:2" x14ac:dyDescent="0.25">
      <c r="A12113" s="5">
        <v>39492</v>
      </c>
      <c r="B12113">
        <v>1348.85998535156</v>
      </c>
    </row>
    <row r="12114" spans="1:2" x14ac:dyDescent="0.25">
      <c r="A12114" s="5">
        <v>39493</v>
      </c>
      <c r="B12114">
        <v>1349.98999023438</v>
      </c>
    </row>
    <row r="12115" spans="1:2" x14ac:dyDescent="0.25">
      <c r="A12115" s="5">
        <v>39497</v>
      </c>
      <c r="B12115">
        <v>1348.78002929688</v>
      </c>
    </row>
    <row r="12116" spans="1:2" x14ac:dyDescent="0.25">
      <c r="A12116" s="5">
        <v>39498</v>
      </c>
      <c r="B12116">
        <v>1360.03002929688</v>
      </c>
    </row>
    <row r="12117" spans="1:2" x14ac:dyDescent="0.25">
      <c r="A12117" s="5">
        <v>39499</v>
      </c>
      <c r="B12117">
        <v>1342.53002929688</v>
      </c>
    </row>
    <row r="12118" spans="1:2" x14ac:dyDescent="0.25">
      <c r="A12118" s="5">
        <v>39500</v>
      </c>
      <c r="B12118">
        <v>1353.10998535156</v>
      </c>
    </row>
    <row r="12119" spans="1:2" x14ac:dyDescent="0.25">
      <c r="A12119" s="5">
        <v>39503</v>
      </c>
      <c r="B12119">
        <v>1371.80004882812</v>
      </c>
    </row>
    <row r="12120" spans="1:2" x14ac:dyDescent="0.25">
      <c r="A12120" s="5">
        <v>39504</v>
      </c>
      <c r="B12120">
        <v>1381.2900390625</v>
      </c>
    </row>
    <row r="12121" spans="1:2" x14ac:dyDescent="0.25">
      <c r="A12121" s="5">
        <v>39505</v>
      </c>
      <c r="B12121">
        <v>1380.02001953125</v>
      </c>
    </row>
    <row r="12122" spans="1:2" x14ac:dyDescent="0.25">
      <c r="A12122" s="5">
        <v>39506</v>
      </c>
      <c r="B12122">
        <v>1367.68005371094</v>
      </c>
    </row>
    <row r="12123" spans="1:2" x14ac:dyDescent="0.25">
      <c r="A12123" s="5">
        <v>39507</v>
      </c>
      <c r="B12123">
        <v>1330.63000488281</v>
      </c>
    </row>
    <row r="12124" spans="1:2" x14ac:dyDescent="0.25">
      <c r="A12124" s="5">
        <v>39510</v>
      </c>
      <c r="B12124">
        <v>1331.33996582031</v>
      </c>
    </row>
    <row r="12125" spans="1:2" x14ac:dyDescent="0.25">
      <c r="A12125" s="5">
        <v>39511</v>
      </c>
      <c r="B12125">
        <v>1326.75</v>
      </c>
    </row>
    <row r="12126" spans="1:2" x14ac:dyDescent="0.25">
      <c r="A12126" s="5">
        <v>39512</v>
      </c>
      <c r="B12126">
        <v>1333.69995117188</v>
      </c>
    </row>
    <row r="12127" spans="1:2" x14ac:dyDescent="0.25">
      <c r="A12127" s="5">
        <v>39513</v>
      </c>
      <c r="B12127">
        <v>1304.33996582031</v>
      </c>
    </row>
    <row r="12128" spans="1:2" x14ac:dyDescent="0.25">
      <c r="A12128" s="5">
        <v>39514</v>
      </c>
      <c r="B12128">
        <v>1293.36999511719</v>
      </c>
    </row>
    <row r="12129" spans="1:2" x14ac:dyDescent="0.25">
      <c r="A12129" s="5">
        <v>39517</v>
      </c>
      <c r="B12129">
        <v>1273.36999511719</v>
      </c>
    </row>
    <row r="12130" spans="1:2" x14ac:dyDescent="0.25">
      <c r="A12130" s="5">
        <v>39518</v>
      </c>
      <c r="B12130">
        <v>1320.65002441406</v>
      </c>
    </row>
    <row r="12131" spans="1:2" x14ac:dyDescent="0.25">
      <c r="A12131" s="5">
        <v>39519</v>
      </c>
      <c r="B12131">
        <v>1308.77001953125</v>
      </c>
    </row>
    <row r="12132" spans="1:2" x14ac:dyDescent="0.25">
      <c r="A12132" s="5">
        <v>39520</v>
      </c>
      <c r="B12132">
        <v>1315.47998046875</v>
      </c>
    </row>
    <row r="12133" spans="1:2" x14ac:dyDescent="0.25">
      <c r="A12133" s="5">
        <v>39521</v>
      </c>
      <c r="B12133">
        <v>1288.14001464844</v>
      </c>
    </row>
    <row r="12134" spans="1:2" x14ac:dyDescent="0.25">
      <c r="A12134" s="5">
        <v>39524</v>
      </c>
      <c r="B12134">
        <v>1276.59997558594</v>
      </c>
    </row>
    <row r="12135" spans="1:2" x14ac:dyDescent="0.25">
      <c r="A12135" s="5">
        <v>39525</v>
      </c>
      <c r="B12135">
        <v>1330.73999023438</v>
      </c>
    </row>
    <row r="12136" spans="1:2" x14ac:dyDescent="0.25">
      <c r="A12136" s="5">
        <v>39526</v>
      </c>
      <c r="B12136">
        <v>1298.42004394531</v>
      </c>
    </row>
    <row r="12137" spans="1:2" x14ac:dyDescent="0.25">
      <c r="A12137" s="5">
        <v>39527</v>
      </c>
      <c r="B12137">
        <v>1329.51000976562</v>
      </c>
    </row>
    <row r="12138" spans="1:2" x14ac:dyDescent="0.25">
      <c r="A12138" s="5">
        <v>39531</v>
      </c>
      <c r="B12138">
        <v>1349.88000488281</v>
      </c>
    </row>
    <row r="12139" spans="1:2" x14ac:dyDescent="0.25">
      <c r="A12139" s="5">
        <v>39532</v>
      </c>
      <c r="B12139">
        <v>1352.98999023438</v>
      </c>
    </row>
    <row r="12140" spans="1:2" x14ac:dyDescent="0.25">
      <c r="A12140" s="5">
        <v>39533</v>
      </c>
      <c r="B12140">
        <v>1341.13000488281</v>
      </c>
    </row>
    <row r="12141" spans="1:2" x14ac:dyDescent="0.25">
      <c r="A12141" s="5">
        <v>39534</v>
      </c>
      <c r="B12141">
        <v>1325.76000976562</v>
      </c>
    </row>
    <row r="12142" spans="1:2" x14ac:dyDescent="0.25">
      <c r="A12142" s="5">
        <v>39535</v>
      </c>
      <c r="B12142">
        <v>1315.21997070312</v>
      </c>
    </row>
    <row r="12143" spans="1:2" x14ac:dyDescent="0.25">
      <c r="A12143" s="5">
        <v>39538</v>
      </c>
      <c r="B12143">
        <v>1322.69995117188</v>
      </c>
    </row>
    <row r="12144" spans="1:2" x14ac:dyDescent="0.25">
      <c r="A12144" s="5">
        <v>39539</v>
      </c>
      <c r="B12144">
        <v>1370.18005371094</v>
      </c>
    </row>
    <row r="12145" spans="1:2" x14ac:dyDescent="0.25">
      <c r="A12145" s="5">
        <v>39540</v>
      </c>
      <c r="B12145">
        <v>1367.53002929688</v>
      </c>
    </row>
    <row r="12146" spans="1:2" x14ac:dyDescent="0.25">
      <c r="A12146" s="5">
        <v>39541</v>
      </c>
      <c r="B12146">
        <v>1369.31005859375</v>
      </c>
    </row>
    <row r="12147" spans="1:2" x14ac:dyDescent="0.25">
      <c r="A12147" s="5">
        <v>39542</v>
      </c>
      <c r="B12147">
        <v>1370.40002441406</v>
      </c>
    </row>
    <row r="12148" spans="1:2" x14ac:dyDescent="0.25">
      <c r="A12148" s="5">
        <v>39545</v>
      </c>
      <c r="B12148">
        <v>1372.5400390625</v>
      </c>
    </row>
    <row r="12149" spans="1:2" x14ac:dyDescent="0.25">
      <c r="A12149" s="5">
        <v>39546</v>
      </c>
      <c r="B12149">
        <v>1365.5400390625</v>
      </c>
    </row>
    <row r="12150" spans="1:2" x14ac:dyDescent="0.25">
      <c r="A12150" s="5">
        <v>39547</v>
      </c>
      <c r="B12150">
        <v>1354.48999023438</v>
      </c>
    </row>
    <row r="12151" spans="1:2" x14ac:dyDescent="0.25">
      <c r="A12151" s="5">
        <v>39548</v>
      </c>
      <c r="B12151">
        <v>1360.55004882812</v>
      </c>
    </row>
    <row r="12152" spans="1:2" x14ac:dyDescent="0.25">
      <c r="A12152" s="5">
        <v>39549</v>
      </c>
      <c r="B12152">
        <v>1332.82995605469</v>
      </c>
    </row>
    <row r="12153" spans="1:2" x14ac:dyDescent="0.25">
      <c r="A12153" s="5">
        <v>39552</v>
      </c>
      <c r="B12153">
        <v>1328.31994628906</v>
      </c>
    </row>
    <row r="12154" spans="1:2" x14ac:dyDescent="0.25">
      <c r="A12154" s="5">
        <v>39553</v>
      </c>
      <c r="B12154">
        <v>1334.43005371094</v>
      </c>
    </row>
    <row r="12155" spans="1:2" x14ac:dyDescent="0.25">
      <c r="A12155" s="5">
        <v>39554</v>
      </c>
      <c r="B12155">
        <v>1364.7099609375</v>
      </c>
    </row>
    <row r="12156" spans="1:2" x14ac:dyDescent="0.25">
      <c r="A12156" s="5">
        <v>39555</v>
      </c>
      <c r="B12156">
        <v>1365.56005859375</v>
      </c>
    </row>
    <row r="12157" spans="1:2" x14ac:dyDescent="0.25">
      <c r="A12157" s="5">
        <v>39556</v>
      </c>
      <c r="B12157">
        <v>1390.32995605469</v>
      </c>
    </row>
    <row r="12158" spans="1:2" x14ac:dyDescent="0.25">
      <c r="A12158" s="5">
        <v>39559</v>
      </c>
      <c r="B12158">
        <v>1388.17004394531</v>
      </c>
    </row>
    <row r="12159" spans="1:2" x14ac:dyDescent="0.25">
      <c r="A12159" s="5">
        <v>39560</v>
      </c>
      <c r="B12159">
        <v>1375.93994140625</v>
      </c>
    </row>
    <row r="12160" spans="1:2" x14ac:dyDescent="0.25">
      <c r="A12160" s="5">
        <v>39561</v>
      </c>
      <c r="B12160">
        <v>1379.93005371094</v>
      </c>
    </row>
    <row r="12161" spans="1:2" x14ac:dyDescent="0.25">
      <c r="A12161" s="5">
        <v>39562</v>
      </c>
      <c r="B12161">
        <v>1388.81994628906</v>
      </c>
    </row>
    <row r="12162" spans="1:2" x14ac:dyDescent="0.25">
      <c r="A12162" s="5">
        <v>39563</v>
      </c>
      <c r="B12162">
        <v>1397.83996582031</v>
      </c>
    </row>
    <row r="12163" spans="1:2" x14ac:dyDescent="0.25">
      <c r="A12163" s="5">
        <v>39566</v>
      </c>
      <c r="B12163">
        <v>1396.36999511719</v>
      </c>
    </row>
    <row r="12164" spans="1:2" x14ac:dyDescent="0.25">
      <c r="A12164" s="5">
        <v>39567</v>
      </c>
      <c r="B12164">
        <v>1390.93994140625</v>
      </c>
    </row>
    <row r="12165" spans="1:2" x14ac:dyDescent="0.25">
      <c r="A12165" s="5">
        <v>39568</v>
      </c>
      <c r="B12165">
        <v>1385.58996582031</v>
      </c>
    </row>
    <row r="12166" spans="1:2" x14ac:dyDescent="0.25">
      <c r="A12166" s="5">
        <v>39569</v>
      </c>
      <c r="B12166">
        <v>1409.33996582031</v>
      </c>
    </row>
    <row r="12167" spans="1:2" x14ac:dyDescent="0.25">
      <c r="A12167" s="5">
        <v>39570</v>
      </c>
      <c r="B12167">
        <v>1413.90002441406</v>
      </c>
    </row>
    <row r="12168" spans="1:2" x14ac:dyDescent="0.25">
      <c r="A12168" s="5">
        <v>39573</v>
      </c>
      <c r="B12168">
        <v>1407.48999023438</v>
      </c>
    </row>
    <row r="12169" spans="1:2" x14ac:dyDescent="0.25">
      <c r="A12169" s="5">
        <v>39574</v>
      </c>
      <c r="B12169">
        <v>1418.26000976562</v>
      </c>
    </row>
    <row r="12170" spans="1:2" x14ac:dyDescent="0.25">
      <c r="A12170" s="5">
        <v>39575</v>
      </c>
      <c r="B12170">
        <v>1392.56994628906</v>
      </c>
    </row>
    <row r="12171" spans="1:2" x14ac:dyDescent="0.25">
      <c r="A12171" s="5">
        <v>39576</v>
      </c>
      <c r="B12171">
        <v>1397.68005371094</v>
      </c>
    </row>
    <row r="12172" spans="1:2" x14ac:dyDescent="0.25">
      <c r="A12172" s="5">
        <v>39577</v>
      </c>
      <c r="B12172">
        <v>1388.28002929688</v>
      </c>
    </row>
    <row r="12173" spans="1:2" x14ac:dyDescent="0.25">
      <c r="A12173" s="5">
        <v>39580</v>
      </c>
      <c r="B12173">
        <v>1403.57995605469</v>
      </c>
    </row>
    <row r="12174" spans="1:2" x14ac:dyDescent="0.25">
      <c r="A12174" s="5">
        <v>39581</v>
      </c>
      <c r="B12174">
        <v>1403.0400390625</v>
      </c>
    </row>
    <row r="12175" spans="1:2" x14ac:dyDescent="0.25">
      <c r="A12175" s="5">
        <v>39582</v>
      </c>
      <c r="B12175">
        <v>1408.66003417969</v>
      </c>
    </row>
    <row r="12176" spans="1:2" x14ac:dyDescent="0.25">
      <c r="A12176" s="5">
        <v>39583</v>
      </c>
      <c r="B12176">
        <v>1423.56994628906</v>
      </c>
    </row>
    <row r="12177" spans="1:2" x14ac:dyDescent="0.25">
      <c r="A12177" s="5">
        <v>39584</v>
      </c>
      <c r="B12177">
        <v>1425.34997558594</v>
      </c>
    </row>
    <row r="12178" spans="1:2" x14ac:dyDescent="0.25">
      <c r="A12178" s="5">
        <v>39587</v>
      </c>
      <c r="B12178">
        <v>1426.63000488281</v>
      </c>
    </row>
    <row r="12179" spans="1:2" x14ac:dyDescent="0.25">
      <c r="A12179" s="5">
        <v>39588</v>
      </c>
      <c r="B12179">
        <v>1413.40002441406</v>
      </c>
    </row>
    <row r="12180" spans="1:2" x14ac:dyDescent="0.25">
      <c r="A12180" s="5">
        <v>39589</v>
      </c>
      <c r="B12180">
        <v>1390.7099609375</v>
      </c>
    </row>
    <row r="12181" spans="1:2" x14ac:dyDescent="0.25">
      <c r="A12181" s="5">
        <v>39590</v>
      </c>
      <c r="B12181">
        <v>1394.34997558594</v>
      </c>
    </row>
    <row r="12182" spans="1:2" x14ac:dyDescent="0.25">
      <c r="A12182" s="5">
        <v>39591</v>
      </c>
      <c r="B12182">
        <v>1375.93005371094</v>
      </c>
    </row>
    <row r="12183" spans="1:2" x14ac:dyDescent="0.25">
      <c r="A12183" s="5">
        <v>39595</v>
      </c>
      <c r="B12183">
        <v>1385.34997558594</v>
      </c>
    </row>
    <row r="12184" spans="1:2" x14ac:dyDescent="0.25">
      <c r="A12184" s="5">
        <v>39596</v>
      </c>
      <c r="B12184">
        <v>1390.83996582031</v>
      </c>
    </row>
    <row r="12185" spans="1:2" x14ac:dyDescent="0.25">
      <c r="A12185" s="5">
        <v>39597</v>
      </c>
      <c r="B12185">
        <v>1398.26000976562</v>
      </c>
    </row>
    <row r="12186" spans="1:2" x14ac:dyDescent="0.25">
      <c r="A12186" s="5">
        <v>39598</v>
      </c>
      <c r="B12186">
        <v>1400.38000488281</v>
      </c>
    </row>
    <row r="12187" spans="1:2" x14ac:dyDescent="0.25">
      <c r="A12187" s="5">
        <v>39601</v>
      </c>
      <c r="B12187">
        <v>1385.67004394531</v>
      </c>
    </row>
    <row r="12188" spans="1:2" x14ac:dyDescent="0.25">
      <c r="A12188" s="5">
        <v>39602</v>
      </c>
      <c r="B12188">
        <v>1377.65002441406</v>
      </c>
    </row>
    <row r="12189" spans="1:2" x14ac:dyDescent="0.25">
      <c r="A12189" s="5">
        <v>39603</v>
      </c>
      <c r="B12189">
        <v>1377.19995117188</v>
      </c>
    </row>
    <row r="12190" spans="1:2" x14ac:dyDescent="0.25">
      <c r="A12190" s="5">
        <v>39604</v>
      </c>
      <c r="B12190">
        <v>1404.05004882812</v>
      </c>
    </row>
    <row r="12191" spans="1:2" x14ac:dyDescent="0.25">
      <c r="A12191" s="5">
        <v>39605</v>
      </c>
      <c r="B12191">
        <v>1360.68005371094</v>
      </c>
    </row>
    <row r="12192" spans="1:2" x14ac:dyDescent="0.25">
      <c r="A12192" s="5">
        <v>39608</v>
      </c>
      <c r="B12192">
        <v>1361.76000976562</v>
      </c>
    </row>
    <row r="12193" spans="1:2" x14ac:dyDescent="0.25">
      <c r="A12193" s="5">
        <v>39609</v>
      </c>
      <c r="B12193">
        <v>1358.43994140625</v>
      </c>
    </row>
    <row r="12194" spans="1:2" x14ac:dyDescent="0.25">
      <c r="A12194" s="5">
        <v>39610</v>
      </c>
      <c r="B12194">
        <v>1335.48999023438</v>
      </c>
    </row>
    <row r="12195" spans="1:2" x14ac:dyDescent="0.25">
      <c r="A12195" s="5">
        <v>39611</v>
      </c>
      <c r="B12195">
        <v>1339.86999511719</v>
      </c>
    </row>
    <row r="12196" spans="1:2" x14ac:dyDescent="0.25">
      <c r="A12196" s="5">
        <v>39612</v>
      </c>
      <c r="B12196">
        <v>1360.03002929688</v>
      </c>
    </row>
    <row r="12197" spans="1:2" x14ac:dyDescent="0.25">
      <c r="A12197" s="5">
        <v>39615</v>
      </c>
      <c r="B12197">
        <v>1360.14001464844</v>
      </c>
    </row>
    <row r="12198" spans="1:2" x14ac:dyDescent="0.25">
      <c r="A12198" s="5">
        <v>39616</v>
      </c>
      <c r="B12198">
        <v>1350.93005371094</v>
      </c>
    </row>
    <row r="12199" spans="1:2" x14ac:dyDescent="0.25">
      <c r="A12199" s="5">
        <v>39617</v>
      </c>
      <c r="B12199">
        <v>1337.81005859375</v>
      </c>
    </row>
    <row r="12200" spans="1:2" x14ac:dyDescent="0.25">
      <c r="A12200" s="5">
        <v>39618</v>
      </c>
      <c r="B12200">
        <v>1342.82995605469</v>
      </c>
    </row>
    <row r="12201" spans="1:2" x14ac:dyDescent="0.25">
      <c r="A12201" s="5">
        <v>39619</v>
      </c>
      <c r="B12201">
        <v>1317.93005371094</v>
      </c>
    </row>
    <row r="12202" spans="1:2" x14ac:dyDescent="0.25">
      <c r="A12202" s="5">
        <v>39622</v>
      </c>
      <c r="B12202">
        <v>1318</v>
      </c>
    </row>
    <row r="12203" spans="1:2" x14ac:dyDescent="0.25">
      <c r="A12203" s="5">
        <v>39623</v>
      </c>
      <c r="B12203">
        <v>1314.2900390625</v>
      </c>
    </row>
    <row r="12204" spans="1:2" x14ac:dyDescent="0.25">
      <c r="A12204" s="5">
        <v>39624</v>
      </c>
      <c r="B12204">
        <v>1321.96997070312</v>
      </c>
    </row>
    <row r="12205" spans="1:2" x14ac:dyDescent="0.25">
      <c r="A12205" s="5">
        <v>39625</v>
      </c>
      <c r="B12205">
        <v>1283.15002441406</v>
      </c>
    </row>
    <row r="12206" spans="1:2" x14ac:dyDescent="0.25">
      <c r="A12206" s="5">
        <v>39626</v>
      </c>
      <c r="B12206">
        <v>1278.38000488281</v>
      </c>
    </row>
    <row r="12207" spans="1:2" x14ac:dyDescent="0.25">
      <c r="A12207" s="5">
        <v>39629</v>
      </c>
      <c r="B12207">
        <v>1280</v>
      </c>
    </row>
    <row r="12208" spans="1:2" x14ac:dyDescent="0.25">
      <c r="A12208" s="5">
        <v>39630</v>
      </c>
      <c r="B12208">
        <v>1284.91003417969</v>
      </c>
    </row>
    <row r="12209" spans="1:2" x14ac:dyDescent="0.25">
      <c r="A12209" s="5">
        <v>39631</v>
      </c>
      <c r="B12209">
        <v>1261.52001953125</v>
      </c>
    </row>
    <row r="12210" spans="1:2" x14ac:dyDescent="0.25">
      <c r="A12210" s="5">
        <v>39632</v>
      </c>
      <c r="B12210">
        <v>1262.90002441406</v>
      </c>
    </row>
    <row r="12211" spans="1:2" x14ac:dyDescent="0.25">
      <c r="A12211" s="5">
        <v>39636</v>
      </c>
      <c r="B12211">
        <v>1252.31005859375</v>
      </c>
    </row>
    <row r="12212" spans="1:2" x14ac:dyDescent="0.25">
      <c r="A12212" s="5">
        <v>39637</v>
      </c>
      <c r="B12212">
        <v>1273.69995117188</v>
      </c>
    </row>
    <row r="12213" spans="1:2" x14ac:dyDescent="0.25">
      <c r="A12213" s="5">
        <v>39638</v>
      </c>
      <c r="B12213">
        <v>1244.68994140625</v>
      </c>
    </row>
    <row r="12214" spans="1:2" x14ac:dyDescent="0.25">
      <c r="A12214" s="5">
        <v>39639</v>
      </c>
      <c r="B12214">
        <v>1253.39001464844</v>
      </c>
    </row>
    <row r="12215" spans="1:2" x14ac:dyDescent="0.25">
      <c r="A12215" s="5">
        <v>39640</v>
      </c>
      <c r="B12215">
        <v>1239.48999023438</v>
      </c>
    </row>
    <row r="12216" spans="1:2" x14ac:dyDescent="0.25">
      <c r="A12216" s="5">
        <v>39643</v>
      </c>
      <c r="B12216">
        <v>1228.30004882812</v>
      </c>
    </row>
    <row r="12217" spans="1:2" x14ac:dyDescent="0.25">
      <c r="A12217" s="5">
        <v>39644</v>
      </c>
      <c r="B12217">
        <v>1214.91003417969</v>
      </c>
    </row>
    <row r="12218" spans="1:2" x14ac:dyDescent="0.25">
      <c r="A12218" s="5">
        <v>39645</v>
      </c>
      <c r="B12218">
        <v>1245.35998535156</v>
      </c>
    </row>
    <row r="12219" spans="1:2" x14ac:dyDescent="0.25">
      <c r="A12219" s="5">
        <v>39646</v>
      </c>
      <c r="B12219">
        <v>1260.31994628906</v>
      </c>
    </row>
    <row r="12220" spans="1:2" x14ac:dyDescent="0.25">
      <c r="A12220" s="5">
        <v>39647</v>
      </c>
      <c r="B12220">
        <v>1260.68005371094</v>
      </c>
    </row>
    <row r="12221" spans="1:2" x14ac:dyDescent="0.25">
      <c r="A12221" s="5">
        <v>39650</v>
      </c>
      <c r="B12221">
        <v>1260</v>
      </c>
    </row>
    <row r="12222" spans="1:2" x14ac:dyDescent="0.25">
      <c r="A12222" s="5">
        <v>39651</v>
      </c>
      <c r="B12222">
        <v>1277</v>
      </c>
    </row>
    <row r="12223" spans="1:2" x14ac:dyDescent="0.25">
      <c r="A12223" s="5">
        <v>39652</v>
      </c>
      <c r="B12223">
        <v>1282.18994140625</v>
      </c>
    </row>
    <row r="12224" spans="1:2" x14ac:dyDescent="0.25">
      <c r="A12224" s="5">
        <v>39653</v>
      </c>
      <c r="B12224">
        <v>1252.5400390625</v>
      </c>
    </row>
    <row r="12225" spans="1:2" x14ac:dyDescent="0.25">
      <c r="A12225" s="5">
        <v>39654</v>
      </c>
      <c r="B12225">
        <v>1257.76000976562</v>
      </c>
    </row>
    <row r="12226" spans="1:2" x14ac:dyDescent="0.25">
      <c r="A12226" s="5">
        <v>39657</v>
      </c>
      <c r="B12226">
        <v>1234.36999511719</v>
      </c>
    </row>
    <row r="12227" spans="1:2" x14ac:dyDescent="0.25">
      <c r="A12227" s="5">
        <v>39658</v>
      </c>
      <c r="B12227">
        <v>1263.19995117188</v>
      </c>
    </row>
    <row r="12228" spans="1:2" x14ac:dyDescent="0.25">
      <c r="A12228" s="5">
        <v>39659</v>
      </c>
      <c r="B12228">
        <v>1284.26000976562</v>
      </c>
    </row>
    <row r="12229" spans="1:2" x14ac:dyDescent="0.25">
      <c r="A12229" s="5">
        <v>39660</v>
      </c>
      <c r="B12229">
        <v>1267.38000488281</v>
      </c>
    </row>
    <row r="12230" spans="1:2" x14ac:dyDescent="0.25">
      <c r="A12230" s="5">
        <v>39661</v>
      </c>
      <c r="B12230">
        <v>1260.31005859375</v>
      </c>
    </row>
    <row r="12231" spans="1:2" x14ac:dyDescent="0.25">
      <c r="A12231" s="5">
        <v>39664</v>
      </c>
      <c r="B12231">
        <v>1249.01000976562</v>
      </c>
    </row>
    <row r="12232" spans="1:2" x14ac:dyDescent="0.25">
      <c r="A12232" s="5">
        <v>39665</v>
      </c>
      <c r="B12232">
        <v>1284.88000488281</v>
      </c>
    </row>
    <row r="12233" spans="1:2" x14ac:dyDescent="0.25">
      <c r="A12233" s="5">
        <v>39666</v>
      </c>
      <c r="B12233">
        <v>1289.18994140625</v>
      </c>
    </row>
    <row r="12234" spans="1:2" x14ac:dyDescent="0.25">
      <c r="A12234" s="5">
        <v>39667</v>
      </c>
      <c r="B12234">
        <v>1266.06994628906</v>
      </c>
    </row>
    <row r="12235" spans="1:2" x14ac:dyDescent="0.25">
      <c r="A12235" s="5">
        <v>39668</v>
      </c>
      <c r="B12235">
        <v>1296.31994628906</v>
      </c>
    </row>
    <row r="12236" spans="1:2" x14ac:dyDescent="0.25">
      <c r="A12236" s="5">
        <v>39671</v>
      </c>
      <c r="B12236">
        <v>1305.31994628906</v>
      </c>
    </row>
    <row r="12237" spans="1:2" x14ac:dyDescent="0.25">
      <c r="A12237" s="5">
        <v>39672</v>
      </c>
      <c r="B12237">
        <v>1289.58996582031</v>
      </c>
    </row>
    <row r="12238" spans="1:2" x14ac:dyDescent="0.25">
      <c r="A12238" s="5">
        <v>39673</v>
      </c>
      <c r="B12238">
        <v>1285.82995605469</v>
      </c>
    </row>
    <row r="12239" spans="1:2" x14ac:dyDescent="0.25">
      <c r="A12239" s="5">
        <v>39674</v>
      </c>
      <c r="B12239">
        <v>1292.93005371094</v>
      </c>
    </row>
    <row r="12240" spans="1:2" x14ac:dyDescent="0.25">
      <c r="A12240" s="5">
        <v>39675</v>
      </c>
      <c r="B12240">
        <v>1298.19995117188</v>
      </c>
    </row>
    <row r="12241" spans="1:2" x14ac:dyDescent="0.25">
      <c r="A12241" s="5">
        <v>39678</v>
      </c>
      <c r="B12241">
        <v>1278.59997558594</v>
      </c>
    </row>
    <row r="12242" spans="1:2" x14ac:dyDescent="0.25">
      <c r="A12242" s="5">
        <v>39679</v>
      </c>
      <c r="B12242">
        <v>1266.68994140625</v>
      </c>
    </row>
    <row r="12243" spans="1:2" x14ac:dyDescent="0.25">
      <c r="A12243" s="5">
        <v>39680</v>
      </c>
      <c r="B12243">
        <v>1274.5400390625</v>
      </c>
    </row>
    <row r="12244" spans="1:2" x14ac:dyDescent="0.25">
      <c r="A12244" s="5">
        <v>39681</v>
      </c>
      <c r="B12244">
        <v>1277.71997070312</v>
      </c>
    </row>
    <row r="12245" spans="1:2" x14ac:dyDescent="0.25">
      <c r="A12245" s="5">
        <v>39682</v>
      </c>
      <c r="B12245">
        <v>1292.19995117188</v>
      </c>
    </row>
    <row r="12246" spans="1:2" x14ac:dyDescent="0.25">
      <c r="A12246" s="5">
        <v>39685</v>
      </c>
      <c r="B12246">
        <v>1266.83996582031</v>
      </c>
    </row>
    <row r="12247" spans="1:2" x14ac:dyDescent="0.25">
      <c r="A12247" s="5">
        <v>39686</v>
      </c>
      <c r="B12247">
        <v>1271.51000976562</v>
      </c>
    </row>
    <row r="12248" spans="1:2" x14ac:dyDescent="0.25">
      <c r="A12248" s="5">
        <v>39687</v>
      </c>
      <c r="B12248">
        <v>1281.66003417969</v>
      </c>
    </row>
    <row r="12249" spans="1:2" x14ac:dyDescent="0.25">
      <c r="A12249" s="5">
        <v>39688</v>
      </c>
      <c r="B12249">
        <v>1300.68005371094</v>
      </c>
    </row>
    <row r="12250" spans="1:2" x14ac:dyDescent="0.25">
      <c r="A12250" s="5">
        <v>39689</v>
      </c>
      <c r="B12250">
        <v>1282.82995605469</v>
      </c>
    </row>
    <row r="12251" spans="1:2" x14ac:dyDescent="0.25">
      <c r="A12251" s="5">
        <v>39693</v>
      </c>
      <c r="B12251">
        <v>1277.57995605469</v>
      </c>
    </row>
    <row r="12252" spans="1:2" x14ac:dyDescent="0.25">
      <c r="A12252" s="5">
        <v>39694</v>
      </c>
      <c r="B12252">
        <v>1274.97998046875</v>
      </c>
    </row>
    <row r="12253" spans="1:2" x14ac:dyDescent="0.25">
      <c r="A12253" s="5">
        <v>39695</v>
      </c>
      <c r="B12253">
        <v>1236.82995605469</v>
      </c>
    </row>
    <row r="12254" spans="1:2" x14ac:dyDescent="0.25">
      <c r="A12254" s="5">
        <v>39696</v>
      </c>
      <c r="B12254">
        <v>1242.31005859375</v>
      </c>
    </row>
    <row r="12255" spans="1:2" x14ac:dyDescent="0.25">
      <c r="A12255" s="5">
        <v>39699</v>
      </c>
      <c r="B12255">
        <v>1267.7900390625</v>
      </c>
    </row>
    <row r="12256" spans="1:2" x14ac:dyDescent="0.25">
      <c r="A12256" s="5">
        <v>39700</v>
      </c>
      <c r="B12256">
        <v>1224.51000976562</v>
      </c>
    </row>
    <row r="12257" spans="1:2" x14ac:dyDescent="0.25">
      <c r="A12257" s="5">
        <v>39701</v>
      </c>
      <c r="B12257">
        <v>1232.0400390625</v>
      </c>
    </row>
    <row r="12258" spans="1:2" x14ac:dyDescent="0.25">
      <c r="A12258" s="5">
        <v>39702</v>
      </c>
      <c r="B12258">
        <v>1249.05004882812</v>
      </c>
    </row>
    <row r="12259" spans="1:2" x14ac:dyDescent="0.25">
      <c r="A12259" s="5">
        <v>39703</v>
      </c>
      <c r="B12259">
        <v>1251.69995117188</v>
      </c>
    </row>
    <row r="12260" spans="1:2" x14ac:dyDescent="0.25">
      <c r="A12260" s="5">
        <v>39706</v>
      </c>
      <c r="B12260">
        <v>1192.69995117188</v>
      </c>
    </row>
    <row r="12261" spans="1:2" x14ac:dyDescent="0.25">
      <c r="A12261" s="5">
        <v>39707</v>
      </c>
      <c r="B12261">
        <v>1213.59997558594</v>
      </c>
    </row>
    <row r="12262" spans="1:2" x14ac:dyDescent="0.25">
      <c r="A12262" s="5">
        <v>39708</v>
      </c>
      <c r="B12262">
        <v>1156.39001464844</v>
      </c>
    </row>
    <row r="12263" spans="1:2" x14ac:dyDescent="0.25">
      <c r="A12263" s="5">
        <v>39709</v>
      </c>
      <c r="B12263">
        <v>1206.51000976562</v>
      </c>
    </row>
    <row r="12264" spans="1:2" x14ac:dyDescent="0.25">
      <c r="A12264" s="5">
        <v>39710</v>
      </c>
      <c r="B12264">
        <v>1255.07995605469</v>
      </c>
    </row>
    <row r="12265" spans="1:2" x14ac:dyDescent="0.25">
      <c r="A12265" s="5">
        <v>39713</v>
      </c>
      <c r="B12265">
        <v>1207.08996582031</v>
      </c>
    </row>
    <row r="12266" spans="1:2" x14ac:dyDescent="0.25">
      <c r="A12266" s="5">
        <v>39714</v>
      </c>
      <c r="B12266">
        <v>1188.21997070312</v>
      </c>
    </row>
    <row r="12267" spans="1:2" x14ac:dyDescent="0.25">
      <c r="A12267" s="5">
        <v>39715</v>
      </c>
      <c r="B12267">
        <v>1185.86999511719</v>
      </c>
    </row>
    <row r="12268" spans="1:2" x14ac:dyDescent="0.25">
      <c r="A12268" s="5">
        <v>39716</v>
      </c>
      <c r="B12268">
        <v>1209.18005371094</v>
      </c>
    </row>
    <row r="12269" spans="1:2" x14ac:dyDescent="0.25">
      <c r="A12269" s="5">
        <v>39717</v>
      </c>
      <c r="B12269">
        <v>1213.27001953125</v>
      </c>
    </row>
    <row r="12270" spans="1:2" x14ac:dyDescent="0.25">
      <c r="A12270" s="5">
        <v>39720</v>
      </c>
      <c r="B12270">
        <v>1106.42004394531</v>
      </c>
    </row>
    <row r="12271" spans="1:2" x14ac:dyDescent="0.25">
      <c r="A12271" s="5">
        <v>39721</v>
      </c>
      <c r="B12271">
        <v>1166.35998535156</v>
      </c>
    </row>
    <row r="12272" spans="1:2" x14ac:dyDescent="0.25">
      <c r="A12272" s="5">
        <v>39722</v>
      </c>
      <c r="B12272">
        <v>1161.06005859375</v>
      </c>
    </row>
    <row r="12273" spans="1:2" x14ac:dyDescent="0.25">
      <c r="A12273" s="5">
        <v>39723</v>
      </c>
      <c r="B12273">
        <v>1114.28002929688</v>
      </c>
    </row>
    <row r="12274" spans="1:2" x14ac:dyDescent="0.25">
      <c r="A12274" s="5">
        <v>39724</v>
      </c>
      <c r="B12274">
        <v>1099.22998046875</v>
      </c>
    </row>
    <row r="12275" spans="1:2" x14ac:dyDescent="0.25">
      <c r="A12275" s="5">
        <v>39727</v>
      </c>
      <c r="B12275">
        <v>1056.89001464844</v>
      </c>
    </row>
    <row r="12276" spans="1:2" x14ac:dyDescent="0.25">
      <c r="A12276" s="5">
        <v>39728</v>
      </c>
      <c r="B12276">
        <v>996.22998046875</v>
      </c>
    </row>
    <row r="12277" spans="1:2" x14ac:dyDescent="0.25">
      <c r="A12277" s="5">
        <v>39729</v>
      </c>
      <c r="B12277">
        <v>984.94000244140602</v>
      </c>
    </row>
    <row r="12278" spans="1:2" x14ac:dyDescent="0.25">
      <c r="A12278" s="5">
        <v>39730</v>
      </c>
      <c r="B12278">
        <v>909.91998291015602</v>
      </c>
    </row>
    <row r="12279" spans="1:2" x14ac:dyDescent="0.25">
      <c r="A12279" s="5">
        <v>39731</v>
      </c>
      <c r="B12279">
        <v>899.219970703125</v>
      </c>
    </row>
    <row r="12280" spans="1:2" x14ac:dyDescent="0.25">
      <c r="A12280" s="5">
        <v>39734</v>
      </c>
      <c r="B12280">
        <v>1003.34997558594</v>
      </c>
    </row>
    <row r="12281" spans="1:2" x14ac:dyDescent="0.25">
      <c r="A12281" s="5">
        <v>39735</v>
      </c>
      <c r="B12281">
        <v>998.010009765625</v>
      </c>
    </row>
    <row r="12282" spans="1:2" x14ac:dyDescent="0.25">
      <c r="A12282" s="5">
        <v>39736</v>
      </c>
      <c r="B12282">
        <v>907.84002685546898</v>
      </c>
    </row>
    <row r="12283" spans="1:2" x14ac:dyDescent="0.25">
      <c r="A12283" s="5">
        <v>39737</v>
      </c>
      <c r="B12283">
        <v>946.42999267578102</v>
      </c>
    </row>
    <row r="12284" spans="1:2" x14ac:dyDescent="0.25">
      <c r="A12284" s="5">
        <v>39738</v>
      </c>
      <c r="B12284">
        <v>940.54998779296898</v>
      </c>
    </row>
    <row r="12285" spans="1:2" x14ac:dyDescent="0.25">
      <c r="A12285" s="5">
        <v>39741</v>
      </c>
      <c r="B12285">
        <v>985.40002441406205</v>
      </c>
    </row>
    <row r="12286" spans="1:2" x14ac:dyDescent="0.25">
      <c r="A12286" s="5">
        <v>39742</v>
      </c>
      <c r="B12286">
        <v>955.04998779296898</v>
      </c>
    </row>
    <row r="12287" spans="1:2" x14ac:dyDescent="0.25">
      <c r="A12287" s="5">
        <v>39743</v>
      </c>
      <c r="B12287">
        <v>896.780029296875</v>
      </c>
    </row>
    <row r="12288" spans="1:2" x14ac:dyDescent="0.25">
      <c r="A12288" s="5">
        <v>39744</v>
      </c>
      <c r="B12288">
        <v>908.10998535156205</v>
      </c>
    </row>
    <row r="12289" spans="1:2" x14ac:dyDescent="0.25">
      <c r="A12289" s="5">
        <v>39745</v>
      </c>
      <c r="B12289">
        <v>876.77001953125</v>
      </c>
    </row>
    <row r="12290" spans="1:2" x14ac:dyDescent="0.25">
      <c r="A12290" s="5">
        <v>39748</v>
      </c>
      <c r="B12290">
        <v>848.91998291015602</v>
      </c>
    </row>
    <row r="12291" spans="1:2" x14ac:dyDescent="0.25">
      <c r="A12291" s="5">
        <v>39749</v>
      </c>
      <c r="B12291">
        <v>940.510009765625</v>
      </c>
    </row>
    <row r="12292" spans="1:2" x14ac:dyDescent="0.25">
      <c r="A12292" s="5">
        <v>39750</v>
      </c>
      <c r="B12292">
        <v>930.09002685546898</v>
      </c>
    </row>
    <row r="12293" spans="1:2" x14ac:dyDescent="0.25">
      <c r="A12293" s="5">
        <v>39751</v>
      </c>
      <c r="B12293">
        <v>954.09002685546898</v>
      </c>
    </row>
    <row r="12294" spans="1:2" x14ac:dyDescent="0.25">
      <c r="A12294" s="5">
        <v>39752</v>
      </c>
      <c r="B12294">
        <v>968.75</v>
      </c>
    </row>
    <row r="12295" spans="1:2" x14ac:dyDescent="0.25">
      <c r="A12295" s="5">
        <v>39755</v>
      </c>
      <c r="B12295">
        <v>966.29998779296898</v>
      </c>
    </row>
    <row r="12296" spans="1:2" x14ac:dyDescent="0.25">
      <c r="A12296" s="5">
        <v>39756</v>
      </c>
      <c r="B12296">
        <v>1005.75</v>
      </c>
    </row>
    <row r="12297" spans="1:2" x14ac:dyDescent="0.25">
      <c r="A12297" s="5">
        <v>39757</v>
      </c>
      <c r="B12297">
        <v>952.77001953125</v>
      </c>
    </row>
    <row r="12298" spans="1:2" x14ac:dyDescent="0.25">
      <c r="A12298" s="5">
        <v>39758</v>
      </c>
      <c r="B12298">
        <v>904.88000488281205</v>
      </c>
    </row>
    <row r="12299" spans="1:2" x14ac:dyDescent="0.25">
      <c r="A12299" s="5">
        <v>39759</v>
      </c>
      <c r="B12299">
        <v>930.989990234375</v>
      </c>
    </row>
    <row r="12300" spans="1:2" x14ac:dyDescent="0.25">
      <c r="A12300" s="5">
        <v>39762</v>
      </c>
      <c r="B12300">
        <v>919.21002197265602</v>
      </c>
    </row>
    <row r="12301" spans="1:2" x14ac:dyDescent="0.25">
      <c r="A12301" s="5">
        <v>39763</v>
      </c>
      <c r="B12301">
        <v>898.95001220703102</v>
      </c>
    </row>
    <row r="12302" spans="1:2" x14ac:dyDescent="0.25">
      <c r="A12302" s="5">
        <v>39764</v>
      </c>
      <c r="B12302">
        <v>852.29998779296898</v>
      </c>
    </row>
    <row r="12303" spans="1:2" x14ac:dyDescent="0.25">
      <c r="A12303" s="5">
        <v>39765</v>
      </c>
      <c r="B12303">
        <v>911.28997802734398</v>
      </c>
    </row>
    <row r="12304" spans="1:2" x14ac:dyDescent="0.25">
      <c r="A12304" s="5">
        <v>39766</v>
      </c>
      <c r="B12304">
        <v>873.28997802734398</v>
      </c>
    </row>
    <row r="12305" spans="1:2" x14ac:dyDescent="0.25">
      <c r="A12305" s="5">
        <v>39769</v>
      </c>
      <c r="B12305">
        <v>850.75</v>
      </c>
    </row>
    <row r="12306" spans="1:2" x14ac:dyDescent="0.25">
      <c r="A12306" s="5">
        <v>39770</v>
      </c>
      <c r="B12306">
        <v>859.11999511718795</v>
      </c>
    </row>
    <row r="12307" spans="1:2" x14ac:dyDescent="0.25">
      <c r="A12307" s="5">
        <v>39771</v>
      </c>
      <c r="B12307">
        <v>806.58001708984398</v>
      </c>
    </row>
    <row r="12308" spans="1:2" x14ac:dyDescent="0.25">
      <c r="A12308" s="5">
        <v>39772</v>
      </c>
      <c r="B12308">
        <v>752.44000244140602</v>
      </c>
    </row>
    <row r="12309" spans="1:2" x14ac:dyDescent="0.25">
      <c r="A12309" s="5">
        <v>39773</v>
      </c>
      <c r="B12309">
        <v>800.030029296875</v>
      </c>
    </row>
    <row r="12310" spans="1:2" x14ac:dyDescent="0.25">
      <c r="A12310" s="5">
        <v>39776</v>
      </c>
      <c r="B12310">
        <v>851.80999755859398</v>
      </c>
    </row>
    <row r="12311" spans="1:2" x14ac:dyDescent="0.25">
      <c r="A12311" s="5">
        <v>39777</v>
      </c>
      <c r="B12311">
        <v>857.39001464843795</v>
      </c>
    </row>
    <row r="12312" spans="1:2" x14ac:dyDescent="0.25">
      <c r="A12312" s="5">
        <v>39778</v>
      </c>
      <c r="B12312">
        <v>887.67999267578102</v>
      </c>
    </row>
    <row r="12313" spans="1:2" x14ac:dyDescent="0.25">
      <c r="A12313" s="5">
        <v>39780</v>
      </c>
      <c r="B12313">
        <v>896.239990234375</v>
      </c>
    </row>
    <row r="12314" spans="1:2" x14ac:dyDescent="0.25">
      <c r="A12314" s="5">
        <v>39783</v>
      </c>
      <c r="B12314">
        <v>816.21002197265602</v>
      </c>
    </row>
    <row r="12315" spans="1:2" x14ac:dyDescent="0.25">
      <c r="A12315" s="5">
        <v>39784</v>
      </c>
      <c r="B12315">
        <v>848.80999755859398</v>
      </c>
    </row>
    <row r="12316" spans="1:2" x14ac:dyDescent="0.25">
      <c r="A12316" s="5">
        <v>39785</v>
      </c>
      <c r="B12316">
        <v>870.739990234375</v>
      </c>
    </row>
    <row r="12317" spans="1:2" x14ac:dyDescent="0.25">
      <c r="A12317" s="5">
        <v>39786</v>
      </c>
      <c r="B12317">
        <v>845.219970703125</v>
      </c>
    </row>
    <row r="12318" spans="1:2" x14ac:dyDescent="0.25">
      <c r="A12318" s="5">
        <v>39787</v>
      </c>
      <c r="B12318">
        <v>876.07000732421898</v>
      </c>
    </row>
    <row r="12319" spans="1:2" x14ac:dyDescent="0.25">
      <c r="A12319" s="5">
        <v>39790</v>
      </c>
      <c r="B12319">
        <v>909.70001220703102</v>
      </c>
    </row>
    <row r="12320" spans="1:2" x14ac:dyDescent="0.25">
      <c r="A12320" s="5">
        <v>39791</v>
      </c>
      <c r="B12320">
        <v>888.66998291015602</v>
      </c>
    </row>
    <row r="12321" spans="1:2" x14ac:dyDescent="0.25">
      <c r="A12321" s="5">
        <v>39792</v>
      </c>
      <c r="B12321">
        <v>899.239990234375</v>
      </c>
    </row>
    <row r="12322" spans="1:2" x14ac:dyDescent="0.25">
      <c r="A12322" s="5">
        <v>39793</v>
      </c>
      <c r="B12322">
        <v>873.59002685546898</v>
      </c>
    </row>
    <row r="12323" spans="1:2" x14ac:dyDescent="0.25">
      <c r="A12323" s="5">
        <v>39794</v>
      </c>
      <c r="B12323">
        <v>879.72998046875</v>
      </c>
    </row>
    <row r="12324" spans="1:2" x14ac:dyDescent="0.25">
      <c r="A12324" s="5">
        <v>39797</v>
      </c>
      <c r="B12324">
        <v>868.57000732421898</v>
      </c>
    </row>
    <row r="12325" spans="1:2" x14ac:dyDescent="0.25">
      <c r="A12325" s="5">
        <v>39798</v>
      </c>
      <c r="B12325">
        <v>913.17999267578102</v>
      </c>
    </row>
    <row r="12326" spans="1:2" x14ac:dyDescent="0.25">
      <c r="A12326" s="5">
        <v>39799</v>
      </c>
      <c r="B12326">
        <v>904.41998291015602</v>
      </c>
    </row>
    <row r="12327" spans="1:2" x14ac:dyDescent="0.25">
      <c r="A12327" s="5">
        <v>39800</v>
      </c>
      <c r="B12327">
        <v>885.280029296875</v>
      </c>
    </row>
    <row r="12328" spans="1:2" x14ac:dyDescent="0.25">
      <c r="A12328" s="5">
        <v>39801</v>
      </c>
      <c r="B12328">
        <v>887.88000488281205</v>
      </c>
    </row>
    <row r="12329" spans="1:2" x14ac:dyDescent="0.25">
      <c r="A12329" s="5">
        <v>39804</v>
      </c>
      <c r="B12329">
        <v>871.63000488281205</v>
      </c>
    </row>
    <row r="12330" spans="1:2" x14ac:dyDescent="0.25">
      <c r="A12330" s="5">
        <v>39805</v>
      </c>
      <c r="B12330">
        <v>863.15997314453102</v>
      </c>
    </row>
    <row r="12331" spans="1:2" x14ac:dyDescent="0.25">
      <c r="A12331" s="5">
        <v>39806</v>
      </c>
      <c r="B12331">
        <v>868.15002441406205</v>
      </c>
    </row>
    <row r="12332" spans="1:2" x14ac:dyDescent="0.25">
      <c r="A12332" s="5">
        <v>39808</v>
      </c>
      <c r="B12332">
        <v>872.79998779296898</v>
      </c>
    </row>
    <row r="12333" spans="1:2" x14ac:dyDescent="0.25">
      <c r="A12333" s="5">
        <v>39811</v>
      </c>
      <c r="B12333">
        <v>869.41998291015602</v>
      </c>
    </row>
    <row r="12334" spans="1:2" x14ac:dyDescent="0.25">
      <c r="A12334" s="5">
        <v>39812</v>
      </c>
      <c r="B12334">
        <v>890.64001464843795</v>
      </c>
    </row>
    <row r="12335" spans="1:2" x14ac:dyDescent="0.25">
      <c r="A12335" s="5">
        <v>39813</v>
      </c>
      <c r="B12335">
        <v>903.25</v>
      </c>
    </row>
    <row r="12336" spans="1:2" x14ac:dyDescent="0.25">
      <c r="A12336" s="5">
        <v>39815</v>
      </c>
      <c r="B12336">
        <v>931.79998779296898</v>
      </c>
    </row>
    <row r="12337" spans="1:2" x14ac:dyDescent="0.25">
      <c r="A12337" s="5">
        <v>39818</v>
      </c>
      <c r="B12337">
        <v>927.45001220703102</v>
      </c>
    </row>
    <row r="12338" spans="1:2" x14ac:dyDescent="0.25">
      <c r="A12338" s="5">
        <v>39819</v>
      </c>
      <c r="B12338">
        <v>934.70001220703102</v>
      </c>
    </row>
    <row r="12339" spans="1:2" x14ac:dyDescent="0.25">
      <c r="A12339" s="5">
        <v>39820</v>
      </c>
      <c r="B12339">
        <v>906.65002441406205</v>
      </c>
    </row>
    <row r="12340" spans="1:2" x14ac:dyDescent="0.25">
      <c r="A12340" s="5">
        <v>39821</v>
      </c>
      <c r="B12340">
        <v>909.72998046875</v>
      </c>
    </row>
    <row r="12341" spans="1:2" x14ac:dyDescent="0.25">
      <c r="A12341" s="5">
        <v>39822</v>
      </c>
      <c r="B12341">
        <v>890.34997558593795</v>
      </c>
    </row>
    <row r="12342" spans="1:2" x14ac:dyDescent="0.25">
      <c r="A12342" s="5">
        <v>39825</v>
      </c>
      <c r="B12342">
        <v>870.260009765625</v>
      </c>
    </row>
    <row r="12343" spans="1:2" x14ac:dyDescent="0.25">
      <c r="A12343" s="5">
        <v>39826</v>
      </c>
      <c r="B12343">
        <v>871.78997802734398</v>
      </c>
    </row>
    <row r="12344" spans="1:2" x14ac:dyDescent="0.25">
      <c r="A12344" s="5">
        <v>39827</v>
      </c>
      <c r="B12344">
        <v>842.61999511718795</v>
      </c>
    </row>
    <row r="12345" spans="1:2" x14ac:dyDescent="0.25">
      <c r="A12345" s="5">
        <v>39828</v>
      </c>
      <c r="B12345">
        <v>843.739990234375</v>
      </c>
    </row>
    <row r="12346" spans="1:2" x14ac:dyDescent="0.25">
      <c r="A12346" s="5">
        <v>39829</v>
      </c>
      <c r="B12346">
        <v>850.11999511718795</v>
      </c>
    </row>
    <row r="12347" spans="1:2" x14ac:dyDescent="0.25">
      <c r="A12347" s="5">
        <v>39833</v>
      </c>
      <c r="B12347">
        <v>805.219970703125</v>
      </c>
    </row>
    <row r="12348" spans="1:2" x14ac:dyDescent="0.25">
      <c r="A12348" s="5">
        <v>39834</v>
      </c>
      <c r="B12348">
        <v>840.239990234375</v>
      </c>
    </row>
    <row r="12349" spans="1:2" x14ac:dyDescent="0.25">
      <c r="A12349" s="5">
        <v>39835</v>
      </c>
      <c r="B12349">
        <v>827.5</v>
      </c>
    </row>
    <row r="12350" spans="1:2" x14ac:dyDescent="0.25">
      <c r="A12350" s="5">
        <v>39836</v>
      </c>
      <c r="B12350">
        <v>831.95001220703102</v>
      </c>
    </row>
    <row r="12351" spans="1:2" x14ac:dyDescent="0.25">
      <c r="A12351" s="5">
        <v>39839</v>
      </c>
      <c r="B12351">
        <v>836.57000732421898</v>
      </c>
    </row>
    <row r="12352" spans="1:2" x14ac:dyDescent="0.25">
      <c r="A12352" s="5">
        <v>39840</v>
      </c>
      <c r="B12352">
        <v>845.71002197265602</v>
      </c>
    </row>
    <row r="12353" spans="1:2" x14ac:dyDescent="0.25">
      <c r="A12353" s="5">
        <v>39841</v>
      </c>
      <c r="B12353">
        <v>874.09002685546898</v>
      </c>
    </row>
    <row r="12354" spans="1:2" x14ac:dyDescent="0.25">
      <c r="A12354" s="5">
        <v>39842</v>
      </c>
      <c r="B12354">
        <v>845.14001464843795</v>
      </c>
    </row>
    <row r="12355" spans="1:2" x14ac:dyDescent="0.25">
      <c r="A12355" s="5">
        <v>39843</v>
      </c>
      <c r="B12355">
        <v>825.88000488281205</v>
      </c>
    </row>
    <row r="12356" spans="1:2" x14ac:dyDescent="0.25">
      <c r="A12356" s="5">
        <v>39846</v>
      </c>
      <c r="B12356">
        <v>825.44000244140602</v>
      </c>
    </row>
    <row r="12357" spans="1:2" x14ac:dyDescent="0.25">
      <c r="A12357" s="5">
        <v>39847</v>
      </c>
      <c r="B12357">
        <v>838.510009765625</v>
      </c>
    </row>
    <row r="12358" spans="1:2" x14ac:dyDescent="0.25">
      <c r="A12358" s="5">
        <v>39848</v>
      </c>
      <c r="B12358">
        <v>832.22998046875</v>
      </c>
    </row>
    <row r="12359" spans="1:2" x14ac:dyDescent="0.25">
      <c r="A12359" s="5">
        <v>39849</v>
      </c>
      <c r="B12359">
        <v>845.84997558593795</v>
      </c>
    </row>
    <row r="12360" spans="1:2" x14ac:dyDescent="0.25">
      <c r="A12360" s="5">
        <v>39850</v>
      </c>
      <c r="B12360">
        <v>868.59997558593795</v>
      </c>
    </row>
    <row r="12361" spans="1:2" x14ac:dyDescent="0.25">
      <c r="A12361" s="5">
        <v>39853</v>
      </c>
      <c r="B12361">
        <v>869.89001464843795</v>
      </c>
    </row>
    <row r="12362" spans="1:2" x14ac:dyDescent="0.25">
      <c r="A12362" s="5">
        <v>39854</v>
      </c>
      <c r="B12362">
        <v>827.15997314453102</v>
      </c>
    </row>
    <row r="12363" spans="1:2" x14ac:dyDescent="0.25">
      <c r="A12363" s="5">
        <v>39855</v>
      </c>
      <c r="B12363">
        <v>833.739990234375</v>
      </c>
    </row>
    <row r="12364" spans="1:2" x14ac:dyDescent="0.25">
      <c r="A12364" s="5">
        <v>39856</v>
      </c>
      <c r="B12364">
        <v>835.19000244140602</v>
      </c>
    </row>
    <row r="12365" spans="1:2" x14ac:dyDescent="0.25">
      <c r="A12365" s="5">
        <v>39857</v>
      </c>
      <c r="B12365">
        <v>826.84002685546898</v>
      </c>
    </row>
    <row r="12366" spans="1:2" x14ac:dyDescent="0.25">
      <c r="A12366" s="5">
        <v>39861</v>
      </c>
      <c r="B12366">
        <v>789.16998291015602</v>
      </c>
    </row>
    <row r="12367" spans="1:2" x14ac:dyDescent="0.25">
      <c r="A12367" s="5">
        <v>39862</v>
      </c>
      <c r="B12367">
        <v>788.41998291015602</v>
      </c>
    </row>
    <row r="12368" spans="1:2" x14ac:dyDescent="0.25">
      <c r="A12368" s="5">
        <v>39863</v>
      </c>
      <c r="B12368">
        <v>778.94000244140602</v>
      </c>
    </row>
    <row r="12369" spans="1:2" x14ac:dyDescent="0.25">
      <c r="A12369" s="5">
        <v>39864</v>
      </c>
      <c r="B12369">
        <v>770.04998779296898</v>
      </c>
    </row>
    <row r="12370" spans="1:2" x14ac:dyDescent="0.25">
      <c r="A12370" s="5">
        <v>39867</v>
      </c>
      <c r="B12370">
        <v>743.33001708984398</v>
      </c>
    </row>
    <row r="12371" spans="1:2" x14ac:dyDescent="0.25">
      <c r="A12371" s="5">
        <v>39868</v>
      </c>
      <c r="B12371">
        <v>773.14001464843795</v>
      </c>
    </row>
    <row r="12372" spans="1:2" x14ac:dyDescent="0.25">
      <c r="A12372" s="5">
        <v>39869</v>
      </c>
      <c r="B12372">
        <v>764.90002441406205</v>
      </c>
    </row>
    <row r="12373" spans="1:2" x14ac:dyDescent="0.25">
      <c r="A12373" s="5">
        <v>39870</v>
      </c>
      <c r="B12373">
        <v>752.83001708984398</v>
      </c>
    </row>
    <row r="12374" spans="1:2" x14ac:dyDescent="0.25">
      <c r="A12374" s="5">
        <v>39871</v>
      </c>
      <c r="B12374">
        <v>735.09002685546898</v>
      </c>
    </row>
    <row r="12375" spans="1:2" x14ac:dyDescent="0.25">
      <c r="A12375" s="5">
        <v>39874</v>
      </c>
      <c r="B12375">
        <v>700.82000732421898</v>
      </c>
    </row>
    <row r="12376" spans="1:2" x14ac:dyDescent="0.25">
      <c r="A12376" s="5">
        <v>39875</v>
      </c>
      <c r="B12376">
        <v>696.33001708984398</v>
      </c>
    </row>
    <row r="12377" spans="1:2" x14ac:dyDescent="0.25">
      <c r="A12377" s="5">
        <v>39876</v>
      </c>
      <c r="B12377">
        <v>712.86999511718795</v>
      </c>
    </row>
    <row r="12378" spans="1:2" x14ac:dyDescent="0.25">
      <c r="A12378" s="5">
        <v>39877</v>
      </c>
      <c r="B12378">
        <v>682.54998779296898</v>
      </c>
    </row>
    <row r="12379" spans="1:2" x14ac:dyDescent="0.25">
      <c r="A12379" s="5">
        <v>39878</v>
      </c>
      <c r="B12379">
        <v>683.38000488281205</v>
      </c>
    </row>
    <row r="12380" spans="1:2" x14ac:dyDescent="0.25">
      <c r="A12380" s="5">
        <v>39881</v>
      </c>
      <c r="B12380">
        <v>676.530029296875</v>
      </c>
    </row>
    <row r="12381" spans="1:2" x14ac:dyDescent="0.25">
      <c r="A12381" s="5">
        <v>39882</v>
      </c>
      <c r="B12381">
        <v>719.59997558593795</v>
      </c>
    </row>
    <row r="12382" spans="1:2" x14ac:dyDescent="0.25">
      <c r="A12382" s="5">
        <v>39883</v>
      </c>
      <c r="B12382">
        <v>721.35998535156205</v>
      </c>
    </row>
    <row r="12383" spans="1:2" x14ac:dyDescent="0.25">
      <c r="A12383" s="5">
        <v>39884</v>
      </c>
      <c r="B12383">
        <v>750.739990234375</v>
      </c>
    </row>
    <row r="12384" spans="1:2" x14ac:dyDescent="0.25">
      <c r="A12384" s="5">
        <v>39885</v>
      </c>
      <c r="B12384">
        <v>756.54998779296898</v>
      </c>
    </row>
    <row r="12385" spans="1:2" x14ac:dyDescent="0.25">
      <c r="A12385" s="5">
        <v>39888</v>
      </c>
      <c r="B12385">
        <v>753.89001464843795</v>
      </c>
    </row>
    <row r="12386" spans="1:2" x14ac:dyDescent="0.25">
      <c r="A12386" s="5">
        <v>39889</v>
      </c>
      <c r="B12386">
        <v>778.11999511718795</v>
      </c>
    </row>
    <row r="12387" spans="1:2" x14ac:dyDescent="0.25">
      <c r="A12387" s="5">
        <v>39890</v>
      </c>
      <c r="B12387">
        <v>794.34997558593795</v>
      </c>
    </row>
    <row r="12388" spans="1:2" x14ac:dyDescent="0.25">
      <c r="A12388" s="5">
        <v>39891</v>
      </c>
      <c r="B12388">
        <v>784.03997802734398</v>
      </c>
    </row>
    <row r="12389" spans="1:2" x14ac:dyDescent="0.25">
      <c r="A12389" s="5">
        <v>39892</v>
      </c>
      <c r="B12389">
        <v>768.53997802734398</v>
      </c>
    </row>
    <row r="12390" spans="1:2" x14ac:dyDescent="0.25">
      <c r="A12390" s="5">
        <v>39895</v>
      </c>
      <c r="B12390">
        <v>822.91998291015602</v>
      </c>
    </row>
    <row r="12391" spans="1:2" x14ac:dyDescent="0.25">
      <c r="A12391" s="5">
        <v>39896</v>
      </c>
      <c r="B12391">
        <v>806.11999511718795</v>
      </c>
    </row>
    <row r="12392" spans="1:2" x14ac:dyDescent="0.25">
      <c r="A12392" s="5">
        <v>39897</v>
      </c>
      <c r="B12392">
        <v>813.88000488281205</v>
      </c>
    </row>
    <row r="12393" spans="1:2" x14ac:dyDescent="0.25">
      <c r="A12393" s="5">
        <v>39898</v>
      </c>
      <c r="B12393">
        <v>832.85998535156205</v>
      </c>
    </row>
    <row r="12394" spans="1:2" x14ac:dyDescent="0.25">
      <c r="A12394" s="5">
        <v>39899</v>
      </c>
      <c r="B12394">
        <v>815.94000244140602</v>
      </c>
    </row>
    <row r="12395" spans="1:2" x14ac:dyDescent="0.25">
      <c r="A12395" s="5">
        <v>39902</v>
      </c>
      <c r="B12395">
        <v>787.530029296875</v>
      </c>
    </row>
    <row r="12396" spans="1:2" x14ac:dyDescent="0.25">
      <c r="A12396" s="5">
        <v>39903</v>
      </c>
      <c r="B12396">
        <v>797.86999511718795</v>
      </c>
    </row>
    <row r="12397" spans="1:2" x14ac:dyDescent="0.25">
      <c r="A12397" s="5">
        <v>39904</v>
      </c>
      <c r="B12397">
        <v>811.08001708984398</v>
      </c>
    </row>
    <row r="12398" spans="1:2" x14ac:dyDescent="0.25">
      <c r="A12398" s="5">
        <v>39905</v>
      </c>
      <c r="B12398">
        <v>834.38000488281205</v>
      </c>
    </row>
    <row r="12399" spans="1:2" x14ac:dyDescent="0.25">
      <c r="A12399" s="5">
        <v>39906</v>
      </c>
      <c r="B12399">
        <v>842.5</v>
      </c>
    </row>
    <row r="12400" spans="1:2" x14ac:dyDescent="0.25">
      <c r="A12400" s="5">
        <v>39909</v>
      </c>
      <c r="B12400">
        <v>835.47998046875</v>
      </c>
    </row>
    <row r="12401" spans="1:2" x14ac:dyDescent="0.25">
      <c r="A12401" s="5">
        <v>39910</v>
      </c>
      <c r="B12401">
        <v>815.54998779296898</v>
      </c>
    </row>
    <row r="12402" spans="1:2" x14ac:dyDescent="0.25">
      <c r="A12402" s="5">
        <v>39911</v>
      </c>
      <c r="B12402">
        <v>825.15997314453102</v>
      </c>
    </row>
    <row r="12403" spans="1:2" x14ac:dyDescent="0.25">
      <c r="A12403" s="5">
        <v>39912</v>
      </c>
      <c r="B12403">
        <v>856.55999755859398</v>
      </c>
    </row>
    <row r="12404" spans="1:2" x14ac:dyDescent="0.25">
      <c r="A12404" s="5">
        <v>39916</v>
      </c>
      <c r="B12404">
        <v>858.72998046875</v>
      </c>
    </row>
    <row r="12405" spans="1:2" x14ac:dyDescent="0.25">
      <c r="A12405" s="5">
        <v>39917</v>
      </c>
      <c r="B12405">
        <v>841.5</v>
      </c>
    </row>
    <row r="12406" spans="1:2" x14ac:dyDescent="0.25">
      <c r="A12406" s="5">
        <v>39918</v>
      </c>
      <c r="B12406">
        <v>852.05999755859398</v>
      </c>
    </row>
    <row r="12407" spans="1:2" x14ac:dyDescent="0.25">
      <c r="A12407" s="5">
        <v>39919</v>
      </c>
      <c r="B12407">
        <v>865.29998779296898</v>
      </c>
    </row>
    <row r="12408" spans="1:2" x14ac:dyDescent="0.25">
      <c r="A12408" s="5">
        <v>39920</v>
      </c>
      <c r="B12408">
        <v>869.59997558593795</v>
      </c>
    </row>
    <row r="12409" spans="1:2" x14ac:dyDescent="0.25">
      <c r="A12409" s="5">
        <v>39923</v>
      </c>
      <c r="B12409">
        <v>832.39001464843795</v>
      </c>
    </row>
    <row r="12410" spans="1:2" x14ac:dyDescent="0.25">
      <c r="A12410" s="5">
        <v>39924</v>
      </c>
      <c r="B12410">
        <v>850.08001708984398</v>
      </c>
    </row>
    <row r="12411" spans="1:2" x14ac:dyDescent="0.25">
      <c r="A12411" s="5">
        <v>39925</v>
      </c>
      <c r="B12411">
        <v>843.54998779296898</v>
      </c>
    </row>
    <row r="12412" spans="1:2" x14ac:dyDescent="0.25">
      <c r="A12412" s="5">
        <v>39926</v>
      </c>
      <c r="B12412">
        <v>851.91998291015602</v>
      </c>
    </row>
    <row r="12413" spans="1:2" x14ac:dyDescent="0.25">
      <c r="A12413" s="5">
        <v>39927</v>
      </c>
      <c r="B12413">
        <v>866.22998046875</v>
      </c>
    </row>
    <row r="12414" spans="1:2" x14ac:dyDescent="0.25">
      <c r="A12414" s="5">
        <v>39930</v>
      </c>
      <c r="B12414">
        <v>857.510009765625</v>
      </c>
    </row>
    <row r="12415" spans="1:2" x14ac:dyDescent="0.25">
      <c r="A12415" s="5">
        <v>39931</v>
      </c>
      <c r="B12415">
        <v>855.15997314453102</v>
      </c>
    </row>
    <row r="12416" spans="1:2" x14ac:dyDescent="0.25">
      <c r="A12416" s="5">
        <v>39932</v>
      </c>
      <c r="B12416">
        <v>873.64001464843795</v>
      </c>
    </row>
    <row r="12417" spans="1:2" x14ac:dyDescent="0.25">
      <c r="A12417" s="5">
        <v>39933</v>
      </c>
      <c r="B12417">
        <v>872.80999755859398</v>
      </c>
    </row>
    <row r="12418" spans="1:2" x14ac:dyDescent="0.25">
      <c r="A12418" s="5">
        <v>39934</v>
      </c>
      <c r="B12418">
        <v>877.52001953125</v>
      </c>
    </row>
    <row r="12419" spans="1:2" x14ac:dyDescent="0.25">
      <c r="A12419" s="5">
        <v>39937</v>
      </c>
      <c r="B12419">
        <v>907.239990234375</v>
      </c>
    </row>
    <row r="12420" spans="1:2" x14ac:dyDescent="0.25">
      <c r="A12420" s="5">
        <v>39938</v>
      </c>
      <c r="B12420">
        <v>903.79998779296898</v>
      </c>
    </row>
    <row r="12421" spans="1:2" x14ac:dyDescent="0.25">
      <c r="A12421" s="5">
        <v>39939</v>
      </c>
      <c r="B12421">
        <v>919.530029296875</v>
      </c>
    </row>
    <row r="12422" spans="1:2" x14ac:dyDescent="0.25">
      <c r="A12422" s="5">
        <v>39940</v>
      </c>
      <c r="B12422">
        <v>907.39001464843795</v>
      </c>
    </row>
    <row r="12423" spans="1:2" x14ac:dyDescent="0.25">
      <c r="A12423" s="5">
        <v>39941</v>
      </c>
      <c r="B12423">
        <v>929.22998046875</v>
      </c>
    </row>
    <row r="12424" spans="1:2" x14ac:dyDescent="0.25">
      <c r="A12424" s="5">
        <v>39944</v>
      </c>
      <c r="B12424">
        <v>909.239990234375</v>
      </c>
    </row>
    <row r="12425" spans="1:2" x14ac:dyDescent="0.25">
      <c r="A12425" s="5">
        <v>39945</v>
      </c>
      <c r="B12425">
        <v>908.34997558593795</v>
      </c>
    </row>
    <row r="12426" spans="1:2" x14ac:dyDescent="0.25">
      <c r="A12426" s="5">
        <v>39946</v>
      </c>
      <c r="B12426">
        <v>883.91998291015602</v>
      </c>
    </row>
    <row r="12427" spans="1:2" x14ac:dyDescent="0.25">
      <c r="A12427" s="5">
        <v>39947</v>
      </c>
      <c r="B12427">
        <v>893.07000732421898</v>
      </c>
    </row>
    <row r="12428" spans="1:2" x14ac:dyDescent="0.25">
      <c r="A12428" s="5">
        <v>39948</v>
      </c>
      <c r="B12428">
        <v>882.88000488281205</v>
      </c>
    </row>
    <row r="12429" spans="1:2" x14ac:dyDescent="0.25">
      <c r="A12429" s="5">
        <v>39951</v>
      </c>
      <c r="B12429">
        <v>909.71002197265602</v>
      </c>
    </row>
    <row r="12430" spans="1:2" x14ac:dyDescent="0.25">
      <c r="A12430" s="5">
        <v>39952</v>
      </c>
      <c r="B12430">
        <v>908.13000488281205</v>
      </c>
    </row>
    <row r="12431" spans="1:2" x14ac:dyDescent="0.25">
      <c r="A12431" s="5">
        <v>39953</v>
      </c>
      <c r="B12431">
        <v>903.469970703125</v>
      </c>
    </row>
    <row r="12432" spans="1:2" x14ac:dyDescent="0.25">
      <c r="A12432" s="5">
        <v>39954</v>
      </c>
      <c r="B12432">
        <v>888.33001708984398</v>
      </c>
    </row>
    <row r="12433" spans="1:2" x14ac:dyDescent="0.25">
      <c r="A12433" s="5">
        <v>39955</v>
      </c>
      <c r="B12433">
        <v>887</v>
      </c>
    </row>
    <row r="12434" spans="1:2" x14ac:dyDescent="0.25">
      <c r="A12434" s="5">
        <v>39959</v>
      </c>
      <c r="B12434">
        <v>910.33001708984398</v>
      </c>
    </row>
    <row r="12435" spans="1:2" x14ac:dyDescent="0.25">
      <c r="A12435" s="5">
        <v>39960</v>
      </c>
      <c r="B12435">
        <v>893.05999755859398</v>
      </c>
    </row>
    <row r="12436" spans="1:2" x14ac:dyDescent="0.25">
      <c r="A12436" s="5">
        <v>39961</v>
      </c>
      <c r="B12436">
        <v>906.83001708984398</v>
      </c>
    </row>
    <row r="12437" spans="1:2" x14ac:dyDescent="0.25">
      <c r="A12437" s="5">
        <v>39962</v>
      </c>
      <c r="B12437">
        <v>919.14001464843795</v>
      </c>
    </row>
    <row r="12438" spans="1:2" x14ac:dyDescent="0.25">
      <c r="A12438" s="5">
        <v>39965</v>
      </c>
      <c r="B12438">
        <v>942.86999511718795</v>
      </c>
    </row>
    <row r="12439" spans="1:2" x14ac:dyDescent="0.25">
      <c r="A12439" s="5">
        <v>39966</v>
      </c>
      <c r="B12439">
        <v>944.739990234375</v>
      </c>
    </row>
    <row r="12440" spans="1:2" x14ac:dyDescent="0.25">
      <c r="A12440" s="5">
        <v>39967</v>
      </c>
      <c r="B12440">
        <v>931.760009765625</v>
      </c>
    </row>
    <row r="12441" spans="1:2" x14ac:dyDescent="0.25">
      <c r="A12441" s="5">
        <v>39968</v>
      </c>
      <c r="B12441">
        <v>942.46002197265602</v>
      </c>
    </row>
    <row r="12442" spans="1:2" x14ac:dyDescent="0.25">
      <c r="A12442" s="5">
        <v>39969</v>
      </c>
      <c r="B12442">
        <v>940.09002685546898</v>
      </c>
    </row>
    <row r="12443" spans="1:2" x14ac:dyDescent="0.25">
      <c r="A12443" s="5">
        <v>39972</v>
      </c>
      <c r="B12443">
        <v>939.14001464843795</v>
      </c>
    </row>
    <row r="12444" spans="1:2" x14ac:dyDescent="0.25">
      <c r="A12444" s="5">
        <v>39973</v>
      </c>
      <c r="B12444">
        <v>942.42999267578102</v>
      </c>
    </row>
    <row r="12445" spans="1:2" x14ac:dyDescent="0.25">
      <c r="A12445" s="5">
        <v>39974</v>
      </c>
      <c r="B12445">
        <v>939.15002441406205</v>
      </c>
    </row>
    <row r="12446" spans="1:2" x14ac:dyDescent="0.25">
      <c r="A12446" s="5">
        <v>39975</v>
      </c>
      <c r="B12446">
        <v>944.89001464843795</v>
      </c>
    </row>
    <row r="12447" spans="1:2" x14ac:dyDescent="0.25">
      <c r="A12447" s="5">
        <v>39976</v>
      </c>
      <c r="B12447">
        <v>946.21002197265602</v>
      </c>
    </row>
    <row r="12448" spans="1:2" x14ac:dyDescent="0.25">
      <c r="A12448" s="5">
        <v>39979</v>
      </c>
      <c r="B12448">
        <v>923.719970703125</v>
      </c>
    </row>
    <row r="12449" spans="1:2" x14ac:dyDescent="0.25">
      <c r="A12449" s="5">
        <v>39980</v>
      </c>
      <c r="B12449">
        <v>911.969970703125</v>
      </c>
    </row>
    <row r="12450" spans="1:2" x14ac:dyDescent="0.25">
      <c r="A12450" s="5">
        <v>39981</v>
      </c>
      <c r="B12450">
        <v>910.71002197265602</v>
      </c>
    </row>
    <row r="12451" spans="1:2" x14ac:dyDescent="0.25">
      <c r="A12451" s="5">
        <v>39982</v>
      </c>
      <c r="B12451">
        <v>918.36999511718795</v>
      </c>
    </row>
    <row r="12452" spans="1:2" x14ac:dyDescent="0.25">
      <c r="A12452" s="5">
        <v>39983</v>
      </c>
      <c r="B12452">
        <v>921.22998046875</v>
      </c>
    </row>
    <row r="12453" spans="1:2" x14ac:dyDescent="0.25">
      <c r="A12453" s="5">
        <v>39986</v>
      </c>
      <c r="B12453">
        <v>893.03997802734398</v>
      </c>
    </row>
    <row r="12454" spans="1:2" x14ac:dyDescent="0.25">
      <c r="A12454" s="5">
        <v>39987</v>
      </c>
      <c r="B12454">
        <v>895.09997558593795</v>
      </c>
    </row>
    <row r="12455" spans="1:2" x14ac:dyDescent="0.25">
      <c r="A12455" s="5">
        <v>39988</v>
      </c>
      <c r="B12455">
        <v>900.94000244140602</v>
      </c>
    </row>
    <row r="12456" spans="1:2" x14ac:dyDescent="0.25">
      <c r="A12456" s="5">
        <v>39989</v>
      </c>
      <c r="B12456">
        <v>920.260009765625</v>
      </c>
    </row>
    <row r="12457" spans="1:2" x14ac:dyDescent="0.25">
      <c r="A12457" s="5">
        <v>39990</v>
      </c>
      <c r="B12457">
        <v>918.90002441406205</v>
      </c>
    </row>
    <row r="12458" spans="1:2" x14ac:dyDescent="0.25">
      <c r="A12458" s="5">
        <v>39993</v>
      </c>
      <c r="B12458">
        <v>927.22998046875</v>
      </c>
    </row>
    <row r="12459" spans="1:2" x14ac:dyDescent="0.25">
      <c r="A12459" s="5">
        <v>39994</v>
      </c>
      <c r="B12459">
        <v>919.32000732421898</v>
      </c>
    </row>
    <row r="12460" spans="1:2" x14ac:dyDescent="0.25">
      <c r="A12460" s="5">
        <v>39995</v>
      </c>
      <c r="B12460">
        <v>923.33001708984398</v>
      </c>
    </row>
    <row r="12461" spans="1:2" x14ac:dyDescent="0.25">
      <c r="A12461" s="5">
        <v>39996</v>
      </c>
      <c r="B12461">
        <v>896.41998291015602</v>
      </c>
    </row>
    <row r="12462" spans="1:2" x14ac:dyDescent="0.25">
      <c r="A12462" s="5">
        <v>40000</v>
      </c>
      <c r="B12462">
        <v>898.719970703125</v>
      </c>
    </row>
    <row r="12463" spans="1:2" x14ac:dyDescent="0.25">
      <c r="A12463" s="5">
        <v>40001</v>
      </c>
      <c r="B12463">
        <v>881.030029296875</v>
      </c>
    </row>
    <row r="12464" spans="1:2" x14ac:dyDescent="0.25">
      <c r="A12464" s="5">
        <v>40002</v>
      </c>
      <c r="B12464">
        <v>879.55999755859398</v>
      </c>
    </row>
    <row r="12465" spans="1:2" x14ac:dyDescent="0.25">
      <c r="A12465" s="5">
        <v>40003</v>
      </c>
      <c r="B12465">
        <v>882.67999267578102</v>
      </c>
    </row>
    <row r="12466" spans="1:2" x14ac:dyDescent="0.25">
      <c r="A12466" s="5">
        <v>40004</v>
      </c>
      <c r="B12466">
        <v>879.13000488281205</v>
      </c>
    </row>
    <row r="12467" spans="1:2" x14ac:dyDescent="0.25">
      <c r="A12467" s="5">
        <v>40007</v>
      </c>
      <c r="B12467">
        <v>901.04998779296898</v>
      </c>
    </row>
    <row r="12468" spans="1:2" x14ac:dyDescent="0.25">
      <c r="A12468" s="5">
        <v>40008</v>
      </c>
      <c r="B12468">
        <v>905.84002685546898</v>
      </c>
    </row>
    <row r="12469" spans="1:2" x14ac:dyDescent="0.25">
      <c r="A12469" s="5">
        <v>40009</v>
      </c>
      <c r="B12469">
        <v>932.67999267578102</v>
      </c>
    </row>
    <row r="12470" spans="1:2" x14ac:dyDescent="0.25">
      <c r="A12470" s="5">
        <v>40010</v>
      </c>
      <c r="B12470">
        <v>940.739990234375</v>
      </c>
    </row>
    <row r="12471" spans="1:2" x14ac:dyDescent="0.25">
      <c r="A12471" s="5">
        <v>40011</v>
      </c>
      <c r="B12471">
        <v>940.38000488281205</v>
      </c>
    </row>
    <row r="12472" spans="1:2" x14ac:dyDescent="0.25">
      <c r="A12472" s="5">
        <v>40014</v>
      </c>
      <c r="B12472">
        <v>951.13000488281205</v>
      </c>
    </row>
    <row r="12473" spans="1:2" x14ac:dyDescent="0.25">
      <c r="A12473" s="5">
        <v>40015</v>
      </c>
      <c r="B12473">
        <v>954.58001708984398</v>
      </c>
    </row>
    <row r="12474" spans="1:2" x14ac:dyDescent="0.25">
      <c r="A12474" s="5">
        <v>40016</v>
      </c>
      <c r="B12474">
        <v>954.07000732421898</v>
      </c>
    </row>
    <row r="12475" spans="1:2" x14ac:dyDescent="0.25">
      <c r="A12475" s="5">
        <v>40017</v>
      </c>
      <c r="B12475">
        <v>976.28997802734398</v>
      </c>
    </row>
    <row r="12476" spans="1:2" x14ac:dyDescent="0.25">
      <c r="A12476" s="5">
        <v>40018</v>
      </c>
      <c r="B12476">
        <v>979.260009765625</v>
      </c>
    </row>
    <row r="12477" spans="1:2" x14ac:dyDescent="0.25">
      <c r="A12477" s="5">
        <v>40021</v>
      </c>
      <c r="B12477">
        <v>982.17999267578102</v>
      </c>
    </row>
    <row r="12478" spans="1:2" x14ac:dyDescent="0.25">
      <c r="A12478" s="5">
        <v>40022</v>
      </c>
      <c r="B12478">
        <v>979.61999511718795</v>
      </c>
    </row>
    <row r="12479" spans="1:2" x14ac:dyDescent="0.25">
      <c r="A12479" s="5">
        <v>40023</v>
      </c>
      <c r="B12479">
        <v>975.15002441406205</v>
      </c>
    </row>
    <row r="12480" spans="1:2" x14ac:dyDescent="0.25">
      <c r="A12480" s="5">
        <v>40024</v>
      </c>
      <c r="B12480">
        <v>986.75</v>
      </c>
    </row>
    <row r="12481" spans="1:2" x14ac:dyDescent="0.25">
      <c r="A12481" s="5">
        <v>40025</v>
      </c>
      <c r="B12481">
        <v>987.47998046875</v>
      </c>
    </row>
    <row r="12482" spans="1:2" x14ac:dyDescent="0.25">
      <c r="A12482" s="5">
        <v>40028</v>
      </c>
      <c r="B12482">
        <v>1002.63000488281</v>
      </c>
    </row>
    <row r="12483" spans="1:2" x14ac:dyDescent="0.25">
      <c r="A12483" s="5">
        <v>40029</v>
      </c>
      <c r="B12483">
        <v>1005.65002441406</v>
      </c>
    </row>
    <row r="12484" spans="1:2" x14ac:dyDescent="0.25">
      <c r="A12484" s="5">
        <v>40030</v>
      </c>
      <c r="B12484">
        <v>1002.71997070312</v>
      </c>
    </row>
    <row r="12485" spans="1:2" x14ac:dyDescent="0.25">
      <c r="A12485" s="5">
        <v>40031</v>
      </c>
      <c r="B12485">
        <v>997.08001708984398</v>
      </c>
    </row>
    <row r="12486" spans="1:2" x14ac:dyDescent="0.25">
      <c r="A12486" s="5">
        <v>40032</v>
      </c>
      <c r="B12486">
        <v>1010.47998046875</v>
      </c>
    </row>
    <row r="12487" spans="1:2" x14ac:dyDescent="0.25">
      <c r="A12487" s="5">
        <v>40035</v>
      </c>
      <c r="B12487">
        <v>1007.09997558594</v>
      </c>
    </row>
    <row r="12488" spans="1:2" x14ac:dyDescent="0.25">
      <c r="A12488" s="5">
        <v>40036</v>
      </c>
      <c r="B12488">
        <v>994.34997558593795</v>
      </c>
    </row>
    <row r="12489" spans="1:2" x14ac:dyDescent="0.25">
      <c r="A12489" s="5">
        <v>40037</v>
      </c>
      <c r="B12489">
        <v>1005.80999755859</v>
      </c>
    </row>
    <row r="12490" spans="1:2" x14ac:dyDescent="0.25">
      <c r="A12490" s="5">
        <v>40038</v>
      </c>
      <c r="B12490">
        <v>1012.72998046875</v>
      </c>
    </row>
    <row r="12491" spans="1:2" x14ac:dyDescent="0.25">
      <c r="A12491" s="5">
        <v>40039</v>
      </c>
      <c r="B12491">
        <v>1004.09002685547</v>
      </c>
    </row>
    <row r="12492" spans="1:2" x14ac:dyDescent="0.25">
      <c r="A12492" s="5">
        <v>40042</v>
      </c>
      <c r="B12492">
        <v>979.72998046875</v>
      </c>
    </row>
    <row r="12493" spans="1:2" x14ac:dyDescent="0.25">
      <c r="A12493" s="5">
        <v>40043</v>
      </c>
      <c r="B12493">
        <v>989.66998291015602</v>
      </c>
    </row>
    <row r="12494" spans="1:2" x14ac:dyDescent="0.25">
      <c r="A12494" s="5">
        <v>40044</v>
      </c>
      <c r="B12494">
        <v>996.46002197265602</v>
      </c>
    </row>
    <row r="12495" spans="1:2" x14ac:dyDescent="0.25">
      <c r="A12495" s="5">
        <v>40045</v>
      </c>
      <c r="B12495">
        <v>1007.36999511719</v>
      </c>
    </row>
    <row r="12496" spans="1:2" x14ac:dyDescent="0.25">
      <c r="A12496" s="5">
        <v>40046</v>
      </c>
      <c r="B12496">
        <v>1026.13000488281</v>
      </c>
    </row>
    <row r="12497" spans="1:2" x14ac:dyDescent="0.25">
      <c r="A12497" s="5">
        <v>40049</v>
      </c>
      <c r="B12497">
        <v>1025.56994628906</v>
      </c>
    </row>
    <row r="12498" spans="1:2" x14ac:dyDescent="0.25">
      <c r="A12498" s="5">
        <v>40050</v>
      </c>
      <c r="B12498">
        <v>1028</v>
      </c>
    </row>
    <row r="12499" spans="1:2" x14ac:dyDescent="0.25">
      <c r="A12499" s="5">
        <v>40051</v>
      </c>
      <c r="B12499">
        <v>1028.11999511719</v>
      </c>
    </row>
    <row r="12500" spans="1:2" x14ac:dyDescent="0.25">
      <c r="A12500" s="5">
        <v>40052</v>
      </c>
      <c r="B12500">
        <v>1030.97998046875</v>
      </c>
    </row>
    <row r="12501" spans="1:2" x14ac:dyDescent="0.25">
      <c r="A12501" s="5">
        <v>40053</v>
      </c>
      <c r="B12501">
        <v>1028.93005371094</v>
      </c>
    </row>
    <row r="12502" spans="1:2" x14ac:dyDescent="0.25">
      <c r="A12502" s="5">
        <v>40056</v>
      </c>
      <c r="B12502">
        <v>1020.61999511719</v>
      </c>
    </row>
    <row r="12503" spans="1:2" x14ac:dyDescent="0.25">
      <c r="A12503" s="5">
        <v>40057</v>
      </c>
      <c r="B12503">
        <v>998.03997802734398</v>
      </c>
    </row>
    <row r="12504" spans="1:2" x14ac:dyDescent="0.25">
      <c r="A12504" s="5">
        <v>40058</v>
      </c>
      <c r="B12504">
        <v>994.75</v>
      </c>
    </row>
    <row r="12505" spans="1:2" x14ac:dyDescent="0.25">
      <c r="A12505" s="5">
        <v>40059</v>
      </c>
      <c r="B12505">
        <v>1003.23999023438</v>
      </c>
    </row>
    <row r="12506" spans="1:2" x14ac:dyDescent="0.25">
      <c r="A12506" s="5">
        <v>40060</v>
      </c>
      <c r="B12506">
        <v>1016.40002441406</v>
      </c>
    </row>
    <row r="12507" spans="1:2" x14ac:dyDescent="0.25">
      <c r="A12507" s="5">
        <v>40064</v>
      </c>
      <c r="B12507">
        <v>1025.39001464844</v>
      </c>
    </row>
    <row r="12508" spans="1:2" x14ac:dyDescent="0.25">
      <c r="A12508" s="5">
        <v>40065</v>
      </c>
      <c r="B12508">
        <v>1033.36999511719</v>
      </c>
    </row>
    <row r="12509" spans="1:2" x14ac:dyDescent="0.25">
      <c r="A12509" s="5">
        <v>40066</v>
      </c>
      <c r="B12509">
        <v>1044.14001464844</v>
      </c>
    </row>
    <row r="12510" spans="1:2" x14ac:dyDescent="0.25">
      <c r="A12510" s="5">
        <v>40067</v>
      </c>
      <c r="B12510">
        <v>1042.72998046875</v>
      </c>
    </row>
    <row r="12511" spans="1:2" x14ac:dyDescent="0.25">
      <c r="A12511" s="5">
        <v>40070</v>
      </c>
      <c r="B12511">
        <v>1049.33996582031</v>
      </c>
    </row>
    <row r="12512" spans="1:2" x14ac:dyDescent="0.25">
      <c r="A12512" s="5">
        <v>40071</v>
      </c>
      <c r="B12512">
        <v>1052.63000488281</v>
      </c>
    </row>
    <row r="12513" spans="1:2" x14ac:dyDescent="0.25">
      <c r="A12513" s="5">
        <v>40072</v>
      </c>
      <c r="B12513">
        <v>1068.76000976562</v>
      </c>
    </row>
    <row r="12514" spans="1:2" x14ac:dyDescent="0.25">
      <c r="A12514" s="5">
        <v>40073</v>
      </c>
      <c r="B12514">
        <v>1065.48999023438</v>
      </c>
    </row>
    <row r="12515" spans="1:2" x14ac:dyDescent="0.25">
      <c r="A12515" s="5">
        <v>40074</v>
      </c>
      <c r="B12515">
        <v>1068.30004882812</v>
      </c>
    </row>
    <row r="12516" spans="1:2" x14ac:dyDescent="0.25">
      <c r="A12516" s="5">
        <v>40077</v>
      </c>
      <c r="B12516">
        <v>1064.66003417969</v>
      </c>
    </row>
    <row r="12517" spans="1:2" x14ac:dyDescent="0.25">
      <c r="A12517" s="5">
        <v>40078</v>
      </c>
      <c r="B12517">
        <v>1071.66003417969</v>
      </c>
    </row>
    <row r="12518" spans="1:2" x14ac:dyDescent="0.25">
      <c r="A12518" s="5">
        <v>40079</v>
      </c>
      <c r="B12518">
        <v>1060.86999511719</v>
      </c>
    </row>
    <row r="12519" spans="1:2" x14ac:dyDescent="0.25">
      <c r="A12519" s="5">
        <v>40080</v>
      </c>
      <c r="B12519">
        <v>1050.78002929688</v>
      </c>
    </row>
    <row r="12520" spans="1:2" x14ac:dyDescent="0.25">
      <c r="A12520" s="5">
        <v>40081</v>
      </c>
      <c r="B12520">
        <v>1044.38000488281</v>
      </c>
    </row>
    <row r="12521" spans="1:2" x14ac:dyDescent="0.25">
      <c r="A12521" s="5">
        <v>40084</v>
      </c>
      <c r="B12521">
        <v>1062.97998046875</v>
      </c>
    </row>
    <row r="12522" spans="1:2" x14ac:dyDescent="0.25">
      <c r="A12522" s="5">
        <v>40085</v>
      </c>
      <c r="B12522">
        <v>1060.60998535156</v>
      </c>
    </row>
    <row r="12523" spans="1:2" x14ac:dyDescent="0.25">
      <c r="A12523" s="5">
        <v>40086</v>
      </c>
      <c r="B12523">
        <v>1057.07995605469</v>
      </c>
    </row>
    <row r="12524" spans="1:2" x14ac:dyDescent="0.25">
      <c r="A12524" s="5">
        <v>40087</v>
      </c>
      <c r="B12524">
        <v>1029.84997558594</v>
      </c>
    </row>
    <row r="12525" spans="1:2" x14ac:dyDescent="0.25">
      <c r="A12525" s="5">
        <v>40088</v>
      </c>
      <c r="B12525">
        <v>1025.2099609375</v>
      </c>
    </row>
    <row r="12526" spans="1:2" x14ac:dyDescent="0.25">
      <c r="A12526" s="5">
        <v>40091</v>
      </c>
      <c r="B12526">
        <v>1040.4599609375</v>
      </c>
    </row>
    <row r="12527" spans="1:2" x14ac:dyDescent="0.25">
      <c r="A12527" s="5">
        <v>40092</v>
      </c>
      <c r="B12527">
        <v>1054.71997070312</v>
      </c>
    </row>
    <row r="12528" spans="1:2" x14ac:dyDescent="0.25">
      <c r="A12528" s="5">
        <v>40093</v>
      </c>
      <c r="B12528">
        <v>1057.57995605469</v>
      </c>
    </row>
    <row r="12529" spans="1:2" x14ac:dyDescent="0.25">
      <c r="A12529" s="5">
        <v>40094</v>
      </c>
      <c r="B12529">
        <v>1065.47998046875</v>
      </c>
    </row>
    <row r="12530" spans="1:2" x14ac:dyDescent="0.25">
      <c r="A12530" s="5">
        <v>40095</v>
      </c>
      <c r="B12530">
        <v>1071.48999023438</v>
      </c>
    </row>
    <row r="12531" spans="1:2" x14ac:dyDescent="0.25">
      <c r="A12531" s="5">
        <v>40098</v>
      </c>
      <c r="B12531">
        <v>1076.18994140625</v>
      </c>
    </row>
    <row r="12532" spans="1:2" x14ac:dyDescent="0.25">
      <c r="A12532" s="5">
        <v>40099</v>
      </c>
      <c r="B12532">
        <v>1073.18994140625</v>
      </c>
    </row>
    <row r="12533" spans="1:2" x14ac:dyDescent="0.25">
      <c r="A12533" s="5">
        <v>40100</v>
      </c>
      <c r="B12533">
        <v>1092.02001953125</v>
      </c>
    </row>
    <row r="12534" spans="1:2" x14ac:dyDescent="0.25">
      <c r="A12534" s="5">
        <v>40101</v>
      </c>
      <c r="B12534">
        <v>1096.56005859375</v>
      </c>
    </row>
    <row r="12535" spans="1:2" x14ac:dyDescent="0.25">
      <c r="A12535" s="5">
        <v>40102</v>
      </c>
      <c r="B12535">
        <v>1087.68005371094</v>
      </c>
    </row>
    <row r="12536" spans="1:2" x14ac:dyDescent="0.25">
      <c r="A12536" s="5">
        <v>40105</v>
      </c>
      <c r="B12536">
        <v>1097.91003417969</v>
      </c>
    </row>
    <row r="12537" spans="1:2" x14ac:dyDescent="0.25">
      <c r="A12537" s="5">
        <v>40106</v>
      </c>
      <c r="B12537">
        <v>1091.06005859375</v>
      </c>
    </row>
    <row r="12538" spans="1:2" x14ac:dyDescent="0.25">
      <c r="A12538" s="5">
        <v>40107</v>
      </c>
      <c r="B12538">
        <v>1081.40002441406</v>
      </c>
    </row>
    <row r="12539" spans="1:2" x14ac:dyDescent="0.25">
      <c r="A12539" s="5">
        <v>40108</v>
      </c>
      <c r="B12539">
        <v>1092.91003417969</v>
      </c>
    </row>
    <row r="12540" spans="1:2" x14ac:dyDescent="0.25">
      <c r="A12540" s="5">
        <v>40109</v>
      </c>
      <c r="B12540">
        <v>1079.59997558594</v>
      </c>
    </row>
    <row r="12541" spans="1:2" x14ac:dyDescent="0.25">
      <c r="A12541" s="5">
        <v>40112</v>
      </c>
      <c r="B12541">
        <v>1066.94995117188</v>
      </c>
    </row>
    <row r="12542" spans="1:2" x14ac:dyDescent="0.25">
      <c r="A12542" s="5">
        <v>40113</v>
      </c>
      <c r="B12542">
        <v>1063.41003417969</v>
      </c>
    </row>
    <row r="12543" spans="1:2" x14ac:dyDescent="0.25">
      <c r="A12543" s="5">
        <v>40114</v>
      </c>
      <c r="B12543">
        <v>1042.63000488281</v>
      </c>
    </row>
    <row r="12544" spans="1:2" x14ac:dyDescent="0.25">
      <c r="A12544" s="5">
        <v>40115</v>
      </c>
      <c r="B12544">
        <v>1066.10998535156</v>
      </c>
    </row>
    <row r="12545" spans="1:2" x14ac:dyDescent="0.25">
      <c r="A12545" s="5">
        <v>40116</v>
      </c>
      <c r="B12545">
        <v>1036.18994140625</v>
      </c>
    </row>
    <row r="12546" spans="1:2" x14ac:dyDescent="0.25">
      <c r="A12546" s="5">
        <v>40119</v>
      </c>
      <c r="B12546">
        <v>1042.88000488281</v>
      </c>
    </row>
    <row r="12547" spans="1:2" x14ac:dyDescent="0.25">
      <c r="A12547" s="5">
        <v>40120</v>
      </c>
      <c r="B12547">
        <v>1045.41003417969</v>
      </c>
    </row>
    <row r="12548" spans="1:2" x14ac:dyDescent="0.25">
      <c r="A12548" s="5">
        <v>40121</v>
      </c>
      <c r="B12548">
        <v>1046.5</v>
      </c>
    </row>
    <row r="12549" spans="1:2" x14ac:dyDescent="0.25">
      <c r="A12549" s="5">
        <v>40122</v>
      </c>
      <c r="B12549">
        <v>1066.63000488281</v>
      </c>
    </row>
    <row r="12550" spans="1:2" x14ac:dyDescent="0.25">
      <c r="A12550" s="5">
        <v>40123</v>
      </c>
      <c r="B12550">
        <v>1069.30004882812</v>
      </c>
    </row>
    <row r="12551" spans="1:2" x14ac:dyDescent="0.25">
      <c r="A12551" s="5">
        <v>40126</v>
      </c>
      <c r="B12551">
        <v>1093.07995605469</v>
      </c>
    </row>
    <row r="12552" spans="1:2" x14ac:dyDescent="0.25">
      <c r="A12552" s="5">
        <v>40127</v>
      </c>
      <c r="B12552">
        <v>1093.01000976562</v>
      </c>
    </row>
    <row r="12553" spans="1:2" x14ac:dyDescent="0.25">
      <c r="A12553" s="5">
        <v>40128</v>
      </c>
      <c r="B12553">
        <v>1098.51000976562</v>
      </c>
    </row>
    <row r="12554" spans="1:2" x14ac:dyDescent="0.25">
      <c r="A12554" s="5">
        <v>40129</v>
      </c>
      <c r="B12554">
        <v>1087.23999023438</v>
      </c>
    </row>
    <row r="12555" spans="1:2" x14ac:dyDescent="0.25">
      <c r="A12555" s="5">
        <v>40130</v>
      </c>
      <c r="B12555">
        <v>1093.47998046875</v>
      </c>
    </row>
    <row r="12556" spans="1:2" x14ac:dyDescent="0.25">
      <c r="A12556" s="5">
        <v>40133</v>
      </c>
      <c r="B12556">
        <v>1109.30004882812</v>
      </c>
    </row>
    <row r="12557" spans="1:2" x14ac:dyDescent="0.25">
      <c r="A12557" s="5">
        <v>40134</v>
      </c>
      <c r="B12557">
        <v>1110.31994628906</v>
      </c>
    </row>
    <row r="12558" spans="1:2" x14ac:dyDescent="0.25">
      <c r="A12558" s="5">
        <v>40135</v>
      </c>
      <c r="B12558">
        <v>1109.80004882812</v>
      </c>
    </row>
    <row r="12559" spans="1:2" x14ac:dyDescent="0.25">
      <c r="A12559" s="5">
        <v>40136</v>
      </c>
      <c r="B12559">
        <v>1094.90002441406</v>
      </c>
    </row>
    <row r="12560" spans="1:2" x14ac:dyDescent="0.25">
      <c r="A12560" s="5">
        <v>40137</v>
      </c>
      <c r="B12560">
        <v>1091.38000488281</v>
      </c>
    </row>
    <row r="12561" spans="1:2" x14ac:dyDescent="0.25">
      <c r="A12561" s="5">
        <v>40140</v>
      </c>
      <c r="B12561">
        <v>1106.23999023438</v>
      </c>
    </row>
    <row r="12562" spans="1:2" x14ac:dyDescent="0.25">
      <c r="A12562" s="5">
        <v>40141</v>
      </c>
      <c r="B12562">
        <v>1105.65002441406</v>
      </c>
    </row>
    <row r="12563" spans="1:2" x14ac:dyDescent="0.25">
      <c r="A12563" s="5">
        <v>40142</v>
      </c>
      <c r="B12563">
        <v>1110.63000488281</v>
      </c>
    </row>
    <row r="12564" spans="1:2" x14ac:dyDescent="0.25">
      <c r="A12564" s="5">
        <v>40144</v>
      </c>
      <c r="B12564">
        <v>1091.48999023438</v>
      </c>
    </row>
    <row r="12565" spans="1:2" x14ac:dyDescent="0.25">
      <c r="A12565" s="5">
        <v>40147</v>
      </c>
      <c r="B12565">
        <v>1095.63000488281</v>
      </c>
    </row>
    <row r="12566" spans="1:2" x14ac:dyDescent="0.25">
      <c r="A12566" s="5">
        <v>40148</v>
      </c>
      <c r="B12566">
        <v>1108.85998535156</v>
      </c>
    </row>
    <row r="12567" spans="1:2" x14ac:dyDescent="0.25">
      <c r="A12567" s="5">
        <v>40149</v>
      </c>
      <c r="B12567">
        <v>1109.23999023438</v>
      </c>
    </row>
    <row r="12568" spans="1:2" x14ac:dyDescent="0.25">
      <c r="A12568" s="5">
        <v>40150</v>
      </c>
      <c r="B12568">
        <v>1099.92004394531</v>
      </c>
    </row>
    <row r="12569" spans="1:2" x14ac:dyDescent="0.25">
      <c r="A12569" s="5">
        <v>40151</v>
      </c>
      <c r="B12569">
        <v>1105.97998046875</v>
      </c>
    </row>
    <row r="12570" spans="1:2" x14ac:dyDescent="0.25">
      <c r="A12570" s="5">
        <v>40154</v>
      </c>
      <c r="B12570">
        <v>1103.25</v>
      </c>
    </row>
    <row r="12571" spans="1:2" x14ac:dyDescent="0.25">
      <c r="A12571" s="5">
        <v>40155</v>
      </c>
      <c r="B12571">
        <v>1091.93994140625</v>
      </c>
    </row>
    <row r="12572" spans="1:2" x14ac:dyDescent="0.25">
      <c r="A12572" s="5">
        <v>40156</v>
      </c>
      <c r="B12572">
        <v>1095.94995117188</v>
      </c>
    </row>
    <row r="12573" spans="1:2" x14ac:dyDescent="0.25">
      <c r="A12573" s="5">
        <v>40157</v>
      </c>
      <c r="B12573">
        <v>1102.34997558594</v>
      </c>
    </row>
    <row r="12574" spans="1:2" x14ac:dyDescent="0.25">
      <c r="A12574" s="5">
        <v>40158</v>
      </c>
      <c r="B12574">
        <v>1106.41003417969</v>
      </c>
    </row>
    <row r="12575" spans="1:2" x14ac:dyDescent="0.25">
      <c r="A12575" s="5">
        <v>40161</v>
      </c>
      <c r="B12575">
        <v>1114.10998535156</v>
      </c>
    </row>
    <row r="12576" spans="1:2" x14ac:dyDescent="0.25">
      <c r="A12576" s="5">
        <v>40162</v>
      </c>
      <c r="B12576">
        <v>1107.93005371094</v>
      </c>
    </row>
    <row r="12577" spans="1:2" x14ac:dyDescent="0.25">
      <c r="A12577" s="5">
        <v>40163</v>
      </c>
      <c r="B12577">
        <v>1109.18005371094</v>
      </c>
    </row>
    <row r="12578" spans="1:2" x14ac:dyDescent="0.25">
      <c r="A12578" s="5">
        <v>40164</v>
      </c>
      <c r="B12578">
        <v>1096.07995605469</v>
      </c>
    </row>
    <row r="12579" spans="1:2" x14ac:dyDescent="0.25">
      <c r="A12579" s="5">
        <v>40165</v>
      </c>
      <c r="B12579">
        <v>1102.46997070312</v>
      </c>
    </row>
    <row r="12580" spans="1:2" x14ac:dyDescent="0.25">
      <c r="A12580" s="5">
        <v>40168</v>
      </c>
      <c r="B12580">
        <v>1114.05004882812</v>
      </c>
    </row>
    <row r="12581" spans="1:2" x14ac:dyDescent="0.25">
      <c r="A12581" s="5">
        <v>40169</v>
      </c>
      <c r="B12581">
        <v>1118.02001953125</v>
      </c>
    </row>
    <row r="12582" spans="1:2" x14ac:dyDescent="0.25">
      <c r="A12582" s="5">
        <v>40170</v>
      </c>
      <c r="B12582">
        <v>1120.58996582031</v>
      </c>
    </row>
    <row r="12583" spans="1:2" x14ac:dyDescent="0.25">
      <c r="A12583" s="5">
        <v>40171</v>
      </c>
      <c r="B12583">
        <v>1126.47998046875</v>
      </c>
    </row>
    <row r="12584" spans="1:2" x14ac:dyDescent="0.25">
      <c r="A12584" s="5">
        <v>40175</v>
      </c>
      <c r="B12584">
        <v>1127.78002929688</v>
      </c>
    </row>
    <row r="12585" spans="1:2" x14ac:dyDescent="0.25">
      <c r="A12585" s="5">
        <v>40176</v>
      </c>
      <c r="B12585">
        <v>1126.19995117188</v>
      </c>
    </row>
    <row r="12586" spans="1:2" x14ac:dyDescent="0.25">
      <c r="A12586" s="5">
        <v>40177</v>
      </c>
      <c r="B12586">
        <v>1126.42004394531</v>
      </c>
    </row>
    <row r="12587" spans="1:2" x14ac:dyDescent="0.25">
      <c r="A12587" s="5">
        <v>40178</v>
      </c>
      <c r="B12587">
        <v>1115.09997558594</v>
      </c>
    </row>
    <row r="12588" spans="1:2" x14ac:dyDescent="0.25">
      <c r="A12588" s="5">
        <v>40182</v>
      </c>
      <c r="B12588">
        <v>1132.98999023438</v>
      </c>
    </row>
    <row r="12589" spans="1:2" x14ac:dyDescent="0.25">
      <c r="A12589" s="5">
        <v>40183</v>
      </c>
      <c r="B12589">
        <v>1136.52001953125</v>
      </c>
    </row>
    <row r="12590" spans="1:2" x14ac:dyDescent="0.25">
      <c r="A12590" s="5">
        <v>40184</v>
      </c>
      <c r="B12590">
        <v>1137.14001464844</v>
      </c>
    </row>
    <row r="12591" spans="1:2" x14ac:dyDescent="0.25">
      <c r="A12591" s="5">
        <v>40185</v>
      </c>
      <c r="B12591">
        <v>1141.68994140625</v>
      </c>
    </row>
    <row r="12592" spans="1:2" x14ac:dyDescent="0.25">
      <c r="A12592" s="5">
        <v>40186</v>
      </c>
      <c r="B12592">
        <v>1144.97998046875</v>
      </c>
    </row>
    <row r="12593" spans="1:2" x14ac:dyDescent="0.25">
      <c r="A12593" s="5">
        <v>40189</v>
      </c>
      <c r="B12593">
        <v>1146.97998046875</v>
      </c>
    </row>
    <row r="12594" spans="1:2" x14ac:dyDescent="0.25">
      <c r="A12594" s="5">
        <v>40190</v>
      </c>
      <c r="B12594">
        <v>1136.21997070312</v>
      </c>
    </row>
    <row r="12595" spans="1:2" x14ac:dyDescent="0.25">
      <c r="A12595" s="5">
        <v>40191</v>
      </c>
      <c r="B12595">
        <v>1145.68005371094</v>
      </c>
    </row>
    <row r="12596" spans="1:2" x14ac:dyDescent="0.25">
      <c r="A12596" s="5">
        <v>40192</v>
      </c>
      <c r="B12596">
        <v>1148.4599609375</v>
      </c>
    </row>
    <row r="12597" spans="1:2" x14ac:dyDescent="0.25">
      <c r="A12597" s="5">
        <v>40193</v>
      </c>
      <c r="B12597">
        <v>1136.03002929688</v>
      </c>
    </row>
    <row r="12598" spans="1:2" x14ac:dyDescent="0.25">
      <c r="A12598" s="5">
        <v>40197</v>
      </c>
      <c r="B12598">
        <v>1150.22998046875</v>
      </c>
    </row>
    <row r="12599" spans="1:2" x14ac:dyDescent="0.25">
      <c r="A12599" s="5">
        <v>40198</v>
      </c>
      <c r="B12599">
        <v>1138.0400390625</v>
      </c>
    </row>
    <row r="12600" spans="1:2" x14ac:dyDescent="0.25">
      <c r="A12600" s="5">
        <v>40199</v>
      </c>
      <c r="B12600">
        <v>1116.47998046875</v>
      </c>
    </row>
    <row r="12601" spans="1:2" x14ac:dyDescent="0.25">
      <c r="A12601" s="5">
        <v>40200</v>
      </c>
      <c r="B12601">
        <v>1091.76000976562</v>
      </c>
    </row>
    <row r="12602" spans="1:2" x14ac:dyDescent="0.25">
      <c r="A12602" s="5">
        <v>40203</v>
      </c>
      <c r="B12602">
        <v>1096.78002929688</v>
      </c>
    </row>
    <row r="12603" spans="1:2" x14ac:dyDescent="0.25">
      <c r="A12603" s="5">
        <v>40204</v>
      </c>
      <c r="B12603">
        <v>1092.17004394531</v>
      </c>
    </row>
    <row r="12604" spans="1:2" x14ac:dyDescent="0.25">
      <c r="A12604" s="5">
        <v>40205</v>
      </c>
      <c r="B12604">
        <v>1097.5</v>
      </c>
    </row>
    <row r="12605" spans="1:2" x14ac:dyDescent="0.25">
      <c r="A12605" s="5">
        <v>40206</v>
      </c>
      <c r="B12605">
        <v>1084.53002929688</v>
      </c>
    </row>
    <row r="12606" spans="1:2" x14ac:dyDescent="0.25">
      <c r="A12606" s="5">
        <v>40207</v>
      </c>
      <c r="B12606">
        <v>1073.86999511719</v>
      </c>
    </row>
    <row r="12607" spans="1:2" x14ac:dyDescent="0.25">
      <c r="A12607" s="5">
        <v>40210</v>
      </c>
      <c r="B12607">
        <v>1089.18994140625</v>
      </c>
    </row>
    <row r="12608" spans="1:2" x14ac:dyDescent="0.25">
      <c r="A12608" s="5">
        <v>40211</v>
      </c>
      <c r="B12608">
        <v>1103.31994628906</v>
      </c>
    </row>
    <row r="12609" spans="1:2" x14ac:dyDescent="0.25">
      <c r="A12609" s="5">
        <v>40212</v>
      </c>
      <c r="B12609">
        <v>1097.28002929688</v>
      </c>
    </row>
    <row r="12610" spans="1:2" x14ac:dyDescent="0.25">
      <c r="A12610" s="5">
        <v>40213</v>
      </c>
      <c r="B12610">
        <v>1063.10998535156</v>
      </c>
    </row>
    <row r="12611" spans="1:2" x14ac:dyDescent="0.25">
      <c r="A12611" s="5">
        <v>40214</v>
      </c>
      <c r="B12611">
        <v>1066.18994140625</v>
      </c>
    </row>
    <row r="12612" spans="1:2" x14ac:dyDescent="0.25">
      <c r="A12612" s="5">
        <v>40217</v>
      </c>
      <c r="B12612">
        <v>1056.73999023438</v>
      </c>
    </row>
    <row r="12613" spans="1:2" x14ac:dyDescent="0.25">
      <c r="A12613" s="5">
        <v>40218</v>
      </c>
      <c r="B12613">
        <v>1070.52001953125</v>
      </c>
    </row>
    <row r="12614" spans="1:2" x14ac:dyDescent="0.25">
      <c r="A12614" s="5">
        <v>40219</v>
      </c>
      <c r="B12614">
        <v>1068.13000488281</v>
      </c>
    </row>
    <row r="12615" spans="1:2" x14ac:dyDescent="0.25">
      <c r="A12615" s="5">
        <v>40220</v>
      </c>
      <c r="B12615">
        <v>1078.46997070312</v>
      </c>
    </row>
    <row r="12616" spans="1:2" x14ac:dyDescent="0.25">
      <c r="A12616" s="5">
        <v>40221</v>
      </c>
      <c r="B12616">
        <v>1075.51000976562</v>
      </c>
    </row>
    <row r="12617" spans="1:2" x14ac:dyDescent="0.25">
      <c r="A12617" s="5">
        <v>40225</v>
      </c>
      <c r="B12617">
        <v>1094.86999511719</v>
      </c>
    </row>
    <row r="12618" spans="1:2" x14ac:dyDescent="0.25">
      <c r="A12618" s="5">
        <v>40226</v>
      </c>
      <c r="B12618">
        <v>1099.51000976562</v>
      </c>
    </row>
    <row r="12619" spans="1:2" x14ac:dyDescent="0.25">
      <c r="A12619" s="5">
        <v>40227</v>
      </c>
      <c r="B12619">
        <v>1106.75</v>
      </c>
    </row>
    <row r="12620" spans="1:2" x14ac:dyDescent="0.25">
      <c r="A12620" s="5">
        <v>40228</v>
      </c>
      <c r="B12620">
        <v>1109.17004394531</v>
      </c>
    </row>
    <row r="12621" spans="1:2" x14ac:dyDescent="0.25">
      <c r="A12621" s="5">
        <v>40231</v>
      </c>
      <c r="B12621">
        <v>1108.01000976562</v>
      </c>
    </row>
    <row r="12622" spans="1:2" x14ac:dyDescent="0.25">
      <c r="A12622" s="5">
        <v>40232</v>
      </c>
      <c r="B12622">
        <v>1094.59997558594</v>
      </c>
    </row>
    <row r="12623" spans="1:2" x14ac:dyDescent="0.25">
      <c r="A12623" s="5">
        <v>40233</v>
      </c>
      <c r="B12623">
        <v>1105.23999023438</v>
      </c>
    </row>
    <row r="12624" spans="1:2" x14ac:dyDescent="0.25">
      <c r="A12624" s="5">
        <v>40234</v>
      </c>
      <c r="B12624">
        <v>1102.93994140625</v>
      </c>
    </row>
    <row r="12625" spans="1:2" x14ac:dyDescent="0.25">
      <c r="A12625" s="5">
        <v>40235</v>
      </c>
      <c r="B12625">
        <v>1104.48999023438</v>
      </c>
    </row>
    <row r="12626" spans="1:2" x14ac:dyDescent="0.25">
      <c r="A12626" s="5">
        <v>40238</v>
      </c>
      <c r="B12626">
        <v>1115.7099609375</v>
      </c>
    </row>
    <row r="12627" spans="1:2" x14ac:dyDescent="0.25">
      <c r="A12627" s="5">
        <v>40239</v>
      </c>
      <c r="B12627">
        <v>1118.31005859375</v>
      </c>
    </row>
    <row r="12628" spans="1:2" x14ac:dyDescent="0.25">
      <c r="A12628" s="5">
        <v>40240</v>
      </c>
      <c r="B12628">
        <v>1118.7900390625</v>
      </c>
    </row>
    <row r="12629" spans="1:2" x14ac:dyDescent="0.25">
      <c r="A12629" s="5">
        <v>40241</v>
      </c>
      <c r="B12629">
        <v>1122.96997070312</v>
      </c>
    </row>
    <row r="12630" spans="1:2" x14ac:dyDescent="0.25">
      <c r="A12630" s="5">
        <v>40242</v>
      </c>
      <c r="B12630">
        <v>1138.69995117188</v>
      </c>
    </row>
    <row r="12631" spans="1:2" x14ac:dyDescent="0.25">
      <c r="A12631" s="5">
        <v>40245</v>
      </c>
      <c r="B12631">
        <v>1138.5</v>
      </c>
    </row>
    <row r="12632" spans="1:2" x14ac:dyDescent="0.25">
      <c r="A12632" s="5">
        <v>40246</v>
      </c>
      <c r="B12632">
        <v>1140.44995117188</v>
      </c>
    </row>
    <row r="12633" spans="1:2" x14ac:dyDescent="0.25">
      <c r="A12633" s="5">
        <v>40247</v>
      </c>
      <c r="B12633">
        <v>1145.60998535156</v>
      </c>
    </row>
    <row r="12634" spans="1:2" x14ac:dyDescent="0.25">
      <c r="A12634" s="5">
        <v>40248</v>
      </c>
      <c r="B12634">
        <v>1150.23999023438</v>
      </c>
    </row>
    <row r="12635" spans="1:2" x14ac:dyDescent="0.25">
      <c r="A12635" s="5">
        <v>40249</v>
      </c>
      <c r="B12635">
        <v>1149.98999023438</v>
      </c>
    </row>
    <row r="12636" spans="1:2" x14ac:dyDescent="0.25">
      <c r="A12636" s="5">
        <v>40252</v>
      </c>
      <c r="B12636">
        <v>1150.51000976562</v>
      </c>
    </row>
    <row r="12637" spans="1:2" x14ac:dyDescent="0.25">
      <c r="A12637" s="5">
        <v>40253</v>
      </c>
      <c r="B12637">
        <v>1159.4599609375</v>
      </c>
    </row>
    <row r="12638" spans="1:2" x14ac:dyDescent="0.25">
      <c r="A12638" s="5">
        <v>40254</v>
      </c>
      <c r="B12638">
        <v>1166.2099609375</v>
      </c>
    </row>
    <row r="12639" spans="1:2" x14ac:dyDescent="0.25">
      <c r="A12639" s="5">
        <v>40255</v>
      </c>
      <c r="B12639">
        <v>1165.82995605469</v>
      </c>
    </row>
    <row r="12640" spans="1:2" x14ac:dyDescent="0.25">
      <c r="A12640" s="5">
        <v>40256</v>
      </c>
      <c r="B12640">
        <v>1159.90002441406</v>
      </c>
    </row>
    <row r="12641" spans="1:2" x14ac:dyDescent="0.25">
      <c r="A12641" s="5">
        <v>40259</v>
      </c>
      <c r="B12641">
        <v>1165.81005859375</v>
      </c>
    </row>
    <row r="12642" spans="1:2" x14ac:dyDescent="0.25">
      <c r="A12642" s="5">
        <v>40260</v>
      </c>
      <c r="B12642">
        <v>1174.17004394531</v>
      </c>
    </row>
    <row r="12643" spans="1:2" x14ac:dyDescent="0.25">
      <c r="A12643" s="5">
        <v>40261</v>
      </c>
      <c r="B12643">
        <v>1167.71997070312</v>
      </c>
    </row>
    <row r="12644" spans="1:2" x14ac:dyDescent="0.25">
      <c r="A12644" s="5">
        <v>40262</v>
      </c>
      <c r="B12644">
        <v>1165.72998046875</v>
      </c>
    </row>
    <row r="12645" spans="1:2" x14ac:dyDescent="0.25">
      <c r="A12645" s="5">
        <v>40263</v>
      </c>
      <c r="B12645">
        <v>1166.58996582031</v>
      </c>
    </row>
    <row r="12646" spans="1:2" x14ac:dyDescent="0.25">
      <c r="A12646" s="5">
        <v>40266</v>
      </c>
      <c r="B12646">
        <v>1173.21997070312</v>
      </c>
    </row>
    <row r="12647" spans="1:2" x14ac:dyDescent="0.25">
      <c r="A12647" s="5">
        <v>40267</v>
      </c>
      <c r="B12647">
        <v>1173.27001953125</v>
      </c>
    </row>
    <row r="12648" spans="1:2" x14ac:dyDescent="0.25">
      <c r="A12648" s="5">
        <v>40268</v>
      </c>
      <c r="B12648">
        <v>1169.43005371094</v>
      </c>
    </row>
    <row r="12649" spans="1:2" x14ac:dyDescent="0.25">
      <c r="A12649" s="5">
        <v>40269</v>
      </c>
      <c r="B12649">
        <v>1178.09997558594</v>
      </c>
    </row>
    <row r="12650" spans="1:2" x14ac:dyDescent="0.25">
      <c r="A12650" s="5">
        <v>40273</v>
      </c>
      <c r="B12650">
        <v>1187.43994140625</v>
      </c>
    </row>
    <row r="12651" spans="1:2" x14ac:dyDescent="0.25">
      <c r="A12651" s="5">
        <v>40274</v>
      </c>
      <c r="B12651">
        <v>1189.43994140625</v>
      </c>
    </row>
    <row r="12652" spans="1:2" x14ac:dyDescent="0.25">
      <c r="A12652" s="5">
        <v>40275</v>
      </c>
      <c r="B12652">
        <v>1182.44995117188</v>
      </c>
    </row>
    <row r="12653" spans="1:2" x14ac:dyDescent="0.25">
      <c r="A12653" s="5">
        <v>40276</v>
      </c>
      <c r="B12653">
        <v>1186.43994140625</v>
      </c>
    </row>
    <row r="12654" spans="1:2" x14ac:dyDescent="0.25">
      <c r="A12654" s="5">
        <v>40277</v>
      </c>
      <c r="B12654">
        <v>1194.36999511719</v>
      </c>
    </row>
    <row r="12655" spans="1:2" x14ac:dyDescent="0.25">
      <c r="A12655" s="5">
        <v>40280</v>
      </c>
      <c r="B12655">
        <v>1196.47998046875</v>
      </c>
    </row>
    <row r="12656" spans="1:2" x14ac:dyDescent="0.25">
      <c r="A12656" s="5">
        <v>40281</v>
      </c>
      <c r="B12656">
        <v>1197.30004882812</v>
      </c>
    </row>
    <row r="12657" spans="1:2" x14ac:dyDescent="0.25">
      <c r="A12657" s="5">
        <v>40282</v>
      </c>
      <c r="B12657">
        <v>1210.65002441406</v>
      </c>
    </row>
    <row r="12658" spans="1:2" x14ac:dyDescent="0.25">
      <c r="A12658" s="5">
        <v>40283</v>
      </c>
      <c r="B12658">
        <v>1211.67004394531</v>
      </c>
    </row>
    <row r="12659" spans="1:2" x14ac:dyDescent="0.25">
      <c r="A12659" s="5">
        <v>40284</v>
      </c>
      <c r="B12659">
        <v>1192.13000488281</v>
      </c>
    </row>
    <row r="12660" spans="1:2" x14ac:dyDescent="0.25">
      <c r="A12660" s="5">
        <v>40287</v>
      </c>
      <c r="B12660">
        <v>1197.52001953125</v>
      </c>
    </row>
    <row r="12661" spans="1:2" x14ac:dyDescent="0.25">
      <c r="A12661" s="5">
        <v>40288</v>
      </c>
      <c r="B12661">
        <v>1207.17004394531</v>
      </c>
    </row>
    <row r="12662" spans="1:2" x14ac:dyDescent="0.25">
      <c r="A12662" s="5">
        <v>40289</v>
      </c>
      <c r="B12662">
        <v>1205.93994140625</v>
      </c>
    </row>
    <row r="12663" spans="1:2" x14ac:dyDescent="0.25">
      <c r="A12663" s="5">
        <v>40290</v>
      </c>
      <c r="B12663">
        <v>1208.67004394531</v>
      </c>
    </row>
    <row r="12664" spans="1:2" x14ac:dyDescent="0.25">
      <c r="A12664" s="5">
        <v>40291</v>
      </c>
      <c r="B12664">
        <v>1217.28002929688</v>
      </c>
    </row>
    <row r="12665" spans="1:2" x14ac:dyDescent="0.25">
      <c r="A12665" s="5">
        <v>40294</v>
      </c>
      <c r="B12665">
        <v>1212.05004882812</v>
      </c>
    </row>
    <row r="12666" spans="1:2" x14ac:dyDescent="0.25">
      <c r="A12666" s="5">
        <v>40295</v>
      </c>
      <c r="B12666">
        <v>1183.7099609375</v>
      </c>
    </row>
    <row r="12667" spans="1:2" x14ac:dyDescent="0.25">
      <c r="A12667" s="5">
        <v>40296</v>
      </c>
      <c r="B12667">
        <v>1191.35998535156</v>
      </c>
    </row>
    <row r="12668" spans="1:2" x14ac:dyDescent="0.25">
      <c r="A12668" s="5">
        <v>40297</v>
      </c>
      <c r="B12668">
        <v>1206.78002929688</v>
      </c>
    </row>
    <row r="12669" spans="1:2" x14ac:dyDescent="0.25">
      <c r="A12669" s="5">
        <v>40298</v>
      </c>
      <c r="B12669">
        <v>1186.68994140625</v>
      </c>
    </row>
    <row r="12670" spans="1:2" x14ac:dyDescent="0.25">
      <c r="A12670" s="5">
        <v>40301</v>
      </c>
      <c r="B12670">
        <v>1202.26000976562</v>
      </c>
    </row>
    <row r="12671" spans="1:2" x14ac:dyDescent="0.25">
      <c r="A12671" s="5">
        <v>40302</v>
      </c>
      <c r="B12671">
        <v>1173.59997558594</v>
      </c>
    </row>
    <row r="12672" spans="1:2" x14ac:dyDescent="0.25">
      <c r="A12672" s="5">
        <v>40303</v>
      </c>
      <c r="B12672">
        <v>1165.86999511719</v>
      </c>
    </row>
    <row r="12673" spans="1:2" x14ac:dyDescent="0.25">
      <c r="A12673" s="5">
        <v>40304</v>
      </c>
      <c r="B12673">
        <v>1128.15002441406</v>
      </c>
    </row>
    <row r="12674" spans="1:2" x14ac:dyDescent="0.25">
      <c r="A12674" s="5">
        <v>40305</v>
      </c>
      <c r="B12674">
        <v>1110.88000488281</v>
      </c>
    </row>
    <row r="12675" spans="1:2" x14ac:dyDescent="0.25">
      <c r="A12675" s="5">
        <v>40308</v>
      </c>
      <c r="B12675">
        <v>1159.72998046875</v>
      </c>
    </row>
    <row r="12676" spans="1:2" x14ac:dyDescent="0.25">
      <c r="A12676" s="5">
        <v>40309</v>
      </c>
      <c r="B12676">
        <v>1155.7900390625</v>
      </c>
    </row>
    <row r="12677" spans="1:2" x14ac:dyDescent="0.25">
      <c r="A12677" s="5">
        <v>40310</v>
      </c>
      <c r="B12677">
        <v>1171.67004394531</v>
      </c>
    </row>
    <row r="12678" spans="1:2" x14ac:dyDescent="0.25">
      <c r="A12678" s="5">
        <v>40311</v>
      </c>
      <c r="B12678">
        <v>1157.43994140625</v>
      </c>
    </row>
    <row r="12679" spans="1:2" x14ac:dyDescent="0.25">
      <c r="A12679" s="5">
        <v>40312</v>
      </c>
      <c r="B12679">
        <v>1135.68005371094</v>
      </c>
    </row>
    <row r="12680" spans="1:2" x14ac:dyDescent="0.25">
      <c r="A12680" s="5">
        <v>40315</v>
      </c>
      <c r="B12680">
        <v>1136.93994140625</v>
      </c>
    </row>
    <row r="12681" spans="1:2" x14ac:dyDescent="0.25">
      <c r="A12681" s="5">
        <v>40316</v>
      </c>
      <c r="B12681">
        <v>1120.80004882812</v>
      </c>
    </row>
    <row r="12682" spans="1:2" x14ac:dyDescent="0.25">
      <c r="A12682" s="5">
        <v>40317</v>
      </c>
      <c r="B12682">
        <v>1115.05004882812</v>
      </c>
    </row>
    <row r="12683" spans="1:2" x14ac:dyDescent="0.25">
      <c r="A12683" s="5">
        <v>40318</v>
      </c>
      <c r="B12683">
        <v>1071.58996582031</v>
      </c>
    </row>
    <row r="12684" spans="1:2" x14ac:dyDescent="0.25">
      <c r="A12684" s="5">
        <v>40319</v>
      </c>
      <c r="B12684">
        <v>1087.68994140625</v>
      </c>
    </row>
    <row r="12685" spans="1:2" x14ac:dyDescent="0.25">
      <c r="A12685" s="5">
        <v>40322</v>
      </c>
      <c r="B12685">
        <v>1073.65002441406</v>
      </c>
    </row>
    <row r="12686" spans="1:2" x14ac:dyDescent="0.25">
      <c r="A12686" s="5">
        <v>40323</v>
      </c>
      <c r="B12686">
        <v>1074.03002929688</v>
      </c>
    </row>
    <row r="12687" spans="1:2" x14ac:dyDescent="0.25">
      <c r="A12687" s="5">
        <v>40324</v>
      </c>
      <c r="B12687">
        <v>1067.94995117188</v>
      </c>
    </row>
    <row r="12688" spans="1:2" x14ac:dyDescent="0.25">
      <c r="A12688" s="5">
        <v>40325</v>
      </c>
      <c r="B12688">
        <v>1103.06005859375</v>
      </c>
    </row>
    <row r="12689" spans="1:2" x14ac:dyDescent="0.25">
      <c r="A12689" s="5">
        <v>40326</v>
      </c>
      <c r="B12689">
        <v>1089.41003417969</v>
      </c>
    </row>
    <row r="12690" spans="1:2" x14ac:dyDescent="0.25">
      <c r="A12690" s="5">
        <v>40330</v>
      </c>
      <c r="B12690">
        <v>1070.7099609375</v>
      </c>
    </row>
    <row r="12691" spans="1:2" x14ac:dyDescent="0.25">
      <c r="A12691" s="5">
        <v>40331</v>
      </c>
      <c r="B12691">
        <v>1098.38000488281</v>
      </c>
    </row>
    <row r="12692" spans="1:2" x14ac:dyDescent="0.25">
      <c r="A12692" s="5">
        <v>40332</v>
      </c>
      <c r="B12692">
        <v>1102.82995605469</v>
      </c>
    </row>
    <row r="12693" spans="1:2" x14ac:dyDescent="0.25">
      <c r="A12693" s="5">
        <v>40333</v>
      </c>
      <c r="B12693">
        <v>1064.88000488281</v>
      </c>
    </row>
    <row r="12694" spans="1:2" x14ac:dyDescent="0.25">
      <c r="A12694" s="5">
        <v>40336</v>
      </c>
      <c r="B12694">
        <v>1050.46997070312</v>
      </c>
    </row>
    <row r="12695" spans="1:2" x14ac:dyDescent="0.25">
      <c r="A12695" s="5">
        <v>40337</v>
      </c>
      <c r="B12695">
        <v>1062</v>
      </c>
    </row>
    <row r="12696" spans="1:2" x14ac:dyDescent="0.25">
      <c r="A12696" s="5">
        <v>40338</v>
      </c>
      <c r="B12696">
        <v>1055.68994140625</v>
      </c>
    </row>
    <row r="12697" spans="1:2" x14ac:dyDescent="0.25">
      <c r="A12697" s="5">
        <v>40339</v>
      </c>
      <c r="B12697">
        <v>1086.83996582031</v>
      </c>
    </row>
    <row r="12698" spans="1:2" x14ac:dyDescent="0.25">
      <c r="A12698" s="5">
        <v>40340</v>
      </c>
      <c r="B12698">
        <v>1091.59997558594</v>
      </c>
    </row>
    <row r="12699" spans="1:2" x14ac:dyDescent="0.25">
      <c r="A12699" s="5">
        <v>40343</v>
      </c>
      <c r="B12699">
        <v>1089.63000488281</v>
      </c>
    </row>
    <row r="12700" spans="1:2" x14ac:dyDescent="0.25">
      <c r="A12700" s="5">
        <v>40344</v>
      </c>
      <c r="B12700">
        <v>1115.22998046875</v>
      </c>
    </row>
    <row r="12701" spans="1:2" x14ac:dyDescent="0.25">
      <c r="A12701" s="5">
        <v>40345</v>
      </c>
      <c r="B12701">
        <v>1114.60998535156</v>
      </c>
    </row>
    <row r="12702" spans="1:2" x14ac:dyDescent="0.25">
      <c r="A12702" s="5">
        <v>40346</v>
      </c>
      <c r="B12702">
        <v>1116.0400390625</v>
      </c>
    </row>
    <row r="12703" spans="1:2" x14ac:dyDescent="0.25">
      <c r="A12703" s="5">
        <v>40347</v>
      </c>
      <c r="B12703">
        <v>1117.51000976562</v>
      </c>
    </row>
    <row r="12704" spans="1:2" x14ac:dyDescent="0.25">
      <c r="A12704" s="5">
        <v>40350</v>
      </c>
      <c r="B12704">
        <v>1113.19995117188</v>
      </c>
    </row>
    <row r="12705" spans="1:2" x14ac:dyDescent="0.25">
      <c r="A12705" s="5">
        <v>40351</v>
      </c>
      <c r="B12705">
        <v>1095.31005859375</v>
      </c>
    </row>
    <row r="12706" spans="1:2" x14ac:dyDescent="0.25">
      <c r="A12706" s="5">
        <v>40352</v>
      </c>
      <c r="B12706">
        <v>1092.0400390625</v>
      </c>
    </row>
    <row r="12707" spans="1:2" x14ac:dyDescent="0.25">
      <c r="A12707" s="5">
        <v>40353</v>
      </c>
      <c r="B12707">
        <v>1073.68994140625</v>
      </c>
    </row>
    <row r="12708" spans="1:2" x14ac:dyDescent="0.25">
      <c r="A12708" s="5">
        <v>40354</v>
      </c>
      <c r="B12708">
        <v>1076.76000976562</v>
      </c>
    </row>
    <row r="12709" spans="1:2" x14ac:dyDescent="0.25">
      <c r="A12709" s="5">
        <v>40357</v>
      </c>
      <c r="B12709">
        <v>1074.56994628906</v>
      </c>
    </row>
    <row r="12710" spans="1:2" x14ac:dyDescent="0.25">
      <c r="A12710" s="5">
        <v>40358</v>
      </c>
      <c r="B12710">
        <v>1041.23999023438</v>
      </c>
    </row>
    <row r="12711" spans="1:2" x14ac:dyDescent="0.25">
      <c r="A12711" s="5">
        <v>40359</v>
      </c>
      <c r="B12711">
        <v>1030.7099609375</v>
      </c>
    </row>
    <row r="12712" spans="1:2" x14ac:dyDescent="0.25">
      <c r="A12712" s="5">
        <v>40360</v>
      </c>
      <c r="B12712">
        <v>1027.36999511719</v>
      </c>
    </row>
    <row r="12713" spans="1:2" x14ac:dyDescent="0.25">
      <c r="A12713" s="5">
        <v>40361</v>
      </c>
      <c r="B12713">
        <v>1022.58001708984</v>
      </c>
    </row>
    <row r="12714" spans="1:2" x14ac:dyDescent="0.25">
      <c r="A12714" s="5">
        <v>40365</v>
      </c>
      <c r="B12714">
        <v>1028.06005859375</v>
      </c>
    </row>
    <row r="12715" spans="1:2" x14ac:dyDescent="0.25">
      <c r="A12715" s="5">
        <v>40366</v>
      </c>
      <c r="B12715">
        <v>1060.27001953125</v>
      </c>
    </row>
    <row r="12716" spans="1:2" x14ac:dyDescent="0.25">
      <c r="A12716" s="5">
        <v>40367</v>
      </c>
      <c r="B12716">
        <v>1070.25</v>
      </c>
    </row>
    <row r="12717" spans="1:2" x14ac:dyDescent="0.25">
      <c r="A12717" s="5">
        <v>40368</v>
      </c>
      <c r="B12717">
        <v>1077.9599609375</v>
      </c>
    </row>
    <row r="12718" spans="1:2" x14ac:dyDescent="0.25">
      <c r="A12718" s="5">
        <v>40371</v>
      </c>
      <c r="B12718">
        <v>1078.75</v>
      </c>
    </row>
    <row r="12719" spans="1:2" x14ac:dyDescent="0.25">
      <c r="A12719" s="5">
        <v>40372</v>
      </c>
      <c r="B12719">
        <v>1095.33996582031</v>
      </c>
    </row>
    <row r="12720" spans="1:2" x14ac:dyDescent="0.25">
      <c r="A12720" s="5">
        <v>40373</v>
      </c>
      <c r="B12720">
        <v>1095.17004394531</v>
      </c>
    </row>
    <row r="12721" spans="1:2" x14ac:dyDescent="0.25">
      <c r="A12721" s="5">
        <v>40374</v>
      </c>
      <c r="B12721">
        <v>1096.47998046875</v>
      </c>
    </row>
    <row r="12722" spans="1:2" x14ac:dyDescent="0.25">
      <c r="A12722" s="5">
        <v>40375</v>
      </c>
      <c r="B12722">
        <v>1064.88000488281</v>
      </c>
    </row>
    <row r="12723" spans="1:2" x14ac:dyDescent="0.25">
      <c r="A12723" s="5">
        <v>40378</v>
      </c>
      <c r="B12723">
        <v>1071.25</v>
      </c>
    </row>
    <row r="12724" spans="1:2" x14ac:dyDescent="0.25">
      <c r="A12724" s="5">
        <v>40379</v>
      </c>
      <c r="B12724">
        <v>1083.47998046875</v>
      </c>
    </row>
    <row r="12725" spans="1:2" x14ac:dyDescent="0.25">
      <c r="A12725" s="5">
        <v>40380</v>
      </c>
      <c r="B12725">
        <v>1069.58996582031</v>
      </c>
    </row>
    <row r="12726" spans="1:2" x14ac:dyDescent="0.25">
      <c r="A12726" s="5">
        <v>40381</v>
      </c>
      <c r="B12726">
        <v>1093.67004394531</v>
      </c>
    </row>
    <row r="12727" spans="1:2" x14ac:dyDescent="0.25">
      <c r="A12727" s="5">
        <v>40382</v>
      </c>
      <c r="B12727">
        <v>1102.66003417969</v>
      </c>
    </row>
    <row r="12728" spans="1:2" x14ac:dyDescent="0.25">
      <c r="A12728" s="5">
        <v>40385</v>
      </c>
      <c r="B12728">
        <v>1115.01000976562</v>
      </c>
    </row>
    <row r="12729" spans="1:2" x14ac:dyDescent="0.25">
      <c r="A12729" s="5">
        <v>40386</v>
      </c>
      <c r="B12729">
        <v>1113.83996582031</v>
      </c>
    </row>
    <row r="12730" spans="1:2" x14ac:dyDescent="0.25">
      <c r="A12730" s="5">
        <v>40387</v>
      </c>
      <c r="B12730">
        <v>1106.13000488281</v>
      </c>
    </row>
    <row r="12731" spans="1:2" x14ac:dyDescent="0.25">
      <c r="A12731" s="5">
        <v>40388</v>
      </c>
      <c r="B12731">
        <v>1101.53002929688</v>
      </c>
    </row>
    <row r="12732" spans="1:2" x14ac:dyDescent="0.25">
      <c r="A12732" s="5">
        <v>40389</v>
      </c>
      <c r="B12732">
        <v>1101.59997558594</v>
      </c>
    </row>
    <row r="12733" spans="1:2" x14ac:dyDescent="0.25">
      <c r="A12733" s="5">
        <v>40392</v>
      </c>
      <c r="B12733">
        <v>1125.85998535156</v>
      </c>
    </row>
    <row r="12734" spans="1:2" x14ac:dyDescent="0.25">
      <c r="A12734" s="5">
        <v>40393</v>
      </c>
      <c r="B12734">
        <v>1120.4599609375</v>
      </c>
    </row>
    <row r="12735" spans="1:2" x14ac:dyDescent="0.25">
      <c r="A12735" s="5">
        <v>40394</v>
      </c>
      <c r="B12735">
        <v>1127.23999023438</v>
      </c>
    </row>
    <row r="12736" spans="1:2" x14ac:dyDescent="0.25">
      <c r="A12736" s="5">
        <v>40395</v>
      </c>
      <c r="B12736">
        <v>1125.81005859375</v>
      </c>
    </row>
    <row r="12737" spans="1:2" x14ac:dyDescent="0.25">
      <c r="A12737" s="5">
        <v>40396</v>
      </c>
      <c r="B12737">
        <v>1121.64001464844</v>
      </c>
    </row>
    <row r="12738" spans="1:2" x14ac:dyDescent="0.25">
      <c r="A12738" s="5">
        <v>40399</v>
      </c>
      <c r="B12738">
        <v>1127.7900390625</v>
      </c>
    </row>
    <row r="12739" spans="1:2" x14ac:dyDescent="0.25">
      <c r="A12739" s="5">
        <v>40400</v>
      </c>
      <c r="B12739">
        <v>1121.06005859375</v>
      </c>
    </row>
    <row r="12740" spans="1:2" x14ac:dyDescent="0.25">
      <c r="A12740" s="5">
        <v>40401</v>
      </c>
      <c r="B12740">
        <v>1089.46997070312</v>
      </c>
    </row>
    <row r="12741" spans="1:2" x14ac:dyDescent="0.25">
      <c r="A12741" s="5">
        <v>40402</v>
      </c>
      <c r="B12741">
        <v>1083.60998535156</v>
      </c>
    </row>
    <row r="12742" spans="1:2" x14ac:dyDescent="0.25">
      <c r="A12742" s="5">
        <v>40403</v>
      </c>
      <c r="B12742">
        <v>1079.25</v>
      </c>
    </row>
    <row r="12743" spans="1:2" x14ac:dyDescent="0.25">
      <c r="A12743" s="5">
        <v>40406</v>
      </c>
      <c r="B12743">
        <v>1079.38000488281</v>
      </c>
    </row>
    <row r="12744" spans="1:2" x14ac:dyDescent="0.25">
      <c r="A12744" s="5">
        <v>40407</v>
      </c>
      <c r="B12744">
        <v>1092.5400390625</v>
      </c>
    </row>
    <row r="12745" spans="1:2" x14ac:dyDescent="0.25">
      <c r="A12745" s="5">
        <v>40408</v>
      </c>
      <c r="B12745">
        <v>1094.16003417969</v>
      </c>
    </row>
    <row r="12746" spans="1:2" x14ac:dyDescent="0.25">
      <c r="A12746" s="5">
        <v>40409</v>
      </c>
      <c r="B12746">
        <v>1075.63000488281</v>
      </c>
    </row>
    <row r="12747" spans="1:2" x14ac:dyDescent="0.25">
      <c r="A12747" s="5">
        <v>40410</v>
      </c>
      <c r="B12747">
        <v>1071.68994140625</v>
      </c>
    </row>
    <row r="12748" spans="1:2" x14ac:dyDescent="0.25">
      <c r="A12748" s="5">
        <v>40413</v>
      </c>
      <c r="B12748">
        <v>1067.35998535156</v>
      </c>
    </row>
    <row r="12749" spans="1:2" x14ac:dyDescent="0.25">
      <c r="A12749" s="5">
        <v>40414</v>
      </c>
      <c r="B12749">
        <v>1051.86999511719</v>
      </c>
    </row>
    <row r="12750" spans="1:2" x14ac:dyDescent="0.25">
      <c r="A12750" s="5">
        <v>40415</v>
      </c>
      <c r="B12750">
        <v>1055.32995605469</v>
      </c>
    </row>
    <row r="12751" spans="1:2" x14ac:dyDescent="0.25">
      <c r="A12751" s="5">
        <v>40416</v>
      </c>
      <c r="B12751">
        <v>1047.21997070312</v>
      </c>
    </row>
    <row r="12752" spans="1:2" x14ac:dyDescent="0.25">
      <c r="A12752" s="5">
        <v>40417</v>
      </c>
      <c r="B12752">
        <v>1064.58996582031</v>
      </c>
    </row>
    <row r="12753" spans="1:2" x14ac:dyDescent="0.25">
      <c r="A12753" s="5">
        <v>40420</v>
      </c>
      <c r="B12753">
        <v>1048.92004394531</v>
      </c>
    </row>
    <row r="12754" spans="1:2" x14ac:dyDescent="0.25">
      <c r="A12754" s="5">
        <v>40421</v>
      </c>
      <c r="B12754">
        <v>1049.32995605469</v>
      </c>
    </row>
    <row r="12755" spans="1:2" x14ac:dyDescent="0.25">
      <c r="A12755" s="5">
        <v>40422</v>
      </c>
      <c r="B12755">
        <v>1080.2900390625</v>
      </c>
    </row>
    <row r="12756" spans="1:2" x14ac:dyDescent="0.25">
      <c r="A12756" s="5">
        <v>40423</v>
      </c>
      <c r="B12756">
        <v>1090.09997558594</v>
      </c>
    </row>
    <row r="12757" spans="1:2" x14ac:dyDescent="0.25">
      <c r="A12757" s="5">
        <v>40424</v>
      </c>
      <c r="B12757">
        <v>1104.51000976562</v>
      </c>
    </row>
    <row r="12758" spans="1:2" x14ac:dyDescent="0.25">
      <c r="A12758" s="5">
        <v>40428</v>
      </c>
      <c r="B12758">
        <v>1091.83996582031</v>
      </c>
    </row>
    <row r="12759" spans="1:2" x14ac:dyDescent="0.25">
      <c r="A12759" s="5">
        <v>40429</v>
      </c>
      <c r="B12759">
        <v>1098.86999511719</v>
      </c>
    </row>
    <row r="12760" spans="1:2" x14ac:dyDescent="0.25">
      <c r="A12760" s="5">
        <v>40430</v>
      </c>
      <c r="B12760">
        <v>1104.18005371094</v>
      </c>
    </row>
    <row r="12761" spans="1:2" x14ac:dyDescent="0.25">
      <c r="A12761" s="5">
        <v>40431</v>
      </c>
      <c r="B12761">
        <v>1109.55004882812</v>
      </c>
    </row>
    <row r="12762" spans="1:2" x14ac:dyDescent="0.25">
      <c r="A12762" s="5">
        <v>40434</v>
      </c>
      <c r="B12762">
        <v>1121.90002441406</v>
      </c>
    </row>
    <row r="12763" spans="1:2" x14ac:dyDescent="0.25">
      <c r="A12763" s="5">
        <v>40435</v>
      </c>
      <c r="B12763">
        <v>1121.09997558594</v>
      </c>
    </row>
    <row r="12764" spans="1:2" x14ac:dyDescent="0.25">
      <c r="A12764" s="5">
        <v>40436</v>
      </c>
      <c r="B12764">
        <v>1125.06994628906</v>
      </c>
    </row>
    <row r="12765" spans="1:2" x14ac:dyDescent="0.25">
      <c r="A12765" s="5">
        <v>40437</v>
      </c>
      <c r="B12765">
        <v>1124.66003417969</v>
      </c>
    </row>
    <row r="12766" spans="1:2" x14ac:dyDescent="0.25">
      <c r="A12766" s="5">
        <v>40438</v>
      </c>
      <c r="B12766">
        <v>1125.58996582031</v>
      </c>
    </row>
    <row r="12767" spans="1:2" x14ac:dyDescent="0.25">
      <c r="A12767" s="5">
        <v>40441</v>
      </c>
      <c r="B12767">
        <v>1142.7099609375</v>
      </c>
    </row>
    <row r="12768" spans="1:2" x14ac:dyDescent="0.25">
      <c r="A12768" s="5">
        <v>40442</v>
      </c>
      <c r="B12768">
        <v>1139.78002929688</v>
      </c>
    </row>
    <row r="12769" spans="1:2" x14ac:dyDescent="0.25">
      <c r="A12769" s="5">
        <v>40443</v>
      </c>
      <c r="B12769">
        <v>1134.28002929688</v>
      </c>
    </row>
    <row r="12770" spans="1:2" x14ac:dyDescent="0.25">
      <c r="A12770" s="5">
        <v>40444</v>
      </c>
      <c r="B12770">
        <v>1124.82995605469</v>
      </c>
    </row>
    <row r="12771" spans="1:2" x14ac:dyDescent="0.25">
      <c r="A12771" s="5">
        <v>40445</v>
      </c>
      <c r="B12771">
        <v>1148.67004394531</v>
      </c>
    </row>
    <row r="12772" spans="1:2" x14ac:dyDescent="0.25">
      <c r="A12772" s="5">
        <v>40448</v>
      </c>
      <c r="B12772">
        <v>1142.16003417969</v>
      </c>
    </row>
    <row r="12773" spans="1:2" x14ac:dyDescent="0.25">
      <c r="A12773" s="5">
        <v>40449</v>
      </c>
      <c r="B12773">
        <v>1147.69995117188</v>
      </c>
    </row>
    <row r="12774" spans="1:2" x14ac:dyDescent="0.25">
      <c r="A12774" s="5">
        <v>40450</v>
      </c>
      <c r="B12774">
        <v>1144.72998046875</v>
      </c>
    </row>
    <row r="12775" spans="1:2" x14ac:dyDescent="0.25">
      <c r="A12775" s="5">
        <v>40451</v>
      </c>
      <c r="B12775">
        <v>1141.19995117188</v>
      </c>
    </row>
    <row r="12776" spans="1:2" x14ac:dyDescent="0.25">
      <c r="A12776" s="5">
        <v>40452</v>
      </c>
      <c r="B12776">
        <v>1146.23999023438</v>
      </c>
    </row>
    <row r="12777" spans="1:2" x14ac:dyDescent="0.25">
      <c r="A12777" s="5">
        <v>40455</v>
      </c>
      <c r="B12777">
        <v>1137.03002929688</v>
      </c>
    </row>
    <row r="12778" spans="1:2" x14ac:dyDescent="0.25">
      <c r="A12778" s="5">
        <v>40456</v>
      </c>
      <c r="B12778">
        <v>1160.75</v>
      </c>
    </row>
    <row r="12779" spans="1:2" x14ac:dyDescent="0.25">
      <c r="A12779" s="5">
        <v>40457</v>
      </c>
      <c r="B12779">
        <v>1159.96997070312</v>
      </c>
    </row>
    <row r="12780" spans="1:2" x14ac:dyDescent="0.25">
      <c r="A12780" s="5">
        <v>40458</v>
      </c>
      <c r="B12780">
        <v>1158.06005859375</v>
      </c>
    </row>
    <row r="12781" spans="1:2" x14ac:dyDescent="0.25">
      <c r="A12781" s="5">
        <v>40459</v>
      </c>
      <c r="B12781">
        <v>1165.15002441406</v>
      </c>
    </row>
    <row r="12782" spans="1:2" x14ac:dyDescent="0.25">
      <c r="A12782" s="5">
        <v>40462</v>
      </c>
      <c r="B12782">
        <v>1165.31994628906</v>
      </c>
    </row>
    <row r="12783" spans="1:2" x14ac:dyDescent="0.25">
      <c r="A12783" s="5">
        <v>40463</v>
      </c>
      <c r="B12783">
        <v>1169.77001953125</v>
      </c>
    </row>
    <row r="12784" spans="1:2" x14ac:dyDescent="0.25">
      <c r="A12784" s="5">
        <v>40464</v>
      </c>
      <c r="B12784">
        <v>1178.09997558594</v>
      </c>
    </row>
    <row r="12785" spans="1:2" x14ac:dyDescent="0.25">
      <c r="A12785" s="5">
        <v>40465</v>
      </c>
      <c r="B12785">
        <v>1173.81005859375</v>
      </c>
    </row>
    <row r="12786" spans="1:2" x14ac:dyDescent="0.25">
      <c r="A12786" s="5">
        <v>40466</v>
      </c>
      <c r="B12786">
        <v>1176.18994140625</v>
      </c>
    </row>
    <row r="12787" spans="1:2" x14ac:dyDescent="0.25">
      <c r="A12787" s="5">
        <v>40469</v>
      </c>
      <c r="B12787">
        <v>1184.7099609375</v>
      </c>
    </row>
    <row r="12788" spans="1:2" x14ac:dyDescent="0.25">
      <c r="A12788" s="5">
        <v>40470</v>
      </c>
      <c r="B12788">
        <v>1165.90002441406</v>
      </c>
    </row>
    <row r="12789" spans="1:2" x14ac:dyDescent="0.25">
      <c r="A12789" s="5">
        <v>40471</v>
      </c>
      <c r="B12789">
        <v>1178.17004394531</v>
      </c>
    </row>
    <row r="12790" spans="1:2" x14ac:dyDescent="0.25">
      <c r="A12790" s="5">
        <v>40472</v>
      </c>
      <c r="B12790">
        <v>1180.26000976562</v>
      </c>
    </row>
    <row r="12791" spans="1:2" x14ac:dyDescent="0.25">
      <c r="A12791" s="5">
        <v>40473</v>
      </c>
      <c r="B12791">
        <v>1183.07995605469</v>
      </c>
    </row>
    <row r="12792" spans="1:2" x14ac:dyDescent="0.25">
      <c r="A12792" s="5">
        <v>40476</v>
      </c>
      <c r="B12792">
        <v>1185.61999511719</v>
      </c>
    </row>
    <row r="12793" spans="1:2" x14ac:dyDescent="0.25">
      <c r="A12793" s="5">
        <v>40477</v>
      </c>
      <c r="B12793">
        <v>1185.64001464844</v>
      </c>
    </row>
    <row r="12794" spans="1:2" x14ac:dyDescent="0.25">
      <c r="A12794" s="5">
        <v>40478</v>
      </c>
      <c r="B12794">
        <v>1182.44995117188</v>
      </c>
    </row>
    <row r="12795" spans="1:2" x14ac:dyDescent="0.25">
      <c r="A12795" s="5">
        <v>40479</v>
      </c>
      <c r="B12795">
        <v>1183.78002929688</v>
      </c>
    </row>
    <row r="12796" spans="1:2" x14ac:dyDescent="0.25">
      <c r="A12796" s="5">
        <v>40480</v>
      </c>
      <c r="B12796">
        <v>1183.26000976562</v>
      </c>
    </row>
    <row r="12797" spans="1:2" x14ac:dyDescent="0.25">
      <c r="A12797" s="5">
        <v>40483</v>
      </c>
      <c r="B12797">
        <v>1184.38000488281</v>
      </c>
    </row>
    <row r="12798" spans="1:2" x14ac:dyDescent="0.25">
      <c r="A12798" s="5">
        <v>40484</v>
      </c>
      <c r="B12798">
        <v>1193.56994628906</v>
      </c>
    </row>
    <row r="12799" spans="1:2" x14ac:dyDescent="0.25">
      <c r="A12799" s="5">
        <v>40485</v>
      </c>
      <c r="B12799">
        <v>1197.9599609375</v>
      </c>
    </row>
    <row r="12800" spans="1:2" x14ac:dyDescent="0.25">
      <c r="A12800" s="5">
        <v>40486</v>
      </c>
      <c r="B12800">
        <v>1221.06005859375</v>
      </c>
    </row>
    <row r="12801" spans="1:2" x14ac:dyDescent="0.25">
      <c r="A12801" s="5">
        <v>40487</v>
      </c>
      <c r="B12801">
        <v>1225.84997558594</v>
      </c>
    </row>
    <row r="12802" spans="1:2" x14ac:dyDescent="0.25">
      <c r="A12802" s="5">
        <v>40490</v>
      </c>
      <c r="B12802">
        <v>1223.25</v>
      </c>
    </row>
    <row r="12803" spans="1:2" x14ac:dyDescent="0.25">
      <c r="A12803" s="5">
        <v>40491</v>
      </c>
      <c r="B12803">
        <v>1213.40002441406</v>
      </c>
    </row>
    <row r="12804" spans="1:2" x14ac:dyDescent="0.25">
      <c r="A12804" s="5">
        <v>40492</v>
      </c>
      <c r="B12804">
        <v>1218.7099609375</v>
      </c>
    </row>
    <row r="12805" spans="1:2" x14ac:dyDescent="0.25">
      <c r="A12805" s="5">
        <v>40493</v>
      </c>
      <c r="B12805">
        <v>1213.5400390625</v>
      </c>
    </row>
    <row r="12806" spans="1:2" x14ac:dyDescent="0.25">
      <c r="A12806" s="5">
        <v>40494</v>
      </c>
      <c r="B12806">
        <v>1199.2099609375</v>
      </c>
    </row>
    <row r="12807" spans="1:2" x14ac:dyDescent="0.25">
      <c r="A12807" s="5">
        <v>40497</v>
      </c>
      <c r="B12807">
        <v>1197.75</v>
      </c>
    </row>
    <row r="12808" spans="1:2" x14ac:dyDescent="0.25">
      <c r="A12808" s="5">
        <v>40498</v>
      </c>
      <c r="B12808">
        <v>1178.33996582031</v>
      </c>
    </row>
    <row r="12809" spans="1:2" x14ac:dyDescent="0.25">
      <c r="A12809" s="5">
        <v>40499</v>
      </c>
      <c r="B12809">
        <v>1178.58996582031</v>
      </c>
    </row>
    <row r="12810" spans="1:2" x14ac:dyDescent="0.25">
      <c r="A12810" s="5">
        <v>40500</v>
      </c>
      <c r="B12810">
        <v>1196.68994140625</v>
      </c>
    </row>
    <row r="12811" spans="1:2" x14ac:dyDescent="0.25">
      <c r="A12811" s="5">
        <v>40501</v>
      </c>
      <c r="B12811">
        <v>1199.72998046875</v>
      </c>
    </row>
    <row r="12812" spans="1:2" x14ac:dyDescent="0.25">
      <c r="A12812" s="5">
        <v>40504</v>
      </c>
      <c r="B12812">
        <v>1197.83996582031</v>
      </c>
    </row>
    <row r="12813" spans="1:2" x14ac:dyDescent="0.25">
      <c r="A12813" s="5">
        <v>40505</v>
      </c>
      <c r="B12813">
        <v>1180.72998046875</v>
      </c>
    </row>
    <row r="12814" spans="1:2" x14ac:dyDescent="0.25">
      <c r="A12814" s="5">
        <v>40506</v>
      </c>
      <c r="B12814">
        <v>1198.34997558594</v>
      </c>
    </row>
    <row r="12815" spans="1:2" x14ac:dyDescent="0.25">
      <c r="A12815" s="5">
        <v>40508</v>
      </c>
      <c r="B12815">
        <v>1189.40002441406</v>
      </c>
    </row>
    <row r="12816" spans="1:2" x14ac:dyDescent="0.25">
      <c r="A12816" s="5">
        <v>40511</v>
      </c>
      <c r="B12816">
        <v>1187.76000976562</v>
      </c>
    </row>
    <row r="12817" spans="1:2" x14ac:dyDescent="0.25">
      <c r="A12817" s="5">
        <v>40512</v>
      </c>
      <c r="B12817">
        <v>1180.55004882812</v>
      </c>
    </row>
    <row r="12818" spans="1:2" x14ac:dyDescent="0.25">
      <c r="A12818" s="5">
        <v>40513</v>
      </c>
      <c r="B12818">
        <v>1206.06994628906</v>
      </c>
    </row>
    <row r="12819" spans="1:2" x14ac:dyDescent="0.25">
      <c r="A12819" s="5">
        <v>40514</v>
      </c>
      <c r="B12819">
        <v>1221.53002929688</v>
      </c>
    </row>
    <row r="12820" spans="1:2" x14ac:dyDescent="0.25">
      <c r="A12820" s="5">
        <v>40515</v>
      </c>
      <c r="B12820">
        <v>1224.7099609375</v>
      </c>
    </row>
    <row r="12821" spans="1:2" x14ac:dyDescent="0.25">
      <c r="A12821" s="5">
        <v>40518</v>
      </c>
      <c r="B12821">
        <v>1223.11999511719</v>
      </c>
    </row>
    <row r="12822" spans="1:2" x14ac:dyDescent="0.25">
      <c r="A12822" s="5">
        <v>40519</v>
      </c>
      <c r="B12822">
        <v>1223.75</v>
      </c>
    </row>
    <row r="12823" spans="1:2" x14ac:dyDescent="0.25">
      <c r="A12823" s="5">
        <v>40520</v>
      </c>
      <c r="B12823">
        <v>1228.28002929688</v>
      </c>
    </row>
    <row r="12824" spans="1:2" x14ac:dyDescent="0.25">
      <c r="A12824" s="5">
        <v>40521</v>
      </c>
      <c r="B12824">
        <v>1233</v>
      </c>
    </row>
    <row r="12825" spans="1:2" x14ac:dyDescent="0.25">
      <c r="A12825" s="5">
        <v>40522</v>
      </c>
      <c r="B12825">
        <v>1240.40002441406</v>
      </c>
    </row>
    <row r="12826" spans="1:2" x14ac:dyDescent="0.25">
      <c r="A12826" s="5">
        <v>40525</v>
      </c>
      <c r="B12826">
        <v>1240.4599609375</v>
      </c>
    </row>
    <row r="12827" spans="1:2" x14ac:dyDescent="0.25">
      <c r="A12827" s="5">
        <v>40526</v>
      </c>
      <c r="B12827">
        <v>1241.58996582031</v>
      </c>
    </row>
    <row r="12828" spans="1:2" x14ac:dyDescent="0.25">
      <c r="A12828" s="5">
        <v>40527</v>
      </c>
      <c r="B12828">
        <v>1235.22998046875</v>
      </c>
    </row>
    <row r="12829" spans="1:2" x14ac:dyDescent="0.25">
      <c r="A12829" s="5">
        <v>40528</v>
      </c>
      <c r="B12829">
        <v>1242.86999511719</v>
      </c>
    </row>
    <row r="12830" spans="1:2" x14ac:dyDescent="0.25">
      <c r="A12830" s="5">
        <v>40529</v>
      </c>
      <c r="B12830">
        <v>1243.91003417969</v>
      </c>
    </row>
    <row r="12831" spans="1:2" x14ac:dyDescent="0.25">
      <c r="A12831" s="5">
        <v>40532</v>
      </c>
      <c r="B12831">
        <v>1247.07995605469</v>
      </c>
    </row>
    <row r="12832" spans="1:2" x14ac:dyDescent="0.25">
      <c r="A12832" s="5">
        <v>40533</v>
      </c>
      <c r="B12832">
        <v>1254.59997558594</v>
      </c>
    </row>
    <row r="12833" spans="1:2" x14ac:dyDescent="0.25">
      <c r="A12833" s="5">
        <v>40534</v>
      </c>
      <c r="B12833">
        <v>1258.83996582031</v>
      </c>
    </row>
    <row r="12834" spans="1:2" x14ac:dyDescent="0.25">
      <c r="A12834" s="5">
        <v>40535</v>
      </c>
      <c r="B12834">
        <v>1256.77001953125</v>
      </c>
    </row>
    <row r="12835" spans="1:2" x14ac:dyDescent="0.25">
      <c r="A12835" s="5">
        <v>40539</v>
      </c>
      <c r="B12835">
        <v>1257.5400390625</v>
      </c>
    </row>
    <row r="12836" spans="1:2" x14ac:dyDescent="0.25">
      <c r="A12836" s="5">
        <v>40540</v>
      </c>
      <c r="B12836">
        <v>1258.51000976562</v>
      </c>
    </row>
    <row r="12837" spans="1:2" x14ac:dyDescent="0.25">
      <c r="A12837" s="5">
        <v>40541</v>
      </c>
      <c r="B12837">
        <v>1259.78002929688</v>
      </c>
    </row>
    <row r="12838" spans="1:2" x14ac:dyDescent="0.25">
      <c r="A12838" s="5">
        <v>40542</v>
      </c>
      <c r="B12838">
        <v>1257.88000488281</v>
      </c>
    </row>
    <row r="12839" spans="1:2" x14ac:dyDescent="0.25">
      <c r="A12839" s="5">
        <v>40543</v>
      </c>
      <c r="B12839">
        <v>1257.64001464844</v>
      </c>
    </row>
    <row r="12840" spans="1:2" x14ac:dyDescent="0.25">
      <c r="A12840" s="5">
        <v>40546</v>
      </c>
      <c r="B12840">
        <v>1271.86999511719</v>
      </c>
    </row>
    <row r="12841" spans="1:2" x14ac:dyDescent="0.25">
      <c r="A12841" s="5">
        <v>40547</v>
      </c>
      <c r="B12841">
        <v>1270.19995117188</v>
      </c>
    </row>
    <row r="12842" spans="1:2" x14ac:dyDescent="0.25">
      <c r="A12842" s="5">
        <v>40548</v>
      </c>
      <c r="B12842">
        <v>1276.56005859375</v>
      </c>
    </row>
    <row r="12843" spans="1:2" x14ac:dyDescent="0.25">
      <c r="A12843" s="5">
        <v>40549</v>
      </c>
      <c r="B12843">
        <v>1273.84997558594</v>
      </c>
    </row>
    <row r="12844" spans="1:2" x14ac:dyDescent="0.25">
      <c r="A12844" s="5">
        <v>40550</v>
      </c>
      <c r="B12844">
        <v>1271.5</v>
      </c>
    </row>
    <row r="12845" spans="1:2" x14ac:dyDescent="0.25">
      <c r="A12845" s="5">
        <v>40553</v>
      </c>
      <c r="B12845">
        <v>1269.75</v>
      </c>
    </row>
    <row r="12846" spans="1:2" x14ac:dyDescent="0.25">
      <c r="A12846" s="5">
        <v>40554</v>
      </c>
      <c r="B12846">
        <v>1274.47998046875</v>
      </c>
    </row>
    <row r="12847" spans="1:2" x14ac:dyDescent="0.25">
      <c r="A12847" s="5">
        <v>40555</v>
      </c>
      <c r="B12847">
        <v>1285.9599609375</v>
      </c>
    </row>
    <row r="12848" spans="1:2" x14ac:dyDescent="0.25">
      <c r="A12848" s="5">
        <v>40556</v>
      </c>
      <c r="B12848">
        <v>1283.76000976562</v>
      </c>
    </row>
    <row r="12849" spans="1:2" x14ac:dyDescent="0.25">
      <c r="A12849" s="5">
        <v>40557</v>
      </c>
      <c r="B12849">
        <v>1293.23999023438</v>
      </c>
    </row>
    <row r="12850" spans="1:2" x14ac:dyDescent="0.25">
      <c r="A12850" s="5">
        <v>40561</v>
      </c>
      <c r="B12850">
        <v>1295.02001953125</v>
      </c>
    </row>
    <row r="12851" spans="1:2" x14ac:dyDescent="0.25">
      <c r="A12851" s="5">
        <v>40562</v>
      </c>
      <c r="B12851">
        <v>1281.92004394531</v>
      </c>
    </row>
    <row r="12852" spans="1:2" x14ac:dyDescent="0.25">
      <c r="A12852" s="5">
        <v>40563</v>
      </c>
      <c r="B12852">
        <v>1280.26000976562</v>
      </c>
    </row>
    <row r="12853" spans="1:2" x14ac:dyDescent="0.25">
      <c r="A12853" s="5">
        <v>40564</v>
      </c>
      <c r="B12853">
        <v>1283.34997558594</v>
      </c>
    </row>
    <row r="12854" spans="1:2" x14ac:dyDescent="0.25">
      <c r="A12854" s="5">
        <v>40567</v>
      </c>
      <c r="B12854">
        <v>1290.83996582031</v>
      </c>
    </row>
    <row r="12855" spans="1:2" x14ac:dyDescent="0.25">
      <c r="A12855" s="5">
        <v>40568</v>
      </c>
      <c r="B12855">
        <v>1291.18005371094</v>
      </c>
    </row>
    <row r="12856" spans="1:2" x14ac:dyDescent="0.25">
      <c r="A12856" s="5">
        <v>40569</v>
      </c>
      <c r="B12856">
        <v>1296.63000488281</v>
      </c>
    </row>
    <row r="12857" spans="1:2" x14ac:dyDescent="0.25">
      <c r="A12857" s="5">
        <v>40570</v>
      </c>
      <c r="B12857">
        <v>1299.5400390625</v>
      </c>
    </row>
    <row r="12858" spans="1:2" x14ac:dyDescent="0.25">
      <c r="A12858" s="5">
        <v>40571</v>
      </c>
      <c r="B12858">
        <v>1276.33996582031</v>
      </c>
    </row>
    <row r="12859" spans="1:2" x14ac:dyDescent="0.25">
      <c r="A12859" s="5">
        <v>40574</v>
      </c>
      <c r="B12859">
        <v>1286.11999511719</v>
      </c>
    </row>
    <row r="12860" spans="1:2" x14ac:dyDescent="0.25">
      <c r="A12860" s="5">
        <v>40575</v>
      </c>
      <c r="B12860">
        <v>1307.58996582031</v>
      </c>
    </row>
    <row r="12861" spans="1:2" x14ac:dyDescent="0.25">
      <c r="A12861" s="5">
        <v>40576</v>
      </c>
      <c r="B12861">
        <v>1304.03002929688</v>
      </c>
    </row>
    <row r="12862" spans="1:2" x14ac:dyDescent="0.25">
      <c r="A12862" s="5">
        <v>40577</v>
      </c>
      <c r="B12862">
        <v>1307.09997558594</v>
      </c>
    </row>
    <row r="12863" spans="1:2" x14ac:dyDescent="0.25">
      <c r="A12863" s="5">
        <v>40578</v>
      </c>
      <c r="B12863">
        <v>1310.86999511719</v>
      </c>
    </row>
    <row r="12864" spans="1:2" x14ac:dyDescent="0.25">
      <c r="A12864" s="5">
        <v>40581</v>
      </c>
      <c r="B12864">
        <v>1319.05004882812</v>
      </c>
    </row>
    <row r="12865" spans="1:2" x14ac:dyDescent="0.25">
      <c r="A12865" s="5">
        <v>40582</v>
      </c>
      <c r="B12865">
        <v>1324.56994628906</v>
      </c>
    </row>
    <row r="12866" spans="1:2" x14ac:dyDescent="0.25">
      <c r="A12866" s="5">
        <v>40583</v>
      </c>
      <c r="B12866">
        <v>1320.88000488281</v>
      </c>
    </row>
    <row r="12867" spans="1:2" x14ac:dyDescent="0.25">
      <c r="A12867" s="5">
        <v>40584</v>
      </c>
      <c r="B12867">
        <v>1321.86999511719</v>
      </c>
    </row>
    <row r="12868" spans="1:2" x14ac:dyDescent="0.25">
      <c r="A12868" s="5">
        <v>40585</v>
      </c>
      <c r="B12868">
        <v>1329.15002441406</v>
      </c>
    </row>
    <row r="12869" spans="1:2" x14ac:dyDescent="0.25">
      <c r="A12869" s="5">
        <v>40588</v>
      </c>
      <c r="B12869">
        <v>1332.31994628906</v>
      </c>
    </row>
    <row r="12870" spans="1:2" x14ac:dyDescent="0.25">
      <c r="A12870" s="5">
        <v>40589</v>
      </c>
      <c r="B12870">
        <v>1328.01000976562</v>
      </c>
    </row>
    <row r="12871" spans="1:2" x14ac:dyDescent="0.25">
      <c r="A12871" s="5">
        <v>40590</v>
      </c>
      <c r="B12871">
        <v>1336.31994628906</v>
      </c>
    </row>
    <row r="12872" spans="1:2" x14ac:dyDescent="0.25">
      <c r="A12872" s="5">
        <v>40591</v>
      </c>
      <c r="B12872">
        <v>1340.43005371094</v>
      </c>
    </row>
    <row r="12873" spans="1:2" x14ac:dyDescent="0.25">
      <c r="A12873" s="5">
        <v>40592</v>
      </c>
      <c r="B12873">
        <v>1343.01000976562</v>
      </c>
    </row>
    <row r="12874" spans="1:2" x14ac:dyDescent="0.25">
      <c r="A12874" s="5">
        <v>40596</v>
      </c>
      <c r="B12874">
        <v>1315.43994140625</v>
      </c>
    </row>
    <row r="12875" spans="1:2" x14ac:dyDescent="0.25">
      <c r="A12875" s="5">
        <v>40597</v>
      </c>
      <c r="B12875">
        <v>1307.40002441406</v>
      </c>
    </row>
    <row r="12876" spans="1:2" x14ac:dyDescent="0.25">
      <c r="A12876" s="5">
        <v>40598</v>
      </c>
      <c r="B12876">
        <v>1306.09997558594</v>
      </c>
    </row>
    <row r="12877" spans="1:2" x14ac:dyDescent="0.25">
      <c r="A12877" s="5">
        <v>40599</v>
      </c>
      <c r="B12877">
        <v>1319.88000488281</v>
      </c>
    </row>
    <row r="12878" spans="1:2" x14ac:dyDescent="0.25">
      <c r="A12878" s="5">
        <v>40602</v>
      </c>
      <c r="B12878">
        <v>1327.21997070312</v>
      </c>
    </row>
    <row r="12879" spans="1:2" x14ac:dyDescent="0.25">
      <c r="A12879" s="5">
        <v>40603</v>
      </c>
      <c r="B12879">
        <v>1306.32995605469</v>
      </c>
    </row>
    <row r="12880" spans="1:2" x14ac:dyDescent="0.25">
      <c r="A12880" s="5">
        <v>40604</v>
      </c>
      <c r="B12880">
        <v>1308.43994140625</v>
      </c>
    </row>
    <row r="12881" spans="1:2" x14ac:dyDescent="0.25">
      <c r="A12881" s="5">
        <v>40605</v>
      </c>
      <c r="B12881">
        <v>1330.96997070312</v>
      </c>
    </row>
    <row r="12882" spans="1:2" x14ac:dyDescent="0.25">
      <c r="A12882" s="5">
        <v>40606</v>
      </c>
      <c r="B12882">
        <v>1321.15002441406</v>
      </c>
    </row>
    <row r="12883" spans="1:2" x14ac:dyDescent="0.25">
      <c r="A12883" s="5">
        <v>40609</v>
      </c>
      <c r="B12883">
        <v>1310.13000488281</v>
      </c>
    </row>
    <row r="12884" spans="1:2" x14ac:dyDescent="0.25">
      <c r="A12884" s="5">
        <v>40610</v>
      </c>
      <c r="B12884">
        <v>1321.81994628906</v>
      </c>
    </row>
    <row r="12885" spans="1:2" x14ac:dyDescent="0.25">
      <c r="A12885" s="5">
        <v>40611</v>
      </c>
      <c r="B12885">
        <v>1320.02001953125</v>
      </c>
    </row>
    <row r="12886" spans="1:2" x14ac:dyDescent="0.25">
      <c r="A12886" s="5">
        <v>40612</v>
      </c>
      <c r="B12886">
        <v>1295.10998535156</v>
      </c>
    </row>
    <row r="12887" spans="1:2" x14ac:dyDescent="0.25">
      <c r="A12887" s="5">
        <v>40613</v>
      </c>
      <c r="B12887">
        <v>1304.28002929688</v>
      </c>
    </row>
    <row r="12888" spans="1:2" x14ac:dyDescent="0.25">
      <c r="A12888" s="5">
        <v>40616</v>
      </c>
      <c r="B12888">
        <v>1296.39001464844</v>
      </c>
    </row>
    <row r="12889" spans="1:2" x14ac:dyDescent="0.25">
      <c r="A12889" s="5">
        <v>40617</v>
      </c>
      <c r="B12889">
        <v>1281.86999511719</v>
      </c>
    </row>
    <row r="12890" spans="1:2" x14ac:dyDescent="0.25">
      <c r="A12890" s="5">
        <v>40618</v>
      </c>
      <c r="B12890">
        <v>1256.88000488281</v>
      </c>
    </row>
    <row r="12891" spans="1:2" x14ac:dyDescent="0.25">
      <c r="A12891" s="5">
        <v>40619</v>
      </c>
      <c r="B12891">
        <v>1273.71997070312</v>
      </c>
    </row>
    <row r="12892" spans="1:2" x14ac:dyDescent="0.25">
      <c r="A12892" s="5">
        <v>40620</v>
      </c>
      <c r="B12892">
        <v>1279.2099609375</v>
      </c>
    </row>
    <row r="12893" spans="1:2" x14ac:dyDescent="0.25">
      <c r="A12893" s="5">
        <v>40623</v>
      </c>
      <c r="B12893">
        <v>1298.38000488281</v>
      </c>
    </row>
    <row r="12894" spans="1:2" x14ac:dyDescent="0.25">
      <c r="A12894" s="5">
        <v>40624</v>
      </c>
      <c r="B12894">
        <v>1293.77001953125</v>
      </c>
    </row>
    <row r="12895" spans="1:2" x14ac:dyDescent="0.25">
      <c r="A12895" s="5">
        <v>40625</v>
      </c>
      <c r="B12895">
        <v>1297.5400390625</v>
      </c>
    </row>
    <row r="12896" spans="1:2" x14ac:dyDescent="0.25">
      <c r="A12896" s="5">
        <v>40626</v>
      </c>
      <c r="B12896">
        <v>1309.66003417969</v>
      </c>
    </row>
    <row r="12897" spans="1:2" x14ac:dyDescent="0.25">
      <c r="A12897" s="5">
        <v>40627</v>
      </c>
      <c r="B12897">
        <v>1313.80004882812</v>
      </c>
    </row>
    <row r="12898" spans="1:2" x14ac:dyDescent="0.25">
      <c r="A12898" s="5">
        <v>40630</v>
      </c>
      <c r="B12898">
        <v>1310.18994140625</v>
      </c>
    </row>
    <row r="12899" spans="1:2" x14ac:dyDescent="0.25">
      <c r="A12899" s="5">
        <v>40631</v>
      </c>
      <c r="B12899">
        <v>1319.43994140625</v>
      </c>
    </row>
    <row r="12900" spans="1:2" x14ac:dyDescent="0.25">
      <c r="A12900" s="5">
        <v>40632</v>
      </c>
      <c r="B12900">
        <v>1328.26000976562</v>
      </c>
    </row>
    <row r="12901" spans="1:2" x14ac:dyDescent="0.25">
      <c r="A12901" s="5">
        <v>40633</v>
      </c>
      <c r="B12901">
        <v>1325.82995605469</v>
      </c>
    </row>
    <row r="12902" spans="1:2" x14ac:dyDescent="0.25">
      <c r="A12902" s="5">
        <v>40634</v>
      </c>
      <c r="B12902">
        <v>1332.41003417969</v>
      </c>
    </row>
    <row r="12903" spans="1:2" x14ac:dyDescent="0.25">
      <c r="A12903" s="5">
        <v>40637</v>
      </c>
      <c r="B12903">
        <v>1332.86999511719</v>
      </c>
    </row>
    <row r="12904" spans="1:2" x14ac:dyDescent="0.25">
      <c r="A12904" s="5">
        <v>40638</v>
      </c>
      <c r="B12904">
        <v>1332.63000488281</v>
      </c>
    </row>
    <row r="12905" spans="1:2" x14ac:dyDescent="0.25">
      <c r="A12905" s="5">
        <v>40639</v>
      </c>
      <c r="B12905">
        <v>1335.5400390625</v>
      </c>
    </row>
    <row r="12906" spans="1:2" x14ac:dyDescent="0.25">
      <c r="A12906" s="5">
        <v>40640</v>
      </c>
      <c r="B12906">
        <v>1333.51000976562</v>
      </c>
    </row>
    <row r="12907" spans="1:2" x14ac:dyDescent="0.25">
      <c r="A12907" s="5">
        <v>40641</v>
      </c>
      <c r="B12907">
        <v>1328.17004394531</v>
      </c>
    </row>
    <row r="12908" spans="1:2" x14ac:dyDescent="0.25">
      <c r="A12908" s="5">
        <v>40644</v>
      </c>
      <c r="B12908">
        <v>1324.4599609375</v>
      </c>
    </row>
    <row r="12909" spans="1:2" x14ac:dyDescent="0.25">
      <c r="A12909" s="5">
        <v>40645</v>
      </c>
      <c r="B12909">
        <v>1314.16003417969</v>
      </c>
    </row>
    <row r="12910" spans="1:2" x14ac:dyDescent="0.25">
      <c r="A12910" s="5">
        <v>40646</v>
      </c>
      <c r="B12910">
        <v>1314.41003417969</v>
      </c>
    </row>
    <row r="12911" spans="1:2" x14ac:dyDescent="0.25">
      <c r="A12911" s="5">
        <v>40647</v>
      </c>
      <c r="B12911">
        <v>1314.52001953125</v>
      </c>
    </row>
    <row r="12912" spans="1:2" x14ac:dyDescent="0.25">
      <c r="A12912" s="5">
        <v>40648</v>
      </c>
      <c r="B12912">
        <v>1319.68005371094</v>
      </c>
    </row>
    <row r="12913" spans="1:2" x14ac:dyDescent="0.25">
      <c r="A12913" s="5">
        <v>40651</v>
      </c>
      <c r="B12913">
        <v>1305.14001464844</v>
      </c>
    </row>
    <row r="12914" spans="1:2" x14ac:dyDescent="0.25">
      <c r="A12914" s="5">
        <v>40652</v>
      </c>
      <c r="B12914">
        <v>1312.61999511719</v>
      </c>
    </row>
    <row r="12915" spans="1:2" x14ac:dyDescent="0.25">
      <c r="A12915" s="5">
        <v>40653</v>
      </c>
      <c r="B12915">
        <v>1330.35998535156</v>
      </c>
    </row>
    <row r="12916" spans="1:2" x14ac:dyDescent="0.25">
      <c r="A12916" s="5">
        <v>40654</v>
      </c>
      <c r="B12916">
        <v>1337.38000488281</v>
      </c>
    </row>
    <row r="12917" spans="1:2" x14ac:dyDescent="0.25">
      <c r="A12917" s="5">
        <v>40658</v>
      </c>
      <c r="B12917">
        <v>1335.25</v>
      </c>
    </row>
    <row r="12918" spans="1:2" x14ac:dyDescent="0.25">
      <c r="A12918" s="5">
        <v>40659</v>
      </c>
      <c r="B12918">
        <v>1347.23999023438</v>
      </c>
    </row>
    <row r="12919" spans="1:2" x14ac:dyDescent="0.25">
      <c r="A12919" s="5">
        <v>40660</v>
      </c>
      <c r="B12919">
        <v>1355.66003417969</v>
      </c>
    </row>
    <row r="12920" spans="1:2" x14ac:dyDescent="0.25">
      <c r="A12920" s="5">
        <v>40661</v>
      </c>
      <c r="B12920">
        <v>1360.47998046875</v>
      </c>
    </row>
    <row r="12921" spans="1:2" x14ac:dyDescent="0.25">
      <c r="A12921" s="5">
        <v>40662</v>
      </c>
      <c r="B12921">
        <v>1363.60998535156</v>
      </c>
    </row>
    <row r="12922" spans="1:2" x14ac:dyDescent="0.25">
      <c r="A12922" s="5">
        <v>40665</v>
      </c>
      <c r="B12922">
        <v>1361.21997070312</v>
      </c>
    </row>
    <row r="12923" spans="1:2" x14ac:dyDescent="0.25">
      <c r="A12923" s="5">
        <v>40666</v>
      </c>
      <c r="B12923">
        <v>1356.61999511719</v>
      </c>
    </row>
    <row r="12924" spans="1:2" x14ac:dyDescent="0.25">
      <c r="A12924" s="5">
        <v>40667</v>
      </c>
      <c r="B12924">
        <v>1347.31994628906</v>
      </c>
    </row>
    <row r="12925" spans="1:2" x14ac:dyDescent="0.25">
      <c r="A12925" s="5">
        <v>40668</v>
      </c>
      <c r="B12925">
        <v>1335.09997558594</v>
      </c>
    </row>
    <row r="12926" spans="1:2" x14ac:dyDescent="0.25">
      <c r="A12926" s="5">
        <v>40669</v>
      </c>
      <c r="B12926">
        <v>1340.19995117188</v>
      </c>
    </row>
    <row r="12927" spans="1:2" x14ac:dyDescent="0.25">
      <c r="A12927" s="5">
        <v>40672</v>
      </c>
      <c r="B12927">
        <v>1346.2900390625</v>
      </c>
    </row>
    <row r="12928" spans="1:2" x14ac:dyDescent="0.25">
      <c r="A12928" s="5">
        <v>40673</v>
      </c>
      <c r="B12928">
        <v>1357.16003417969</v>
      </c>
    </row>
    <row r="12929" spans="1:2" x14ac:dyDescent="0.25">
      <c r="A12929" s="5">
        <v>40674</v>
      </c>
      <c r="B12929">
        <v>1342.07995605469</v>
      </c>
    </row>
    <row r="12930" spans="1:2" x14ac:dyDescent="0.25">
      <c r="A12930" s="5">
        <v>40675</v>
      </c>
      <c r="B12930">
        <v>1348.65002441406</v>
      </c>
    </row>
    <row r="12931" spans="1:2" x14ac:dyDescent="0.25">
      <c r="A12931" s="5">
        <v>40676</v>
      </c>
      <c r="B12931">
        <v>1337.77001953125</v>
      </c>
    </row>
    <row r="12932" spans="1:2" x14ac:dyDescent="0.25">
      <c r="A12932" s="5">
        <v>40679</v>
      </c>
      <c r="B12932">
        <v>1329.46997070312</v>
      </c>
    </row>
    <row r="12933" spans="1:2" x14ac:dyDescent="0.25">
      <c r="A12933" s="5">
        <v>40680</v>
      </c>
      <c r="B12933">
        <v>1328.97998046875</v>
      </c>
    </row>
    <row r="12934" spans="1:2" x14ac:dyDescent="0.25">
      <c r="A12934" s="5">
        <v>40681</v>
      </c>
      <c r="B12934">
        <v>1340.68005371094</v>
      </c>
    </row>
    <row r="12935" spans="1:2" x14ac:dyDescent="0.25">
      <c r="A12935" s="5">
        <v>40682</v>
      </c>
      <c r="B12935">
        <v>1343.59997558594</v>
      </c>
    </row>
    <row r="12936" spans="1:2" x14ac:dyDescent="0.25">
      <c r="A12936" s="5">
        <v>40683</v>
      </c>
      <c r="B12936">
        <v>1333.27001953125</v>
      </c>
    </row>
    <row r="12937" spans="1:2" x14ac:dyDescent="0.25">
      <c r="A12937" s="5">
        <v>40686</v>
      </c>
      <c r="B12937">
        <v>1317.36999511719</v>
      </c>
    </row>
    <row r="12938" spans="1:2" x14ac:dyDescent="0.25">
      <c r="A12938" s="5">
        <v>40687</v>
      </c>
      <c r="B12938">
        <v>1316.28002929688</v>
      </c>
    </row>
    <row r="12939" spans="1:2" x14ac:dyDescent="0.25">
      <c r="A12939" s="5">
        <v>40688</v>
      </c>
      <c r="B12939">
        <v>1320.46997070312</v>
      </c>
    </row>
    <row r="12940" spans="1:2" x14ac:dyDescent="0.25">
      <c r="A12940" s="5">
        <v>40689</v>
      </c>
      <c r="B12940">
        <v>1325.68994140625</v>
      </c>
    </row>
    <row r="12941" spans="1:2" x14ac:dyDescent="0.25">
      <c r="A12941" s="5">
        <v>40690</v>
      </c>
      <c r="B12941">
        <v>1331.09997558594</v>
      </c>
    </row>
    <row r="12942" spans="1:2" x14ac:dyDescent="0.25">
      <c r="A12942" s="5">
        <v>40694</v>
      </c>
      <c r="B12942">
        <v>1345.19995117188</v>
      </c>
    </row>
    <row r="12943" spans="1:2" x14ac:dyDescent="0.25">
      <c r="A12943" s="5">
        <v>40695</v>
      </c>
      <c r="B12943">
        <v>1314.55004882812</v>
      </c>
    </row>
    <row r="12944" spans="1:2" x14ac:dyDescent="0.25">
      <c r="A12944" s="5">
        <v>40696</v>
      </c>
      <c r="B12944">
        <v>1312.93994140625</v>
      </c>
    </row>
    <row r="12945" spans="1:2" x14ac:dyDescent="0.25">
      <c r="A12945" s="5">
        <v>40697</v>
      </c>
      <c r="B12945">
        <v>1300.16003417969</v>
      </c>
    </row>
    <row r="12946" spans="1:2" x14ac:dyDescent="0.25">
      <c r="A12946" s="5">
        <v>40700</v>
      </c>
      <c r="B12946">
        <v>1286.17004394531</v>
      </c>
    </row>
    <row r="12947" spans="1:2" x14ac:dyDescent="0.25">
      <c r="A12947" s="5">
        <v>40701</v>
      </c>
      <c r="B12947">
        <v>1284.93994140625</v>
      </c>
    </row>
    <row r="12948" spans="1:2" x14ac:dyDescent="0.25">
      <c r="A12948" s="5">
        <v>40702</v>
      </c>
      <c r="B12948">
        <v>1279.56005859375</v>
      </c>
    </row>
    <row r="12949" spans="1:2" x14ac:dyDescent="0.25">
      <c r="A12949" s="5">
        <v>40703</v>
      </c>
      <c r="B12949">
        <v>1289</v>
      </c>
    </row>
    <row r="12950" spans="1:2" x14ac:dyDescent="0.25">
      <c r="A12950" s="5">
        <v>40704</v>
      </c>
      <c r="B12950">
        <v>1270.97998046875</v>
      </c>
    </row>
    <row r="12951" spans="1:2" x14ac:dyDescent="0.25">
      <c r="A12951" s="5">
        <v>40707</v>
      </c>
      <c r="B12951">
        <v>1271.82995605469</v>
      </c>
    </row>
    <row r="12952" spans="1:2" x14ac:dyDescent="0.25">
      <c r="A12952" s="5">
        <v>40708</v>
      </c>
      <c r="B12952">
        <v>1287.86999511719</v>
      </c>
    </row>
    <row r="12953" spans="1:2" x14ac:dyDescent="0.25">
      <c r="A12953" s="5">
        <v>40709</v>
      </c>
      <c r="B12953">
        <v>1265.42004394531</v>
      </c>
    </row>
    <row r="12954" spans="1:2" x14ac:dyDescent="0.25">
      <c r="A12954" s="5">
        <v>40710</v>
      </c>
      <c r="B12954">
        <v>1267.64001464844</v>
      </c>
    </row>
    <row r="12955" spans="1:2" x14ac:dyDescent="0.25">
      <c r="A12955" s="5">
        <v>40711</v>
      </c>
      <c r="B12955">
        <v>1271.5</v>
      </c>
    </row>
    <row r="12956" spans="1:2" x14ac:dyDescent="0.25">
      <c r="A12956" s="5">
        <v>40714</v>
      </c>
      <c r="B12956">
        <v>1278.35998535156</v>
      </c>
    </row>
    <row r="12957" spans="1:2" x14ac:dyDescent="0.25">
      <c r="A12957" s="5">
        <v>40715</v>
      </c>
      <c r="B12957">
        <v>1295.52001953125</v>
      </c>
    </row>
    <row r="12958" spans="1:2" x14ac:dyDescent="0.25">
      <c r="A12958" s="5">
        <v>40716</v>
      </c>
      <c r="B12958">
        <v>1287.14001464844</v>
      </c>
    </row>
    <row r="12959" spans="1:2" x14ac:dyDescent="0.25">
      <c r="A12959" s="5">
        <v>40717</v>
      </c>
      <c r="B12959">
        <v>1283.5</v>
      </c>
    </row>
    <row r="12960" spans="1:2" x14ac:dyDescent="0.25">
      <c r="A12960" s="5">
        <v>40718</v>
      </c>
      <c r="B12960">
        <v>1268.44995117188</v>
      </c>
    </row>
    <row r="12961" spans="1:2" x14ac:dyDescent="0.25">
      <c r="A12961" s="5">
        <v>40721</v>
      </c>
      <c r="B12961">
        <v>1280.09997558594</v>
      </c>
    </row>
    <row r="12962" spans="1:2" x14ac:dyDescent="0.25">
      <c r="A12962" s="5">
        <v>40722</v>
      </c>
      <c r="B12962">
        <v>1296.67004394531</v>
      </c>
    </row>
    <row r="12963" spans="1:2" x14ac:dyDescent="0.25">
      <c r="A12963" s="5">
        <v>40723</v>
      </c>
      <c r="B12963">
        <v>1307.41003417969</v>
      </c>
    </row>
    <row r="12964" spans="1:2" x14ac:dyDescent="0.25">
      <c r="A12964" s="5">
        <v>40724</v>
      </c>
      <c r="B12964">
        <v>1320.64001464844</v>
      </c>
    </row>
    <row r="12965" spans="1:2" x14ac:dyDescent="0.25">
      <c r="A12965" s="5">
        <v>40725</v>
      </c>
      <c r="B12965">
        <v>1339.67004394531</v>
      </c>
    </row>
    <row r="12966" spans="1:2" x14ac:dyDescent="0.25">
      <c r="A12966" s="5">
        <v>40729</v>
      </c>
      <c r="B12966">
        <v>1337.88000488281</v>
      </c>
    </row>
    <row r="12967" spans="1:2" x14ac:dyDescent="0.25">
      <c r="A12967" s="5">
        <v>40730</v>
      </c>
      <c r="B12967">
        <v>1339.21997070312</v>
      </c>
    </row>
    <row r="12968" spans="1:2" x14ac:dyDescent="0.25">
      <c r="A12968" s="5">
        <v>40731</v>
      </c>
      <c r="B12968">
        <v>1353.21997070312</v>
      </c>
    </row>
    <row r="12969" spans="1:2" x14ac:dyDescent="0.25">
      <c r="A12969" s="5">
        <v>40732</v>
      </c>
      <c r="B12969">
        <v>1343.80004882812</v>
      </c>
    </row>
    <row r="12970" spans="1:2" x14ac:dyDescent="0.25">
      <c r="A12970" s="5">
        <v>40735</v>
      </c>
      <c r="B12970">
        <v>1319.48999023438</v>
      </c>
    </row>
    <row r="12971" spans="1:2" x14ac:dyDescent="0.25">
      <c r="A12971" s="5">
        <v>40736</v>
      </c>
      <c r="B12971">
        <v>1313.64001464844</v>
      </c>
    </row>
    <row r="12972" spans="1:2" x14ac:dyDescent="0.25">
      <c r="A12972" s="5">
        <v>40737</v>
      </c>
      <c r="B12972">
        <v>1317.71997070312</v>
      </c>
    </row>
    <row r="12973" spans="1:2" x14ac:dyDescent="0.25">
      <c r="A12973" s="5">
        <v>40738</v>
      </c>
      <c r="B12973">
        <v>1308.86999511719</v>
      </c>
    </row>
    <row r="12974" spans="1:2" x14ac:dyDescent="0.25">
      <c r="A12974" s="5">
        <v>40739</v>
      </c>
      <c r="B12974">
        <v>1316.14001464844</v>
      </c>
    </row>
    <row r="12975" spans="1:2" x14ac:dyDescent="0.25">
      <c r="A12975" s="5">
        <v>40742</v>
      </c>
      <c r="B12975">
        <v>1305.43994140625</v>
      </c>
    </row>
    <row r="12976" spans="1:2" x14ac:dyDescent="0.25">
      <c r="A12976" s="5">
        <v>40743</v>
      </c>
      <c r="B12976">
        <v>1326.72998046875</v>
      </c>
    </row>
    <row r="12977" spans="1:2" x14ac:dyDescent="0.25">
      <c r="A12977" s="5">
        <v>40744</v>
      </c>
      <c r="B12977">
        <v>1325.83996582031</v>
      </c>
    </row>
    <row r="12978" spans="1:2" x14ac:dyDescent="0.25">
      <c r="A12978" s="5">
        <v>40745</v>
      </c>
      <c r="B12978">
        <v>1343.80004882812</v>
      </c>
    </row>
    <row r="12979" spans="1:2" x14ac:dyDescent="0.25">
      <c r="A12979" s="5">
        <v>40746</v>
      </c>
      <c r="B12979">
        <v>1345.02001953125</v>
      </c>
    </row>
    <row r="12980" spans="1:2" x14ac:dyDescent="0.25">
      <c r="A12980" s="5">
        <v>40749</v>
      </c>
      <c r="B12980">
        <v>1337.43005371094</v>
      </c>
    </row>
    <row r="12981" spans="1:2" x14ac:dyDescent="0.25">
      <c r="A12981" s="5">
        <v>40750</v>
      </c>
      <c r="B12981">
        <v>1331.93994140625</v>
      </c>
    </row>
    <row r="12982" spans="1:2" x14ac:dyDescent="0.25">
      <c r="A12982" s="5">
        <v>40751</v>
      </c>
      <c r="B12982">
        <v>1304.89001464844</v>
      </c>
    </row>
    <row r="12983" spans="1:2" x14ac:dyDescent="0.25">
      <c r="A12983" s="5">
        <v>40752</v>
      </c>
      <c r="B12983">
        <v>1300.67004394531</v>
      </c>
    </row>
    <row r="12984" spans="1:2" x14ac:dyDescent="0.25">
      <c r="A12984" s="5">
        <v>40753</v>
      </c>
      <c r="B12984">
        <v>1292.28002929688</v>
      </c>
    </row>
    <row r="12985" spans="1:2" x14ac:dyDescent="0.25">
      <c r="A12985" s="5">
        <v>40756</v>
      </c>
      <c r="B12985">
        <v>1286.93994140625</v>
      </c>
    </row>
    <row r="12986" spans="1:2" x14ac:dyDescent="0.25">
      <c r="A12986" s="5">
        <v>40757</v>
      </c>
      <c r="B12986">
        <v>1254.05004882812</v>
      </c>
    </row>
    <row r="12987" spans="1:2" x14ac:dyDescent="0.25">
      <c r="A12987" s="5">
        <v>40758</v>
      </c>
      <c r="B12987">
        <v>1260.33996582031</v>
      </c>
    </row>
    <row r="12988" spans="1:2" x14ac:dyDescent="0.25">
      <c r="A12988" s="5">
        <v>40759</v>
      </c>
      <c r="B12988">
        <v>1200.06994628906</v>
      </c>
    </row>
    <row r="12989" spans="1:2" x14ac:dyDescent="0.25">
      <c r="A12989" s="5">
        <v>40760</v>
      </c>
      <c r="B12989">
        <v>1199.38000488281</v>
      </c>
    </row>
    <row r="12990" spans="1:2" x14ac:dyDescent="0.25">
      <c r="A12990" s="5">
        <v>40763</v>
      </c>
      <c r="B12990">
        <v>1119.4599609375</v>
      </c>
    </row>
    <row r="12991" spans="1:2" x14ac:dyDescent="0.25">
      <c r="A12991" s="5">
        <v>40764</v>
      </c>
      <c r="B12991">
        <v>1172.53002929688</v>
      </c>
    </row>
    <row r="12992" spans="1:2" x14ac:dyDescent="0.25">
      <c r="A12992" s="5">
        <v>40765</v>
      </c>
      <c r="B12992">
        <v>1120.76000976562</v>
      </c>
    </row>
    <row r="12993" spans="1:2" x14ac:dyDescent="0.25">
      <c r="A12993" s="5">
        <v>40766</v>
      </c>
      <c r="B12993">
        <v>1172.64001464844</v>
      </c>
    </row>
    <row r="12994" spans="1:2" x14ac:dyDescent="0.25">
      <c r="A12994" s="5">
        <v>40767</v>
      </c>
      <c r="B12994">
        <v>1178.81005859375</v>
      </c>
    </row>
    <row r="12995" spans="1:2" x14ac:dyDescent="0.25">
      <c r="A12995" s="5">
        <v>40770</v>
      </c>
      <c r="B12995">
        <v>1204.48999023438</v>
      </c>
    </row>
    <row r="12996" spans="1:2" x14ac:dyDescent="0.25">
      <c r="A12996" s="5">
        <v>40771</v>
      </c>
      <c r="B12996">
        <v>1192.76000976562</v>
      </c>
    </row>
    <row r="12997" spans="1:2" x14ac:dyDescent="0.25">
      <c r="A12997" s="5">
        <v>40772</v>
      </c>
      <c r="B12997">
        <v>1193.89001464844</v>
      </c>
    </row>
    <row r="12998" spans="1:2" x14ac:dyDescent="0.25">
      <c r="A12998" s="5">
        <v>40773</v>
      </c>
      <c r="B12998">
        <v>1140.65002441406</v>
      </c>
    </row>
    <row r="12999" spans="1:2" x14ac:dyDescent="0.25">
      <c r="A12999" s="5">
        <v>40774</v>
      </c>
      <c r="B12999">
        <v>1123.53002929688</v>
      </c>
    </row>
    <row r="13000" spans="1:2" x14ac:dyDescent="0.25">
      <c r="A13000" s="5">
        <v>40777</v>
      </c>
      <c r="B13000">
        <v>1123.81994628906</v>
      </c>
    </row>
    <row r="13001" spans="1:2" x14ac:dyDescent="0.25">
      <c r="A13001" s="5">
        <v>40778</v>
      </c>
      <c r="B13001">
        <v>1162.34997558594</v>
      </c>
    </row>
    <row r="13002" spans="1:2" x14ac:dyDescent="0.25">
      <c r="A13002" s="5">
        <v>40779</v>
      </c>
      <c r="B13002">
        <v>1177.59997558594</v>
      </c>
    </row>
    <row r="13003" spans="1:2" x14ac:dyDescent="0.25">
      <c r="A13003" s="5">
        <v>40780</v>
      </c>
      <c r="B13003">
        <v>1159.27001953125</v>
      </c>
    </row>
    <row r="13004" spans="1:2" x14ac:dyDescent="0.25">
      <c r="A13004" s="5">
        <v>40781</v>
      </c>
      <c r="B13004">
        <v>1176.80004882812</v>
      </c>
    </row>
    <row r="13005" spans="1:2" x14ac:dyDescent="0.25">
      <c r="A13005" s="5">
        <v>40784</v>
      </c>
      <c r="B13005">
        <v>1210.07995605469</v>
      </c>
    </row>
    <row r="13006" spans="1:2" x14ac:dyDescent="0.25">
      <c r="A13006" s="5">
        <v>40785</v>
      </c>
      <c r="B13006">
        <v>1212.92004394531</v>
      </c>
    </row>
    <row r="13007" spans="1:2" x14ac:dyDescent="0.25">
      <c r="A13007" s="5">
        <v>40786</v>
      </c>
      <c r="B13007">
        <v>1218.89001464844</v>
      </c>
    </row>
    <row r="13008" spans="1:2" x14ac:dyDescent="0.25">
      <c r="A13008" s="5">
        <v>40787</v>
      </c>
      <c r="B13008">
        <v>1204.42004394531</v>
      </c>
    </row>
    <row r="13009" spans="1:2" x14ac:dyDescent="0.25">
      <c r="A13009" s="5">
        <v>40788</v>
      </c>
      <c r="B13009">
        <v>1173.96997070312</v>
      </c>
    </row>
    <row r="13010" spans="1:2" x14ac:dyDescent="0.25">
      <c r="A13010" s="5">
        <v>40792</v>
      </c>
      <c r="B13010">
        <v>1165.23999023438</v>
      </c>
    </row>
    <row r="13011" spans="1:2" x14ac:dyDescent="0.25">
      <c r="A13011" s="5">
        <v>40793</v>
      </c>
      <c r="B13011">
        <v>1198.61999511719</v>
      </c>
    </row>
    <row r="13012" spans="1:2" x14ac:dyDescent="0.25">
      <c r="A13012" s="5">
        <v>40794</v>
      </c>
      <c r="B13012">
        <v>1185.90002441406</v>
      </c>
    </row>
    <row r="13013" spans="1:2" x14ac:dyDescent="0.25">
      <c r="A13013" s="5">
        <v>40795</v>
      </c>
      <c r="B13013">
        <v>1154.22998046875</v>
      </c>
    </row>
    <row r="13014" spans="1:2" x14ac:dyDescent="0.25">
      <c r="A13014" s="5">
        <v>40798</v>
      </c>
      <c r="B13014">
        <v>1162.27001953125</v>
      </c>
    </row>
    <row r="13015" spans="1:2" x14ac:dyDescent="0.25">
      <c r="A13015" s="5">
        <v>40799</v>
      </c>
      <c r="B13015">
        <v>1172.86999511719</v>
      </c>
    </row>
    <row r="13016" spans="1:2" x14ac:dyDescent="0.25">
      <c r="A13016" s="5">
        <v>40800</v>
      </c>
      <c r="B13016">
        <v>1188.68005371094</v>
      </c>
    </row>
    <row r="13017" spans="1:2" x14ac:dyDescent="0.25">
      <c r="A13017" s="5">
        <v>40801</v>
      </c>
      <c r="B13017">
        <v>1209.10998535156</v>
      </c>
    </row>
    <row r="13018" spans="1:2" x14ac:dyDescent="0.25">
      <c r="A13018" s="5">
        <v>40802</v>
      </c>
      <c r="B13018">
        <v>1216.01000976562</v>
      </c>
    </row>
    <row r="13019" spans="1:2" x14ac:dyDescent="0.25">
      <c r="A13019" s="5">
        <v>40805</v>
      </c>
      <c r="B13019">
        <v>1204.08996582031</v>
      </c>
    </row>
    <row r="13020" spans="1:2" x14ac:dyDescent="0.25">
      <c r="A13020" s="5">
        <v>40806</v>
      </c>
      <c r="B13020">
        <v>1202.08996582031</v>
      </c>
    </row>
    <row r="13021" spans="1:2" x14ac:dyDescent="0.25">
      <c r="A13021" s="5">
        <v>40807</v>
      </c>
      <c r="B13021">
        <v>1166.76000976562</v>
      </c>
    </row>
    <row r="13022" spans="1:2" x14ac:dyDescent="0.25">
      <c r="A13022" s="5">
        <v>40808</v>
      </c>
      <c r="B13022">
        <v>1129.56005859375</v>
      </c>
    </row>
    <row r="13023" spans="1:2" x14ac:dyDescent="0.25">
      <c r="A13023" s="5">
        <v>40809</v>
      </c>
      <c r="B13023">
        <v>1136.43005371094</v>
      </c>
    </row>
    <row r="13024" spans="1:2" x14ac:dyDescent="0.25">
      <c r="A13024" s="5">
        <v>40812</v>
      </c>
      <c r="B13024">
        <v>1162.94995117188</v>
      </c>
    </row>
    <row r="13025" spans="1:2" x14ac:dyDescent="0.25">
      <c r="A13025" s="5">
        <v>40813</v>
      </c>
      <c r="B13025">
        <v>1175.38000488281</v>
      </c>
    </row>
    <row r="13026" spans="1:2" x14ac:dyDescent="0.25">
      <c r="A13026" s="5">
        <v>40814</v>
      </c>
      <c r="B13026">
        <v>1151.06005859375</v>
      </c>
    </row>
    <row r="13027" spans="1:2" x14ac:dyDescent="0.25">
      <c r="A13027" s="5">
        <v>40815</v>
      </c>
      <c r="B13027">
        <v>1160.40002441406</v>
      </c>
    </row>
    <row r="13028" spans="1:2" x14ac:dyDescent="0.25">
      <c r="A13028" s="5">
        <v>40816</v>
      </c>
      <c r="B13028">
        <v>1131.42004394531</v>
      </c>
    </row>
    <row r="13029" spans="1:2" x14ac:dyDescent="0.25">
      <c r="A13029" s="5">
        <v>40819</v>
      </c>
      <c r="B13029">
        <v>1099.22998046875</v>
      </c>
    </row>
    <row r="13030" spans="1:2" x14ac:dyDescent="0.25">
      <c r="A13030" s="5">
        <v>40820</v>
      </c>
      <c r="B13030">
        <v>1123.94995117188</v>
      </c>
    </row>
    <row r="13031" spans="1:2" x14ac:dyDescent="0.25">
      <c r="A13031" s="5">
        <v>40821</v>
      </c>
      <c r="B13031">
        <v>1144.03002929688</v>
      </c>
    </row>
    <row r="13032" spans="1:2" x14ac:dyDescent="0.25">
      <c r="A13032" s="5">
        <v>40822</v>
      </c>
      <c r="B13032">
        <v>1164.96997070312</v>
      </c>
    </row>
    <row r="13033" spans="1:2" x14ac:dyDescent="0.25">
      <c r="A13033" s="5">
        <v>40823</v>
      </c>
      <c r="B13033">
        <v>1155.4599609375</v>
      </c>
    </row>
    <row r="13034" spans="1:2" x14ac:dyDescent="0.25">
      <c r="A13034" s="5">
        <v>40826</v>
      </c>
      <c r="B13034">
        <v>1194.89001464844</v>
      </c>
    </row>
    <row r="13035" spans="1:2" x14ac:dyDescent="0.25">
      <c r="A13035" s="5">
        <v>40827</v>
      </c>
      <c r="B13035">
        <v>1195.5400390625</v>
      </c>
    </row>
    <row r="13036" spans="1:2" x14ac:dyDescent="0.25">
      <c r="A13036" s="5">
        <v>40828</v>
      </c>
      <c r="B13036">
        <v>1207.25</v>
      </c>
    </row>
    <row r="13037" spans="1:2" x14ac:dyDescent="0.25">
      <c r="A13037" s="5">
        <v>40829</v>
      </c>
      <c r="B13037">
        <v>1203.66003417969</v>
      </c>
    </row>
    <row r="13038" spans="1:2" x14ac:dyDescent="0.25">
      <c r="A13038" s="5">
        <v>40830</v>
      </c>
      <c r="B13038">
        <v>1224.57995605469</v>
      </c>
    </row>
    <row r="13039" spans="1:2" x14ac:dyDescent="0.25">
      <c r="A13039" s="5">
        <v>40833</v>
      </c>
      <c r="B13039">
        <v>1200.85998535156</v>
      </c>
    </row>
    <row r="13040" spans="1:2" x14ac:dyDescent="0.25">
      <c r="A13040" s="5">
        <v>40834</v>
      </c>
      <c r="B13040">
        <v>1225.38000488281</v>
      </c>
    </row>
    <row r="13041" spans="1:2" x14ac:dyDescent="0.25">
      <c r="A13041" s="5">
        <v>40835</v>
      </c>
      <c r="B13041">
        <v>1209.88000488281</v>
      </c>
    </row>
    <row r="13042" spans="1:2" x14ac:dyDescent="0.25">
      <c r="A13042" s="5">
        <v>40836</v>
      </c>
      <c r="B13042">
        <v>1215.39001464844</v>
      </c>
    </row>
    <row r="13043" spans="1:2" x14ac:dyDescent="0.25">
      <c r="A13043" s="5">
        <v>40837</v>
      </c>
      <c r="B13043">
        <v>1238.25</v>
      </c>
    </row>
    <row r="13044" spans="1:2" x14ac:dyDescent="0.25">
      <c r="A13044" s="5">
        <v>40840</v>
      </c>
      <c r="B13044">
        <v>1254.18994140625</v>
      </c>
    </row>
    <row r="13045" spans="1:2" x14ac:dyDescent="0.25">
      <c r="A13045" s="5">
        <v>40841</v>
      </c>
      <c r="B13045">
        <v>1229.05004882812</v>
      </c>
    </row>
    <row r="13046" spans="1:2" x14ac:dyDescent="0.25">
      <c r="A13046" s="5">
        <v>40842</v>
      </c>
      <c r="B13046">
        <v>1242</v>
      </c>
    </row>
    <row r="13047" spans="1:2" x14ac:dyDescent="0.25">
      <c r="A13047" s="5">
        <v>40843</v>
      </c>
      <c r="B13047">
        <v>1284.58996582031</v>
      </c>
    </row>
    <row r="13048" spans="1:2" x14ac:dyDescent="0.25">
      <c r="A13048" s="5">
        <v>40844</v>
      </c>
      <c r="B13048">
        <v>1285.08996582031</v>
      </c>
    </row>
    <row r="13049" spans="1:2" x14ac:dyDescent="0.25">
      <c r="A13049" s="5">
        <v>40847</v>
      </c>
      <c r="B13049">
        <v>1253.30004882812</v>
      </c>
    </row>
    <row r="13050" spans="1:2" x14ac:dyDescent="0.25">
      <c r="A13050" s="5">
        <v>40848</v>
      </c>
      <c r="B13050">
        <v>1218.28002929688</v>
      </c>
    </row>
    <row r="13051" spans="1:2" x14ac:dyDescent="0.25">
      <c r="A13051" s="5">
        <v>40849</v>
      </c>
      <c r="B13051">
        <v>1237.90002441406</v>
      </c>
    </row>
    <row r="13052" spans="1:2" x14ac:dyDescent="0.25">
      <c r="A13052" s="5">
        <v>40850</v>
      </c>
      <c r="B13052">
        <v>1261.15002441406</v>
      </c>
    </row>
    <row r="13053" spans="1:2" x14ac:dyDescent="0.25">
      <c r="A13053" s="5">
        <v>40851</v>
      </c>
      <c r="B13053">
        <v>1253.22998046875</v>
      </c>
    </row>
    <row r="13054" spans="1:2" x14ac:dyDescent="0.25">
      <c r="A13054" s="5">
        <v>40854</v>
      </c>
      <c r="B13054">
        <v>1261.11999511719</v>
      </c>
    </row>
    <row r="13055" spans="1:2" x14ac:dyDescent="0.25">
      <c r="A13055" s="5">
        <v>40855</v>
      </c>
      <c r="B13055">
        <v>1275.92004394531</v>
      </c>
    </row>
    <row r="13056" spans="1:2" x14ac:dyDescent="0.25">
      <c r="A13056" s="5">
        <v>40856</v>
      </c>
      <c r="B13056">
        <v>1229.09997558594</v>
      </c>
    </row>
    <row r="13057" spans="1:2" x14ac:dyDescent="0.25">
      <c r="A13057" s="5">
        <v>40857</v>
      </c>
      <c r="B13057">
        <v>1239.69995117188</v>
      </c>
    </row>
    <row r="13058" spans="1:2" x14ac:dyDescent="0.25">
      <c r="A13058" s="5">
        <v>40858</v>
      </c>
      <c r="B13058">
        <v>1263.84997558594</v>
      </c>
    </row>
    <row r="13059" spans="1:2" x14ac:dyDescent="0.25">
      <c r="A13059" s="5">
        <v>40861</v>
      </c>
      <c r="B13059">
        <v>1251.78002929688</v>
      </c>
    </row>
    <row r="13060" spans="1:2" x14ac:dyDescent="0.25">
      <c r="A13060" s="5">
        <v>40862</v>
      </c>
      <c r="B13060">
        <v>1257.81005859375</v>
      </c>
    </row>
    <row r="13061" spans="1:2" x14ac:dyDescent="0.25">
      <c r="A13061" s="5">
        <v>40863</v>
      </c>
      <c r="B13061">
        <v>1236.91003417969</v>
      </c>
    </row>
    <row r="13062" spans="1:2" x14ac:dyDescent="0.25">
      <c r="A13062" s="5">
        <v>40864</v>
      </c>
      <c r="B13062">
        <v>1216.13000488281</v>
      </c>
    </row>
    <row r="13063" spans="1:2" x14ac:dyDescent="0.25">
      <c r="A13063" s="5">
        <v>40865</v>
      </c>
      <c r="B13063">
        <v>1215.65002441406</v>
      </c>
    </row>
    <row r="13064" spans="1:2" x14ac:dyDescent="0.25">
      <c r="A13064" s="5">
        <v>40868</v>
      </c>
      <c r="B13064">
        <v>1192.97998046875</v>
      </c>
    </row>
    <row r="13065" spans="1:2" x14ac:dyDescent="0.25">
      <c r="A13065" s="5">
        <v>40869</v>
      </c>
      <c r="B13065">
        <v>1188.0400390625</v>
      </c>
    </row>
    <row r="13066" spans="1:2" x14ac:dyDescent="0.25">
      <c r="A13066" s="5">
        <v>40870</v>
      </c>
      <c r="B13066">
        <v>1161.7900390625</v>
      </c>
    </row>
    <row r="13067" spans="1:2" x14ac:dyDescent="0.25">
      <c r="A13067" s="5">
        <v>40872</v>
      </c>
      <c r="B13067">
        <v>1158.67004394531</v>
      </c>
    </row>
    <row r="13068" spans="1:2" x14ac:dyDescent="0.25">
      <c r="A13068" s="5">
        <v>40875</v>
      </c>
      <c r="B13068">
        <v>1192.55004882812</v>
      </c>
    </row>
    <row r="13069" spans="1:2" x14ac:dyDescent="0.25">
      <c r="A13069" s="5">
        <v>40876</v>
      </c>
      <c r="B13069">
        <v>1195.18994140625</v>
      </c>
    </row>
    <row r="13070" spans="1:2" x14ac:dyDescent="0.25">
      <c r="A13070" s="5">
        <v>40877</v>
      </c>
      <c r="B13070">
        <v>1246.9599609375</v>
      </c>
    </row>
    <row r="13071" spans="1:2" x14ac:dyDescent="0.25">
      <c r="A13071" s="5">
        <v>40878</v>
      </c>
      <c r="B13071">
        <v>1244.57995605469</v>
      </c>
    </row>
    <row r="13072" spans="1:2" x14ac:dyDescent="0.25">
      <c r="A13072" s="5">
        <v>40879</v>
      </c>
      <c r="B13072">
        <v>1244.28002929688</v>
      </c>
    </row>
    <row r="13073" spans="1:2" x14ac:dyDescent="0.25">
      <c r="A13073" s="5">
        <v>40882</v>
      </c>
      <c r="B13073">
        <v>1257.07995605469</v>
      </c>
    </row>
    <row r="13074" spans="1:2" x14ac:dyDescent="0.25">
      <c r="A13074" s="5">
        <v>40883</v>
      </c>
      <c r="B13074">
        <v>1258.46997070312</v>
      </c>
    </row>
    <row r="13075" spans="1:2" x14ac:dyDescent="0.25">
      <c r="A13075" s="5">
        <v>40884</v>
      </c>
      <c r="B13075">
        <v>1261.01000976562</v>
      </c>
    </row>
    <row r="13076" spans="1:2" x14ac:dyDescent="0.25">
      <c r="A13076" s="5">
        <v>40885</v>
      </c>
      <c r="B13076">
        <v>1234.34997558594</v>
      </c>
    </row>
    <row r="13077" spans="1:2" x14ac:dyDescent="0.25">
      <c r="A13077" s="5">
        <v>40886</v>
      </c>
      <c r="B13077">
        <v>1255.18994140625</v>
      </c>
    </row>
    <row r="13078" spans="1:2" x14ac:dyDescent="0.25">
      <c r="A13078" s="5">
        <v>40889</v>
      </c>
      <c r="B13078">
        <v>1236.46997070312</v>
      </c>
    </row>
    <row r="13079" spans="1:2" x14ac:dyDescent="0.25">
      <c r="A13079" s="5">
        <v>40890</v>
      </c>
      <c r="B13079">
        <v>1225.72998046875</v>
      </c>
    </row>
    <row r="13080" spans="1:2" x14ac:dyDescent="0.25">
      <c r="A13080" s="5">
        <v>40891</v>
      </c>
      <c r="B13080">
        <v>1211.81994628906</v>
      </c>
    </row>
    <row r="13081" spans="1:2" x14ac:dyDescent="0.25">
      <c r="A13081" s="5">
        <v>40892</v>
      </c>
      <c r="B13081">
        <v>1215.75</v>
      </c>
    </row>
    <row r="13082" spans="1:2" x14ac:dyDescent="0.25">
      <c r="A13082" s="5">
        <v>40893</v>
      </c>
      <c r="B13082">
        <v>1219.66003417969</v>
      </c>
    </row>
    <row r="13083" spans="1:2" x14ac:dyDescent="0.25">
      <c r="A13083" s="5">
        <v>40896</v>
      </c>
      <c r="B13083">
        <v>1205.34997558594</v>
      </c>
    </row>
    <row r="13084" spans="1:2" x14ac:dyDescent="0.25">
      <c r="A13084" s="5">
        <v>40897</v>
      </c>
      <c r="B13084">
        <v>1241.30004882812</v>
      </c>
    </row>
    <row r="13085" spans="1:2" x14ac:dyDescent="0.25">
      <c r="A13085" s="5">
        <v>40898</v>
      </c>
      <c r="B13085">
        <v>1243.71997070312</v>
      </c>
    </row>
    <row r="13086" spans="1:2" x14ac:dyDescent="0.25">
      <c r="A13086" s="5">
        <v>40899</v>
      </c>
      <c r="B13086">
        <v>1254</v>
      </c>
    </row>
    <row r="13087" spans="1:2" x14ac:dyDescent="0.25">
      <c r="A13087" s="5">
        <v>40900</v>
      </c>
      <c r="B13087">
        <v>1265.32995605469</v>
      </c>
    </row>
    <row r="13088" spans="1:2" x14ac:dyDescent="0.25">
      <c r="A13088" s="5">
        <v>40904</v>
      </c>
      <c r="B13088">
        <v>1265.43005371094</v>
      </c>
    </row>
    <row r="13089" spans="1:2" x14ac:dyDescent="0.25">
      <c r="A13089" s="5">
        <v>40905</v>
      </c>
      <c r="B13089">
        <v>1249.64001464844</v>
      </c>
    </row>
    <row r="13090" spans="1:2" x14ac:dyDescent="0.25">
      <c r="A13090" s="5">
        <v>40906</v>
      </c>
      <c r="B13090">
        <v>1263.02001953125</v>
      </c>
    </row>
    <row r="13091" spans="1:2" x14ac:dyDescent="0.25">
      <c r="A13091" s="5">
        <v>40907</v>
      </c>
      <c r="B13091">
        <v>1257.59997558594</v>
      </c>
    </row>
    <row r="13092" spans="1:2" x14ac:dyDescent="0.25">
      <c r="A13092" s="5">
        <v>40911</v>
      </c>
      <c r="B13092">
        <v>1277.06005859375</v>
      </c>
    </row>
    <row r="13093" spans="1:2" x14ac:dyDescent="0.25">
      <c r="A13093" s="5">
        <v>40912</v>
      </c>
      <c r="B13093">
        <v>1277.30004882812</v>
      </c>
    </row>
    <row r="13094" spans="1:2" x14ac:dyDescent="0.25">
      <c r="A13094" s="5">
        <v>40913</v>
      </c>
      <c r="B13094">
        <v>1281.06005859375</v>
      </c>
    </row>
    <row r="13095" spans="1:2" x14ac:dyDescent="0.25">
      <c r="A13095" s="5">
        <v>40914</v>
      </c>
      <c r="B13095">
        <v>1277.81005859375</v>
      </c>
    </row>
    <row r="13096" spans="1:2" x14ac:dyDescent="0.25">
      <c r="A13096" s="5">
        <v>40917</v>
      </c>
      <c r="B13096">
        <v>1280.69995117188</v>
      </c>
    </row>
    <row r="13097" spans="1:2" x14ac:dyDescent="0.25">
      <c r="A13097" s="5">
        <v>40918</v>
      </c>
      <c r="B13097">
        <v>1292.07995605469</v>
      </c>
    </row>
    <row r="13098" spans="1:2" x14ac:dyDescent="0.25">
      <c r="A13098" s="5">
        <v>40919</v>
      </c>
      <c r="B13098">
        <v>1292.47998046875</v>
      </c>
    </row>
    <row r="13099" spans="1:2" x14ac:dyDescent="0.25">
      <c r="A13099" s="5">
        <v>40920</v>
      </c>
      <c r="B13099">
        <v>1295.5</v>
      </c>
    </row>
    <row r="13100" spans="1:2" x14ac:dyDescent="0.25">
      <c r="A13100" s="5">
        <v>40921</v>
      </c>
      <c r="B13100">
        <v>1289.08996582031</v>
      </c>
    </row>
    <row r="13101" spans="1:2" x14ac:dyDescent="0.25">
      <c r="A13101" s="5">
        <v>40925</v>
      </c>
      <c r="B13101">
        <v>1293.67004394531</v>
      </c>
    </row>
    <row r="13102" spans="1:2" x14ac:dyDescent="0.25">
      <c r="A13102" s="5">
        <v>40926</v>
      </c>
      <c r="B13102">
        <v>1308.0400390625</v>
      </c>
    </row>
    <row r="13103" spans="1:2" x14ac:dyDescent="0.25">
      <c r="A13103" s="5">
        <v>40927</v>
      </c>
      <c r="B13103">
        <v>1314.5</v>
      </c>
    </row>
    <row r="13104" spans="1:2" x14ac:dyDescent="0.25">
      <c r="A13104" s="5">
        <v>40928</v>
      </c>
      <c r="B13104">
        <v>1315.38000488281</v>
      </c>
    </row>
    <row r="13105" spans="1:2" x14ac:dyDescent="0.25">
      <c r="A13105" s="5">
        <v>40931</v>
      </c>
      <c r="B13105">
        <v>1316</v>
      </c>
    </row>
    <row r="13106" spans="1:2" x14ac:dyDescent="0.25">
      <c r="A13106" s="5">
        <v>40932</v>
      </c>
      <c r="B13106">
        <v>1314.65002441406</v>
      </c>
    </row>
    <row r="13107" spans="1:2" x14ac:dyDescent="0.25">
      <c r="A13107" s="5">
        <v>40933</v>
      </c>
      <c r="B13107">
        <v>1326.06005859375</v>
      </c>
    </row>
    <row r="13108" spans="1:2" x14ac:dyDescent="0.25">
      <c r="A13108" s="5">
        <v>40934</v>
      </c>
      <c r="B13108">
        <v>1318.43005371094</v>
      </c>
    </row>
    <row r="13109" spans="1:2" x14ac:dyDescent="0.25">
      <c r="A13109" s="5">
        <v>40935</v>
      </c>
      <c r="B13109">
        <v>1316.32995605469</v>
      </c>
    </row>
    <row r="13110" spans="1:2" x14ac:dyDescent="0.25">
      <c r="A13110" s="5">
        <v>40938</v>
      </c>
      <c r="B13110">
        <v>1313.01000976562</v>
      </c>
    </row>
    <row r="13111" spans="1:2" x14ac:dyDescent="0.25">
      <c r="A13111" s="5">
        <v>40939</v>
      </c>
      <c r="B13111">
        <v>1312.41003417969</v>
      </c>
    </row>
    <row r="13112" spans="1:2" x14ac:dyDescent="0.25">
      <c r="A13112" s="5">
        <v>40940</v>
      </c>
      <c r="B13112">
        <v>1324.08996582031</v>
      </c>
    </row>
    <row r="13113" spans="1:2" x14ac:dyDescent="0.25">
      <c r="A13113" s="5">
        <v>40941</v>
      </c>
      <c r="B13113">
        <v>1325.5400390625</v>
      </c>
    </row>
    <row r="13114" spans="1:2" x14ac:dyDescent="0.25">
      <c r="A13114" s="5">
        <v>40942</v>
      </c>
      <c r="B13114">
        <v>1344.90002441406</v>
      </c>
    </row>
    <row r="13115" spans="1:2" x14ac:dyDescent="0.25">
      <c r="A13115" s="5">
        <v>40945</v>
      </c>
      <c r="B13115">
        <v>1344.32995605469</v>
      </c>
    </row>
    <row r="13116" spans="1:2" x14ac:dyDescent="0.25">
      <c r="A13116" s="5">
        <v>40946</v>
      </c>
      <c r="B13116">
        <v>1347.05004882812</v>
      </c>
    </row>
    <row r="13117" spans="1:2" x14ac:dyDescent="0.25">
      <c r="A13117" s="5">
        <v>40947</v>
      </c>
      <c r="B13117">
        <v>1349.9599609375</v>
      </c>
    </row>
    <row r="13118" spans="1:2" x14ac:dyDescent="0.25">
      <c r="A13118" s="5">
        <v>40948</v>
      </c>
      <c r="B13118">
        <v>1351.94995117188</v>
      </c>
    </row>
    <row r="13119" spans="1:2" x14ac:dyDescent="0.25">
      <c r="A13119" s="5">
        <v>40949</v>
      </c>
      <c r="B13119">
        <v>1342.64001464844</v>
      </c>
    </row>
    <row r="13120" spans="1:2" x14ac:dyDescent="0.25">
      <c r="A13120" s="5">
        <v>40952</v>
      </c>
      <c r="B13120">
        <v>1351.77001953125</v>
      </c>
    </row>
    <row r="13121" spans="1:2" x14ac:dyDescent="0.25">
      <c r="A13121" s="5">
        <v>40953</v>
      </c>
      <c r="B13121">
        <v>1350.5</v>
      </c>
    </row>
    <row r="13122" spans="1:2" x14ac:dyDescent="0.25">
      <c r="A13122" s="5">
        <v>40954</v>
      </c>
      <c r="B13122">
        <v>1343.22998046875</v>
      </c>
    </row>
    <row r="13123" spans="1:2" x14ac:dyDescent="0.25">
      <c r="A13123" s="5">
        <v>40955</v>
      </c>
      <c r="B13123">
        <v>1358.0400390625</v>
      </c>
    </row>
    <row r="13124" spans="1:2" x14ac:dyDescent="0.25">
      <c r="A13124" s="5">
        <v>40956</v>
      </c>
      <c r="B13124">
        <v>1361.22998046875</v>
      </c>
    </row>
    <row r="13125" spans="1:2" x14ac:dyDescent="0.25">
      <c r="A13125" s="5">
        <v>40960</v>
      </c>
      <c r="B13125">
        <v>1362.2099609375</v>
      </c>
    </row>
    <row r="13126" spans="1:2" x14ac:dyDescent="0.25">
      <c r="A13126" s="5">
        <v>40961</v>
      </c>
      <c r="B13126">
        <v>1357.66003417969</v>
      </c>
    </row>
    <row r="13127" spans="1:2" x14ac:dyDescent="0.25">
      <c r="A13127" s="5">
        <v>40962</v>
      </c>
      <c r="B13127">
        <v>1363.4599609375</v>
      </c>
    </row>
    <row r="13128" spans="1:2" x14ac:dyDescent="0.25">
      <c r="A13128" s="5">
        <v>40963</v>
      </c>
      <c r="B13128">
        <v>1365.73999023438</v>
      </c>
    </row>
    <row r="13129" spans="1:2" x14ac:dyDescent="0.25">
      <c r="A13129" s="5">
        <v>40966</v>
      </c>
      <c r="B13129">
        <v>1367.58996582031</v>
      </c>
    </row>
    <row r="13130" spans="1:2" x14ac:dyDescent="0.25">
      <c r="A13130" s="5">
        <v>40967</v>
      </c>
      <c r="B13130">
        <v>1372.18005371094</v>
      </c>
    </row>
    <row r="13131" spans="1:2" x14ac:dyDescent="0.25">
      <c r="A13131" s="5">
        <v>40968</v>
      </c>
      <c r="B13131">
        <v>1365.68005371094</v>
      </c>
    </row>
    <row r="13132" spans="1:2" x14ac:dyDescent="0.25">
      <c r="A13132" s="5">
        <v>40969</v>
      </c>
      <c r="B13132">
        <v>1374.08996582031</v>
      </c>
    </row>
    <row r="13133" spans="1:2" x14ac:dyDescent="0.25">
      <c r="A13133" s="5">
        <v>40970</v>
      </c>
      <c r="B13133">
        <v>1369.63000488281</v>
      </c>
    </row>
    <row r="13134" spans="1:2" x14ac:dyDescent="0.25">
      <c r="A13134" s="5">
        <v>40973</v>
      </c>
      <c r="B13134">
        <v>1364.32995605469</v>
      </c>
    </row>
    <row r="13135" spans="1:2" x14ac:dyDescent="0.25">
      <c r="A13135" s="5">
        <v>40974</v>
      </c>
      <c r="B13135">
        <v>1343.35998535156</v>
      </c>
    </row>
    <row r="13136" spans="1:2" x14ac:dyDescent="0.25">
      <c r="A13136" s="5">
        <v>40975</v>
      </c>
      <c r="B13136">
        <v>1352.63000488281</v>
      </c>
    </row>
    <row r="13137" spans="1:2" x14ac:dyDescent="0.25">
      <c r="A13137" s="5">
        <v>40976</v>
      </c>
      <c r="B13137">
        <v>1365.91003417969</v>
      </c>
    </row>
    <row r="13138" spans="1:2" x14ac:dyDescent="0.25">
      <c r="A13138" s="5">
        <v>40977</v>
      </c>
      <c r="B13138">
        <v>1370.86999511719</v>
      </c>
    </row>
    <row r="13139" spans="1:2" x14ac:dyDescent="0.25">
      <c r="A13139" s="5">
        <v>40980</v>
      </c>
      <c r="B13139">
        <v>1371.08996582031</v>
      </c>
    </row>
    <row r="13140" spans="1:2" x14ac:dyDescent="0.25">
      <c r="A13140" s="5">
        <v>40981</v>
      </c>
      <c r="B13140">
        <v>1395.94995117188</v>
      </c>
    </row>
    <row r="13141" spans="1:2" x14ac:dyDescent="0.25">
      <c r="A13141" s="5">
        <v>40982</v>
      </c>
      <c r="B13141">
        <v>1394.28002929688</v>
      </c>
    </row>
    <row r="13142" spans="1:2" x14ac:dyDescent="0.25">
      <c r="A13142" s="5">
        <v>40983</v>
      </c>
      <c r="B13142">
        <v>1402.59997558594</v>
      </c>
    </row>
    <row r="13143" spans="1:2" x14ac:dyDescent="0.25">
      <c r="A13143" s="5">
        <v>40984</v>
      </c>
      <c r="B13143">
        <v>1404.17004394531</v>
      </c>
    </row>
    <row r="13144" spans="1:2" x14ac:dyDescent="0.25">
      <c r="A13144" s="5">
        <v>40987</v>
      </c>
      <c r="B13144">
        <v>1409.75</v>
      </c>
    </row>
    <row r="13145" spans="1:2" x14ac:dyDescent="0.25">
      <c r="A13145" s="5">
        <v>40988</v>
      </c>
      <c r="B13145">
        <v>1405.52001953125</v>
      </c>
    </row>
    <row r="13146" spans="1:2" x14ac:dyDescent="0.25">
      <c r="A13146" s="5">
        <v>40989</v>
      </c>
      <c r="B13146">
        <v>1402.89001464844</v>
      </c>
    </row>
    <row r="13147" spans="1:2" x14ac:dyDescent="0.25">
      <c r="A13147" s="5">
        <v>40990</v>
      </c>
      <c r="B13147">
        <v>1392.78002929688</v>
      </c>
    </row>
    <row r="13148" spans="1:2" x14ac:dyDescent="0.25">
      <c r="A13148" s="5">
        <v>40991</v>
      </c>
      <c r="B13148">
        <v>1397.10998535156</v>
      </c>
    </row>
    <row r="13149" spans="1:2" x14ac:dyDescent="0.25">
      <c r="A13149" s="5">
        <v>40994</v>
      </c>
      <c r="B13149">
        <v>1416.51000976562</v>
      </c>
    </row>
    <row r="13150" spans="1:2" x14ac:dyDescent="0.25">
      <c r="A13150" s="5">
        <v>40995</v>
      </c>
      <c r="B13150">
        <v>1412.52001953125</v>
      </c>
    </row>
    <row r="13151" spans="1:2" x14ac:dyDescent="0.25">
      <c r="A13151" s="5">
        <v>40996</v>
      </c>
      <c r="B13151">
        <v>1405.5400390625</v>
      </c>
    </row>
    <row r="13152" spans="1:2" x14ac:dyDescent="0.25">
      <c r="A13152" s="5">
        <v>40997</v>
      </c>
      <c r="B13152">
        <v>1403.28002929688</v>
      </c>
    </row>
    <row r="13153" spans="1:2" x14ac:dyDescent="0.25">
      <c r="A13153" s="5">
        <v>40998</v>
      </c>
      <c r="B13153">
        <v>1408.46997070312</v>
      </c>
    </row>
    <row r="13154" spans="1:2" x14ac:dyDescent="0.25">
      <c r="A13154" s="5">
        <v>41001</v>
      </c>
      <c r="B13154">
        <v>1419.0400390625</v>
      </c>
    </row>
    <row r="13155" spans="1:2" x14ac:dyDescent="0.25">
      <c r="A13155" s="5">
        <v>41002</v>
      </c>
      <c r="B13155">
        <v>1413.38000488281</v>
      </c>
    </row>
    <row r="13156" spans="1:2" x14ac:dyDescent="0.25">
      <c r="A13156" s="5">
        <v>41003</v>
      </c>
      <c r="B13156">
        <v>1398.9599609375</v>
      </c>
    </row>
    <row r="13157" spans="1:2" x14ac:dyDescent="0.25">
      <c r="A13157" s="5">
        <v>41004</v>
      </c>
      <c r="B13157">
        <v>1398.07995605469</v>
      </c>
    </row>
    <row r="13158" spans="1:2" x14ac:dyDescent="0.25">
      <c r="A13158" s="5">
        <v>41008</v>
      </c>
      <c r="B13158">
        <v>1382.19995117188</v>
      </c>
    </row>
    <row r="13159" spans="1:2" x14ac:dyDescent="0.25">
      <c r="A13159" s="5">
        <v>41009</v>
      </c>
      <c r="B13159">
        <v>1358.58996582031</v>
      </c>
    </row>
    <row r="13160" spans="1:2" x14ac:dyDescent="0.25">
      <c r="A13160" s="5">
        <v>41010</v>
      </c>
      <c r="B13160">
        <v>1368.7099609375</v>
      </c>
    </row>
    <row r="13161" spans="1:2" x14ac:dyDescent="0.25">
      <c r="A13161" s="5">
        <v>41011</v>
      </c>
      <c r="B13161">
        <v>1387.56994628906</v>
      </c>
    </row>
    <row r="13162" spans="1:2" x14ac:dyDescent="0.25">
      <c r="A13162" s="5">
        <v>41012</v>
      </c>
      <c r="B13162">
        <v>1370.26000976562</v>
      </c>
    </row>
    <row r="13163" spans="1:2" x14ac:dyDescent="0.25">
      <c r="A13163" s="5">
        <v>41015</v>
      </c>
      <c r="B13163">
        <v>1369.56994628906</v>
      </c>
    </row>
    <row r="13164" spans="1:2" x14ac:dyDescent="0.25">
      <c r="A13164" s="5">
        <v>41016</v>
      </c>
      <c r="B13164">
        <v>1390.78002929688</v>
      </c>
    </row>
    <row r="13165" spans="1:2" x14ac:dyDescent="0.25">
      <c r="A13165" s="5">
        <v>41017</v>
      </c>
      <c r="B13165">
        <v>1385.14001464844</v>
      </c>
    </row>
    <row r="13166" spans="1:2" x14ac:dyDescent="0.25">
      <c r="A13166" s="5">
        <v>41018</v>
      </c>
      <c r="B13166">
        <v>1376.92004394531</v>
      </c>
    </row>
    <row r="13167" spans="1:2" x14ac:dyDescent="0.25">
      <c r="A13167" s="5">
        <v>41019</v>
      </c>
      <c r="B13167">
        <v>1378.53002929688</v>
      </c>
    </row>
    <row r="13168" spans="1:2" x14ac:dyDescent="0.25">
      <c r="A13168" s="5">
        <v>41022</v>
      </c>
      <c r="B13168">
        <v>1366.93994140625</v>
      </c>
    </row>
    <row r="13169" spans="1:2" x14ac:dyDescent="0.25">
      <c r="A13169" s="5">
        <v>41023</v>
      </c>
      <c r="B13169">
        <v>1371.96997070312</v>
      </c>
    </row>
    <row r="13170" spans="1:2" x14ac:dyDescent="0.25">
      <c r="A13170" s="5">
        <v>41024</v>
      </c>
      <c r="B13170">
        <v>1390.68994140625</v>
      </c>
    </row>
    <row r="13171" spans="1:2" x14ac:dyDescent="0.25">
      <c r="A13171" s="5">
        <v>41025</v>
      </c>
      <c r="B13171">
        <v>1399.97998046875</v>
      </c>
    </row>
    <row r="13172" spans="1:2" x14ac:dyDescent="0.25">
      <c r="A13172" s="5">
        <v>41026</v>
      </c>
      <c r="B13172">
        <v>1403.35998535156</v>
      </c>
    </row>
    <row r="13173" spans="1:2" x14ac:dyDescent="0.25">
      <c r="A13173" s="5">
        <v>41029</v>
      </c>
      <c r="B13173">
        <v>1397.91003417969</v>
      </c>
    </row>
    <row r="13174" spans="1:2" x14ac:dyDescent="0.25">
      <c r="A13174" s="5">
        <v>41030</v>
      </c>
      <c r="B13174">
        <v>1405.81994628906</v>
      </c>
    </row>
    <row r="13175" spans="1:2" x14ac:dyDescent="0.25">
      <c r="A13175" s="5">
        <v>41031</v>
      </c>
      <c r="B13175">
        <v>1402.31005859375</v>
      </c>
    </row>
    <row r="13176" spans="1:2" x14ac:dyDescent="0.25">
      <c r="A13176" s="5">
        <v>41032</v>
      </c>
      <c r="B13176">
        <v>1391.56994628906</v>
      </c>
    </row>
    <row r="13177" spans="1:2" x14ac:dyDescent="0.25">
      <c r="A13177" s="5">
        <v>41033</v>
      </c>
      <c r="B13177">
        <v>1369.09997558594</v>
      </c>
    </row>
    <row r="13178" spans="1:2" x14ac:dyDescent="0.25">
      <c r="A13178" s="5">
        <v>41036</v>
      </c>
      <c r="B13178">
        <v>1369.57995605469</v>
      </c>
    </row>
    <row r="13179" spans="1:2" x14ac:dyDescent="0.25">
      <c r="A13179" s="5">
        <v>41037</v>
      </c>
      <c r="B13179">
        <v>1363.71997070312</v>
      </c>
    </row>
    <row r="13180" spans="1:2" x14ac:dyDescent="0.25">
      <c r="A13180" s="5">
        <v>41038</v>
      </c>
      <c r="B13180">
        <v>1354.57995605469</v>
      </c>
    </row>
    <row r="13181" spans="1:2" x14ac:dyDescent="0.25">
      <c r="A13181" s="5">
        <v>41039</v>
      </c>
      <c r="B13181">
        <v>1357.98999023438</v>
      </c>
    </row>
    <row r="13182" spans="1:2" x14ac:dyDescent="0.25">
      <c r="A13182" s="5">
        <v>41040</v>
      </c>
      <c r="B13182">
        <v>1353.39001464844</v>
      </c>
    </row>
    <row r="13183" spans="1:2" x14ac:dyDescent="0.25">
      <c r="A13183" s="5">
        <v>41043</v>
      </c>
      <c r="B13183">
        <v>1338.34997558594</v>
      </c>
    </row>
    <row r="13184" spans="1:2" x14ac:dyDescent="0.25">
      <c r="A13184" s="5">
        <v>41044</v>
      </c>
      <c r="B13184">
        <v>1330.66003417969</v>
      </c>
    </row>
    <row r="13185" spans="1:2" x14ac:dyDescent="0.25">
      <c r="A13185" s="5">
        <v>41045</v>
      </c>
      <c r="B13185">
        <v>1324.80004882812</v>
      </c>
    </row>
    <row r="13186" spans="1:2" x14ac:dyDescent="0.25">
      <c r="A13186" s="5">
        <v>41046</v>
      </c>
      <c r="B13186">
        <v>1304.85998535156</v>
      </c>
    </row>
    <row r="13187" spans="1:2" x14ac:dyDescent="0.25">
      <c r="A13187" s="5">
        <v>41047</v>
      </c>
      <c r="B13187">
        <v>1295.21997070312</v>
      </c>
    </row>
    <row r="13188" spans="1:2" x14ac:dyDescent="0.25">
      <c r="A13188" s="5">
        <v>41050</v>
      </c>
      <c r="B13188">
        <v>1315.98999023438</v>
      </c>
    </row>
    <row r="13189" spans="1:2" x14ac:dyDescent="0.25">
      <c r="A13189" s="5">
        <v>41051</v>
      </c>
      <c r="B13189">
        <v>1316.63000488281</v>
      </c>
    </row>
    <row r="13190" spans="1:2" x14ac:dyDescent="0.25">
      <c r="A13190" s="5">
        <v>41052</v>
      </c>
      <c r="B13190">
        <v>1318.85998535156</v>
      </c>
    </row>
    <row r="13191" spans="1:2" x14ac:dyDescent="0.25">
      <c r="A13191" s="5">
        <v>41053</v>
      </c>
      <c r="B13191">
        <v>1320.68005371094</v>
      </c>
    </row>
    <row r="13192" spans="1:2" x14ac:dyDescent="0.25">
      <c r="A13192" s="5">
        <v>41054</v>
      </c>
      <c r="B13192">
        <v>1317.81994628906</v>
      </c>
    </row>
    <row r="13193" spans="1:2" x14ac:dyDescent="0.25">
      <c r="A13193" s="5">
        <v>41058</v>
      </c>
      <c r="B13193">
        <v>1332.42004394531</v>
      </c>
    </row>
    <row r="13194" spans="1:2" x14ac:dyDescent="0.25">
      <c r="A13194" s="5">
        <v>41059</v>
      </c>
      <c r="B13194">
        <v>1313.31994628906</v>
      </c>
    </row>
    <row r="13195" spans="1:2" x14ac:dyDescent="0.25">
      <c r="A13195" s="5">
        <v>41060</v>
      </c>
      <c r="B13195">
        <v>1310.32995605469</v>
      </c>
    </row>
    <row r="13196" spans="1:2" x14ac:dyDescent="0.25">
      <c r="A13196" s="5">
        <v>41061</v>
      </c>
      <c r="B13196">
        <v>1278.0400390625</v>
      </c>
    </row>
    <row r="13197" spans="1:2" x14ac:dyDescent="0.25">
      <c r="A13197" s="5">
        <v>41064</v>
      </c>
      <c r="B13197">
        <v>1278.18005371094</v>
      </c>
    </row>
    <row r="13198" spans="1:2" x14ac:dyDescent="0.25">
      <c r="A13198" s="5">
        <v>41065</v>
      </c>
      <c r="B13198">
        <v>1285.5</v>
      </c>
    </row>
    <row r="13199" spans="1:2" x14ac:dyDescent="0.25">
      <c r="A13199" s="5">
        <v>41066</v>
      </c>
      <c r="B13199">
        <v>1315.13000488281</v>
      </c>
    </row>
    <row r="13200" spans="1:2" x14ac:dyDescent="0.25">
      <c r="A13200" s="5">
        <v>41067</v>
      </c>
      <c r="B13200">
        <v>1314.98999023438</v>
      </c>
    </row>
    <row r="13201" spans="1:2" x14ac:dyDescent="0.25">
      <c r="A13201" s="5">
        <v>41068</v>
      </c>
      <c r="B13201">
        <v>1325.66003417969</v>
      </c>
    </row>
    <row r="13202" spans="1:2" x14ac:dyDescent="0.25">
      <c r="A13202" s="5">
        <v>41071</v>
      </c>
      <c r="B13202">
        <v>1308.93005371094</v>
      </c>
    </row>
    <row r="13203" spans="1:2" x14ac:dyDescent="0.25">
      <c r="A13203" s="5">
        <v>41072</v>
      </c>
      <c r="B13203">
        <v>1324.18005371094</v>
      </c>
    </row>
    <row r="13204" spans="1:2" x14ac:dyDescent="0.25">
      <c r="A13204" s="5">
        <v>41073</v>
      </c>
      <c r="B13204">
        <v>1314.88000488281</v>
      </c>
    </row>
    <row r="13205" spans="1:2" x14ac:dyDescent="0.25">
      <c r="A13205" s="5">
        <v>41074</v>
      </c>
      <c r="B13205">
        <v>1329.09997558594</v>
      </c>
    </row>
    <row r="13206" spans="1:2" x14ac:dyDescent="0.25">
      <c r="A13206" s="5">
        <v>41075</v>
      </c>
      <c r="B13206">
        <v>1342.83996582031</v>
      </c>
    </row>
    <row r="13207" spans="1:2" x14ac:dyDescent="0.25">
      <c r="A13207" s="5">
        <v>41078</v>
      </c>
      <c r="B13207">
        <v>1344.78002929688</v>
      </c>
    </row>
    <row r="13208" spans="1:2" x14ac:dyDescent="0.25">
      <c r="A13208" s="5">
        <v>41079</v>
      </c>
      <c r="B13208">
        <v>1357.97998046875</v>
      </c>
    </row>
    <row r="13209" spans="1:2" x14ac:dyDescent="0.25">
      <c r="A13209" s="5">
        <v>41080</v>
      </c>
      <c r="B13209">
        <v>1355.68994140625</v>
      </c>
    </row>
    <row r="13210" spans="1:2" x14ac:dyDescent="0.25">
      <c r="A13210" s="5">
        <v>41081</v>
      </c>
      <c r="B13210">
        <v>1325.51000976562</v>
      </c>
    </row>
    <row r="13211" spans="1:2" x14ac:dyDescent="0.25">
      <c r="A13211" s="5">
        <v>41082</v>
      </c>
      <c r="B13211">
        <v>1335.02001953125</v>
      </c>
    </row>
    <row r="13212" spans="1:2" x14ac:dyDescent="0.25">
      <c r="A13212" s="5">
        <v>41085</v>
      </c>
      <c r="B13212">
        <v>1313.71997070312</v>
      </c>
    </row>
    <row r="13213" spans="1:2" x14ac:dyDescent="0.25">
      <c r="A13213" s="5">
        <v>41086</v>
      </c>
      <c r="B13213">
        <v>1319.98999023438</v>
      </c>
    </row>
    <row r="13214" spans="1:2" x14ac:dyDescent="0.25">
      <c r="A13214" s="5">
        <v>41087</v>
      </c>
      <c r="B13214">
        <v>1331.84997558594</v>
      </c>
    </row>
    <row r="13215" spans="1:2" x14ac:dyDescent="0.25">
      <c r="A13215" s="5">
        <v>41088</v>
      </c>
      <c r="B13215">
        <v>1329.0400390625</v>
      </c>
    </row>
    <row r="13216" spans="1:2" x14ac:dyDescent="0.25">
      <c r="A13216" s="5">
        <v>41089</v>
      </c>
      <c r="B13216">
        <v>1362.16003417969</v>
      </c>
    </row>
    <row r="13217" spans="1:2" x14ac:dyDescent="0.25">
      <c r="A13217" s="5">
        <v>41092</v>
      </c>
      <c r="B13217">
        <v>1365.51000976562</v>
      </c>
    </row>
    <row r="13218" spans="1:2" x14ac:dyDescent="0.25">
      <c r="A13218" s="5">
        <v>41093</v>
      </c>
      <c r="B13218">
        <v>1374.02001953125</v>
      </c>
    </row>
    <row r="13219" spans="1:2" x14ac:dyDescent="0.25">
      <c r="A13219" s="5">
        <v>41095</v>
      </c>
      <c r="B13219">
        <v>1367.57995605469</v>
      </c>
    </row>
    <row r="13220" spans="1:2" x14ac:dyDescent="0.25">
      <c r="A13220" s="5">
        <v>41096</v>
      </c>
      <c r="B13220">
        <v>1354.68005371094</v>
      </c>
    </row>
    <row r="13221" spans="1:2" x14ac:dyDescent="0.25">
      <c r="A13221" s="5">
        <v>41099</v>
      </c>
      <c r="B13221">
        <v>1352.4599609375</v>
      </c>
    </row>
    <row r="13222" spans="1:2" x14ac:dyDescent="0.25">
      <c r="A13222" s="5">
        <v>41100</v>
      </c>
      <c r="B13222">
        <v>1341.46997070312</v>
      </c>
    </row>
    <row r="13223" spans="1:2" x14ac:dyDescent="0.25">
      <c r="A13223" s="5">
        <v>41101</v>
      </c>
      <c r="B13223">
        <v>1341.44995117188</v>
      </c>
    </row>
    <row r="13224" spans="1:2" x14ac:dyDescent="0.25">
      <c r="A13224" s="5">
        <v>41102</v>
      </c>
      <c r="B13224">
        <v>1334.76000976562</v>
      </c>
    </row>
    <row r="13225" spans="1:2" x14ac:dyDescent="0.25">
      <c r="A13225" s="5">
        <v>41103</v>
      </c>
      <c r="B13225">
        <v>1356.78002929688</v>
      </c>
    </row>
    <row r="13226" spans="1:2" x14ac:dyDescent="0.25">
      <c r="A13226" s="5">
        <v>41106</v>
      </c>
      <c r="B13226">
        <v>1353.64001464844</v>
      </c>
    </row>
    <row r="13227" spans="1:2" x14ac:dyDescent="0.25">
      <c r="A13227" s="5">
        <v>41107</v>
      </c>
      <c r="B13227">
        <v>1363.67004394531</v>
      </c>
    </row>
    <row r="13228" spans="1:2" x14ac:dyDescent="0.25">
      <c r="A13228" s="5">
        <v>41108</v>
      </c>
      <c r="B13228">
        <v>1372.78002929688</v>
      </c>
    </row>
    <row r="13229" spans="1:2" x14ac:dyDescent="0.25">
      <c r="A13229" s="5">
        <v>41109</v>
      </c>
      <c r="B13229">
        <v>1376.51000976562</v>
      </c>
    </row>
    <row r="13230" spans="1:2" x14ac:dyDescent="0.25">
      <c r="A13230" s="5">
        <v>41110</v>
      </c>
      <c r="B13230">
        <v>1362.66003417969</v>
      </c>
    </row>
    <row r="13231" spans="1:2" x14ac:dyDescent="0.25">
      <c r="A13231" s="5">
        <v>41113</v>
      </c>
      <c r="B13231">
        <v>1350.52001953125</v>
      </c>
    </row>
    <row r="13232" spans="1:2" x14ac:dyDescent="0.25">
      <c r="A13232" s="5">
        <v>41114</v>
      </c>
      <c r="B13232">
        <v>1338.31005859375</v>
      </c>
    </row>
    <row r="13233" spans="1:2" x14ac:dyDescent="0.25">
      <c r="A13233" s="5">
        <v>41115</v>
      </c>
      <c r="B13233">
        <v>1337.89001464844</v>
      </c>
    </row>
    <row r="13234" spans="1:2" x14ac:dyDescent="0.25">
      <c r="A13234" s="5">
        <v>41116</v>
      </c>
      <c r="B13234">
        <v>1360.02001953125</v>
      </c>
    </row>
    <row r="13235" spans="1:2" x14ac:dyDescent="0.25">
      <c r="A13235" s="5">
        <v>41117</v>
      </c>
      <c r="B13235">
        <v>1385.96997070312</v>
      </c>
    </row>
    <row r="13236" spans="1:2" x14ac:dyDescent="0.25">
      <c r="A13236" s="5">
        <v>41120</v>
      </c>
      <c r="B13236">
        <v>1385.30004882812</v>
      </c>
    </row>
    <row r="13237" spans="1:2" x14ac:dyDescent="0.25">
      <c r="A13237" s="5">
        <v>41121</v>
      </c>
      <c r="B13237">
        <v>1379.31994628906</v>
      </c>
    </row>
    <row r="13238" spans="1:2" x14ac:dyDescent="0.25">
      <c r="A13238" s="5">
        <v>41122</v>
      </c>
      <c r="B13238">
        <v>1375.31994628906</v>
      </c>
    </row>
    <row r="13239" spans="1:2" x14ac:dyDescent="0.25">
      <c r="A13239" s="5">
        <v>41123</v>
      </c>
      <c r="B13239">
        <v>1365</v>
      </c>
    </row>
    <row r="13240" spans="1:2" x14ac:dyDescent="0.25">
      <c r="A13240" s="5">
        <v>41124</v>
      </c>
      <c r="B13240">
        <v>1390.98999023438</v>
      </c>
    </row>
    <row r="13241" spans="1:2" x14ac:dyDescent="0.25">
      <c r="A13241" s="5">
        <v>41127</v>
      </c>
      <c r="B13241">
        <v>1394.22998046875</v>
      </c>
    </row>
    <row r="13242" spans="1:2" x14ac:dyDescent="0.25">
      <c r="A13242" s="5">
        <v>41128</v>
      </c>
      <c r="B13242">
        <v>1401.34997558594</v>
      </c>
    </row>
    <row r="13243" spans="1:2" x14ac:dyDescent="0.25">
      <c r="A13243" s="5">
        <v>41129</v>
      </c>
      <c r="B13243">
        <v>1402.21997070312</v>
      </c>
    </row>
    <row r="13244" spans="1:2" x14ac:dyDescent="0.25">
      <c r="A13244" s="5">
        <v>41130</v>
      </c>
      <c r="B13244">
        <v>1402.80004882812</v>
      </c>
    </row>
    <row r="13245" spans="1:2" x14ac:dyDescent="0.25">
      <c r="A13245" s="5">
        <v>41131</v>
      </c>
      <c r="B13245">
        <v>1405.86999511719</v>
      </c>
    </row>
    <row r="13246" spans="1:2" x14ac:dyDescent="0.25">
      <c r="A13246" s="5">
        <v>41134</v>
      </c>
      <c r="B13246">
        <v>1404.10998535156</v>
      </c>
    </row>
    <row r="13247" spans="1:2" x14ac:dyDescent="0.25">
      <c r="A13247" s="5">
        <v>41135</v>
      </c>
      <c r="B13247">
        <v>1403.93005371094</v>
      </c>
    </row>
    <row r="13248" spans="1:2" x14ac:dyDescent="0.25">
      <c r="A13248" s="5">
        <v>41136</v>
      </c>
      <c r="B13248">
        <v>1405.53002929688</v>
      </c>
    </row>
    <row r="13249" spans="1:2" x14ac:dyDescent="0.25">
      <c r="A13249" s="5">
        <v>41137</v>
      </c>
      <c r="B13249">
        <v>1415.51000976562</v>
      </c>
    </row>
    <row r="13250" spans="1:2" x14ac:dyDescent="0.25">
      <c r="A13250" s="5">
        <v>41138</v>
      </c>
      <c r="B13250">
        <v>1418.16003417969</v>
      </c>
    </row>
    <row r="13251" spans="1:2" x14ac:dyDescent="0.25">
      <c r="A13251" s="5">
        <v>41141</v>
      </c>
      <c r="B13251">
        <v>1418.13000488281</v>
      </c>
    </row>
    <row r="13252" spans="1:2" x14ac:dyDescent="0.25">
      <c r="A13252" s="5">
        <v>41142</v>
      </c>
      <c r="B13252">
        <v>1413.17004394531</v>
      </c>
    </row>
    <row r="13253" spans="1:2" x14ac:dyDescent="0.25">
      <c r="A13253" s="5">
        <v>41143</v>
      </c>
      <c r="B13253">
        <v>1413.48999023438</v>
      </c>
    </row>
    <row r="13254" spans="1:2" x14ac:dyDescent="0.25">
      <c r="A13254" s="5">
        <v>41144</v>
      </c>
      <c r="B13254">
        <v>1402.07995605469</v>
      </c>
    </row>
    <row r="13255" spans="1:2" x14ac:dyDescent="0.25">
      <c r="A13255" s="5">
        <v>41145</v>
      </c>
      <c r="B13255">
        <v>1411.13000488281</v>
      </c>
    </row>
    <row r="13256" spans="1:2" x14ac:dyDescent="0.25">
      <c r="A13256" s="5">
        <v>41148</v>
      </c>
      <c r="B13256">
        <v>1410.43994140625</v>
      </c>
    </row>
    <row r="13257" spans="1:2" x14ac:dyDescent="0.25">
      <c r="A13257" s="5">
        <v>41149</v>
      </c>
      <c r="B13257">
        <v>1409.30004882812</v>
      </c>
    </row>
    <row r="13258" spans="1:2" x14ac:dyDescent="0.25">
      <c r="A13258" s="5">
        <v>41150</v>
      </c>
      <c r="B13258">
        <v>1410.48999023438</v>
      </c>
    </row>
    <row r="13259" spans="1:2" x14ac:dyDescent="0.25">
      <c r="A13259" s="5">
        <v>41151</v>
      </c>
      <c r="B13259">
        <v>1399.47998046875</v>
      </c>
    </row>
    <row r="13260" spans="1:2" x14ac:dyDescent="0.25">
      <c r="A13260" s="5">
        <v>41152</v>
      </c>
      <c r="B13260">
        <v>1406.57995605469</v>
      </c>
    </row>
    <row r="13261" spans="1:2" x14ac:dyDescent="0.25">
      <c r="A13261" s="5">
        <v>41156</v>
      </c>
      <c r="B13261">
        <v>1404.93994140625</v>
      </c>
    </row>
    <row r="13262" spans="1:2" x14ac:dyDescent="0.25">
      <c r="A13262" s="5">
        <v>41157</v>
      </c>
      <c r="B13262">
        <v>1403.43994140625</v>
      </c>
    </row>
    <row r="13263" spans="1:2" x14ac:dyDescent="0.25">
      <c r="A13263" s="5">
        <v>41158</v>
      </c>
      <c r="B13263">
        <v>1432.11999511719</v>
      </c>
    </row>
    <row r="13264" spans="1:2" x14ac:dyDescent="0.25">
      <c r="A13264" s="5">
        <v>41159</v>
      </c>
      <c r="B13264">
        <v>1437.92004394531</v>
      </c>
    </row>
    <row r="13265" spans="1:2" x14ac:dyDescent="0.25">
      <c r="A13265" s="5">
        <v>41162</v>
      </c>
      <c r="B13265">
        <v>1429.07995605469</v>
      </c>
    </row>
    <row r="13266" spans="1:2" x14ac:dyDescent="0.25">
      <c r="A13266" s="5">
        <v>41163</v>
      </c>
      <c r="B13266">
        <v>1433.56005859375</v>
      </c>
    </row>
    <row r="13267" spans="1:2" x14ac:dyDescent="0.25">
      <c r="A13267" s="5">
        <v>41164</v>
      </c>
      <c r="B13267">
        <v>1436.56005859375</v>
      </c>
    </row>
    <row r="13268" spans="1:2" x14ac:dyDescent="0.25">
      <c r="A13268" s="5">
        <v>41165</v>
      </c>
      <c r="B13268">
        <v>1459.98999023438</v>
      </c>
    </row>
    <row r="13269" spans="1:2" x14ac:dyDescent="0.25">
      <c r="A13269" s="5">
        <v>41166</v>
      </c>
      <c r="B13269">
        <v>1465.77001953125</v>
      </c>
    </row>
    <row r="13270" spans="1:2" x14ac:dyDescent="0.25">
      <c r="A13270" s="5">
        <v>41169</v>
      </c>
      <c r="B13270">
        <v>1461.18994140625</v>
      </c>
    </row>
    <row r="13271" spans="1:2" x14ac:dyDescent="0.25">
      <c r="A13271" s="5">
        <v>41170</v>
      </c>
      <c r="B13271">
        <v>1459.31994628906</v>
      </c>
    </row>
    <row r="13272" spans="1:2" x14ac:dyDescent="0.25">
      <c r="A13272" s="5">
        <v>41171</v>
      </c>
      <c r="B13272">
        <v>1461.05004882812</v>
      </c>
    </row>
    <row r="13273" spans="1:2" x14ac:dyDescent="0.25">
      <c r="A13273" s="5">
        <v>41172</v>
      </c>
      <c r="B13273">
        <v>1460.26000976562</v>
      </c>
    </row>
    <row r="13274" spans="1:2" x14ac:dyDescent="0.25">
      <c r="A13274" s="5">
        <v>41173</v>
      </c>
      <c r="B13274">
        <v>1460.15002441406</v>
      </c>
    </row>
    <row r="13275" spans="1:2" x14ac:dyDescent="0.25">
      <c r="A13275" s="5">
        <v>41176</v>
      </c>
      <c r="B13275">
        <v>1456.89001464844</v>
      </c>
    </row>
    <row r="13276" spans="1:2" x14ac:dyDescent="0.25">
      <c r="A13276" s="5">
        <v>41177</v>
      </c>
      <c r="B13276">
        <v>1441.58996582031</v>
      </c>
    </row>
    <row r="13277" spans="1:2" x14ac:dyDescent="0.25">
      <c r="A13277" s="5">
        <v>41178</v>
      </c>
      <c r="B13277">
        <v>1433.31994628906</v>
      </c>
    </row>
    <row r="13278" spans="1:2" x14ac:dyDescent="0.25">
      <c r="A13278" s="5">
        <v>41179</v>
      </c>
      <c r="B13278">
        <v>1447.15002441406</v>
      </c>
    </row>
    <row r="13279" spans="1:2" x14ac:dyDescent="0.25">
      <c r="A13279" s="5">
        <v>41180</v>
      </c>
      <c r="B13279">
        <v>1440.67004394531</v>
      </c>
    </row>
    <row r="13280" spans="1:2" x14ac:dyDescent="0.25">
      <c r="A13280" s="5">
        <v>41183</v>
      </c>
      <c r="B13280">
        <v>1444.48999023438</v>
      </c>
    </row>
    <row r="13281" spans="1:2" x14ac:dyDescent="0.25">
      <c r="A13281" s="5">
        <v>41184</v>
      </c>
      <c r="B13281">
        <v>1445.75</v>
      </c>
    </row>
    <row r="13282" spans="1:2" x14ac:dyDescent="0.25">
      <c r="A13282" s="5">
        <v>41185</v>
      </c>
      <c r="B13282">
        <v>1450.98999023438</v>
      </c>
    </row>
    <row r="13283" spans="1:2" x14ac:dyDescent="0.25">
      <c r="A13283" s="5">
        <v>41186</v>
      </c>
      <c r="B13283">
        <v>1461.40002441406</v>
      </c>
    </row>
    <row r="13284" spans="1:2" x14ac:dyDescent="0.25">
      <c r="A13284" s="5">
        <v>41187</v>
      </c>
      <c r="B13284">
        <v>1460.93005371094</v>
      </c>
    </row>
    <row r="13285" spans="1:2" x14ac:dyDescent="0.25">
      <c r="A13285" s="5">
        <v>41190</v>
      </c>
      <c r="B13285">
        <v>1455.88000488281</v>
      </c>
    </row>
    <row r="13286" spans="1:2" x14ac:dyDescent="0.25">
      <c r="A13286" s="5">
        <v>41191</v>
      </c>
      <c r="B13286">
        <v>1441.47998046875</v>
      </c>
    </row>
    <row r="13287" spans="1:2" x14ac:dyDescent="0.25">
      <c r="A13287" s="5">
        <v>41192</v>
      </c>
      <c r="B13287">
        <v>1432.56005859375</v>
      </c>
    </row>
    <row r="13288" spans="1:2" x14ac:dyDescent="0.25">
      <c r="A13288" s="5">
        <v>41193</v>
      </c>
      <c r="B13288">
        <v>1432.83996582031</v>
      </c>
    </row>
    <row r="13289" spans="1:2" x14ac:dyDescent="0.25">
      <c r="A13289" s="5">
        <v>41194</v>
      </c>
      <c r="B13289">
        <v>1428.58996582031</v>
      </c>
    </row>
    <row r="13290" spans="1:2" x14ac:dyDescent="0.25">
      <c r="A13290" s="5">
        <v>41197</v>
      </c>
      <c r="B13290">
        <v>1440.13000488281</v>
      </c>
    </row>
    <row r="13291" spans="1:2" x14ac:dyDescent="0.25">
      <c r="A13291" s="5">
        <v>41198</v>
      </c>
      <c r="B13291">
        <v>1454.92004394531</v>
      </c>
    </row>
    <row r="13292" spans="1:2" x14ac:dyDescent="0.25">
      <c r="A13292" s="5">
        <v>41199</v>
      </c>
      <c r="B13292">
        <v>1460.91003417969</v>
      </c>
    </row>
    <row r="13293" spans="1:2" x14ac:dyDescent="0.25">
      <c r="A13293" s="5">
        <v>41200</v>
      </c>
      <c r="B13293">
        <v>1457.33996582031</v>
      </c>
    </row>
    <row r="13294" spans="1:2" x14ac:dyDescent="0.25">
      <c r="A13294" s="5">
        <v>41201</v>
      </c>
      <c r="B13294">
        <v>1433.18994140625</v>
      </c>
    </row>
    <row r="13295" spans="1:2" x14ac:dyDescent="0.25">
      <c r="A13295" s="5">
        <v>41204</v>
      </c>
      <c r="B13295">
        <v>1433.81994628906</v>
      </c>
    </row>
    <row r="13296" spans="1:2" x14ac:dyDescent="0.25">
      <c r="A13296" s="5">
        <v>41205</v>
      </c>
      <c r="B13296">
        <v>1413.10998535156</v>
      </c>
    </row>
    <row r="13297" spans="1:2" x14ac:dyDescent="0.25">
      <c r="A13297" s="5">
        <v>41206</v>
      </c>
      <c r="B13297">
        <v>1408.75</v>
      </c>
    </row>
    <row r="13298" spans="1:2" x14ac:dyDescent="0.25">
      <c r="A13298" s="5">
        <v>41207</v>
      </c>
      <c r="B13298">
        <v>1412.96997070312</v>
      </c>
    </row>
    <row r="13299" spans="1:2" x14ac:dyDescent="0.25">
      <c r="A13299" s="5">
        <v>41208</v>
      </c>
      <c r="B13299">
        <v>1411.93994140625</v>
      </c>
    </row>
    <row r="13300" spans="1:2" x14ac:dyDescent="0.25">
      <c r="A13300" s="5">
        <v>41213</v>
      </c>
      <c r="B13300">
        <v>1412.16003417969</v>
      </c>
    </row>
    <row r="13301" spans="1:2" x14ac:dyDescent="0.25">
      <c r="A13301" s="5">
        <v>41214</v>
      </c>
      <c r="B13301">
        <v>1427.58996582031</v>
      </c>
    </row>
    <row r="13302" spans="1:2" x14ac:dyDescent="0.25">
      <c r="A13302" s="5">
        <v>41215</v>
      </c>
      <c r="B13302">
        <v>1414.19995117188</v>
      </c>
    </row>
    <row r="13303" spans="1:2" x14ac:dyDescent="0.25">
      <c r="A13303" s="5">
        <v>41218</v>
      </c>
      <c r="B13303">
        <v>1417.26000976562</v>
      </c>
    </row>
    <row r="13304" spans="1:2" x14ac:dyDescent="0.25">
      <c r="A13304" s="5">
        <v>41219</v>
      </c>
      <c r="B13304">
        <v>1428.39001464844</v>
      </c>
    </row>
    <row r="13305" spans="1:2" x14ac:dyDescent="0.25">
      <c r="A13305" s="5">
        <v>41220</v>
      </c>
      <c r="B13305">
        <v>1394.53002929688</v>
      </c>
    </row>
    <row r="13306" spans="1:2" x14ac:dyDescent="0.25">
      <c r="A13306" s="5">
        <v>41221</v>
      </c>
      <c r="B13306">
        <v>1377.51000976562</v>
      </c>
    </row>
    <row r="13307" spans="1:2" x14ac:dyDescent="0.25">
      <c r="A13307" s="5">
        <v>41222</v>
      </c>
      <c r="B13307">
        <v>1379.84997558594</v>
      </c>
    </row>
    <row r="13308" spans="1:2" x14ac:dyDescent="0.25">
      <c r="A13308" s="5">
        <v>41225</v>
      </c>
      <c r="B13308">
        <v>1380.03002929688</v>
      </c>
    </row>
    <row r="13309" spans="1:2" x14ac:dyDescent="0.25">
      <c r="A13309" s="5">
        <v>41226</v>
      </c>
      <c r="B13309">
        <v>1374.53002929688</v>
      </c>
    </row>
    <row r="13310" spans="1:2" x14ac:dyDescent="0.25">
      <c r="A13310" s="5">
        <v>41227</v>
      </c>
      <c r="B13310">
        <v>1355.48999023438</v>
      </c>
    </row>
    <row r="13311" spans="1:2" x14ac:dyDescent="0.25">
      <c r="A13311" s="5">
        <v>41228</v>
      </c>
      <c r="B13311">
        <v>1353.32995605469</v>
      </c>
    </row>
    <row r="13312" spans="1:2" x14ac:dyDescent="0.25">
      <c r="A13312" s="5">
        <v>41229</v>
      </c>
      <c r="B13312">
        <v>1359.88000488281</v>
      </c>
    </row>
    <row r="13313" spans="1:2" x14ac:dyDescent="0.25">
      <c r="A13313" s="5">
        <v>41232</v>
      </c>
      <c r="B13313">
        <v>1386.89001464844</v>
      </c>
    </row>
    <row r="13314" spans="1:2" x14ac:dyDescent="0.25">
      <c r="A13314" s="5">
        <v>41233</v>
      </c>
      <c r="B13314">
        <v>1387.81005859375</v>
      </c>
    </row>
    <row r="13315" spans="1:2" x14ac:dyDescent="0.25">
      <c r="A13315" s="5">
        <v>41234</v>
      </c>
      <c r="B13315">
        <v>1391.03002929688</v>
      </c>
    </row>
    <row r="13316" spans="1:2" x14ac:dyDescent="0.25">
      <c r="A13316" s="5">
        <v>41236</v>
      </c>
      <c r="B13316">
        <v>1409.15002441406</v>
      </c>
    </row>
    <row r="13317" spans="1:2" x14ac:dyDescent="0.25">
      <c r="A13317" s="5">
        <v>41239</v>
      </c>
      <c r="B13317">
        <v>1406.2900390625</v>
      </c>
    </row>
    <row r="13318" spans="1:2" x14ac:dyDescent="0.25">
      <c r="A13318" s="5">
        <v>41240</v>
      </c>
      <c r="B13318">
        <v>1398.93994140625</v>
      </c>
    </row>
    <row r="13319" spans="1:2" x14ac:dyDescent="0.25">
      <c r="A13319" s="5">
        <v>41241</v>
      </c>
      <c r="B13319">
        <v>1409.93005371094</v>
      </c>
    </row>
    <row r="13320" spans="1:2" x14ac:dyDescent="0.25">
      <c r="A13320" s="5">
        <v>41242</v>
      </c>
      <c r="B13320">
        <v>1415.94995117188</v>
      </c>
    </row>
    <row r="13321" spans="1:2" x14ac:dyDescent="0.25">
      <c r="A13321" s="5">
        <v>41243</v>
      </c>
      <c r="B13321">
        <v>1416.18005371094</v>
      </c>
    </row>
    <row r="13322" spans="1:2" x14ac:dyDescent="0.25">
      <c r="A13322" s="5">
        <v>41246</v>
      </c>
      <c r="B13322">
        <v>1409.4599609375</v>
      </c>
    </row>
    <row r="13323" spans="1:2" x14ac:dyDescent="0.25">
      <c r="A13323" s="5">
        <v>41247</v>
      </c>
      <c r="B13323">
        <v>1407.05004882812</v>
      </c>
    </row>
    <row r="13324" spans="1:2" x14ac:dyDescent="0.25">
      <c r="A13324" s="5">
        <v>41248</v>
      </c>
      <c r="B13324">
        <v>1409.28002929688</v>
      </c>
    </row>
    <row r="13325" spans="1:2" x14ac:dyDescent="0.25">
      <c r="A13325" s="5">
        <v>41249</v>
      </c>
      <c r="B13325">
        <v>1413.93994140625</v>
      </c>
    </row>
    <row r="13326" spans="1:2" x14ac:dyDescent="0.25">
      <c r="A13326" s="5">
        <v>41250</v>
      </c>
      <c r="B13326">
        <v>1418.06994628906</v>
      </c>
    </row>
    <row r="13327" spans="1:2" x14ac:dyDescent="0.25">
      <c r="A13327" s="5">
        <v>41253</v>
      </c>
      <c r="B13327">
        <v>1418.55004882812</v>
      </c>
    </row>
    <row r="13328" spans="1:2" x14ac:dyDescent="0.25">
      <c r="A13328" s="5">
        <v>41254</v>
      </c>
      <c r="B13328">
        <v>1427.83996582031</v>
      </c>
    </row>
    <row r="13329" spans="1:2" x14ac:dyDescent="0.25">
      <c r="A13329" s="5">
        <v>41255</v>
      </c>
      <c r="B13329">
        <v>1428.47998046875</v>
      </c>
    </row>
    <row r="13330" spans="1:2" x14ac:dyDescent="0.25">
      <c r="A13330" s="5">
        <v>41256</v>
      </c>
      <c r="B13330">
        <v>1419.44995117188</v>
      </c>
    </row>
    <row r="13331" spans="1:2" x14ac:dyDescent="0.25">
      <c r="A13331" s="5">
        <v>41257</v>
      </c>
      <c r="B13331">
        <v>1413.57995605469</v>
      </c>
    </row>
    <row r="13332" spans="1:2" x14ac:dyDescent="0.25">
      <c r="A13332" s="5">
        <v>41260</v>
      </c>
      <c r="B13332">
        <v>1430.35998535156</v>
      </c>
    </row>
    <row r="13333" spans="1:2" x14ac:dyDescent="0.25">
      <c r="A13333" s="5">
        <v>41261</v>
      </c>
      <c r="B13333">
        <v>1446.7900390625</v>
      </c>
    </row>
    <row r="13334" spans="1:2" x14ac:dyDescent="0.25">
      <c r="A13334" s="5">
        <v>41262</v>
      </c>
      <c r="B13334">
        <v>1435.81005859375</v>
      </c>
    </row>
    <row r="13335" spans="1:2" x14ac:dyDescent="0.25">
      <c r="A13335" s="5">
        <v>41263</v>
      </c>
      <c r="B13335">
        <v>1443.68994140625</v>
      </c>
    </row>
    <row r="13336" spans="1:2" x14ac:dyDescent="0.25">
      <c r="A13336" s="5">
        <v>41264</v>
      </c>
      <c r="B13336">
        <v>1430.15002441406</v>
      </c>
    </row>
    <row r="13337" spans="1:2" x14ac:dyDescent="0.25">
      <c r="A13337" s="5">
        <v>41267</v>
      </c>
      <c r="B13337">
        <v>1426.66003417969</v>
      </c>
    </row>
    <row r="13338" spans="1:2" x14ac:dyDescent="0.25">
      <c r="A13338" s="5">
        <v>41269</v>
      </c>
      <c r="B13338">
        <v>1419.82995605469</v>
      </c>
    </row>
    <row r="13339" spans="1:2" x14ac:dyDescent="0.25">
      <c r="A13339" s="5">
        <v>41270</v>
      </c>
      <c r="B13339">
        <v>1418.09997558594</v>
      </c>
    </row>
    <row r="13340" spans="1:2" x14ac:dyDescent="0.25">
      <c r="A13340" s="5">
        <v>41271</v>
      </c>
      <c r="B13340">
        <v>1402.43005371094</v>
      </c>
    </row>
    <row r="13341" spans="1:2" x14ac:dyDescent="0.25">
      <c r="A13341" s="5">
        <v>41274</v>
      </c>
      <c r="B13341">
        <v>1426.18994140625</v>
      </c>
    </row>
    <row r="13342" spans="1:2" x14ac:dyDescent="0.25">
      <c r="A13342" s="5">
        <v>41276</v>
      </c>
      <c r="B13342">
        <v>1462.42004394531</v>
      </c>
    </row>
    <row r="13343" spans="1:2" x14ac:dyDescent="0.25">
      <c r="A13343" s="5">
        <v>41277</v>
      </c>
      <c r="B13343">
        <v>1459.36999511719</v>
      </c>
    </row>
    <row r="13344" spans="1:2" x14ac:dyDescent="0.25">
      <c r="A13344" s="5">
        <v>41278</v>
      </c>
      <c r="B13344">
        <v>1466.46997070312</v>
      </c>
    </row>
    <row r="13345" spans="1:2" x14ac:dyDescent="0.25">
      <c r="A13345" s="5">
        <v>41281</v>
      </c>
      <c r="B13345">
        <v>1461.89001464844</v>
      </c>
    </row>
    <row r="13346" spans="1:2" x14ac:dyDescent="0.25">
      <c r="A13346" s="5">
        <v>41282</v>
      </c>
      <c r="B13346">
        <v>1457.15002441406</v>
      </c>
    </row>
    <row r="13347" spans="1:2" x14ac:dyDescent="0.25">
      <c r="A13347" s="5">
        <v>41283</v>
      </c>
      <c r="B13347">
        <v>1461.02001953125</v>
      </c>
    </row>
    <row r="13348" spans="1:2" x14ac:dyDescent="0.25">
      <c r="A13348" s="5">
        <v>41284</v>
      </c>
      <c r="B13348">
        <v>1472.11999511719</v>
      </c>
    </row>
    <row r="13349" spans="1:2" x14ac:dyDescent="0.25">
      <c r="A13349" s="5">
        <v>41285</v>
      </c>
      <c r="B13349">
        <v>1472.05004882812</v>
      </c>
    </row>
    <row r="13350" spans="1:2" x14ac:dyDescent="0.25">
      <c r="A13350" s="5">
        <v>41288</v>
      </c>
      <c r="B13350">
        <v>1470.68005371094</v>
      </c>
    </row>
    <row r="13351" spans="1:2" x14ac:dyDescent="0.25">
      <c r="A13351" s="5">
        <v>41289</v>
      </c>
      <c r="B13351">
        <v>1472.33996582031</v>
      </c>
    </row>
    <row r="13352" spans="1:2" x14ac:dyDescent="0.25">
      <c r="A13352" s="5">
        <v>41290</v>
      </c>
      <c r="B13352">
        <v>1472.63000488281</v>
      </c>
    </row>
    <row r="13353" spans="1:2" x14ac:dyDescent="0.25">
      <c r="A13353" s="5">
        <v>41291</v>
      </c>
      <c r="B13353">
        <v>1480.93994140625</v>
      </c>
    </row>
    <row r="13354" spans="1:2" x14ac:dyDescent="0.25">
      <c r="A13354" s="5">
        <v>41292</v>
      </c>
      <c r="B13354">
        <v>1485.97998046875</v>
      </c>
    </row>
    <row r="13355" spans="1:2" x14ac:dyDescent="0.25">
      <c r="A13355" s="5">
        <v>41296</v>
      </c>
      <c r="B13355">
        <v>1492.56005859375</v>
      </c>
    </row>
    <row r="13356" spans="1:2" x14ac:dyDescent="0.25">
      <c r="A13356" s="5">
        <v>41297</v>
      </c>
      <c r="B13356">
        <v>1494.81005859375</v>
      </c>
    </row>
    <row r="13357" spans="1:2" x14ac:dyDescent="0.25">
      <c r="A13357" s="5">
        <v>41298</v>
      </c>
      <c r="B13357">
        <v>1494.81994628906</v>
      </c>
    </row>
    <row r="13358" spans="1:2" x14ac:dyDescent="0.25">
      <c r="A13358" s="5">
        <v>41299</v>
      </c>
      <c r="B13358">
        <v>1502.9599609375</v>
      </c>
    </row>
    <row r="13359" spans="1:2" x14ac:dyDescent="0.25">
      <c r="A13359" s="5">
        <v>41302</v>
      </c>
      <c r="B13359">
        <v>1500.18005371094</v>
      </c>
    </row>
    <row r="13360" spans="1:2" x14ac:dyDescent="0.25">
      <c r="A13360" s="5">
        <v>41303</v>
      </c>
      <c r="B13360">
        <v>1507.83996582031</v>
      </c>
    </row>
    <row r="13361" spans="1:2" x14ac:dyDescent="0.25">
      <c r="A13361" s="5">
        <v>41304</v>
      </c>
      <c r="B13361">
        <v>1501.9599609375</v>
      </c>
    </row>
    <row r="13362" spans="1:2" x14ac:dyDescent="0.25">
      <c r="A13362" s="5">
        <v>41305</v>
      </c>
      <c r="B13362">
        <v>1498.10998535156</v>
      </c>
    </row>
    <row r="13363" spans="1:2" x14ac:dyDescent="0.25">
      <c r="A13363" s="5">
        <v>41306</v>
      </c>
      <c r="B13363">
        <v>1513.17004394531</v>
      </c>
    </row>
    <row r="13364" spans="1:2" x14ac:dyDescent="0.25">
      <c r="A13364" s="5">
        <v>41309</v>
      </c>
      <c r="B13364">
        <v>1495.7099609375</v>
      </c>
    </row>
    <row r="13365" spans="1:2" x14ac:dyDescent="0.25">
      <c r="A13365" s="5">
        <v>41310</v>
      </c>
      <c r="B13365">
        <v>1511.2900390625</v>
      </c>
    </row>
    <row r="13366" spans="1:2" x14ac:dyDescent="0.25">
      <c r="A13366" s="5">
        <v>41311</v>
      </c>
      <c r="B13366">
        <v>1512.11999511719</v>
      </c>
    </row>
    <row r="13367" spans="1:2" x14ac:dyDescent="0.25">
      <c r="A13367" s="5">
        <v>41312</v>
      </c>
      <c r="B13367">
        <v>1509.39001464844</v>
      </c>
    </row>
    <row r="13368" spans="1:2" x14ac:dyDescent="0.25">
      <c r="A13368" s="5">
        <v>41313</v>
      </c>
      <c r="B13368">
        <v>1517.93005371094</v>
      </c>
    </row>
    <row r="13369" spans="1:2" x14ac:dyDescent="0.25">
      <c r="A13369" s="5">
        <v>41316</v>
      </c>
      <c r="B13369">
        <v>1517.01000976562</v>
      </c>
    </row>
    <row r="13370" spans="1:2" x14ac:dyDescent="0.25">
      <c r="A13370" s="5">
        <v>41317</v>
      </c>
      <c r="B13370">
        <v>1519.43005371094</v>
      </c>
    </row>
    <row r="13371" spans="1:2" x14ac:dyDescent="0.25">
      <c r="A13371" s="5">
        <v>41318</v>
      </c>
      <c r="B13371">
        <v>1520.32995605469</v>
      </c>
    </row>
    <row r="13372" spans="1:2" x14ac:dyDescent="0.25">
      <c r="A13372" s="5">
        <v>41319</v>
      </c>
      <c r="B13372">
        <v>1521.38000488281</v>
      </c>
    </row>
    <row r="13373" spans="1:2" x14ac:dyDescent="0.25">
      <c r="A13373" s="5">
        <v>41320</v>
      </c>
      <c r="B13373">
        <v>1519.7900390625</v>
      </c>
    </row>
    <row r="13374" spans="1:2" x14ac:dyDescent="0.25">
      <c r="A13374" s="5">
        <v>41324</v>
      </c>
      <c r="B13374">
        <v>1530.93994140625</v>
      </c>
    </row>
    <row r="13375" spans="1:2" x14ac:dyDescent="0.25">
      <c r="A13375" s="5">
        <v>41325</v>
      </c>
      <c r="B13375">
        <v>1511.94995117188</v>
      </c>
    </row>
    <row r="13376" spans="1:2" x14ac:dyDescent="0.25">
      <c r="A13376" s="5">
        <v>41326</v>
      </c>
      <c r="B13376">
        <v>1502.42004394531</v>
      </c>
    </row>
    <row r="13377" spans="1:2" x14ac:dyDescent="0.25">
      <c r="A13377" s="5">
        <v>41327</v>
      </c>
      <c r="B13377">
        <v>1515.59997558594</v>
      </c>
    </row>
    <row r="13378" spans="1:2" x14ac:dyDescent="0.25">
      <c r="A13378" s="5">
        <v>41330</v>
      </c>
      <c r="B13378">
        <v>1487.84997558594</v>
      </c>
    </row>
    <row r="13379" spans="1:2" x14ac:dyDescent="0.25">
      <c r="A13379" s="5">
        <v>41331</v>
      </c>
      <c r="B13379">
        <v>1496.93994140625</v>
      </c>
    </row>
    <row r="13380" spans="1:2" x14ac:dyDescent="0.25">
      <c r="A13380" s="5">
        <v>41332</v>
      </c>
      <c r="B13380">
        <v>1515.98999023438</v>
      </c>
    </row>
    <row r="13381" spans="1:2" x14ac:dyDescent="0.25">
      <c r="A13381" s="5">
        <v>41333</v>
      </c>
      <c r="B13381">
        <v>1514.68005371094</v>
      </c>
    </row>
    <row r="13382" spans="1:2" x14ac:dyDescent="0.25">
      <c r="A13382" s="5">
        <v>41334</v>
      </c>
      <c r="B13382">
        <v>1518.19995117188</v>
      </c>
    </row>
    <row r="13383" spans="1:2" x14ac:dyDescent="0.25">
      <c r="A13383" s="5">
        <v>41337</v>
      </c>
      <c r="B13383">
        <v>1525.19995117188</v>
      </c>
    </row>
    <row r="13384" spans="1:2" x14ac:dyDescent="0.25">
      <c r="A13384" s="5">
        <v>41338</v>
      </c>
      <c r="B13384">
        <v>1539.7900390625</v>
      </c>
    </row>
    <row r="13385" spans="1:2" x14ac:dyDescent="0.25">
      <c r="A13385" s="5">
        <v>41339</v>
      </c>
      <c r="B13385">
        <v>1541.4599609375</v>
      </c>
    </row>
    <row r="13386" spans="1:2" x14ac:dyDescent="0.25">
      <c r="A13386" s="5">
        <v>41340</v>
      </c>
      <c r="B13386">
        <v>1544.26000976562</v>
      </c>
    </row>
    <row r="13387" spans="1:2" x14ac:dyDescent="0.25">
      <c r="A13387" s="5">
        <v>41341</v>
      </c>
      <c r="B13387">
        <v>1551.18005371094</v>
      </c>
    </row>
    <row r="13388" spans="1:2" x14ac:dyDescent="0.25">
      <c r="A13388" s="5">
        <v>41344</v>
      </c>
      <c r="B13388">
        <v>1556.21997070312</v>
      </c>
    </row>
    <row r="13389" spans="1:2" x14ac:dyDescent="0.25">
      <c r="A13389" s="5">
        <v>41345</v>
      </c>
      <c r="B13389">
        <v>1552.47998046875</v>
      </c>
    </row>
    <row r="13390" spans="1:2" x14ac:dyDescent="0.25">
      <c r="A13390" s="5">
        <v>41346</v>
      </c>
      <c r="B13390">
        <v>1554.52001953125</v>
      </c>
    </row>
    <row r="13391" spans="1:2" x14ac:dyDescent="0.25">
      <c r="A13391" s="5">
        <v>41347</v>
      </c>
      <c r="B13391">
        <v>1563.22998046875</v>
      </c>
    </row>
    <row r="13392" spans="1:2" x14ac:dyDescent="0.25">
      <c r="A13392" s="5">
        <v>41348</v>
      </c>
      <c r="B13392">
        <v>1560.69995117188</v>
      </c>
    </row>
    <row r="13393" spans="1:2" x14ac:dyDescent="0.25">
      <c r="A13393" s="5">
        <v>41351</v>
      </c>
      <c r="B13393">
        <v>1552.09997558594</v>
      </c>
    </row>
    <row r="13394" spans="1:2" x14ac:dyDescent="0.25">
      <c r="A13394" s="5">
        <v>41352</v>
      </c>
      <c r="B13394">
        <v>1548.33996582031</v>
      </c>
    </row>
    <row r="13395" spans="1:2" x14ac:dyDescent="0.25">
      <c r="A13395" s="5">
        <v>41353</v>
      </c>
      <c r="B13395">
        <v>1558.7099609375</v>
      </c>
    </row>
    <row r="13396" spans="1:2" x14ac:dyDescent="0.25">
      <c r="A13396" s="5">
        <v>41354</v>
      </c>
      <c r="B13396">
        <v>1545.80004882812</v>
      </c>
    </row>
    <row r="13397" spans="1:2" x14ac:dyDescent="0.25">
      <c r="A13397" s="5">
        <v>41355</v>
      </c>
      <c r="B13397">
        <v>1556.89001464844</v>
      </c>
    </row>
    <row r="13398" spans="1:2" x14ac:dyDescent="0.25">
      <c r="A13398" s="5">
        <v>41358</v>
      </c>
      <c r="B13398">
        <v>1551.68994140625</v>
      </c>
    </row>
    <row r="13399" spans="1:2" x14ac:dyDescent="0.25">
      <c r="A13399" s="5">
        <v>41359</v>
      </c>
      <c r="B13399">
        <v>1563.77001953125</v>
      </c>
    </row>
    <row r="13400" spans="1:2" x14ac:dyDescent="0.25">
      <c r="A13400" s="5">
        <v>41360</v>
      </c>
      <c r="B13400">
        <v>1562.84997558594</v>
      </c>
    </row>
    <row r="13401" spans="1:2" x14ac:dyDescent="0.25">
      <c r="A13401" s="5">
        <v>41361</v>
      </c>
      <c r="B13401">
        <v>1569.18994140625</v>
      </c>
    </row>
    <row r="13402" spans="1:2" x14ac:dyDescent="0.25">
      <c r="A13402" s="5">
        <v>41365</v>
      </c>
      <c r="B13402">
        <v>1562.17004394531</v>
      </c>
    </row>
    <row r="13403" spans="1:2" x14ac:dyDescent="0.25">
      <c r="A13403" s="5">
        <v>41366</v>
      </c>
      <c r="B13403">
        <v>1570.25</v>
      </c>
    </row>
    <row r="13404" spans="1:2" x14ac:dyDescent="0.25">
      <c r="A13404" s="5">
        <v>41367</v>
      </c>
      <c r="B13404">
        <v>1553.68994140625</v>
      </c>
    </row>
    <row r="13405" spans="1:2" x14ac:dyDescent="0.25">
      <c r="A13405" s="5">
        <v>41368</v>
      </c>
      <c r="B13405">
        <v>1559.97998046875</v>
      </c>
    </row>
    <row r="13406" spans="1:2" x14ac:dyDescent="0.25">
      <c r="A13406" s="5">
        <v>41369</v>
      </c>
      <c r="B13406">
        <v>1553.28002929688</v>
      </c>
    </row>
    <row r="13407" spans="1:2" x14ac:dyDescent="0.25">
      <c r="A13407" s="5">
        <v>41372</v>
      </c>
      <c r="B13407">
        <v>1563.06994628906</v>
      </c>
    </row>
    <row r="13408" spans="1:2" x14ac:dyDescent="0.25">
      <c r="A13408" s="5">
        <v>41373</v>
      </c>
      <c r="B13408">
        <v>1568.60998535156</v>
      </c>
    </row>
    <row r="13409" spans="1:2" x14ac:dyDescent="0.25">
      <c r="A13409" s="5">
        <v>41374</v>
      </c>
      <c r="B13409">
        <v>1587.72998046875</v>
      </c>
    </row>
    <row r="13410" spans="1:2" x14ac:dyDescent="0.25">
      <c r="A13410" s="5">
        <v>41375</v>
      </c>
      <c r="B13410">
        <v>1593.36999511719</v>
      </c>
    </row>
    <row r="13411" spans="1:2" x14ac:dyDescent="0.25">
      <c r="A13411" s="5">
        <v>41376</v>
      </c>
      <c r="B13411">
        <v>1588.84997558594</v>
      </c>
    </row>
    <row r="13412" spans="1:2" x14ac:dyDescent="0.25">
      <c r="A13412" s="5">
        <v>41379</v>
      </c>
      <c r="B13412">
        <v>1552.35998535156</v>
      </c>
    </row>
    <row r="13413" spans="1:2" x14ac:dyDescent="0.25">
      <c r="A13413" s="5">
        <v>41380</v>
      </c>
      <c r="B13413">
        <v>1574.56994628906</v>
      </c>
    </row>
    <row r="13414" spans="1:2" x14ac:dyDescent="0.25">
      <c r="A13414" s="5">
        <v>41381</v>
      </c>
      <c r="B13414">
        <v>1552.01000976562</v>
      </c>
    </row>
    <row r="13415" spans="1:2" x14ac:dyDescent="0.25">
      <c r="A13415" s="5">
        <v>41382</v>
      </c>
      <c r="B13415">
        <v>1541.60998535156</v>
      </c>
    </row>
    <row r="13416" spans="1:2" x14ac:dyDescent="0.25">
      <c r="A13416" s="5">
        <v>41383</v>
      </c>
      <c r="B13416">
        <v>1555.25</v>
      </c>
    </row>
    <row r="13417" spans="1:2" x14ac:dyDescent="0.25">
      <c r="A13417" s="5">
        <v>41386</v>
      </c>
      <c r="B13417">
        <v>1562.5</v>
      </c>
    </row>
    <row r="13418" spans="1:2" x14ac:dyDescent="0.25">
      <c r="A13418" s="5">
        <v>41387</v>
      </c>
      <c r="B13418">
        <v>1578.78002929688</v>
      </c>
    </row>
    <row r="13419" spans="1:2" x14ac:dyDescent="0.25">
      <c r="A13419" s="5">
        <v>41388</v>
      </c>
      <c r="B13419">
        <v>1578.7900390625</v>
      </c>
    </row>
    <row r="13420" spans="1:2" x14ac:dyDescent="0.25">
      <c r="A13420" s="5">
        <v>41389</v>
      </c>
      <c r="B13420">
        <v>1585.16003417969</v>
      </c>
    </row>
    <row r="13421" spans="1:2" x14ac:dyDescent="0.25">
      <c r="A13421" s="5">
        <v>41390</v>
      </c>
      <c r="B13421">
        <v>1582.23999023438</v>
      </c>
    </row>
    <row r="13422" spans="1:2" x14ac:dyDescent="0.25">
      <c r="A13422" s="5">
        <v>41393</v>
      </c>
      <c r="B13422">
        <v>1593.60998535156</v>
      </c>
    </row>
    <row r="13423" spans="1:2" x14ac:dyDescent="0.25">
      <c r="A13423" s="5">
        <v>41394</v>
      </c>
      <c r="B13423">
        <v>1597.56994628906</v>
      </c>
    </row>
    <row r="13424" spans="1:2" x14ac:dyDescent="0.25">
      <c r="A13424" s="5">
        <v>41395</v>
      </c>
      <c r="B13424">
        <v>1582.69995117188</v>
      </c>
    </row>
    <row r="13425" spans="1:2" x14ac:dyDescent="0.25">
      <c r="A13425" s="5">
        <v>41396</v>
      </c>
      <c r="B13425">
        <v>1597.58996582031</v>
      </c>
    </row>
    <row r="13426" spans="1:2" x14ac:dyDescent="0.25">
      <c r="A13426" s="5">
        <v>41397</v>
      </c>
      <c r="B13426">
        <v>1614.42004394531</v>
      </c>
    </row>
    <row r="13427" spans="1:2" x14ac:dyDescent="0.25">
      <c r="A13427" s="5">
        <v>41400</v>
      </c>
      <c r="B13427">
        <v>1617.5</v>
      </c>
    </row>
    <row r="13428" spans="1:2" x14ac:dyDescent="0.25">
      <c r="A13428" s="5">
        <v>41401</v>
      </c>
      <c r="B13428">
        <v>1625.9599609375</v>
      </c>
    </row>
    <row r="13429" spans="1:2" x14ac:dyDescent="0.25">
      <c r="A13429" s="5">
        <v>41402</v>
      </c>
      <c r="B13429">
        <v>1632.68994140625</v>
      </c>
    </row>
    <row r="13430" spans="1:2" x14ac:dyDescent="0.25">
      <c r="A13430" s="5">
        <v>41403</v>
      </c>
      <c r="B13430">
        <v>1626.67004394531</v>
      </c>
    </row>
    <row r="13431" spans="1:2" x14ac:dyDescent="0.25">
      <c r="A13431" s="5">
        <v>41404</v>
      </c>
      <c r="B13431">
        <v>1633.69995117188</v>
      </c>
    </row>
    <row r="13432" spans="1:2" x14ac:dyDescent="0.25">
      <c r="A13432" s="5">
        <v>41407</v>
      </c>
      <c r="B13432">
        <v>1633.77001953125</v>
      </c>
    </row>
    <row r="13433" spans="1:2" x14ac:dyDescent="0.25">
      <c r="A13433" s="5">
        <v>41408</v>
      </c>
      <c r="B13433">
        <v>1650.33996582031</v>
      </c>
    </row>
    <row r="13434" spans="1:2" x14ac:dyDescent="0.25">
      <c r="A13434" s="5">
        <v>41409</v>
      </c>
      <c r="B13434">
        <v>1658.78002929688</v>
      </c>
    </row>
    <row r="13435" spans="1:2" x14ac:dyDescent="0.25">
      <c r="A13435" s="5">
        <v>41410</v>
      </c>
      <c r="B13435">
        <v>1650.46997070312</v>
      </c>
    </row>
    <row r="13436" spans="1:2" x14ac:dyDescent="0.25">
      <c r="A13436" s="5">
        <v>41411</v>
      </c>
      <c r="B13436">
        <v>1667.46997070312</v>
      </c>
    </row>
    <row r="13437" spans="1:2" x14ac:dyDescent="0.25">
      <c r="A13437" s="5">
        <v>41414</v>
      </c>
      <c r="B13437">
        <v>1666.2900390625</v>
      </c>
    </row>
    <row r="13438" spans="1:2" x14ac:dyDescent="0.25">
      <c r="A13438" s="5">
        <v>41415</v>
      </c>
      <c r="B13438">
        <v>1669.16003417969</v>
      </c>
    </row>
    <row r="13439" spans="1:2" x14ac:dyDescent="0.25">
      <c r="A13439" s="5">
        <v>41416</v>
      </c>
      <c r="B13439">
        <v>1655.34997558594</v>
      </c>
    </row>
    <row r="13440" spans="1:2" x14ac:dyDescent="0.25">
      <c r="A13440" s="5">
        <v>41417</v>
      </c>
      <c r="B13440">
        <v>1650.51000976562</v>
      </c>
    </row>
    <row r="13441" spans="1:2" x14ac:dyDescent="0.25">
      <c r="A13441" s="5">
        <v>41418</v>
      </c>
      <c r="B13441">
        <v>1649.59997558594</v>
      </c>
    </row>
    <row r="13442" spans="1:2" x14ac:dyDescent="0.25">
      <c r="A13442" s="5">
        <v>41422</v>
      </c>
      <c r="B13442">
        <v>1660.06005859375</v>
      </c>
    </row>
    <row r="13443" spans="1:2" x14ac:dyDescent="0.25">
      <c r="A13443" s="5">
        <v>41423</v>
      </c>
      <c r="B13443">
        <v>1648.35998535156</v>
      </c>
    </row>
    <row r="13444" spans="1:2" x14ac:dyDescent="0.25">
      <c r="A13444" s="5">
        <v>41424</v>
      </c>
      <c r="B13444">
        <v>1654.41003417969</v>
      </c>
    </row>
    <row r="13445" spans="1:2" x14ac:dyDescent="0.25">
      <c r="A13445" s="5">
        <v>41425</v>
      </c>
      <c r="B13445">
        <v>1630.73999023438</v>
      </c>
    </row>
    <row r="13446" spans="1:2" x14ac:dyDescent="0.25">
      <c r="A13446" s="5">
        <v>41428</v>
      </c>
      <c r="B13446">
        <v>1640.42004394531</v>
      </c>
    </row>
    <row r="13447" spans="1:2" x14ac:dyDescent="0.25">
      <c r="A13447" s="5">
        <v>41429</v>
      </c>
      <c r="B13447">
        <v>1631.38000488281</v>
      </c>
    </row>
    <row r="13448" spans="1:2" x14ac:dyDescent="0.25">
      <c r="A13448" s="5">
        <v>41430</v>
      </c>
      <c r="B13448">
        <v>1608.90002441406</v>
      </c>
    </row>
    <row r="13449" spans="1:2" x14ac:dyDescent="0.25">
      <c r="A13449" s="5">
        <v>41431</v>
      </c>
      <c r="B13449">
        <v>1622.56005859375</v>
      </c>
    </row>
    <row r="13450" spans="1:2" x14ac:dyDescent="0.25">
      <c r="A13450" s="5">
        <v>41432</v>
      </c>
      <c r="B13450">
        <v>1643.38000488281</v>
      </c>
    </row>
    <row r="13451" spans="1:2" x14ac:dyDescent="0.25">
      <c r="A13451" s="5">
        <v>41435</v>
      </c>
      <c r="B13451">
        <v>1642.81005859375</v>
      </c>
    </row>
    <row r="13452" spans="1:2" x14ac:dyDescent="0.25">
      <c r="A13452" s="5">
        <v>41436</v>
      </c>
      <c r="B13452">
        <v>1626.13000488281</v>
      </c>
    </row>
    <row r="13453" spans="1:2" x14ac:dyDescent="0.25">
      <c r="A13453" s="5">
        <v>41437</v>
      </c>
      <c r="B13453">
        <v>1612.52001953125</v>
      </c>
    </row>
    <row r="13454" spans="1:2" x14ac:dyDescent="0.25">
      <c r="A13454" s="5">
        <v>41438</v>
      </c>
      <c r="B13454">
        <v>1636.35998535156</v>
      </c>
    </row>
    <row r="13455" spans="1:2" x14ac:dyDescent="0.25">
      <c r="A13455" s="5">
        <v>41439</v>
      </c>
      <c r="B13455">
        <v>1626.72998046875</v>
      </c>
    </row>
    <row r="13456" spans="1:2" x14ac:dyDescent="0.25">
      <c r="A13456" s="5">
        <v>41442</v>
      </c>
      <c r="B13456">
        <v>1639.0400390625</v>
      </c>
    </row>
    <row r="13457" spans="1:2" x14ac:dyDescent="0.25">
      <c r="A13457" s="5">
        <v>41443</v>
      </c>
      <c r="B13457">
        <v>1651.81005859375</v>
      </c>
    </row>
    <row r="13458" spans="1:2" x14ac:dyDescent="0.25">
      <c r="A13458" s="5">
        <v>41444</v>
      </c>
      <c r="B13458">
        <v>1628.93005371094</v>
      </c>
    </row>
    <row r="13459" spans="1:2" x14ac:dyDescent="0.25">
      <c r="A13459" s="5">
        <v>41445</v>
      </c>
      <c r="B13459">
        <v>1588.18994140625</v>
      </c>
    </row>
    <row r="13460" spans="1:2" x14ac:dyDescent="0.25">
      <c r="A13460" s="5">
        <v>41446</v>
      </c>
      <c r="B13460">
        <v>1592.43005371094</v>
      </c>
    </row>
    <row r="13461" spans="1:2" x14ac:dyDescent="0.25">
      <c r="A13461" s="5">
        <v>41449</v>
      </c>
      <c r="B13461">
        <v>1573.08996582031</v>
      </c>
    </row>
    <row r="13462" spans="1:2" x14ac:dyDescent="0.25">
      <c r="A13462" s="5">
        <v>41450</v>
      </c>
      <c r="B13462">
        <v>1588.03002929688</v>
      </c>
    </row>
    <row r="13463" spans="1:2" x14ac:dyDescent="0.25">
      <c r="A13463" s="5">
        <v>41451</v>
      </c>
      <c r="B13463">
        <v>1603.26000976562</v>
      </c>
    </row>
    <row r="13464" spans="1:2" x14ac:dyDescent="0.25">
      <c r="A13464" s="5">
        <v>41452</v>
      </c>
      <c r="B13464">
        <v>1613.19995117188</v>
      </c>
    </row>
    <row r="13465" spans="1:2" x14ac:dyDescent="0.25">
      <c r="A13465" s="5">
        <v>41453</v>
      </c>
      <c r="B13465">
        <v>1606.28002929688</v>
      </c>
    </row>
    <row r="13466" spans="1:2" x14ac:dyDescent="0.25">
      <c r="A13466" s="5">
        <v>41456</v>
      </c>
      <c r="B13466">
        <v>1614.9599609375</v>
      </c>
    </row>
    <row r="13467" spans="1:2" x14ac:dyDescent="0.25">
      <c r="A13467" s="5">
        <v>41457</v>
      </c>
      <c r="B13467">
        <v>1614.07995605469</v>
      </c>
    </row>
    <row r="13468" spans="1:2" x14ac:dyDescent="0.25">
      <c r="A13468" s="5">
        <v>41458</v>
      </c>
      <c r="B13468">
        <v>1615.41003417969</v>
      </c>
    </row>
    <row r="13469" spans="1:2" x14ac:dyDescent="0.25">
      <c r="A13469" s="5">
        <v>41460</v>
      </c>
      <c r="B13469">
        <v>1631.89001464844</v>
      </c>
    </row>
    <row r="13470" spans="1:2" x14ac:dyDescent="0.25">
      <c r="A13470" s="5">
        <v>41463</v>
      </c>
      <c r="B13470">
        <v>1640.4599609375</v>
      </c>
    </row>
    <row r="13471" spans="1:2" x14ac:dyDescent="0.25">
      <c r="A13471" s="5">
        <v>41464</v>
      </c>
      <c r="B13471">
        <v>1652.31994628906</v>
      </c>
    </row>
    <row r="13472" spans="1:2" x14ac:dyDescent="0.25">
      <c r="A13472" s="5">
        <v>41465</v>
      </c>
      <c r="B13472">
        <v>1652.61999511719</v>
      </c>
    </row>
    <row r="13473" spans="1:2" x14ac:dyDescent="0.25">
      <c r="A13473" s="5">
        <v>41466</v>
      </c>
      <c r="B13473">
        <v>1675.02001953125</v>
      </c>
    </row>
    <row r="13474" spans="1:2" x14ac:dyDescent="0.25">
      <c r="A13474" s="5">
        <v>41467</v>
      </c>
      <c r="B13474">
        <v>1680.18994140625</v>
      </c>
    </row>
    <row r="13475" spans="1:2" x14ac:dyDescent="0.25">
      <c r="A13475" s="5">
        <v>41470</v>
      </c>
      <c r="B13475">
        <v>1682.5</v>
      </c>
    </row>
    <row r="13476" spans="1:2" x14ac:dyDescent="0.25">
      <c r="A13476" s="5">
        <v>41471</v>
      </c>
      <c r="B13476">
        <v>1676.26000976562</v>
      </c>
    </row>
    <row r="13477" spans="1:2" x14ac:dyDescent="0.25">
      <c r="A13477" s="5">
        <v>41472</v>
      </c>
      <c r="B13477">
        <v>1680.91003417969</v>
      </c>
    </row>
    <row r="13478" spans="1:2" x14ac:dyDescent="0.25">
      <c r="A13478" s="5">
        <v>41473</v>
      </c>
      <c r="B13478">
        <v>1689.36999511719</v>
      </c>
    </row>
    <row r="13479" spans="1:2" x14ac:dyDescent="0.25">
      <c r="A13479" s="5">
        <v>41474</v>
      </c>
      <c r="B13479">
        <v>1692.08996582031</v>
      </c>
    </row>
    <row r="13480" spans="1:2" x14ac:dyDescent="0.25">
      <c r="A13480" s="5">
        <v>41477</v>
      </c>
      <c r="B13480">
        <v>1695.53002929688</v>
      </c>
    </row>
    <row r="13481" spans="1:2" x14ac:dyDescent="0.25">
      <c r="A13481" s="5">
        <v>41478</v>
      </c>
      <c r="B13481">
        <v>1692.39001464844</v>
      </c>
    </row>
    <row r="13482" spans="1:2" x14ac:dyDescent="0.25">
      <c r="A13482" s="5">
        <v>41479</v>
      </c>
      <c r="B13482">
        <v>1685.93994140625</v>
      </c>
    </row>
    <row r="13483" spans="1:2" x14ac:dyDescent="0.25">
      <c r="A13483" s="5">
        <v>41480</v>
      </c>
      <c r="B13483">
        <v>1690.25</v>
      </c>
    </row>
    <row r="13484" spans="1:2" x14ac:dyDescent="0.25">
      <c r="A13484" s="5">
        <v>41481</v>
      </c>
      <c r="B13484">
        <v>1691.65002441406</v>
      </c>
    </row>
    <row r="13485" spans="1:2" x14ac:dyDescent="0.25">
      <c r="A13485" s="5">
        <v>41484</v>
      </c>
      <c r="B13485">
        <v>1685.32995605469</v>
      </c>
    </row>
    <row r="13486" spans="1:2" x14ac:dyDescent="0.25">
      <c r="A13486" s="5">
        <v>41485</v>
      </c>
      <c r="B13486">
        <v>1685.9599609375</v>
      </c>
    </row>
    <row r="13487" spans="1:2" x14ac:dyDescent="0.25">
      <c r="A13487" s="5">
        <v>41486</v>
      </c>
      <c r="B13487">
        <v>1685.72998046875</v>
      </c>
    </row>
    <row r="13488" spans="1:2" x14ac:dyDescent="0.25">
      <c r="A13488" s="5">
        <v>41487</v>
      </c>
      <c r="B13488">
        <v>1706.86999511719</v>
      </c>
    </row>
    <row r="13489" spans="1:2" x14ac:dyDescent="0.25">
      <c r="A13489" s="5">
        <v>41488</v>
      </c>
      <c r="B13489">
        <v>1709.67004394531</v>
      </c>
    </row>
    <row r="13490" spans="1:2" x14ac:dyDescent="0.25">
      <c r="A13490" s="5">
        <v>41491</v>
      </c>
      <c r="B13490">
        <v>1707.14001464844</v>
      </c>
    </row>
    <row r="13491" spans="1:2" x14ac:dyDescent="0.25">
      <c r="A13491" s="5">
        <v>41492</v>
      </c>
      <c r="B13491">
        <v>1697.36999511719</v>
      </c>
    </row>
    <row r="13492" spans="1:2" x14ac:dyDescent="0.25">
      <c r="A13492" s="5">
        <v>41493</v>
      </c>
      <c r="B13492">
        <v>1690.91003417969</v>
      </c>
    </row>
    <row r="13493" spans="1:2" x14ac:dyDescent="0.25">
      <c r="A13493" s="5">
        <v>41494</v>
      </c>
      <c r="B13493">
        <v>1697.47998046875</v>
      </c>
    </row>
    <row r="13494" spans="1:2" x14ac:dyDescent="0.25">
      <c r="A13494" s="5">
        <v>41495</v>
      </c>
      <c r="B13494">
        <v>1691.42004394531</v>
      </c>
    </row>
    <row r="13495" spans="1:2" x14ac:dyDescent="0.25">
      <c r="A13495" s="5">
        <v>41498</v>
      </c>
      <c r="B13495">
        <v>1689.46997070312</v>
      </c>
    </row>
    <row r="13496" spans="1:2" x14ac:dyDescent="0.25">
      <c r="A13496" s="5">
        <v>41499</v>
      </c>
      <c r="B13496">
        <v>1694.16003417969</v>
      </c>
    </row>
    <row r="13497" spans="1:2" x14ac:dyDescent="0.25">
      <c r="A13497" s="5">
        <v>41500</v>
      </c>
      <c r="B13497">
        <v>1685.39001464844</v>
      </c>
    </row>
    <row r="13498" spans="1:2" x14ac:dyDescent="0.25">
      <c r="A13498" s="5">
        <v>41501</v>
      </c>
      <c r="B13498">
        <v>1661.31994628906</v>
      </c>
    </row>
    <row r="13499" spans="1:2" x14ac:dyDescent="0.25">
      <c r="A13499" s="5">
        <v>41502</v>
      </c>
      <c r="B13499">
        <v>1655.82995605469</v>
      </c>
    </row>
    <row r="13500" spans="1:2" x14ac:dyDescent="0.25">
      <c r="A13500" s="5">
        <v>41505</v>
      </c>
      <c r="B13500">
        <v>1646.06005859375</v>
      </c>
    </row>
    <row r="13501" spans="1:2" x14ac:dyDescent="0.25">
      <c r="A13501" s="5">
        <v>41506</v>
      </c>
      <c r="B13501">
        <v>1652.34997558594</v>
      </c>
    </row>
    <row r="13502" spans="1:2" x14ac:dyDescent="0.25">
      <c r="A13502" s="5">
        <v>41507</v>
      </c>
      <c r="B13502">
        <v>1642.80004882812</v>
      </c>
    </row>
    <row r="13503" spans="1:2" x14ac:dyDescent="0.25">
      <c r="A13503" s="5">
        <v>41508</v>
      </c>
      <c r="B13503">
        <v>1656.9599609375</v>
      </c>
    </row>
    <row r="13504" spans="1:2" x14ac:dyDescent="0.25">
      <c r="A13504" s="5">
        <v>41509</v>
      </c>
      <c r="B13504">
        <v>1663.5</v>
      </c>
    </row>
    <row r="13505" spans="1:2" x14ac:dyDescent="0.25">
      <c r="A13505" s="5">
        <v>41512</v>
      </c>
      <c r="B13505">
        <v>1656.78002929688</v>
      </c>
    </row>
    <row r="13506" spans="1:2" x14ac:dyDescent="0.25">
      <c r="A13506" s="5">
        <v>41513</v>
      </c>
      <c r="B13506">
        <v>1630.47998046875</v>
      </c>
    </row>
    <row r="13507" spans="1:2" x14ac:dyDescent="0.25">
      <c r="A13507" s="5">
        <v>41514</v>
      </c>
      <c r="B13507">
        <v>1634.9599609375</v>
      </c>
    </row>
    <row r="13508" spans="1:2" x14ac:dyDescent="0.25">
      <c r="A13508" s="5">
        <v>41515</v>
      </c>
      <c r="B13508">
        <v>1638.17004394531</v>
      </c>
    </row>
    <row r="13509" spans="1:2" x14ac:dyDescent="0.25">
      <c r="A13509" s="5">
        <v>41516</v>
      </c>
      <c r="B13509">
        <v>1632.96997070312</v>
      </c>
    </row>
    <row r="13510" spans="1:2" x14ac:dyDescent="0.25">
      <c r="A13510" s="5">
        <v>41520</v>
      </c>
      <c r="B13510">
        <v>1639.77001953125</v>
      </c>
    </row>
    <row r="13511" spans="1:2" x14ac:dyDescent="0.25">
      <c r="A13511" s="5">
        <v>41521</v>
      </c>
      <c r="B13511">
        <v>1653.07995605469</v>
      </c>
    </row>
    <row r="13512" spans="1:2" x14ac:dyDescent="0.25">
      <c r="A13512" s="5">
        <v>41522</v>
      </c>
      <c r="B13512">
        <v>1655.07995605469</v>
      </c>
    </row>
    <row r="13513" spans="1:2" x14ac:dyDescent="0.25">
      <c r="A13513" s="5">
        <v>41523</v>
      </c>
      <c r="B13513">
        <v>1655.17004394531</v>
      </c>
    </row>
    <row r="13514" spans="1:2" x14ac:dyDescent="0.25">
      <c r="A13514" s="5">
        <v>41526</v>
      </c>
      <c r="B13514">
        <v>1671.7099609375</v>
      </c>
    </row>
    <row r="13515" spans="1:2" x14ac:dyDescent="0.25">
      <c r="A13515" s="5">
        <v>41527</v>
      </c>
      <c r="B13515">
        <v>1683.98999023438</v>
      </c>
    </row>
    <row r="13516" spans="1:2" x14ac:dyDescent="0.25">
      <c r="A13516" s="5">
        <v>41528</v>
      </c>
      <c r="B13516">
        <v>1689.13000488281</v>
      </c>
    </row>
    <row r="13517" spans="1:2" x14ac:dyDescent="0.25">
      <c r="A13517" s="5">
        <v>41529</v>
      </c>
      <c r="B13517">
        <v>1683.42004394531</v>
      </c>
    </row>
    <row r="13518" spans="1:2" x14ac:dyDescent="0.25">
      <c r="A13518" s="5">
        <v>41530</v>
      </c>
      <c r="B13518">
        <v>1687.98999023438</v>
      </c>
    </row>
    <row r="13519" spans="1:2" x14ac:dyDescent="0.25">
      <c r="A13519" s="5">
        <v>41533</v>
      </c>
      <c r="B13519">
        <v>1697.59997558594</v>
      </c>
    </row>
    <row r="13520" spans="1:2" x14ac:dyDescent="0.25">
      <c r="A13520" s="5">
        <v>41534</v>
      </c>
      <c r="B13520">
        <v>1704.76000976562</v>
      </c>
    </row>
    <row r="13521" spans="1:2" x14ac:dyDescent="0.25">
      <c r="A13521" s="5">
        <v>41535</v>
      </c>
      <c r="B13521">
        <v>1725.52001953125</v>
      </c>
    </row>
    <row r="13522" spans="1:2" x14ac:dyDescent="0.25">
      <c r="A13522" s="5">
        <v>41536</v>
      </c>
      <c r="B13522">
        <v>1722.33996582031</v>
      </c>
    </row>
    <row r="13523" spans="1:2" x14ac:dyDescent="0.25">
      <c r="A13523" s="5">
        <v>41537</v>
      </c>
      <c r="B13523">
        <v>1709.91003417969</v>
      </c>
    </row>
    <row r="13524" spans="1:2" x14ac:dyDescent="0.25">
      <c r="A13524" s="5">
        <v>41540</v>
      </c>
      <c r="B13524">
        <v>1701.83996582031</v>
      </c>
    </row>
    <row r="13525" spans="1:2" x14ac:dyDescent="0.25">
      <c r="A13525" s="5">
        <v>41541</v>
      </c>
      <c r="B13525">
        <v>1697.42004394531</v>
      </c>
    </row>
    <row r="13526" spans="1:2" x14ac:dyDescent="0.25">
      <c r="A13526" s="5">
        <v>41542</v>
      </c>
      <c r="B13526">
        <v>1692.77001953125</v>
      </c>
    </row>
    <row r="13527" spans="1:2" x14ac:dyDescent="0.25">
      <c r="A13527" s="5">
        <v>41543</v>
      </c>
      <c r="B13527">
        <v>1698.67004394531</v>
      </c>
    </row>
    <row r="13528" spans="1:2" x14ac:dyDescent="0.25">
      <c r="A13528" s="5">
        <v>41544</v>
      </c>
      <c r="B13528">
        <v>1691.75</v>
      </c>
    </row>
    <row r="13529" spans="1:2" x14ac:dyDescent="0.25">
      <c r="A13529" s="5">
        <v>41547</v>
      </c>
      <c r="B13529">
        <v>1681.55004882812</v>
      </c>
    </row>
    <row r="13530" spans="1:2" x14ac:dyDescent="0.25">
      <c r="A13530" s="5">
        <v>41548</v>
      </c>
      <c r="B13530">
        <v>1695</v>
      </c>
    </row>
    <row r="13531" spans="1:2" x14ac:dyDescent="0.25">
      <c r="A13531" s="5">
        <v>41549</v>
      </c>
      <c r="B13531">
        <v>1693.86999511719</v>
      </c>
    </row>
    <row r="13532" spans="1:2" x14ac:dyDescent="0.25">
      <c r="A13532" s="5">
        <v>41550</v>
      </c>
      <c r="B13532">
        <v>1678.66003417969</v>
      </c>
    </row>
    <row r="13533" spans="1:2" x14ac:dyDescent="0.25">
      <c r="A13533" s="5">
        <v>41551</v>
      </c>
      <c r="B13533">
        <v>1690.5</v>
      </c>
    </row>
    <row r="13534" spans="1:2" x14ac:dyDescent="0.25">
      <c r="A13534" s="5">
        <v>41554</v>
      </c>
      <c r="B13534">
        <v>1676.11999511719</v>
      </c>
    </row>
    <row r="13535" spans="1:2" x14ac:dyDescent="0.25">
      <c r="A13535" s="5">
        <v>41555</v>
      </c>
      <c r="B13535">
        <v>1655.44995117188</v>
      </c>
    </row>
    <row r="13536" spans="1:2" x14ac:dyDescent="0.25">
      <c r="A13536" s="5">
        <v>41556</v>
      </c>
      <c r="B13536">
        <v>1656.40002441406</v>
      </c>
    </row>
    <row r="13537" spans="1:2" x14ac:dyDescent="0.25">
      <c r="A13537" s="5">
        <v>41557</v>
      </c>
      <c r="B13537">
        <v>1692.56005859375</v>
      </c>
    </row>
    <row r="13538" spans="1:2" x14ac:dyDescent="0.25">
      <c r="A13538" s="5">
        <v>41558</v>
      </c>
      <c r="B13538">
        <v>1703.19995117188</v>
      </c>
    </row>
    <row r="13539" spans="1:2" x14ac:dyDescent="0.25">
      <c r="A13539" s="5">
        <v>41561</v>
      </c>
      <c r="B13539">
        <v>1710.14001464844</v>
      </c>
    </row>
    <row r="13540" spans="1:2" x14ac:dyDescent="0.25">
      <c r="A13540" s="5">
        <v>41562</v>
      </c>
      <c r="B13540">
        <v>1698.06005859375</v>
      </c>
    </row>
    <row r="13541" spans="1:2" x14ac:dyDescent="0.25">
      <c r="A13541" s="5">
        <v>41563</v>
      </c>
      <c r="B13541">
        <v>1721.5400390625</v>
      </c>
    </row>
    <row r="13542" spans="1:2" x14ac:dyDescent="0.25">
      <c r="A13542" s="5">
        <v>41564</v>
      </c>
      <c r="B13542">
        <v>1733.15002441406</v>
      </c>
    </row>
    <row r="13543" spans="1:2" x14ac:dyDescent="0.25">
      <c r="A13543" s="5">
        <v>41565</v>
      </c>
      <c r="B13543">
        <v>1744.5</v>
      </c>
    </row>
    <row r="13544" spans="1:2" x14ac:dyDescent="0.25">
      <c r="A13544" s="5">
        <v>41568</v>
      </c>
      <c r="B13544">
        <v>1744.66003417969</v>
      </c>
    </row>
    <row r="13545" spans="1:2" x14ac:dyDescent="0.25">
      <c r="A13545" s="5">
        <v>41569</v>
      </c>
      <c r="B13545">
        <v>1754.67004394531</v>
      </c>
    </row>
    <row r="13546" spans="1:2" x14ac:dyDescent="0.25">
      <c r="A13546" s="5">
        <v>41570</v>
      </c>
      <c r="B13546">
        <v>1746.38000488281</v>
      </c>
    </row>
    <row r="13547" spans="1:2" x14ac:dyDescent="0.25">
      <c r="A13547" s="5">
        <v>41571</v>
      </c>
      <c r="B13547">
        <v>1752.06994628906</v>
      </c>
    </row>
    <row r="13548" spans="1:2" x14ac:dyDescent="0.25">
      <c r="A13548" s="5">
        <v>41572</v>
      </c>
      <c r="B13548">
        <v>1759.77001953125</v>
      </c>
    </row>
    <row r="13549" spans="1:2" x14ac:dyDescent="0.25">
      <c r="A13549" s="5">
        <v>41575</v>
      </c>
      <c r="B13549">
        <v>1762.10998535156</v>
      </c>
    </row>
    <row r="13550" spans="1:2" x14ac:dyDescent="0.25">
      <c r="A13550" s="5">
        <v>41576</v>
      </c>
      <c r="B13550">
        <v>1771.94995117188</v>
      </c>
    </row>
    <row r="13551" spans="1:2" x14ac:dyDescent="0.25">
      <c r="A13551" s="5">
        <v>41577</v>
      </c>
      <c r="B13551">
        <v>1763.31005859375</v>
      </c>
    </row>
    <row r="13552" spans="1:2" x14ac:dyDescent="0.25">
      <c r="A13552" s="5">
        <v>41578</v>
      </c>
      <c r="B13552">
        <v>1756.5400390625</v>
      </c>
    </row>
    <row r="13553" spans="1:2" x14ac:dyDescent="0.25">
      <c r="A13553" s="5">
        <v>41579</v>
      </c>
      <c r="B13553">
        <v>1761.64001464844</v>
      </c>
    </row>
    <row r="13554" spans="1:2" x14ac:dyDescent="0.25">
      <c r="A13554" s="5">
        <v>41582</v>
      </c>
      <c r="B13554">
        <v>1767.93005371094</v>
      </c>
    </row>
    <row r="13555" spans="1:2" x14ac:dyDescent="0.25">
      <c r="A13555" s="5">
        <v>41583</v>
      </c>
      <c r="B13555">
        <v>1762.96997070312</v>
      </c>
    </row>
    <row r="13556" spans="1:2" x14ac:dyDescent="0.25">
      <c r="A13556" s="5">
        <v>41584</v>
      </c>
      <c r="B13556">
        <v>1770.48999023438</v>
      </c>
    </row>
    <row r="13557" spans="1:2" x14ac:dyDescent="0.25">
      <c r="A13557" s="5">
        <v>41585</v>
      </c>
      <c r="B13557">
        <v>1747.15002441406</v>
      </c>
    </row>
    <row r="13558" spans="1:2" x14ac:dyDescent="0.25">
      <c r="A13558" s="5">
        <v>41586</v>
      </c>
      <c r="B13558">
        <v>1770.60998535156</v>
      </c>
    </row>
    <row r="13559" spans="1:2" x14ac:dyDescent="0.25">
      <c r="A13559" s="5">
        <v>41589</v>
      </c>
      <c r="B13559">
        <v>1771.89001464844</v>
      </c>
    </row>
    <row r="13560" spans="1:2" x14ac:dyDescent="0.25">
      <c r="A13560" s="5">
        <v>41590</v>
      </c>
      <c r="B13560">
        <v>1767.68994140625</v>
      </c>
    </row>
    <row r="13561" spans="1:2" x14ac:dyDescent="0.25">
      <c r="A13561" s="5">
        <v>41591</v>
      </c>
      <c r="B13561">
        <v>1782</v>
      </c>
    </row>
    <row r="13562" spans="1:2" x14ac:dyDescent="0.25">
      <c r="A13562" s="5">
        <v>41592</v>
      </c>
      <c r="B13562">
        <v>1790.61999511719</v>
      </c>
    </row>
    <row r="13563" spans="1:2" x14ac:dyDescent="0.25">
      <c r="A13563" s="5">
        <v>41593</v>
      </c>
      <c r="B13563">
        <v>1798.18005371094</v>
      </c>
    </row>
    <row r="13564" spans="1:2" x14ac:dyDescent="0.25">
      <c r="A13564" s="5">
        <v>41596</v>
      </c>
      <c r="B13564">
        <v>1791.53002929688</v>
      </c>
    </row>
    <row r="13565" spans="1:2" x14ac:dyDescent="0.25">
      <c r="A13565" s="5">
        <v>41597</v>
      </c>
      <c r="B13565">
        <v>1787.86999511719</v>
      </c>
    </row>
    <row r="13566" spans="1:2" x14ac:dyDescent="0.25">
      <c r="A13566" s="5">
        <v>41598</v>
      </c>
      <c r="B13566">
        <v>1781.36999511719</v>
      </c>
    </row>
    <row r="13567" spans="1:2" x14ac:dyDescent="0.25">
      <c r="A13567" s="5">
        <v>41599</v>
      </c>
      <c r="B13567">
        <v>1795.84997558594</v>
      </c>
    </row>
    <row r="13568" spans="1:2" x14ac:dyDescent="0.25">
      <c r="A13568" s="5">
        <v>41600</v>
      </c>
      <c r="B13568">
        <v>1804.76000976562</v>
      </c>
    </row>
    <row r="13569" spans="1:2" x14ac:dyDescent="0.25">
      <c r="A13569" s="5">
        <v>41603</v>
      </c>
      <c r="B13569">
        <v>1802.47998046875</v>
      </c>
    </row>
    <row r="13570" spans="1:2" x14ac:dyDescent="0.25">
      <c r="A13570" s="5">
        <v>41604</v>
      </c>
      <c r="B13570">
        <v>1802.75</v>
      </c>
    </row>
    <row r="13571" spans="1:2" x14ac:dyDescent="0.25">
      <c r="A13571" s="5">
        <v>41605</v>
      </c>
      <c r="B13571">
        <v>1807.22998046875</v>
      </c>
    </row>
    <row r="13572" spans="1:2" x14ac:dyDescent="0.25">
      <c r="A13572" s="5">
        <v>41607</v>
      </c>
      <c r="B13572">
        <v>1805.81005859375</v>
      </c>
    </row>
    <row r="13573" spans="1:2" x14ac:dyDescent="0.25">
      <c r="A13573" s="5">
        <v>41610</v>
      </c>
      <c r="B13573">
        <v>1800.90002441406</v>
      </c>
    </row>
    <row r="13574" spans="1:2" x14ac:dyDescent="0.25">
      <c r="A13574" s="5">
        <v>41611</v>
      </c>
      <c r="B13574">
        <v>1795.15002441406</v>
      </c>
    </row>
    <row r="13575" spans="1:2" x14ac:dyDescent="0.25">
      <c r="A13575" s="5">
        <v>41612</v>
      </c>
      <c r="B13575">
        <v>1792.81005859375</v>
      </c>
    </row>
    <row r="13576" spans="1:2" x14ac:dyDescent="0.25">
      <c r="A13576" s="5">
        <v>41613</v>
      </c>
      <c r="B13576">
        <v>1785.03002929688</v>
      </c>
    </row>
    <row r="13577" spans="1:2" x14ac:dyDescent="0.25">
      <c r="A13577" s="5">
        <v>41614</v>
      </c>
      <c r="B13577">
        <v>1805.08996582031</v>
      </c>
    </row>
    <row r="13578" spans="1:2" x14ac:dyDescent="0.25">
      <c r="A13578" s="5">
        <v>41617</v>
      </c>
      <c r="B13578">
        <v>1808.36999511719</v>
      </c>
    </row>
    <row r="13579" spans="1:2" x14ac:dyDescent="0.25">
      <c r="A13579" s="5">
        <v>41618</v>
      </c>
      <c r="B13579">
        <v>1802.61999511719</v>
      </c>
    </row>
    <row r="13580" spans="1:2" x14ac:dyDescent="0.25">
      <c r="A13580" s="5">
        <v>41619</v>
      </c>
      <c r="B13580">
        <v>1782.21997070312</v>
      </c>
    </row>
    <row r="13581" spans="1:2" x14ac:dyDescent="0.25">
      <c r="A13581" s="5">
        <v>41620</v>
      </c>
      <c r="B13581">
        <v>1775.5</v>
      </c>
    </row>
    <row r="13582" spans="1:2" x14ac:dyDescent="0.25">
      <c r="A13582" s="5">
        <v>41621</v>
      </c>
      <c r="B13582">
        <v>1775.31994628906</v>
      </c>
    </row>
    <row r="13583" spans="1:2" x14ac:dyDescent="0.25">
      <c r="A13583" s="5">
        <v>41624</v>
      </c>
      <c r="B13583">
        <v>1786.5400390625</v>
      </c>
    </row>
    <row r="13584" spans="1:2" x14ac:dyDescent="0.25">
      <c r="A13584" s="5">
        <v>41625</v>
      </c>
      <c r="B13584">
        <v>1781</v>
      </c>
    </row>
    <row r="13585" spans="1:2" x14ac:dyDescent="0.25">
      <c r="A13585" s="5">
        <v>41626</v>
      </c>
      <c r="B13585">
        <v>1810.65002441406</v>
      </c>
    </row>
    <row r="13586" spans="1:2" x14ac:dyDescent="0.25">
      <c r="A13586" s="5">
        <v>41627</v>
      </c>
      <c r="B13586">
        <v>1809.59997558594</v>
      </c>
    </row>
    <row r="13587" spans="1:2" x14ac:dyDescent="0.25">
      <c r="A13587" s="5">
        <v>41628</v>
      </c>
      <c r="B13587">
        <v>1818.31994628906</v>
      </c>
    </row>
    <row r="13588" spans="1:2" x14ac:dyDescent="0.25">
      <c r="A13588" s="5">
        <v>41631</v>
      </c>
      <c r="B13588">
        <v>1827.98999023438</v>
      </c>
    </row>
    <row r="13589" spans="1:2" x14ac:dyDescent="0.25">
      <c r="A13589" s="5">
        <v>41632</v>
      </c>
      <c r="B13589">
        <v>1833.31994628906</v>
      </c>
    </row>
    <row r="13590" spans="1:2" x14ac:dyDescent="0.25">
      <c r="A13590" s="5">
        <v>41634</v>
      </c>
      <c r="B13590">
        <v>1842.02001953125</v>
      </c>
    </row>
    <row r="13591" spans="1:2" x14ac:dyDescent="0.25">
      <c r="A13591" s="5">
        <v>41635</v>
      </c>
      <c r="B13591">
        <v>1841.40002441406</v>
      </c>
    </row>
    <row r="13592" spans="1:2" x14ac:dyDescent="0.25">
      <c r="A13592" s="5">
        <v>41638</v>
      </c>
      <c r="B13592">
        <v>1841.06994628906</v>
      </c>
    </row>
    <row r="13593" spans="1:2" x14ac:dyDescent="0.25">
      <c r="A13593" s="5">
        <v>41639</v>
      </c>
      <c r="B13593">
        <v>1848.35998535156</v>
      </c>
    </row>
    <row r="13594" spans="1:2" x14ac:dyDescent="0.25">
      <c r="A13594" s="5">
        <v>41641</v>
      </c>
      <c r="B13594">
        <v>1831.97998046875</v>
      </c>
    </row>
    <row r="13595" spans="1:2" x14ac:dyDescent="0.25">
      <c r="A13595" s="5">
        <v>41642</v>
      </c>
      <c r="B13595">
        <v>1831.36999511719</v>
      </c>
    </row>
    <row r="13596" spans="1:2" x14ac:dyDescent="0.25">
      <c r="A13596" s="5">
        <v>41645</v>
      </c>
      <c r="B13596">
        <v>1826.77001953125</v>
      </c>
    </row>
    <row r="13597" spans="1:2" x14ac:dyDescent="0.25">
      <c r="A13597" s="5">
        <v>41646</v>
      </c>
      <c r="B13597">
        <v>1837.88000488281</v>
      </c>
    </row>
    <row r="13598" spans="1:2" x14ac:dyDescent="0.25">
      <c r="A13598" s="5">
        <v>41647</v>
      </c>
      <c r="B13598">
        <v>1837.48999023438</v>
      </c>
    </row>
    <row r="13599" spans="1:2" x14ac:dyDescent="0.25">
      <c r="A13599" s="5">
        <v>41648</v>
      </c>
      <c r="B13599">
        <v>1838.13000488281</v>
      </c>
    </row>
    <row r="13600" spans="1:2" x14ac:dyDescent="0.25">
      <c r="A13600" s="5">
        <v>41649</v>
      </c>
      <c r="B13600">
        <v>1842.36999511719</v>
      </c>
    </row>
    <row r="13601" spans="1:2" x14ac:dyDescent="0.25">
      <c r="A13601" s="5">
        <v>41652</v>
      </c>
      <c r="B13601">
        <v>1819.19995117188</v>
      </c>
    </row>
    <row r="13602" spans="1:2" x14ac:dyDescent="0.25">
      <c r="A13602" s="5">
        <v>41653</v>
      </c>
      <c r="B13602">
        <v>1838.88000488281</v>
      </c>
    </row>
    <row r="13603" spans="1:2" x14ac:dyDescent="0.25">
      <c r="A13603" s="5">
        <v>41654</v>
      </c>
      <c r="B13603">
        <v>1848.38000488281</v>
      </c>
    </row>
    <row r="13604" spans="1:2" x14ac:dyDescent="0.25">
      <c r="A13604" s="5">
        <v>41655</v>
      </c>
      <c r="B13604">
        <v>1845.89001464844</v>
      </c>
    </row>
    <row r="13605" spans="1:2" x14ac:dyDescent="0.25">
      <c r="A13605" s="5">
        <v>41656</v>
      </c>
      <c r="B13605">
        <v>1838.69995117188</v>
      </c>
    </row>
    <row r="13606" spans="1:2" x14ac:dyDescent="0.25">
      <c r="A13606" s="5">
        <v>41660</v>
      </c>
      <c r="B13606">
        <v>1843.80004882812</v>
      </c>
    </row>
    <row r="13607" spans="1:2" x14ac:dyDescent="0.25">
      <c r="A13607" s="5">
        <v>41661</v>
      </c>
      <c r="B13607">
        <v>1844.85998535156</v>
      </c>
    </row>
    <row r="13608" spans="1:2" x14ac:dyDescent="0.25">
      <c r="A13608" s="5">
        <v>41662</v>
      </c>
      <c r="B13608">
        <v>1828.4599609375</v>
      </c>
    </row>
    <row r="13609" spans="1:2" x14ac:dyDescent="0.25">
      <c r="A13609" s="5">
        <v>41663</v>
      </c>
      <c r="B13609">
        <v>1790.2900390625</v>
      </c>
    </row>
    <row r="13610" spans="1:2" x14ac:dyDescent="0.25">
      <c r="A13610" s="5">
        <v>41666</v>
      </c>
      <c r="B13610">
        <v>1781.56005859375</v>
      </c>
    </row>
    <row r="13611" spans="1:2" x14ac:dyDescent="0.25">
      <c r="A13611" s="5">
        <v>41667</v>
      </c>
      <c r="B13611">
        <v>1792.5</v>
      </c>
    </row>
    <row r="13612" spans="1:2" x14ac:dyDescent="0.25">
      <c r="A13612" s="5">
        <v>41668</v>
      </c>
      <c r="B13612">
        <v>1774.19995117188</v>
      </c>
    </row>
    <row r="13613" spans="1:2" x14ac:dyDescent="0.25">
      <c r="A13613" s="5">
        <v>41669</v>
      </c>
      <c r="B13613">
        <v>1794.18994140625</v>
      </c>
    </row>
    <row r="13614" spans="1:2" x14ac:dyDescent="0.25">
      <c r="A13614" s="5">
        <v>41670</v>
      </c>
      <c r="B13614">
        <v>1782.58996582031</v>
      </c>
    </row>
    <row r="13615" spans="1:2" x14ac:dyDescent="0.25">
      <c r="A13615" s="5">
        <v>41673</v>
      </c>
      <c r="B13615">
        <v>1741.89001464844</v>
      </c>
    </row>
    <row r="13616" spans="1:2" x14ac:dyDescent="0.25">
      <c r="A13616" s="5">
        <v>41674</v>
      </c>
      <c r="B13616">
        <v>1755.19995117188</v>
      </c>
    </row>
    <row r="13617" spans="1:2" x14ac:dyDescent="0.25">
      <c r="A13617" s="5">
        <v>41675</v>
      </c>
      <c r="B13617">
        <v>1751.64001464844</v>
      </c>
    </row>
    <row r="13618" spans="1:2" x14ac:dyDescent="0.25">
      <c r="A13618" s="5">
        <v>41676</v>
      </c>
      <c r="B13618">
        <v>1773.43005371094</v>
      </c>
    </row>
    <row r="13619" spans="1:2" x14ac:dyDescent="0.25">
      <c r="A13619" s="5">
        <v>41677</v>
      </c>
      <c r="B13619">
        <v>1797.02001953125</v>
      </c>
    </row>
    <row r="13620" spans="1:2" x14ac:dyDescent="0.25">
      <c r="A13620" s="5">
        <v>41680</v>
      </c>
      <c r="B13620">
        <v>1799.83996582031</v>
      </c>
    </row>
    <row r="13621" spans="1:2" x14ac:dyDescent="0.25">
      <c r="A13621" s="5">
        <v>41681</v>
      </c>
      <c r="B13621">
        <v>1819.75</v>
      </c>
    </row>
    <row r="13622" spans="1:2" x14ac:dyDescent="0.25">
      <c r="A13622" s="5">
        <v>41682</v>
      </c>
      <c r="B13622">
        <v>1819.26000976562</v>
      </c>
    </row>
    <row r="13623" spans="1:2" x14ac:dyDescent="0.25">
      <c r="A13623" s="5">
        <v>41683</v>
      </c>
      <c r="B13623">
        <v>1829.82995605469</v>
      </c>
    </row>
    <row r="13624" spans="1:2" x14ac:dyDescent="0.25">
      <c r="A13624" s="5">
        <v>41684</v>
      </c>
      <c r="B13624">
        <v>1838.63000488281</v>
      </c>
    </row>
    <row r="13625" spans="1:2" x14ac:dyDescent="0.25">
      <c r="A13625" s="5">
        <v>41688</v>
      </c>
      <c r="B13625">
        <v>1840.76000976562</v>
      </c>
    </row>
    <row r="13626" spans="1:2" x14ac:dyDescent="0.25">
      <c r="A13626" s="5">
        <v>41689</v>
      </c>
      <c r="B13626">
        <v>1828.75</v>
      </c>
    </row>
    <row r="13627" spans="1:2" x14ac:dyDescent="0.25">
      <c r="A13627" s="5">
        <v>41690</v>
      </c>
      <c r="B13627">
        <v>1839.78002929688</v>
      </c>
    </row>
    <row r="13628" spans="1:2" x14ac:dyDescent="0.25">
      <c r="A13628" s="5">
        <v>41691</v>
      </c>
      <c r="B13628">
        <v>1836.25</v>
      </c>
    </row>
    <row r="13629" spans="1:2" x14ac:dyDescent="0.25">
      <c r="A13629" s="5">
        <v>41694</v>
      </c>
      <c r="B13629">
        <v>1847.60998535156</v>
      </c>
    </row>
    <row r="13630" spans="1:2" x14ac:dyDescent="0.25">
      <c r="A13630" s="5">
        <v>41695</v>
      </c>
      <c r="B13630">
        <v>1845.11999511719</v>
      </c>
    </row>
    <row r="13631" spans="1:2" x14ac:dyDescent="0.25">
      <c r="A13631" s="5">
        <v>41696</v>
      </c>
      <c r="B13631">
        <v>1845.16003417969</v>
      </c>
    </row>
    <row r="13632" spans="1:2" x14ac:dyDescent="0.25">
      <c r="A13632" s="5">
        <v>41697</v>
      </c>
      <c r="B13632">
        <v>1854.2900390625</v>
      </c>
    </row>
    <row r="13633" spans="1:2" x14ac:dyDescent="0.25">
      <c r="A13633" s="5">
        <v>41698</v>
      </c>
      <c r="B13633">
        <v>1859.44995117188</v>
      </c>
    </row>
    <row r="13634" spans="1:2" x14ac:dyDescent="0.25">
      <c r="A13634" s="5">
        <v>41701</v>
      </c>
      <c r="B13634">
        <v>1845.72998046875</v>
      </c>
    </row>
    <row r="13635" spans="1:2" x14ac:dyDescent="0.25">
      <c r="A13635" s="5">
        <v>41702</v>
      </c>
      <c r="B13635">
        <v>1873.91003417969</v>
      </c>
    </row>
    <row r="13636" spans="1:2" x14ac:dyDescent="0.25">
      <c r="A13636" s="5">
        <v>41703</v>
      </c>
      <c r="B13636">
        <v>1873.81005859375</v>
      </c>
    </row>
    <row r="13637" spans="1:2" x14ac:dyDescent="0.25">
      <c r="A13637" s="5">
        <v>41704</v>
      </c>
      <c r="B13637">
        <v>1877.03002929688</v>
      </c>
    </row>
    <row r="13638" spans="1:2" x14ac:dyDescent="0.25">
      <c r="A13638" s="5">
        <v>41705</v>
      </c>
      <c r="B13638">
        <v>1878.0400390625</v>
      </c>
    </row>
    <row r="13639" spans="1:2" x14ac:dyDescent="0.25">
      <c r="A13639" s="5">
        <v>41708</v>
      </c>
      <c r="B13639">
        <v>1877.17004394531</v>
      </c>
    </row>
    <row r="13640" spans="1:2" x14ac:dyDescent="0.25">
      <c r="A13640" s="5">
        <v>41709</v>
      </c>
      <c r="B13640">
        <v>1867.63000488281</v>
      </c>
    </row>
    <row r="13641" spans="1:2" x14ac:dyDescent="0.25">
      <c r="A13641" s="5">
        <v>41710</v>
      </c>
      <c r="B13641">
        <v>1868.19995117188</v>
      </c>
    </row>
    <row r="13642" spans="1:2" x14ac:dyDescent="0.25">
      <c r="A13642" s="5">
        <v>41711</v>
      </c>
      <c r="B13642">
        <v>1846.33996582031</v>
      </c>
    </row>
    <row r="13643" spans="1:2" x14ac:dyDescent="0.25">
      <c r="A13643" s="5">
        <v>41712</v>
      </c>
      <c r="B13643">
        <v>1841.13000488281</v>
      </c>
    </row>
    <row r="13644" spans="1:2" x14ac:dyDescent="0.25">
      <c r="A13644" s="5">
        <v>41715</v>
      </c>
      <c r="B13644">
        <v>1858.82995605469</v>
      </c>
    </row>
    <row r="13645" spans="1:2" x14ac:dyDescent="0.25">
      <c r="A13645" s="5">
        <v>41716</v>
      </c>
      <c r="B13645">
        <v>1872.25</v>
      </c>
    </row>
    <row r="13646" spans="1:2" x14ac:dyDescent="0.25">
      <c r="A13646" s="5">
        <v>41717</v>
      </c>
      <c r="B13646">
        <v>1860.77001953125</v>
      </c>
    </row>
    <row r="13647" spans="1:2" x14ac:dyDescent="0.25">
      <c r="A13647" s="5">
        <v>41718</v>
      </c>
      <c r="B13647">
        <v>1872.01000976562</v>
      </c>
    </row>
    <row r="13648" spans="1:2" x14ac:dyDescent="0.25">
      <c r="A13648" s="5">
        <v>41719</v>
      </c>
      <c r="B13648">
        <v>1866.52001953125</v>
      </c>
    </row>
    <row r="13649" spans="1:2" x14ac:dyDescent="0.25">
      <c r="A13649" s="5">
        <v>41722</v>
      </c>
      <c r="B13649">
        <v>1857.43994140625</v>
      </c>
    </row>
    <row r="13650" spans="1:2" x14ac:dyDescent="0.25">
      <c r="A13650" s="5">
        <v>41723</v>
      </c>
      <c r="B13650">
        <v>1865.61999511719</v>
      </c>
    </row>
    <row r="13651" spans="1:2" x14ac:dyDescent="0.25">
      <c r="A13651" s="5">
        <v>41724</v>
      </c>
      <c r="B13651">
        <v>1852.56005859375</v>
      </c>
    </row>
    <row r="13652" spans="1:2" x14ac:dyDescent="0.25">
      <c r="A13652" s="5">
        <v>41725</v>
      </c>
      <c r="B13652">
        <v>1849.0400390625</v>
      </c>
    </row>
    <row r="13653" spans="1:2" x14ac:dyDescent="0.25">
      <c r="A13653" s="5">
        <v>41726</v>
      </c>
      <c r="B13653">
        <v>1857.61999511719</v>
      </c>
    </row>
    <row r="13654" spans="1:2" x14ac:dyDescent="0.25">
      <c r="A13654" s="5">
        <v>41729</v>
      </c>
      <c r="B13654">
        <v>1872.33996582031</v>
      </c>
    </row>
    <row r="13655" spans="1:2" x14ac:dyDescent="0.25">
      <c r="A13655" s="5">
        <v>41730</v>
      </c>
      <c r="B13655">
        <v>1885.52001953125</v>
      </c>
    </row>
    <row r="13656" spans="1:2" x14ac:dyDescent="0.25">
      <c r="A13656" s="5">
        <v>41731</v>
      </c>
      <c r="B13656">
        <v>1890.90002441406</v>
      </c>
    </row>
    <row r="13657" spans="1:2" x14ac:dyDescent="0.25">
      <c r="A13657" s="5">
        <v>41732</v>
      </c>
      <c r="B13657">
        <v>1888.77001953125</v>
      </c>
    </row>
    <row r="13658" spans="1:2" x14ac:dyDescent="0.25">
      <c r="A13658" s="5">
        <v>41733</v>
      </c>
      <c r="B13658">
        <v>1865.08996582031</v>
      </c>
    </row>
    <row r="13659" spans="1:2" x14ac:dyDescent="0.25">
      <c r="A13659" s="5">
        <v>41736</v>
      </c>
      <c r="B13659">
        <v>1845.0400390625</v>
      </c>
    </row>
    <row r="13660" spans="1:2" x14ac:dyDescent="0.25">
      <c r="A13660" s="5">
        <v>41737</v>
      </c>
      <c r="B13660">
        <v>1851.9599609375</v>
      </c>
    </row>
    <row r="13661" spans="1:2" x14ac:dyDescent="0.25">
      <c r="A13661" s="5">
        <v>41738</v>
      </c>
      <c r="B13661">
        <v>1872.18005371094</v>
      </c>
    </row>
    <row r="13662" spans="1:2" x14ac:dyDescent="0.25">
      <c r="A13662" s="5">
        <v>41739</v>
      </c>
      <c r="B13662">
        <v>1833.07995605469</v>
      </c>
    </row>
    <row r="13663" spans="1:2" x14ac:dyDescent="0.25">
      <c r="A13663" s="5">
        <v>41740</v>
      </c>
      <c r="B13663">
        <v>1815.68994140625</v>
      </c>
    </row>
    <row r="13664" spans="1:2" x14ac:dyDescent="0.25">
      <c r="A13664" s="5">
        <v>41743</v>
      </c>
      <c r="B13664">
        <v>1830.60998535156</v>
      </c>
    </row>
    <row r="13665" spans="1:2" x14ac:dyDescent="0.25">
      <c r="A13665" s="5">
        <v>41744</v>
      </c>
      <c r="B13665">
        <v>1842.97998046875</v>
      </c>
    </row>
    <row r="13666" spans="1:2" x14ac:dyDescent="0.25">
      <c r="A13666" s="5">
        <v>41745</v>
      </c>
      <c r="B13666">
        <v>1862.31005859375</v>
      </c>
    </row>
    <row r="13667" spans="1:2" x14ac:dyDescent="0.25">
      <c r="A13667" s="5">
        <v>41746</v>
      </c>
      <c r="B13667">
        <v>1864.84997558594</v>
      </c>
    </row>
    <row r="13668" spans="1:2" x14ac:dyDescent="0.25">
      <c r="A13668" s="5">
        <v>41750</v>
      </c>
      <c r="B13668">
        <v>1871.89001464844</v>
      </c>
    </row>
    <row r="13669" spans="1:2" x14ac:dyDescent="0.25">
      <c r="A13669" s="5">
        <v>41751</v>
      </c>
      <c r="B13669">
        <v>1879.55004882812</v>
      </c>
    </row>
    <row r="13670" spans="1:2" x14ac:dyDescent="0.25">
      <c r="A13670" s="5">
        <v>41752</v>
      </c>
      <c r="B13670">
        <v>1875.39001464844</v>
      </c>
    </row>
    <row r="13671" spans="1:2" x14ac:dyDescent="0.25">
      <c r="A13671" s="5">
        <v>41753</v>
      </c>
      <c r="B13671">
        <v>1878.60998535156</v>
      </c>
    </row>
    <row r="13672" spans="1:2" x14ac:dyDescent="0.25">
      <c r="A13672" s="5">
        <v>41754</v>
      </c>
      <c r="B13672">
        <v>1863.40002441406</v>
      </c>
    </row>
    <row r="13673" spans="1:2" x14ac:dyDescent="0.25">
      <c r="A13673" s="5">
        <v>41757</v>
      </c>
      <c r="B13673">
        <v>1869.43005371094</v>
      </c>
    </row>
    <row r="13674" spans="1:2" x14ac:dyDescent="0.25">
      <c r="A13674" s="5">
        <v>41758</v>
      </c>
      <c r="B13674">
        <v>1878.32995605469</v>
      </c>
    </row>
    <row r="13675" spans="1:2" x14ac:dyDescent="0.25">
      <c r="A13675" s="5">
        <v>41759</v>
      </c>
      <c r="B13675">
        <v>1883.94995117188</v>
      </c>
    </row>
    <row r="13676" spans="1:2" x14ac:dyDescent="0.25">
      <c r="A13676" s="5">
        <v>41760</v>
      </c>
      <c r="B13676">
        <v>1883.68005371094</v>
      </c>
    </row>
    <row r="13677" spans="1:2" x14ac:dyDescent="0.25">
      <c r="A13677" s="5">
        <v>41761</v>
      </c>
      <c r="B13677">
        <v>1881.14001464844</v>
      </c>
    </row>
    <row r="13678" spans="1:2" x14ac:dyDescent="0.25">
      <c r="A13678" s="5">
        <v>41764</v>
      </c>
      <c r="B13678">
        <v>1884.66003417969</v>
      </c>
    </row>
    <row r="13679" spans="1:2" x14ac:dyDescent="0.25">
      <c r="A13679" s="5">
        <v>41765</v>
      </c>
      <c r="B13679">
        <v>1867.71997070312</v>
      </c>
    </row>
    <row r="13680" spans="1:2" x14ac:dyDescent="0.25">
      <c r="A13680" s="5">
        <v>41766</v>
      </c>
      <c r="B13680">
        <v>1878.2099609375</v>
      </c>
    </row>
    <row r="13681" spans="1:2" x14ac:dyDescent="0.25">
      <c r="A13681" s="5">
        <v>41767</v>
      </c>
      <c r="B13681">
        <v>1875.63000488281</v>
      </c>
    </row>
    <row r="13682" spans="1:2" x14ac:dyDescent="0.25">
      <c r="A13682" s="5">
        <v>41768</v>
      </c>
      <c r="B13682">
        <v>1878.47998046875</v>
      </c>
    </row>
    <row r="13683" spans="1:2" x14ac:dyDescent="0.25">
      <c r="A13683" s="5">
        <v>41771</v>
      </c>
      <c r="B13683">
        <v>1896.65002441406</v>
      </c>
    </row>
    <row r="13684" spans="1:2" x14ac:dyDescent="0.25">
      <c r="A13684" s="5">
        <v>41772</v>
      </c>
      <c r="B13684">
        <v>1897.44995117188</v>
      </c>
    </row>
    <row r="13685" spans="1:2" x14ac:dyDescent="0.25">
      <c r="A13685" s="5">
        <v>41773</v>
      </c>
      <c r="B13685">
        <v>1888.53002929688</v>
      </c>
    </row>
    <row r="13686" spans="1:2" x14ac:dyDescent="0.25">
      <c r="A13686" s="5">
        <v>41774</v>
      </c>
      <c r="B13686">
        <v>1870.84997558594</v>
      </c>
    </row>
    <row r="13687" spans="1:2" x14ac:dyDescent="0.25">
      <c r="A13687" s="5">
        <v>41775</v>
      </c>
      <c r="B13687">
        <v>1877.85998535156</v>
      </c>
    </row>
    <row r="13688" spans="1:2" x14ac:dyDescent="0.25">
      <c r="A13688" s="5">
        <v>41778</v>
      </c>
      <c r="B13688">
        <v>1885.07995605469</v>
      </c>
    </row>
    <row r="13689" spans="1:2" x14ac:dyDescent="0.25">
      <c r="A13689" s="5">
        <v>41779</v>
      </c>
      <c r="B13689">
        <v>1872.82995605469</v>
      </c>
    </row>
    <row r="13690" spans="1:2" x14ac:dyDescent="0.25">
      <c r="A13690" s="5">
        <v>41780</v>
      </c>
      <c r="B13690">
        <v>1888.03002929688</v>
      </c>
    </row>
    <row r="13691" spans="1:2" x14ac:dyDescent="0.25">
      <c r="A13691" s="5">
        <v>41781</v>
      </c>
      <c r="B13691">
        <v>1892.48999023438</v>
      </c>
    </row>
    <row r="13692" spans="1:2" x14ac:dyDescent="0.25">
      <c r="A13692" s="5">
        <v>41782</v>
      </c>
      <c r="B13692">
        <v>1900.53002929688</v>
      </c>
    </row>
    <row r="13693" spans="1:2" x14ac:dyDescent="0.25">
      <c r="A13693" s="5">
        <v>41786</v>
      </c>
      <c r="B13693">
        <v>1911.91003417969</v>
      </c>
    </row>
    <row r="13694" spans="1:2" x14ac:dyDescent="0.25">
      <c r="A13694" s="5">
        <v>41787</v>
      </c>
      <c r="B13694">
        <v>1909.78002929688</v>
      </c>
    </row>
    <row r="13695" spans="1:2" x14ac:dyDescent="0.25">
      <c r="A13695" s="5">
        <v>41788</v>
      </c>
      <c r="B13695">
        <v>1920.03002929688</v>
      </c>
    </row>
    <row r="13696" spans="1:2" x14ac:dyDescent="0.25">
      <c r="A13696" s="5">
        <v>41789</v>
      </c>
      <c r="B13696">
        <v>1923.56994628906</v>
      </c>
    </row>
    <row r="13697" spans="1:2" x14ac:dyDescent="0.25">
      <c r="A13697" s="5">
        <v>41792</v>
      </c>
      <c r="B13697">
        <v>1924.96997070312</v>
      </c>
    </row>
    <row r="13698" spans="1:2" x14ac:dyDescent="0.25">
      <c r="A13698" s="5">
        <v>41793</v>
      </c>
      <c r="B13698">
        <v>1924.23999023438</v>
      </c>
    </row>
    <row r="13699" spans="1:2" x14ac:dyDescent="0.25">
      <c r="A13699" s="5">
        <v>41794</v>
      </c>
      <c r="B13699">
        <v>1927.88000488281</v>
      </c>
    </row>
    <row r="13700" spans="1:2" x14ac:dyDescent="0.25">
      <c r="A13700" s="5">
        <v>41795</v>
      </c>
      <c r="B13700">
        <v>1940.4599609375</v>
      </c>
    </row>
    <row r="13701" spans="1:2" x14ac:dyDescent="0.25">
      <c r="A13701" s="5">
        <v>41796</v>
      </c>
      <c r="B13701">
        <v>1949.43994140625</v>
      </c>
    </row>
    <row r="13702" spans="1:2" x14ac:dyDescent="0.25">
      <c r="A13702" s="5">
        <v>41799</v>
      </c>
      <c r="B13702">
        <v>1951.27001953125</v>
      </c>
    </row>
    <row r="13703" spans="1:2" x14ac:dyDescent="0.25">
      <c r="A13703" s="5">
        <v>41800</v>
      </c>
      <c r="B13703">
        <v>1950.7900390625</v>
      </c>
    </row>
    <row r="13704" spans="1:2" x14ac:dyDescent="0.25">
      <c r="A13704" s="5">
        <v>41801</v>
      </c>
      <c r="B13704">
        <v>1943.89001464844</v>
      </c>
    </row>
    <row r="13705" spans="1:2" x14ac:dyDescent="0.25">
      <c r="A13705" s="5">
        <v>41802</v>
      </c>
      <c r="B13705">
        <v>1930.10998535156</v>
      </c>
    </row>
    <row r="13706" spans="1:2" x14ac:dyDescent="0.25">
      <c r="A13706" s="5">
        <v>41803</v>
      </c>
      <c r="B13706">
        <v>1936.16003417969</v>
      </c>
    </row>
    <row r="13707" spans="1:2" x14ac:dyDescent="0.25">
      <c r="A13707" s="5">
        <v>41806</v>
      </c>
      <c r="B13707">
        <v>1937.78002929688</v>
      </c>
    </row>
    <row r="13708" spans="1:2" x14ac:dyDescent="0.25">
      <c r="A13708" s="5">
        <v>41807</v>
      </c>
      <c r="B13708">
        <v>1941.98999023438</v>
      </c>
    </row>
    <row r="13709" spans="1:2" x14ac:dyDescent="0.25">
      <c r="A13709" s="5">
        <v>41808</v>
      </c>
      <c r="B13709">
        <v>1956.97998046875</v>
      </c>
    </row>
    <row r="13710" spans="1:2" x14ac:dyDescent="0.25">
      <c r="A13710" s="5">
        <v>41809</v>
      </c>
      <c r="B13710">
        <v>1959.47998046875</v>
      </c>
    </row>
    <row r="13711" spans="1:2" x14ac:dyDescent="0.25">
      <c r="A13711" s="5">
        <v>41810</v>
      </c>
      <c r="B13711">
        <v>1962.86999511719</v>
      </c>
    </row>
    <row r="13712" spans="1:2" x14ac:dyDescent="0.25">
      <c r="A13712" s="5">
        <v>41813</v>
      </c>
      <c r="B13712">
        <v>1962.60998535156</v>
      </c>
    </row>
    <row r="13713" spans="1:2" x14ac:dyDescent="0.25">
      <c r="A13713" s="5">
        <v>41814</v>
      </c>
      <c r="B13713">
        <v>1949.97998046875</v>
      </c>
    </row>
    <row r="13714" spans="1:2" x14ac:dyDescent="0.25">
      <c r="A13714" s="5">
        <v>41815</v>
      </c>
      <c r="B13714">
        <v>1959.53002929688</v>
      </c>
    </row>
    <row r="13715" spans="1:2" x14ac:dyDescent="0.25">
      <c r="A13715" s="5">
        <v>41816</v>
      </c>
      <c r="B13715">
        <v>1957.21997070312</v>
      </c>
    </row>
    <row r="13716" spans="1:2" x14ac:dyDescent="0.25">
      <c r="A13716" s="5">
        <v>41817</v>
      </c>
      <c r="B13716">
        <v>1960.9599609375</v>
      </c>
    </row>
    <row r="13717" spans="1:2" x14ac:dyDescent="0.25">
      <c r="A13717" s="5">
        <v>41820</v>
      </c>
      <c r="B13717">
        <v>1960.22998046875</v>
      </c>
    </row>
    <row r="13718" spans="1:2" x14ac:dyDescent="0.25">
      <c r="A13718" s="5">
        <v>41821</v>
      </c>
      <c r="B13718">
        <v>1973.31994628906</v>
      </c>
    </row>
    <row r="13719" spans="1:2" x14ac:dyDescent="0.25">
      <c r="A13719" s="5">
        <v>41822</v>
      </c>
      <c r="B13719">
        <v>1974.61999511719</v>
      </c>
    </row>
    <row r="13720" spans="1:2" x14ac:dyDescent="0.25">
      <c r="A13720" s="5">
        <v>41823</v>
      </c>
      <c r="B13720">
        <v>1985.43994140625</v>
      </c>
    </row>
    <row r="13721" spans="1:2" x14ac:dyDescent="0.25">
      <c r="A13721" s="5">
        <v>41827</v>
      </c>
      <c r="B13721">
        <v>1977.65002441406</v>
      </c>
    </row>
    <row r="13722" spans="1:2" x14ac:dyDescent="0.25">
      <c r="A13722" s="5">
        <v>41828</v>
      </c>
      <c r="B13722">
        <v>1963.7099609375</v>
      </c>
    </row>
    <row r="13723" spans="1:2" x14ac:dyDescent="0.25">
      <c r="A13723" s="5">
        <v>41829</v>
      </c>
      <c r="B13723">
        <v>1972.82995605469</v>
      </c>
    </row>
    <row r="13724" spans="1:2" x14ac:dyDescent="0.25">
      <c r="A13724" s="5">
        <v>41830</v>
      </c>
      <c r="B13724">
        <v>1964.68005371094</v>
      </c>
    </row>
    <row r="13725" spans="1:2" x14ac:dyDescent="0.25">
      <c r="A13725" s="5">
        <v>41831</v>
      </c>
      <c r="B13725">
        <v>1967.56994628906</v>
      </c>
    </row>
    <row r="13726" spans="1:2" x14ac:dyDescent="0.25">
      <c r="A13726" s="5">
        <v>41834</v>
      </c>
      <c r="B13726">
        <v>1977.09997558594</v>
      </c>
    </row>
    <row r="13727" spans="1:2" x14ac:dyDescent="0.25">
      <c r="A13727" s="5">
        <v>41835</v>
      </c>
      <c r="B13727">
        <v>1973.28002929688</v>
      </c>
    </row>
    <row r="13728" spans="1:2" x14ac:dyDescent="0.25">
      <c r="A13728" s="5">
        <v>41836</v>
      </c>
      <c r="B13728">
        <v>1981.56994628906</v>
      </c>
    </row>
    <row r="13729" spans="1:2" x14ac:dyDescent="0.25">
      <c r="A13729" s="5">
        <v>41837</v>
      </c>
      <c r="B13729">
        <v>1958.11999511719</v>
      </c>
    </row>
    <row r="13730" spans="1:2" x14ac:dyDescent="0.25">
      <c r="A13730" s="5">
        <v>41838</v>
      </c>
      <c r="B13730">
        <v>1978.21997070312</v>
      </c>
    </row>
    <row r="13731" spans="1:2" x14ac:dyDescent="0.25">
      <c r="A13731" s="5">
        <v>41841</v>
      </c>
      <c r="B13731">
        <v>1973.63000488281</v>
      </c>
    </row>
    <row r="13732" spans="1:2" x14ac:dyDescent="0.25">
      <c r="A13732" s="5">
        <v>41842</v>
      </c>
      <c r="B13732">
        <v>1983.53002929688</v>
      </c>
    </row>
    <row r="13733" spans="1:2" x14ac:dyDescent="0.25">
      <c r="A13733" s="5">
        <v>41843</v>
      </c>
      <c r="B13733">
        <v>1987.01000976562</v>
      </c>
    </row>
    <row r="13734" spans="1:2" x14ac:dyDescent="0.25">
      <c r="A13734" s="5">
        <v>41844</v>
      </c>
      <c r="B13734">
        <v>1987.97998046875</v>
      </c>
    </row>
    <row r="13735" spans="1:2" x14ac:dyDescent="0.25">
      <c r="A13735" s="5">
        <v>41845</v>
      </c>
      <c r="B13735">
        <v>1978.33996582031</v>
      </c>
    </row>
    <row r="13736" spans="1:2" x14ac:dyDescent="0.25">
      <c r="A13736" s="5">
        <v>41848</v>
      </c>
      <c r="B13736">
        <v>1978.91003417969</v>
      </c>
    </row>
    <row r="13737" spans="1:2" x14ac:dyDescent="0.25">
      <c r="A13737" s="5">
        <v>41849</v>
      </c>
      <c r="B13737">
        <v>1969.94995117188</v>
      </c>
    </row>
    <row r="13738" spans="1:2" x14ac:dyDescent="0.25">
      <c r="A13738" s="5">
        <v>41850</v>
      </c>
      <c r="B13738">
        <v>1970.06994628906</v>
      </c>
    </row>
    <row r="13739" spans="1:2" x14ac:dyDescent="0.25">
      <c r="A13739" s="5">
        <v>41851</v>
      </c>
      <c r="B13739">
        <v>1930.67004394531</v>
      </c>
    </row>
    <row r="13740" spans="1:2" x14ac:dyDescent="0.25">
      <c r="A13740" s="5">
        <v>41852</v>
      </c>
      <c r="B13740">
        <v>1925.15002441406</v>
      </c>
    </row>
    <row r="13741" spans="1:2" x14ac:dyDescent="0.25">
      <c r="A13741" s="5">
        <v>41855</v>
      </c>
      <c r="B13741">
        <v>1938.98999023438</v>
      </c>
    </row>
    <row r="13742" spans="1:2" x14ac:dyDescent="0.25">
      <c r="A13742" s="5">
        <v>41856</v>
      </c>
      <c r="B13742">
        <v>1920.2099609375</v>
      </c>
    </row>
    <row r="13743" spans="1:2" x14ac:dyDescent="0.25">
      <c r="A13743" s="5">
        <v>41857</v>
      </c>
      <c r="B13743">
        <v>1920.23999023438</v>
      </c>
    </row>
    <row r="13744" spans="1:2" x14ac:dyDescent="0.25">
      <c r="A13744" s="5">
        <v>41858</v>
      </c>
      <c r="B13744">
        <v>1909.56994628906</v>
      </c>
    </row>
    <row r="13745" spans="1:2" x14ac:dyDescent="0.25">
      <c r="A13745" s="5">
        <v>41859</v>
      </c>
      <c r="B13745">
        <v>1931.58996582031</v>
      </c>
    </row>
    <row r="13746" spans="1:2" x14ac:dyDescent="0.25">
      <c r="A13746" s="5">
        <v>41862</v>
      </c>
      <c r="B13746">
        <v>1936.92004394531</v>
      </c>
    </row>
    <row r="13747" spans="1:2" x14ac:dyDescent="0.25">
      <c r="A13747" s="5">
        <v>41863</v>
      </c>
      <c r="B13747">
        <v>1933.75</v>
      </c>
    </row>
    <row r="13748" spans="1:2" x14ac:dyDescent="0.25">
      <c r="A13748" s="5">
        <v>41864</v>
      </c>
      <c r="B13748">
        <v>1946.71997070312</v>
      </c>
    </row>
    <row r="13749" spans="1:2" x14ac:dyDescent="0.25">
      <c r="A13749" s="5">
        <v>41865</v>
      </c>
      <c r="B13749">
        <v>1955.18005371094</v>
      </c>
    </row>
    <row r="13750" spans="1:2" x14ac:dyDescent="0.25">
      <c r="A13750" s="5">
        <v>41866</v>
      </c>
      <c r="B13750">
        <v>1955.06005859375</v>
      </c>
    </row>
    <row r="13751" spans="1:2" x14ac:dyDescent="0.25">
      <c r="A13751" s="5">
        <v>41869</v>
      </c>
      <c r="B13751">
        <v>1971.73999023438</v>
      </c>
    </row>
    <row r="13752" spans="1:2" x14ac:dyDescent="0.25">
      <c r="A13752" s="5">
        <v>41870</v>
      </c>
      <c r="B13752">
        <v>1981.59997558594</v>
      </c>
    </row>
    <row r="13753" spans="1:2" x14ac:dyDescent="0.25">
      <c r="A13753" s="5">
        <v>41871</v>
      </c>
      <c r="B13753">
        <v>1986.51000976562</v>
      </c>
    </row>
    <row r="13754" spans="1:2" x14ac:dyDescent="0.25">
      <c r="A13754" s="5">
        <v>41872</v>
      </c>
      <c r="B13754">
        <v>1992.36999511719</v>
      </c>
    </row>
    <row r="13755" spans="1:2" x14ac:dyDescent="0.25">
      <c r="A13755" s="5">
        <v>41873</v>
      </c>
      <c r="B13755">
        <v>1988.40002441406</v>
      </c>
    </row>
    <row r="13756" spans="1:2" x14ac:dyDescent="0.25">
      <c r="A13756" s="5">
        <v>41876</v>
      </c>
      <c r="B13756">
        <v>1997.92004394531</v>
      </c>
    </row>
    <row r="13757" spans="1:2" x14ac:dyDescent="0.25">
      <c r="A13757" s="5">
        <v>41877</v>
      </c>
      <c r="B13757">
        <v>2000.02001953125</v>
      </c>
    </row>
    <row r="13758" spans="1:2" x14ac:dyDescent="0.25">
      <c r="A13758" s="5">
        <v>41878</v>
      </c>
      <c r="B13758">
        <v>2000.11999511719</v>
      </c>
    </row>
    <row r="13759" spans="1:2" x14ac:dyDescent="0.25">
      <c r="A13759" s="5">
        <v>41879</v>
      </c>
      <c r="B13759">
        <v>1996.73999023438</v>
      </c>
    </row>
    <row r="13760" spans="1:2" x14ac:dyDescent="0.25">
      <c r="A13760" s="5">
        <v>41880</v>
      </c>
      <c r="B13760">
        <v>2003.36999511719</v>
      </c>
    </row>
    <row r="13761" spans="1:2" x14ac:dyDescent="0.25">
      <c r="A13761" s="5">
        <v>41884</v>
      </c>
      <c r="B13761">
        <v>2002.28002929688</v>
      </c>
    </row>
    <row r="13762" spans="1:2" x14ac:dyDescent="0.25">
      <c r="A13762" s="5">
        <v>41885</v>
      </c>
      <c r="B13762">
        <v>2000.71997070312</v>
      </c>
    </row>
    <row r="13763" spans="1:2" x14ac:dyDescent="0.25">
      <c r="A13763" s="5">
        <v>41886</v>
      </c>
      <c r="B13763">
        <v>1997.65002441406</v>
      </c>
    </row>
    <row r="13764" spans="1:2" x14ac:dyDescent="0.25">
      <c r="A13764" s="5">
        <v>41887</v>
      </c>
      <c r="B13764">
        <v>2007.7099609375</v>
      </c>
    </row>
    <row r="13765" spans="1:2" x14ac:dyDescent="0.25">
      <c r="A13765" s="5">
        <v>41890</v>
      </c>
      <c r="B13765">
        <v>2001.5400390625</v>
      </c>
    </row>
    <row r="13766" spans="1:2" x14ac:dyDescent="0.25">
      <c r="A13766" s="5">
        <v>41891</v>
      </c>
      <c r="B13766">
        <v>1988.43994140625</v>
      </c>
    </row>
    <row r="13767" spans="1:2" x14ac:dyDescent="0.25">
      <c r="A13767" s="5">
        <v>41892</v>
      </c>
      <c r="B13767">
        <v>1995.68994140625</v>
      </c>
    </row>
    <row r="13768" spans="1:2" x14ac:dyDescent="0.25">
      <c r="A13768" s="5">
        <v>41893</v>
      </c>
      <c r="B13768">
        <v>1997.44995117188</v>
      </c>
    </row>
    <row r="13769" spans="1:2" x14ac:dyDescent="0.25">
      <c r="A13769" s="5">
        <v>41894</v>
      </c>
      <c r="B13769">
        <v>1985.5400390625</v>
      </c>
    </row>
    <row r="13770" spans="1:2" x14ac:dyDescent="0.25">
      <c r="A13770" s="5">
        <v>41897</v>
      </c>
      <c r="B13770">
        <v>1984.13000488281</v>
      </c>
    </row>
    <row r="13771" spans="1:2" x14ac:dyDescent="0.25">
      <c r="A13771" s="5">
        <v>41898</v>
      </c>
      <c r="B13771">
        <v>1998.97998046875</v>
      </c>
    </row>
    <row r="13772" spans="1:2" x14ac:dyDescent="0.25">
      <c r="A13772" s="5">
        <v>41899</v>
      </c>
      <c r="B13772">
        <v>2001.56994628906</v>
      </c>
    </row>
    <row r="13773" spans="1:2" x14ac:dyDescent="0.25">
      <c r="A13773" s="5">
        <v>41900</v>
      </c>
      <c r="B13773">
        <v>2011.35998535156</v>
      </c>
    </row>
    <row r="13774" spans="1:2" x14ac:dyDescent="0.25">
      <c r="A13774" s="5">
        <v>41901</v>
      </c>
      <c r="B13774">
        <v>2010.40002441406</v>
      </c>
    </row>
    <row r="13775" spans="1:2" x14ac:dyDescent="0.25">
      <c r="A13775" s="5">
        <v>41904</v>
      </c>
      <c r="B13775">
        <v>1994.2900390625</v>
      </c>
    </row>
    <row r="13776" spans="1:2" x14ac:dyDescent="0.25">
      <c r="A13776" s="5">
        <v>41905</v>
      </c>
      <c r="B13776">
        <v>1982.77001953125</v>
      </c>
    </row>
    <row r="13777" spans="1:2" x14ac:dyDescent="0.25">
      <c r="A13777" s="5">
        <v>41906</v>
      </c>
      <c r="B13777">
        <v>1998.30004882812</v>
      </c>
    </row>
    <row r="13778" spans="1:2" x14ac:dyDescent="0.25">
      <c r="A13778" s="5">
        <v>41907</v>
      </c>
      <c r="B13778">
        <v>1965.98999023438</v>
      </c>
    </row>
    <row r="13779" spans="1:2" x14ac:dyDescent="0.25">
      <c r="A13779" s="5">
        <v>41908</v>
      </c>
      <c r="B13779">
        <v>1982.84997558594</v>
      </c>
    </row>
    <row r="13780" spans="1:2" x14ac:dyDescent="0.25">
      <c r="A13780" s="5">
        <v>41911</v>
      </c>
      <c r="B13780">
        <v>1977.80004882812</v>
      </c>
    </row>
    <row r="13781" spans="1:2" x14ac:dyDescent="0.25">
      <c r="A13781" s="5">
        <v>41912</v>
      </c>
      <c r="B13781">
        <v>1972.2900390625</v>
      </c>
    </row>
    <row r="13782" spans="1:2" x14ac:dyDescent="0.25">
      <c r="A13782" s="5">
        <v>41913</v>
      </c>
      <c r="B13782">
        <v>1946.16003417969</v>
      </c>
    </row>
    <row r="13783" spans="1:2" x14ac:dyDescent="0.25">
      <c r="A13783" s="5">
        <v>41914</v>
      </c>
      <c r="B13783">
        <v>1946.17004394531</v>
      </c>
    </row>
    <row r="13784" spans="1:2" x14ac:dyDescent="0.25">
      <c r="A13784" s="5">
        <v>41915</v>
      </c>
      <c r="B13784">
        <v>1967.90002441406</v>
      </c>
    </row>
    <row r="13785" spans="1:2" x14ac:dyDescent="0.25">
      <c r="A13785" s="5">
        <v>41918</v>
      </c>
      <c r="B13785">
        <v>1964.81994628906</v>
      </c>
    </row>
    <row r="13786" spans="1:2" x14ac:dyDescent="0.25">
      <c r="A13786" s="5">
        <v>41919</v>
      </c>
      <c r="B13786">
        <v>1935.09997558594</v>
      </c>
    </row>
    <row r="13787" spans="1:2" x14ac:dyDescent="0.25">
      <c r="A13787" s="5">
        <v>41920</v>
      </c>
      <c r="B13787">
        <v>1968.89001464844</v>
      </c>
    </row>
    <row r="13788" spans="1:2" x14ac:dyDescent="0.25">
      <c r="A13788" s="5">
        <v>41921</v>
      </c>
      <c r="B13788">
        <v>1928.2099609375</v>
      </c>
    </row>
    <row r="13789" spans="1:2" x14ac:dyDescent="0.25">
      <c r="A13789" s="5">
        <v>41922</v>
      </c>
      <c r="B13789">
        <v>1906.13000488281</v>
      </c>
    </row>
    <row r="13790" spans="1:2" x14ac:dyDescent="0.25">
      <c r="A13790" s="5">
        <v>41925</v>
      </c>
      <c r="B13790">
        <v>1874.73999023438</v>
      </c>
    </row>
    <row r="13791" spans="1:2" x14ac:dyDescent="0.25">
      <c r="A13791" s="5">
        <v>41926</v>
      </c>
      <c r="B13791">
        <v>1877.69995117188</v>
      </c>
    </row>
    <row r="13792" spans="1:2" x14ac:dyDescent="0.25">
      <c r="A13792" s="5">
        <v>41927</v>
      </c>
      <c r="B13792">
        <v>1862.48999023438</v>
      </c>
    </row>
    <row r="13793" spans="1:2" x14ac:dyDescent="0.25">
      <c r="A13793" s="5">
        <v>41928</v>
      </c>
      <c r="B13793">
        <v>1862.76000976562</v>
      </c>
    </row>
    <row r="13794" spans="1:2" x14ac:dyDescent="0.25">
      <c r="A13794" s="5">
        <v>41929</v>
      </c>
      <c r="B13794">
        <v>1886.76000976562</v>
      </c>
    </row>
    <row r="13795" spans="1:2" x14ac:dyDescent="0.25">
      <c r="A13795" s="5">
        <v>41932</v>
      </c>
      <c r="B13795">
        <v>1904.01000976562</v>
      </c>
    </row>
    <row r="13796" spans="1:2" x14ac:dyDescent="0.25">
      <c r="A13796" s="5">
        <v>41933</v>
      </c>
      <c r="B13796">
        <v>1941.28002929688</v>
      </c>
    </row>
    <row r="13797" spans="1:2" x14ac:dyDescent="0.25">
      <c r="A13797" s="5">
        <v>41934</v>
      </c>
      <c r="B13797">
        <v>1927.10998535156</v>
      </c>
    </row>
    <row r="13798" spans="1:2" x14ac:dyDescent="0.25">
      <c r="A13798" s="5">
        <v>41935</v>
      </c>
      <c r="B13798">
        <v>1950.81994628906</v>
      </c>
    </row>
    <row r="13799" spans="1:2" x14ac:dyDescent="0.25">
      <c r="A13799" s="5">
        <v>41936</v>
      </c>
      <c r="B13799">
        <v>1964.57995605469</v>
      </c>
    </row>
    <row r="13800" spans="1:2" x14ac:dyDescent="0.25">
      <c r="A13800" s="5">
        <v>41939</v>
      </c>
      <c r="B13800">
        <v>1961.63000488281</v>
      </c>
    </row>
    <row r="13801" spans="1:2" x14ac:dyDescent="0.25">
      <c r="A13801" s="5">
        <v>41940</v>
      </c>
      <c r="B13801">
        <v>1985.05004882812</v>
      </c>
    </row>
    <row r="13802" spans="1:2" x14ac:dyDescent="0.25">
      <c r="A13802" s="5">
        <v>41941</v>
      </c>
      <c r="B13802">
        <v>1982.30004882812</v>
      </c>
    </row>
    <row r="13803" spans="1:2" x14ac:dyDescent="0.25">
      <c r="A13803" s="5">
        <v>41942</v>
      </c>
      <c r="B13803">
        <v>1994.65002441406</v>
      </c>
    </row>
    <row r="13804" spans="1:2" x14ac:dyDescent="0.25">
      <c r="A13804" s="5">
        <v>41943</v>
      </c>
      <c r="B13804">
        <v>2018.05004882812</v>
      </c>
    </row>
    <row r="13805" spans="1:2" x14ac:dyDescent="0.25">
      <c r="A13805" s="5">
        <v>41946</v>
      </c>
      <c r="B13805">
        <v>2017.81005859375</v>
      </c>
    </row>
    <row r="13806" spans="1:2" x14ac:dyDescent="0.25">
      <c r="A13806" s="5">
        <v>41947</v>
      </c>
      <c r="B13806">
        <v>2012.09997558594</v>
      </c>
    </row>
    <row r="13807" spans="1:2" x14ac:dyDescent="0.25">
      <c r="A13807" s="5">
        <v>41948</v>
      </c>
      <c r="B13807">
        <v>2023.56994628906</v>
      </c>
    </row>
    <row r="13808" spans="1:2" x14ac:dyDescent="0.25">
      <c r="A13808" s="5">
        <v>41949</v>
      </c>
      <c r="B13808">
        <v>2031.2099609375</v>
      </c>
    </row>
    <row r="13809" spans="1:2" x14ac:dyDescent="0.25">
      <c r="A13809" s="5">
        <v>41950</v>
      </c>
      <c r="B13809">
        <v>2031.92004394531</v>
      </c>
    </row>
    <row r="13810" spans="1:2" x14ac:dyDescent="0.25">
      <c r="A13810" s="5">
        <v>41953</v>
      </c>
      <c r="B13810">
        <v>2038.26000976562</v>
      </c>
    </row>
    <row r="13811" spans="1:2" x14ac:dyDescent="0.25">
      <c r="A13811" s="5">
        <v>41954</v>
      </c>
      <c r="B13811">
        <v>2039.68005371094</v>
      </c>
    </row>
    <row r="13812" spans="1:2" x14ac:dyDescent="0.25">
      <c r="A13812" s="5">
        <v>41955</v>
      </c>
      <c r="B13812">
        <v>2038.25</v>
      </c>
    </row>
    <row r="13813" spans="1:2" x14ac:dyDescent="0.25">
      <c r="A13813" s="5">
        <v>41956</v>
      </c>
      <c r="B13813">
        <v>2039.32995605469</v>
      </c>
    </row>
    <row r="13814" spans="1:2" x14ac:dyDescent="0.25">
      <c r="A13814" s="5">
        <v>41957</v>
      </c>
      <c r="B13814">
        <v>2039.81994628906</v>
      </c>
    </row>
    <row r="13815" spans="1:2" x14ac:dyDescent="0.25">
      <c r="A13815" s="5">
        <v>41960</v>
      </c>
      <c r="B13815">
        <v>2041.31994628906</v>
      </c>
    </row>
    <row r="13816" spans="1:2" x14ac:dyDescent="0.25">
      <c r="A13816" s="5">
        <v>41961</v>
      </c>
      <c r="B13816">
        <v>2051.80004882812</v>
      </c>
    </row>
    <row r="13817" spans="1:2" x14ac:dyDescent="0.25">
      <c r="A13817" s="5">
        <v>41962</v>
      </c>
      <c r="B13817">
        <v>2048.71997070312</v>
      </c>
    </row>
    <row r="13818" spans="1:2" x14ac:dyDescent="0.25">
      <c r="A13818" s="5">
        <v>41963</v>
      </c>
      <c r="B13818">
        <v>2052.75</v>
      </c>
    </row>
    <row r="13819" spans="1:2" x14ac:dyDescent="0.25">
      <c r="A13819" s="5">
        <v>41964</v>
      </c>
      <c r="B13819">
        <v>2063.5</v>
      </c>
    </row>
    <row r="13820" spans="1:2" x14ac:dyDescent="0.25">
      <c r="A13820" s="5">
        <v>41967</v>
      </c>
      <c r="B13820">
        <v>2069.40991210938</v>
      </c>
    </row>
    <row r="13821" spans="1:2" x14ac:dyDescent="0.25">
      <c r="A13821" s="5">
        <v>41968</v>
      </c>
      <c r="B13821">
        <v>2067.03002929688</v>
      </c>
    </row>
    <row r="13822" spans="1:2" x14ac:dyDescent="0.25">
      <c r="A13822" s="5">
        <v>41969</v>
      </c>
      <c r="B13822">
        <v>2072.830078125</v>
      </c>
    </row>
    <row r="13823" spans="1:2" x14ac:dyDescent="0.25">
      <c r="A13823" s="5">
        <v>41971</v>
      </c>
      <c r="B13823">
        <v>2067.56005859375</v>
      </c>
    </row>
    <row r="13824" spans="1:2" x14ac:dyDescent="0.25">
      <c r="A13824" s="5">
        <v>41974</v>
      </c>
      <c r="B13824">
        <v>2053.43994140625</v>
      </c>
    </row>
    <row r="13825" spans="1:2" x14ac:dyDescent="0.25">
      <c r="A13825" s="5">
        <v>41975</v>
      </c>
      <c r="B13825">
        <v>2066.55004882812</v>
      </c>
    </row>
    <row r="13826" spans="1:2" x14ac:dyDescent="0.25">
      <c r="A13826" s="5">
        <v>41976</v>
      </c>
      <c r="B13826">
        <v>2074.330078125</v>
      </c>
    </row>
    <row r="13827" spans="1:2" x14ac:dyDescent="0.25">
      <c r="A13827" s="5">
        <v>41977</v>
      </c>
      <c r="B13827">
        <v>2071.919921875</v>
      </c>
    </row>
    <row r="13828" spans="1:2" x14ac:dyDescent="0.25">
      <c r="A13828" s="5">
        <v>41978</v>
      </c>
      <c r="B13828">
        <v>2075.3701171875</v>
      </c>
    </row>
    <row r="13829" spans="1:2" x14ac:dyDescent="0.25">
      <c r="A13829" s="5">
        <v>41981</v>
      </c>
      <c r="B13829">
        <v>2060.31005859375</v>
      </c>
    </row>
    <row r="13830" spans="1:2" x14ac:dyDescent="0.25">
      <c r="A13830" s="5">
        <v>41982</v>
      </c>
      <c r="B13830">
        <v>2059.82006835938</v>
      </c>
    </row>
    <row r="13831" spans="1:2" x14ac:dyDescent="0.25">
      <c r="A13831" s="5">
        <v>41983</v>
      </c>
      <c r="B13831">
        <v>2026.14001464844</v>
      </c>
    </row>
    <row r="13832" spans="1:2" x14ac:dyDescent="0.25">
      <c r="A13832" s="5">
        <v>41984</v>
      </c>
      <c r="B13832">
        <v>2035.32995605469</v>
      </c>
    </row>
    <row r="13833" spans="1:2" x14ac:dyDescent="0.25">
      <c r="A13833" s="5">
        <v>41985</v>
      </c>
      <c r="B13833">
        <v>2002.32995605469</v>
      </c>
    </row>
    <row r="13834" spans="1:2" x14ac:dyDescent="0.25">
      <c r="A13834" s="5">
        <v>41988</v>
      </c>
      <c r="B13834">
        <v>1989.63000488281</v>
      </c>
    </row>
    <row r="13835" spans="1:2" x14ac:dyDescent="0.25">
      <c r="A13835" s="5">
        <v>41989</v>
      </c>
      <c r="B13835">
        <v>1972.73999023438</v>
      </c>
    </row>
    <row r="13836" spans="1:2" x14ac:dyDescent="0.25">
      <c r="A13836" s="5">
        <v>41990</v>
      </c>
      <c r="B13836">
        <v>2012.89001464844</v>
      </c>
    </row>
    <row r="13837" spans="1:2" x14ac:dyDescent="0.25">
      <c r="A13837" s="5">
        <v>41991</v>
      </c>
      <c r="B13837">
        <v>2061.22998046875</v>
      </c>
    </row>
    <row r="13838" spans="1:2" x14ac:dyDescent="0.25">
      <c r="A13838" s="5">
        <v>41992</v>
      </c>
      <c r="B13838">
        <v>2070.64990234375</v>
      </c>
    </row>
    <row r="13839" spans="1:2" x14ac:dyDescent="0.25">
      <c r="A13839" s="5">
        <v>41995</v>
      </c>
      <c r="B13839">
        <v>2078.5400390625</v>
      </c>
    </row>
    <row r="13840" spans="1:2" x14ac:dyDescent="0.25">
      <c r="A13840" s="5">
        <v>41996</v>
      </c>
      <c r="B13840">
        <v>2082.169921875</v>
      </c>
    </row>
    <row r="13841" spans="1:2" x14ac:dyDescent="0.25">
      <c r="A13841" s="5">
        <v>41997</v>
      </c>
      <c r="B13841">
        <v>2081.8798828125</v>
      </c>
    </row>
    <row r="13842" spans="1:2" x14ac:dyDescent="0.25">
      <c r="A13842" s="5">
        <v>41999</v>
      </c>
      <c r="B13842">
        <v>2088.77001953125</v>
      </c>
    </row>
    <row r="13843" spans="1:2" x14ac:dyDescent="0.25">
      <c r="A13843" s="5">
        <v>42002</v>
      </c>
      <c r="B13843">
        <v>2090.57006835938</v>
      </c>
    </row>
    <row r="13844" spans="1:2" x14ac:dyDescent="0.25">
      <c r="A13844" s="5">
        <v>42003</v>
      </c>
      <c r="B13844">
        <v>2080.35009765625</v>
      </c>
    </row>
    <row r="13845" spans="1:2" x14ac:dyDescent="0.25">
      <c r="A13845" s="5">
        <v>42004</v>
      </c>
      <c r="B13845">
        <v>2058.89990234375</v>
      </c>
    </row>
    <row r="13846" spans="1:2" x14ac:dyDescent="0.25">
      <c r="A13846" s="5">
        <v>42006</v>
      </c>
      <c r="B13846">
        <v>2058.19995117188</v>
      </c>
    </row>
    <row r="13847" spans="1:2" x14ac:dyDescent="0.25">
      <c r="A13847" s="5">
        <v>42009</v>
      </c>
      <c r="B13847">
        <v>2020.57995605469</v>
      </c>
    </row>
    <row r="13848" spans="1:2" x14ac:dyDescent="0.25">
      <c r="A13848" s="5">
        <v>42010</v>
      </c>
      <c r="B13848">
        <v>2002.60998535156</v>
      </c>
    </row>
    <row r="13849" spans="1:2" x14ac:dyDescent="0.25">
      <c r="A13849" s="5">
        <v>42011</v>
      </c>
      <c r="B13849">
        <v>2025.90002441406</v>
      </c>
    </row>
    <row r="13850" spans="1:2" x14ac:dyDescent="0.25">
      <c r="A13850" s="5">
        <v>42012</v>
      </c>
      <c r="B13850">
        <v>2062.13989257812</v>
      </c>
    </row>
    <row r="13851" spans="1:2" x14ac:dyDescent="0.25">
      <c r="A13851" s="5">
        <v>42013</v>
      </c>
      <c r="B13851">
        <v>2044.81005859375</v>
      </c>
    </row>
    <row r="13852" spans="1:2" x14ac:dyDescent="0.25">
      <c r="A13852" s="5">
        <v>42016</v>
      </c>
      <c r="B13852">
        <v>2028.26000976562</v>
      </c>
    </row>
    <row r="13853" spans="1:2" x14ac:dyDescent="0.25">
      <c r="A13853" s="5">
        <v>42017</v>
      </c>
      <c r="B13853">
        <v>2023.03002929688</v>
      </c>
    </row>
    <row r="13854" spans="1:2" x14ac:dyDescent="0.25">
      <c r="A13854" s="5">
        <v>42018</v>
      </c>
      <c r="B13854">
        <v>2011.27001953125</v>
      </c>
    </row>
    <row r="13855" spans="1:2" x14ac:dyDescent="0.25">
      <c r="A13855" s="5">
        <v>42019</v>
      </c>
      <c r="B13855">
        <v>1992.67004394531</v>
      </c>
    </row>
    <row r="13856" spans="1:2" x14ac:dyDescent="0.25">
      <c r="A13856" s="5">
        <v>42020</v>
      </c>
      <c r="B13856">
        <v>2019.42004394531</v>
      </c>
    </row>
    <row r="13857" spans="1:2" x14ac:dyDescent="0.25">
      <c r="A13857" s="5">
        <v>42024</v>
      </c>
      <c r="B13857">
        <v>2022.55004882812</v>
      </c>
    </row>
    <row r="13858" spans="1:2" x14ac:dyDescent="0.25">
      <c r="A13858" s="5">
        <v>42025</v>
      </c>
      <c r="B13858">
        <v>2032.11999511719</v>
      </c>
    </row>
    <row r="13859" spans="1:2" x14ac:dyDescent="0.25">
      <c r="A13859" s="5">
        <v>42026</v>
      </c>
      <c r="B13859">
        <v>2063.14990234375</v>
      </c>
    </row>
    <row r="13860" spans="1:2" x14ac:dyDescent="0.25">
      <c r="A13860" s="5">
        <v>42027</v>
      </c>
      <c r="B13860">
        <v>2051.82006835938</v>
      </c>
    </row>
    <row r="13861" spans="1:2" x14ac:dyDescent="0.25">
      <c r="A13861" s="5">
        <v>42030</v>
      </c>
      <c r="B13861">
        <v>2057.09008789062</v>
      </c>
    </row>
    <row r="13862" spans="1:2" x14ac:dyDescent="0.25">
      <c r="A13862" s="5">
        <v>42031</v>
      </c>
      <c r="B13862">
        <v>2029.55004882812</v>
      </c>
    </row>
    <row r="13863" spans="1:2" x14ac:dyDescent="0.25">
      <c r="A13863" s="5">
        <v>42032</v>
      </c>
      <c r="B13863">
        <v>2002.16003417969</v>
      </c>
    </row>
    <row r="13864" spans="1:2" x14ac:dyDescent="0.25">
      <c r="A13864" s="5">
        <v>42033</v>
      </c>
      <c r="B13864">
        <v>2021.25</v>
      </c>
    </row>
    <row r="13865" spans="1:2" x14ac:dyDescent="0.25">
      <c r="A13865" s="5">
        <v>42034</v>
      </c>
      <c r="B13865">
        <v>1994.98999023438</v>
      </c>
    </row>
    <row r="13866" spans="1:2" x14ac:dyDescent="0.25">
      <c r="A13866" s="5">
        <v>42037</v>
      </c>
      <c r="B13866">
        <v>2020.84997558594</v>
      </c>
    </row>
    <row r="13867" spans="1:2" x14ac:dyDescent="0.25">
      <c r="A13867" s="5">
        <v>42038</v>
      </c>
      <c r="B13867">
        <v>2050.03002929688</v>
      </c>
    </row>
    <row r="13868" spans="1:2" x14ac:dyDescent="0.25">
      <c r="A13868" s="5">
        <v>42039</v>
      </c>
      <c r="B13868">
        <v>2041.51000976562</v>
      </c>
    </row>
    <row r="13869" spans="1:2" x14ac:dyDescent="0.25">
      <c r="A13869" s="5">
        <v>42040</v>
      </c>
      <c r="B13869">
        <v>2062.52001953125</v>
      </c>
    </row>
    <row r="13870" spans="1:2" x14ac:dyDescent="0.25">
      <c r="A13870" s="5">
        <v>42041</v>
      </c>
      <c r="B13870">
        <v>2055.46997070312</v>
      </c>
    </row>
    <row r="13871" spans="1:2" x14ac:dyDescent="0.25">
      <c r="A13871" s="5">
        <v>42044</v>
      </c>
      <c r="B13871">
        <v>2046.73999023438</v>
      </c>
    </row>
    <row r="13872" spans="1:2" x14ac:dyDescent="0.25">
      <c r="A13872" s="5">
        <v>42045</v>
      </c>
      <c r="B13872">
        <v>2068.59008789062</v>
      </c>
    </row>
    <row r="13873" spans="1:2" x14ac:dyDescent="0.25">
      <c r="A13873" s="5">
        <v>42046</v>
      </c>
      <c r="B13873">
        <v>2068.53002929688</v>
      </c>
    </row>
    <row r="13874" spans="1:2" x14ac:dyDescent="0.25">
      <c r="A13874" s="5">
        <v>42047</v>
      </c>
      <c r="B13874">
        <v>2088.47998046875</v>
      </c>
    </row>
    <row r="13875" spans="1:2" x14ac:dyDescent="0.25">
      <c r="A13875" s="5">
        <v>42048</v>
      </c>
      <c r="B13875">
        <v>2096.98999023438</v>
      </c>
    </row>
    <row r="13876" spans="1:2" x14ac:dyDescent="0.25">
      <c r="A13876" s="5">
        <v>42052</v>
      </c>
      <c r="B13876">
        <v>2100.34008789062</v>
      </c>
    </row>
    <row r="13877" spans="1:2" x14ac:dyDescent="0.25">
      <c r="A13877" s="5">
        <v>42053</v>
      </c>
      <c r="B13877">
        <v>2099.67993164062</v>
      </c>
    </row>
    <row r="13878" spans="1:2" x14ac:dyDescent="0.25">
      <c r="A13878" s="5">
        <v>42054</v>
      </c>
      <c r="B13878">
        <v>2097.44995117188</v>
      </c>
    </row>
    <row r="13879" spans="1:2" x14ac:dyDescent="0.25">
      <c r="A13879" s="5">
        <v>42055</v>
      </c>
      <c r="B13879">
        <v>2110.30004882812</v>
      </c>
    </row>
    <row r="13880" spans="1:2" x14ac:dyDescent="0.25">
      <c r="A13880" s="5">
        <v>42058</v>
      </c>
      <c r="B13880">
        <v>2109.65991210938</v>
      </c>
    </row>
    <row r="13881" spans="1:2" x14ac:dyDescent="0.25">
      <c r="A13881" s="5">
        <v>42059</v>
      </c>
      <c r="B13881">
        <v>2115.47998046875</v>
      </c>
    </row>
    <row r="13882" spans="1:2" x14ac:dyDescent="0.25">
      <c r="A13882" s="5">
        <v>42060</v>
      </c>
      <c r="B13882">
        <v>2113.86010742188</v>
      </c>
    </row>
    <row r="13883" spans="1:2" x14ac:dyDescent="0.25">
      <c r="A13883" s="5">
        <v>42061</v>
      </c>
      <c r="B13883">
        <v>2110.73999023438</v>
      </c>
    </row>
    <row r="13884" spans="1:2" x14ac:dyDescent="0.25">
      <c r="A13884" s="5">
        <v>42062</v>
      </c>
      <c r="B13884">
        <v>2104.5</v>
      </c>
    </row>
    <row r="13885" spans="1:2" x14ac:dyDescent="0.25">
      <c r="A13885" s="5">
        <v>42065</v>
      </c>
      <c r="B13885">
        <v>2117.38989257812</v>
      </c>
    </row>
    <row r="13886" spans="1:2" x14ac:dyDescent="0.25">
      <c r="A13886" s="5">
        <v>42066</v>
      </c>
      <c r="B13886">
        <v>2107.78002929688</v>
      </c>
    </row>
    <row r="13887" spans="1:2" x14ac:dyDescent="0.25">
      <c r="A13887" s="5">
        <v>42067</v>
      </c>
      <c r="B13887">
        <v>2098.53002929688</v>
      </c>
    </row>
    <row r="13888" spans="1:2" x14ac:dyDescent="0.25">
      <c r="A13888" s="5">
        <v>42068</v>
      </c>
      <c r="B13888">
        <v>2101.0400390625</v>
      </c>
    </row>
    <row r="13889" spans="1:2" x14ac:dyDescent="0.25">
      <c r="A13889" s="5">
        <v>42069</v>
      </c>
      <c r="B13889">
        <v>2071.26000976562</v>
      </c>
    </row>
    <row r="13890" spans="1:2" x14ac:dyDescent="0.25">
      <c r="A13890" s="5">
        <v>42072</v>
      </c>
      <c r="B13890">
        <v>2079.42993164062</v>
      </c>
    </row>
    <row r="13891" spans="1:2" x14ac:dyDescent="0.25">
      <c r="A13891" s="5">
        <v>42073</v>
      </c>
      <c r="B13891">
        <v>2044.16003417969</v>
      </c>
    </row>
    <row r="13892" spans="1:2" x14ac:dyDescent="0.25">
      <c r="A13892" s="5">
        <v>42074</v>
      </c>
      <c r="B13892">
        <v>2040.23999023438</v>
      </c>
    </row>
    <row r="13893" spans="1:2" x14ac:dyDescent="0.25">
      <c r="A13893" s="5">
        <v>42075</v>
      </c>
      <c r="B13893">
        <v>2065.94995117188</v>
      </c>
    </row>
    <row r="13894" spans="1:2" x14ac:dyDescent="0.25">
      <c r="A13894" s="5">
        <v>42076</v>
      </c>
      <c r="B13894">
        <v>2053.39990234375</v>
      </c>
    </row>
    <row r="13895" spans="1:2" x14ac:dyDescent="0.25">
      <c r="A13895" s="5">
        <v>42079</v>
      </c>
      <c r="B13895">
        <v>2081.18994140625</v>
      </c>
    </row>
    <row r="13896" spans="1:2" x14ac:dyDescent="0.25">
      <c r="A13896" s="5">
        <v>42080</v>
      </c>
      <c r="B13896">
        <v>2074.28002929688</v>
      </c>
    </row>
    <row r="13897" spans="1:2" x14ac:dyDescent="0.25">
      <c r="A13897" s="5">
        <v>42081</v>
      </c>
      <c r="B13897">
        <v>2099.5</v>
      </c>
    </row>
    <row r="13898" spans="1:2" x14ac:dyDescent="0.25">
      <c r="A13898" s="5">
        <v>42082</v>
      </c>
      <c r="B13898">
        <v>2089.27001953125</v>
      </c>
    </row>
    <row r="13899" spans="1:2" x14ac:dyDescent="0.25">
      <c r="A13899" s="5">
        <v>42083</v>
      </c>
      <c r="B13899">
        <v>2108.10009765625</v>
      </c>
    </row>
    <row r="13900" spans="1:2" x14ac:dyDescent="0.25">
      <c r="A13900" s="5">
        <v>42086</v>
      </c>
      <c r="B13900">
        <v>2104.419921875</v>
      </c>
    </row>
    <row r="13901" spans="1:2" x14ac:dyDescent="0.25">
      <c r="A13901" s="5">
        <v>42087</v>
      </c>
      <c r="B13901">
        <v>2091.5</v>
      </c>
    </row>
    <row r="13902" spans="1:2" x14ac:dyDescent="0.25">
      <c r="A13902" s="5">
        <v>42088</v>
      </c>
      <c r="B13902">
        <v>2061.05004882812</v>
      </c>
    </row>
    <row r="13903" spans="1:2" x14ac:dyDescent="0.25">
      <c r="A13903" s="5">
        <v>42089</v>
      </c>
      <c r="B13903">
        <v>2056.14990234375</v>
      </c>
    </row>
    <row r="13904" spans="1:2" x14ac:dyDescent="0.25">
      <c r="A13904" s="5">
        <v>42090</v>
      </c>
      <c r="B13904">
        <v>2061.02001953125</v>
      </c>
    </row>
    <row r="13905" spans="1:2" x14ac:dyDescent="0.25">
      <c r="A13905" s="5">
        <v>42093</v>
      </c>
      <c r="B13905">
        <v>2086.23999023438</v>
      </c>
    </row>
    <row r="13906" spans="1:2" x14ac:dyDescent="0.25">
      <c r="A13906" s="5">
        <v>42094</v>
      </c>
      <c r="B13906">
        <v>2067.88989257812</v>
      </c>
    </row>
    <row r="13907" spans="1:2" x14ac:dyDescent="0.25">
      <c r="A13907" s="5">
        <v>42095</v>
      </c>
      <c r="B13907">
        <v>2059.68994140625</v>
      </c>
    </row>
    <row r="13908" spans="1:2" x14ac:dyDescent="0.25">
      <c r="A13908" s="5">
        <v>42096</v>
      </c>
      <c r="B13908">
        <v>2066.9599609375</v>
      </c>
    </row>
    <row r="13909" spans="1:2" x14ac:dyDescent="0.25">
      <c r="A13909" s="5">
        <v>42100</v>
      </c>
      <c r="B13909">
        <v>2080.6201171875</v>
      </c>
    </row>
    <row r="13910" spans="1:2" x14ac:dyDescent="0.25">
      <c r="A13910" s="5">
        <v>42101</v>
      </c>
      <c r="B13910">
        <v>2076.330078125</v>
      </c>
    </row>
    <row r="13911" spans="1:2" x14ac:dyDescent="0.25">
      <c r="A13911" s="5">
        <v>42102</v>
      </c>
      <c r="B13911">
        <v>2081.89990234375</v>
      </c>
    </row>
    <row r="13912" spans="1:2" x14ac:dyDescent="0.25">
      <c r="A13912" s="5">
        <v>42103</v>
      </c>
      <c r="B13912">
        <v>2091.17993164062</v>
      </c>
    </row>
    <row r="13913" spans="1:2" x14ac:dyDescent="0.25">
      <c r="A13913" s="5">
        <v>42104</v>
      </c>
      <c r="B13913">
        <v>2102.06005859375</v>
      </c>
    </row>
    <row r="13914" spans="1:2" x14ac:dyDescent="0.25">
      <c r="A13914" s="5">
        <v>42107</v>
      </c>
      <c r="B13914">
        <v>2092.42993164062</v>
      </c>
    </row>
    <row r="13915" spans="1:2" x14ac:dyDescent="0.25">
      <c r="A13915" s="5">
        <v>42108</v>
      </c>
      <c r="B13915">
        <v>2095.84008789062</v>
      </c>
    </row>
    <row r="13916" spans="1:2" x14ac:dyDescent="0.25">
      <c r="A13916" s="5">
        <v>42109</v>
      </c>
      <c r="B13916">
        <v>2106.6298828125</v>
      </c>
    </row>
    <row r="13917" spans="1:2" x14ac:dyDescent="0.25">
      <c r="A13917" s="5">
        <v>42110</v>
      </c>
      <c r="B13917">
        <v>2104.98999023438</v>
      </c>
    </row>
    <row r="13918" spans="1:2" x14ac:dyDescent="0.25">
      <c r="A13918" s="5">
        <v>42111</v>
      </c>
      <c r="B13918">
        <v>2081.17993164062</v>
      </c>
    </row>
    <row r="13919" spans="1:2" x14ac:dyDescent="0.25">
      <c r="A13919" s="5">
        <v>42114</v>
      </c>
      <c r="B13919">
        <v>2100.39990234375</v>
      </c>
    </row>
    <row r="13920" spans="1:2" x14ac:dyDescent="0.25">
      <c r="A13920" s="5">
        <v>42115</v>
      </c>
      <c r="B13920">
        <v>2097.2900390625</v>
      </c>
    </row>
    <row r="13921" spans="1:2" x14ac:dyDescent="0.25">
      <c r="A13921" s="5">
        <v>42116</v>
      </c>
      <c r="B13921">
        <v>2107.9599609375</v>
      </c>
    </row>
    <row r="13922" spans="1:2" x14ac:dyDescent="0.25">
      <c r="A13922" s="5">
        <v>42117</v>
      </c>
      <c r="B13922">
        <v>2112.92993164062</v>
      </c>
    </row>
    <row r="13923" spans="1:2" x14ac:dyDescent="0.25">
      <c r="A13923" s="5">
        <v>42118</v>
      </c>
      <c r="B13923">
        <v>2117.68994140625</v>
      </c>
    </row>
    <row r="13924" spans="1:2" x14ac:dyDescent="0.25">
      <c r="A13924" s="5">
        <v>42121</v>
      </c>
      <c r="B13924">
        <v>2108.919921875</v>
      </c>
    </row>
    <row r="13925" spans="1:2" x14ac:dyDescent="0.25">
      <c r="A13925" s="5">
        <v>42122</v>
      </c>
      <c r="B13925">
        <v>2114.76000976562</v>
      </c>
    </row>
    <row r="13926" spans="1:2" x14ac:dyDescent="0.25">
      <c r="A13926" s="5">
        <v>42123</v>
      </c>
      <c r="B13926">
        <v>2106.85009765625</v>
      </c>
    </row>
    <row r="13927" spans="1:2" x14ac:dyDescent="0.25">
      <c r="A13927" s="5">
        <v>42124</v>
      </c>
      <c r="B13927">
        <v>2085.51000976562</v>
      </c>
    </row>
    <row r="13928" spans="1:2" x14ac:dyDescent="0.25">
      <c r="A13928" s="5">
        <v>42125</v>
      </c>
      <c r="B13928">
        <v>2108.2900390625</v>
      </c>
    </row>
    <row r="13929" spans="1:2" x14ac:dyDescent="0.25">
      <c r="A13929" s="5">
        <v>42128</v>
      </c>
      <c r="B13929">
        <v>2114.48999023438</v>
      </c>
    </row>
    <row r="13930" spans="1:2" x14ac:dyDescent="0.25">
      <c r="A13930" s="5">
        <v>42129</v>
      </c>
      <c r="B13930">
        <v>2089.4599609375</v>
      </c>
    </row>
    <row r="13931" spans="1:2" x14ac:dyDescent="0.25">
      <c r="A13931" s="5">
        <v>42130</v>
      </c>
      <c r="B13931">
        <v>2080.14990234375</v>
      </c>
    </row>
    <row r="13932" spans="1:2" x14ac:dyDescent="0.25">
      <c r="A13932" s="5">
        <v>42131</v>
      </c>
      <c r="B13932">
        <v>2088</v>
      </c>
    </row>
    <row r="13933" spans="1:2" x14ac:dyDescent="0.25">
      <c r="A13933" s="5">
        <v>42132</v>
      </c>
      <c r="B13933">
        <v>2116.10009765625</v>
      </c>
    </row>
    <row r="13934" spans="1:2" x14ac:dyDescent="0.25">
      <c r="A13934" s="5">
        <v>42135</v>
      </c>
      <c r="B13934">
        <v>2105.330078125</v>
      </c>
    </row>
    <row r="13935" spans="1:2" x14ac:dyDescent="0.25">
      <c r="A13935" s="5">
        <v>42136</v>
      </c>
      <c r="B13935">
        <v>2099.1201171875</v>
      </c>
    </row>
    <row r="13936" spans="1:2" x14ac:dyDescent="0.25">
      <c r="A13936" s="5">
        <v>42137</v>
      </c>
      <c r="B13936">
        <v>2098.47998046875</v>
      </c>
    </row>
    <row r="13937" spans="1:2" x14ac:dyDescent="0.25">
      <c r="A13937" s="5">
        <v>42138</v>
      </c>
      <c r="B13937">
        <v>2121.10009765625</v>
      </c>
    </row>
    <row r="13938" spans="1:2" x14ac:dyDescent="0.25">
      <c r="A13938" s="5">
        <v>42139</v>
      </c>
      <c r="B13938">
        <v>2122.72998046875</v>
      </c>
    </row>
    <row r="13939" spans="1:2" x14ac:dyDescent="0.25">
      <c r="A13939" s="5">
        <v>42142</v>
      </c>
      <c r="B13939">
        <v>2129.19995117188</v>
      </c>
    </row>
    <row r="13940" spans="1:2" x14ac:dyDescent="0.25">
      <c r="A13940" s="5">
        <v>42143</v>
      </c>
      <c r="B13940">
        <v>2127.830078125</v>
      </c>
    </row>
    <row r="13941" spans="1:2" x14ac:dyDescent="0.25">
      <c r="A13941" s="5">
        <v>42144</v>
      </c>
      <c r="B13941">
        <v>2125.85009765625</v>
      </c>
    </row>
    <row r="13942" spans="1:2" x14ac:dyDescent="0.25">
      <c r="A13942" s="5">
        <v>42145</v>
      </c>
      <c r="B13942">
        <v>2130.82006835938</v>
      </c>
    </row>
    <row r="13943" spans="1:2" x14ac:dyDescent="0.25">
      <c r="A13943" s="5">
        <v>42146</v>
      </c>
      <c r="B13943">
        <v>2126.06005859375</v>
      </c>
    </row>
    <row r="13944" spans="1:2" x14ac:dyDescent="0.25">
      <c r="A13944" s="5">
        <v>42150</v>
      </c>
      <c r="B13944">
        <v>2104.19995117188</v>
      </c>
    </row>
    <row r="13945" spans="1:2" x14ac:dyDescent="0.25">
      <c r="A13945" s="5">
        <v>42151</v>
      </c>
      <c r="B13945">
        <v>2123.47998046875</v>
      </c>
    </row>
    <row r="13946" spans="1:2" x14ac:dyDescent="0.25">
      <c r="A13946" s="5">
        <v>42152</v>
      </c>
      <c r="B13946">
        <v>2120.7900390625</v>
      </c>
    </row>
    <row r="13947" spans="1:2" x14ac:dyDescent="0.25">
      <c r="A13947" s="5">
        <v>42153</v>
      </c>
      <c r="B13947">
        <v>2107.38989257812</v>
      </c>
    </row>
    <row r="13948" spans="1:2" x14ac:dyDescent="0.25">
      <c r="A13948" s="5">
        <v>42156</v>
      </c>
      <c r="B13948">
        <v>2111.72998046875</v>
      </c>
    </row>
    <row r="13949" spans="1:2" x14ac:dyDescent="0.25">
      <c r="A13949" s="5">
        <v>42157</v>
      </c>
      <c r="B13949">
        <v>2109.60009765625</v>
      </c>
    </row>
    <row r="13950" spans="1:2" x14ac:dyDescent="0.25">
      <c r="A13950" s="5">
        <v>42158</v>
      </c>
      <c r="B13950">
        <v>2114.07006835938</v>
      </c>
    </row>
    <row r="13951" spans="1:2" x14ac:dyDescent="0.25">
      <c r="A13951" s="5">
        <v>42159</v>
      </c>
      <c r="B13951">
        <v>2095.84008789062</v>
      </c>
    </row>
    <row r="13952" spans="1:2" x14ac:dyDescent="0.25">
      <c r="A13952" s="5">
        <v>42160</v>
      </c>
      <c r="B13952">
        <v>2092.830078125</v>
      </c>
    </row>
    <row r="13953" spans="1:2" x14ac:dyDescent="0.25">
      <c r="A13953" s="5">
        <v>42163</v>
      </c>
      <c r="B13953">
        <v>2079.28002929688</v>
      </c>
    </row>
    <row r="13954" spans="1:2" x14ac:dyDescent="0.25">
      <c r="A13954" s="5">
        <v>42164</v>
      </c>
      <c r="B13954">
        <v>2080.14990234375</v>
      </c>
    </row>
    <row r="13955" spans="1:2" x14ac:dyDescent="0.25">
      <c r="A13955" s="5">
        <v>42165</v>
      </c>
      <c r="B13955">
        <v>2105.19995117188</v>
      </c>
    </row>
    <row r="13956" spans="1:2" x14ac:dyDescent="0.25">
      <c r="A13956" s="5">
        <v>42166</v>
      </c>
      <c r="B13956">
        <v>2108.86010742188</v>
      </c>
    </row>
    <row r="13957" spans="1:2" x14ac:dyDescent="0.25">
      <c r="A13957" s="5">
        <v>42167</v>
      </c>
      <c r="B13957">
        <v>2094.11010742188</v>
      </c>
    </row>
    <row r="13958" spans="1:2" x14ac:dyDescent="0.25">
      <c r="A13958" s="5">
        <v>42170</v>
      </c>
      <c r="B13958">
        <v>2084.42993164062</v>
      </c>
    </row>
    <row r="13959" spans="1:2" x14ac:dyDescent="0.25">
      <c r="A13959" s="5">
        <v>42171</v>
      </c>
      <c r="B13959">
        <v>2096.2900390625</v>
      </c>
    </row>
    <row r="13960" spans="1:2" x14ac:dyDescent="0.25">
      <c r="A13960" s="5">
        <v>42172</v>
      </c>
      <c r="B13960">
        <v>2100.43994140625</v>
      </c>
    </row>
    <row r="13961" spans="1:2" x14ac:dyDescent="0.25">
      <c r="A13961" s="5">
        <v>42173</v>
      </c>
      <c r="B13961">
        <v>2121.23999023438</v>
      </c>
    </row>
    <row r="13962" spans="1:2" x14ac:dyDescent="0.25">
      <c r="A13962" s="5">
        <v>42174</v>
      </c>
      <c r="B13962">
        <v>2109.98999023438</v>
      </c>
    </row>
    <row r="13963" spans="1:2" x14ac:dyDescent="0.25">
      <c r="A13963" s="5">
        <v>42177</v>
      </c>
      <c r="B13963">
        <v>2122.85009765625</v>
      </c>
    </row>
    <row r="13964" spans="1:2" x14ac:dyDescent="0.25">
      <c r="A13964" s="5">
        <v>42178</v>
      </c>
      <c r="B13964">
        <v>2124.19995117188</v>
      </c>
    </row>
    <row r="13965" spans="1:2" x14ac:dyDescent="0.25">
      <c r="A13965" s="5">
        <v>42179</v>
      </c>
      <c r="B13965">
        <v>2108.580078125</v>
      </c>
    </row>
    <row r="13966" spans="1:2" x14ac:dyDescent="0.25">
      <c r="A13966" s="5">
        <v>42180</v>
      </c>
      <c r="B13966">
        <v>2102.31005859375</v>
      </c>
    </row>
    <row r="13967" spans="1:2" x14ac:dyDescent="0.25">
      <c r="A13967" s="5">
        <v>42181</v>
      </c>
      <c r="B13967">
        <v>2101.48999023438</v>
      </c>
    </row>
    <row r="13968" spans="1:2" x14ac:dyDescent="0.25">
      <c r="A13968" s="5">
        <v>42184</v>
      </c>
      <c r="B13968">
        <v>2057.63989257812</v>
      </c>
    </row>
    <row r="13969" spans="1:2" x14ac:dyDescent="0.25">
      <c r="A13969" s="5">
        <v>42185</v>
      </c>
      <c r="B13969">
        <v>2063.11010742188</v>
      </c>
    </row>
    <row r="13970" spans="1:2" x14ac:dyDescent="0.25">
      <c r="A13970" s="5">
        <v>42186</v>
      </c>
      <c r="B13970">
        <v>2077.419921875</v>
      </c>
    </row>
    <row r="13971" spans="1:2" x14ac:dyDescent="0.25">
      <c r="A13971" s="5">
        <v>42187</v>
      </c>
      <c r="B13971">
        <v>2076.78002929688</v>
      </c>
    </row>
    <row r="13972" spans="1:2" x14ac:dyDescent="0.25">
      <c r="A13972" s="5">
        <v>42191</v>
      </c>
      <c r="B13972">
        <v>2068.76000976562</v>
      </c>
    </row>
    <row r="13973" spans="1:2" x14ac:dyDescent="0.25">
      <c r="A13973" s="5">
        <v>42192</v>
      </c>
      <c r="B13973">
        <v>2081.34008789062</v>
      </c>
    </row>
    <row r="13974" spans="1:2" x14ac:dyDescent="0.25">
      <c r="A13974" s="5">
        <v>42193</v>
      </c>
      <c r="B13974">
        <v>2046.68005371094</v>
      </c>
    </row>
    <row r="13975" spans="1:2" x14ac:dyDescent="0.25">
      <c r="A13975" s="5">
        <v>42194</v>
      </c>
      <c r="B13975">
        <v>2051.31005859375</v>
      </c>
    </row>
    <row r="13976" spans="1:2" x14ac:dyDescent="0.25">
      <c r="A13976" s="5">
        <v>42195</v>
      </c>
      <c r="B13976">
        <v>2076.6201171875</v>
      </c>
    </row>
    <row r="13977" spans="1:2" x14ac:dyDescent="0.25">
      <c r="A13977" s="5">
        <v>42198</v>
      </c>
      <c r="B13977">
        <v>2099.60009765625</v>
      </c>
    </row>
    <row r="13978" spans="1:2" x14ac:dyDescent="0.25">
      <c r="A13978" s="5">
        <v>42199</v>
      </c>
      <c r="B13978">
        <v>2108.94995117188</v>
      </c>
    </row>
    <row r="13979" spans="1:2" x14ac:dyDescent="0.25">
      <c r="A13979" s="5">
        <v>42200</v>
      </c>
      <c r="B13979">
        <v>2107.39990234375</v>
      </c>
    </row>
    <row r="13980" spans="1:2" x14ac:dyDescent="0.25">
      <c r="A13980" s="5">
        <v>42201</v>
      </c>
      <c r="B13980">
        <v>2124.2900390625</v>
      </c>
    </row>
    <row r="13981" spans="1:2" x14ac:dyDescent="0.25">
      <c r="A13981" s="5">
        <v>42202</v>
      </c>
      <c r="B13981">
        <v>2126.63989257812</v>
      </c>
    </row>
    <row r="13982" spans="1:2" x14ac:dyDescent="0.25">
      <c r="A13982" s="5">
        <v>42205</v>
      </c>
      <c r="B13982">
        <v>2128.28002929688</v>
      </c>
    </row>
    <row r="13983" spans="1:2" x14ac:dyDescent="0.25">
      <c r="A13983" s="5">
        <v>42206</v>
      </c>
      <c r="B13983">
        <v>2119.2099609375</v>
      </c>
    </row>
    <row r="13984" spans="1:2" x14ac:dyDescent="0.25">
      <c r="A13984" s="5">
        <v>42207</v>
      </c>
      <c r="B13984">
        <v>2114.14990234375</v>
      </c>
    </row>
    <row r="13985" spans="1:2" x14ac:dyDescent="0.25">
      <c r="A13985" s="5">
        <v>42208</v>
      </c>
      <c r="B13985">
        <v>2102.14990234375</v>
      </c>
    </row>
    <row r="13986" spans="1:2" x14ac:dyDescent="0.25">
      <c r="A13986" s="5">
        <v>42209</v>
      </c>
      <c r="B13986">
        <v>2079.64990234375</v>
      </c>
    </row>
    <row r="13987" spans="1:2" x14ac:dyDescent="0.25">
      <c r="A13987" s="5">
        <v>42212</v>
      </c>
      <c r="B13987">
        <v>2067.63989257812</v>
      </c>
    </row>
    <row r="13988" spans="1:2" x14ac:dyDescent="0.25">
      <c r="A13988" s="5">
        <v>42213</v>
      </c>
      <c r="B13988">
        <v>2093.25</v>
      </c>
    </row>
    <row r="13989" spans="1:2" x14ac:dyDescent="0.25">
      <c r="A13989" s="5">
        <v>42214</v>
      </c>
      <c r="B13989">
        <v>2108.57006835938</v>
      </c>
    </row>
    <row r="13990" spans="1:2" x14ac:dyDescent="0.25">
      <c r="A13990" s="5">
        <v>42215</v>
      </c>
      <c r="B13990">
        <v>2108.6298828125</v>
      </c>
    </row>
    <row r="13991" spans="1:2" x14ac:dyDescent="0.25">
      <c r="A13991" s="5">
        <v>42216</v>
      </c>
      <c r="B13991">
        <v>2103.84008789062</v>
      </c>
    </row>
    <row r="13992" spans="1:2" x14ac:dyDescent="0.25">
      <c r="A13992" s="5">
        <v>42219</v>
      </c>
      <c r="B13992">
        <v>2098.0400390625</v>
      </c>
    </row>
    <row r="13993" spans="1:2" x14ac:dyDescent="0.25">
      <c r="A13993" s="5">
        <v>42220</v>
      </c>
      <c r="B13993">
        <v>2093.32006835938</v>
      </c>
    </row>
    <row r="13994" spans="1:2" x14ac:dyDescent="0.25">
      <c r="A13994" s="5">
        <v>42221</v>
      </c>
      <c r="B13994">
        <v>2099.84008789062</v>
      </c>
    </row>
    <row r="13995" spans="1:2" x14ac:dyDescent="0.25">
      <c r="A13995" s="5">
        <v>42222</v>
      </c>
      <c r="B13995">
        <v>2083.56005859375</v>
      </c>
    </row>
    <row r="13996" spans="1:2" x14ac:dyDescent="0.25">
      <c r="A13996" s="5">
        <v>42223</v>
      </c>
      <c r="B13996">
        <v>2077.57006835938</v>
      </c>
    </row>
    <row r="13997" spans="1:2" x14ac:dyDescent="0.25">
      <c r="A13997" s="5">
        <v>42226</v>
      </c>
      <c r="B13997">
        <v>2104.17993164062</v>
      </c>
    </row>
    <row r="13998" spans="1:2" x14ac:dyDescent="0.25">
      <c r="A13998" s="5">
        <v>42227</v>
      </c>
      <c r="B13998">
        <v>2084.07006835938</v>
      </c>
    </row>
    <row r="13999" spans="1:2" x14ac:dyDescent="0.25">
      <c r="A13999" s="5">
        <v>42228</v>
      </c>
      <c r="B13999">
        <v>2086.05004882812</v>
      </c>
    </row>
    <row r="14000" spans="1:2" x14ac:dyDescent="0.25">
      <c r="A14000" s="5">
        <v>42229</v>
      </c>
      <c r="B14000">
        <v>2083.38989257812</v>
      </c>
    </row>
    <row r="14001" spans="1:2" x14ac:dyDescent="0.25">
      <c r="A14001" s="5">
        <v>42230</v>
      </c>
      <c r="B14001">
        <v>2091.5400390625</v>
      </c>
    </row>
    <row r="14002" spans="1:2" x14ac:dyDescent="0.25">
      <c r="A14002" s="5">
        <v>42233</v>
      </c>
      <c r="B14002">
        <v>2102.43994140625</v>
      </c>
    </row>
    <row r="14003" spans="1:2" x14ac:dyDescent="0.25">
      <c r="A14003" s="5">
        <v>42234</v>
      </c>
      <c r="B14003">
        <v>2096.919921875</v>
      </c>
    </row>
    <row r="14004" spans="1:2" x14ac:dyDescent="0.25">
      <c r="A14004" s="5">
        <v>42235</v>
      </c>
      <c r="B14004">
        <v>2079.61010742188</v>
      </c>
    </row>
    <row r="14005" spans="1:2" x14ac:dyDescent="0.25">
      <c r="A14005" s="5">
        <v>42236</v>
      </c>
      <c r="B14005">
        <v>2035.72998046875</v>
      </c>
    </row>
    <row r="14006" spans="1:2" x14ac:dyDescent="0.25">
      <c r="A14006" s="5">
        <v>42237</v>
      </c>
      <c r="B14006">
        <v>1970.89001464844</v>
      </c>
    </row>
    <row r="14007" spans="1:2" x14ac:dyDescent="0.25">
      <c r="A14007" s="5">
        <v>42240</v>
      </c>
      <c r="B14007">
        <v>1893.2099609375</v>
      </c>
    </row>
    <row r="14008" spans="1:2" x14ac:dyDescent="0.25">
      <c r="A14008" s="5">
        <v>42241</v>
      </c>
      <c r="B14008">
        <v>1867.60998535156</v>
      </c>
    </row>
    <row r="14009" spans="1:2" x14ac:dyDescent="0.25">
      <c r="A14009" s="5">
        <v>42242</v>
      </c>
      <c r="B14009">
        <v>1940.51000976562</v>
      </c>
    </row>
    <row r="14010" spans="1:2" x14ac:dyDescent="0.25">
      <c r="A14010" s="5">
        <v>42243</v>
      </c>
      <c r="B14010">
        <v>1987.66003417969</v>
      </c>
    </row>
    <row r="14011" spans="1:2" x14ac:dyDescent="0.25">
      <c r="A14011" s="5">
        <v>42244</v>
      </c>
      <c r="B14011">
        <v>1988.86999511719</v>
      </c>
    </row>
    <row r="14012" spans="1:2" x14ac:dyDescent="0.25">
      <c r="A14012" s="5">
        <v>42247</v>
      </c>
      <c r="B14012">
        <v>1972.18005371094</v>
      </c>
    </row>
    <row r="14013" spans="1:2" x14ac:dyDescent="0.25">
      <c r="A14013" s="5">
        <v>42248</v>
      </c>
      <c r="B14013">
        <v>1913.84997558594</v>
      </c>
    </row>
    <row r="14014" spans="1:2" x14ac:dyDescent="0.25">
      <c r="A14014" s="5">
        <v>42249</v>
      </c>
      <c r="B14014">
        <v>1948.85998535156</v>
      </c>
    </row>
    <row r="14015" spans="1:2" x14ac:dyDescent="0.25">
      <c r="A14015" s="5">
        <v>42250</v>
      </c>
      <c r="B14015">
        <v>1951.13000488281</v>
      </c>
    </row>
    <row r="14016" spans="1:2" x14ac:dyDescent="0.25">
      <c r="A14016" s="5">
        <v>42251</v>
      </c>
      <c r="B14016">
        <v>1921.21997070312</v>
      </c>
    </row>
    <row r="14017" spans="1:2" x14ac:dyDescent="0.25">
      <c r="A14017" s="5">
        <v>42255</v>
      </c>
      <c r="B14017">
        <v>1969.41003417969</v>
      </c>
    </row>
    <row r="14018" spans="1:2" x14ac:dyDescent="0.25">
      <c r="A14018" s="5">
        <v>42256</v>
      </c>
      <c r="B14018">
        <v>1942.0400390625</v>
      </c>
    </row>
    <row r="14019" spans="1:2" x14ac:dyDescent="0.25">
      <c r="A14019" s="5">
        <v>42257</v>
      </c>
      <c r="B14019">
        <v>1952.2900390625</v>
      </c>
    </row>
    <row r="14020" spans="1:2" x14ac:dyDescent="0.25">
      <c r="A14020" s="5">
        <v>42258</v>
      </c>
      <c r="B14020">
        <v>1961.05004882812</v>
      </c>
    </row>
    <row r="14021" spans="1:2" x14ac:dyDescent="0.25">
      <c r="A14021" s="5">
        <v>42261</v>
      </c>
      <c r="B14021">
        <v>1953.03002929688</v>
      </c>
    </row>
    <row r="14022" spans="1:2" x14ac:dyDescent="0.25">
      <c r="A14022" s="5">
        <v>42262</v>
      </c>
      <c r="B14022">
        <v>1978.08996582031</v>
      </c>
    </row>
    <row r="14023" spans="1:2" x14ac:dyDescent="0.25">
      <c r="A14023" s="5">
        <v>42263</v>
      </c>
      <c r="B14023">
        <v>1995.31005859375</v>
      </c>
    </row>
    <row r="14024" spans="1:2" x14ac:dyDescent="0.25">
      <c r="A14024" s="5">
        <v>42264</v>
      </c>
      <c r="B14024">
        <v>1990.19995117188</v>
      </c>
    </row>
    <row r="14025" spans="1:2" x14ac:dyDescent="0.25">
      <c r="A14025" s="5">
        <v>42265</v>
      </c>
      <c r="B14025">
        <v>1958.03002929688</v>
      </c>
    </row>
    <row r="14026" spans="1:2" x14ac:dyDescent="0.25">
      <c r="A14026" s="5">
        <v>42268</v>
      </c>
      <c r="B14026">
        <v>1966.96997070312</v>
      </c>
    </row>
    <row r="14027" spans="1:2" x14ac:dyDescent="0.25">
      <c r="A14027" s="5">
        <v>42269</v>
      </c>
      <c r="B14027">
        <v>1942.73999023438</v>
      </c>
    </row>
    <row r="14028" spans="1:2" x14ac:dyDescent="0.25">
      <c r="A14028" s="5">
        <v>42270</v>
      </c>
      <c r="B14028">
        <v>1938.76000976562</v>
      </c>
    </row>
    <row r="14029" spans="1:2" x14ac:dyDescent="0.25">
      <c r="A14029" s="5">
        <v>42271</v>
      </c>
      <c r="B14029">
        <v>1932.23999023438</v>
      </c>
    </row>
    <row r="14030" spans="1:2" x14ac:dyDescent="0.25">
      <c r="A14030" s="5">
        <v>42272</v>
      </c>
      <c r="B14030">
        <v>1931.33996582031</v>
      </c>
    </row>
    <row r="14031" spans="1:2" x14ac:dyDescent="0.25">
      <c r="A14031" s="5">
        <v>42275</v>
      </c>
      <c r="B14031">
        <v>1881.77001953125</v>
      </c>
    </row>
    <row r="14032" spans="1:2" x14ac:dyDescent="0.25">
      <c r="A14032" s="5">
        <v>42276</v>
      </c>
      <c r="B14032">
        <v>1884.08996582031</v>
      </c>
    </row>
    <row r="14033" spans="1:2" x14ac:dyDescent="0.25">
      <c r="A14033" s="5">
        <v>42277</v>
      </c>
      <c r="B14033">
        <v>1920.03002929688</v>
      </c>
    </row>
    <row r="14034" spans="1:2" x14ac:dyDescent="0.25">
      <c r="A14034" s="5">
        <v>42278</v>
      </c>
      <c r="B14034">
        <v>1923.81994628906</v>
      </c>
    </row>
    <row r="14035" spans="1:2" x14ac:dyDescent="0.25">
      <c r="A14035" s="5">
        <v>42279</v>
      </c>
      <c r="B14035">
        <v>1951.35998535156</v>
      </c>
    </row>
    <row r="14036" spans="1:2" x14ac:dyDescent="0.25">
      <c r="A14036" s="5">
        <v>42282</v>
      </c>
      <c r="B14036">
        <v>1987.05004882812</v>
      </c>
    </row>
    <row r="14037" spans="1:2" x14ac:dyDescent="0.25">
      <c r="A14037" s="5">
        <v>42283</v>
      </c>
      <c r="B14037">
        <v>1979.92004394531</v>
      </c>
    </row>
    <row r="14038" spans="1:2" x14ac:dyDescent="0.25">
      <c r="A14038" s="5">
        <v>42284</v>
      </c>
      <c r="B14038">
        <v>1995.82995605469</v>
      </c>
    </row>
    <row r="14039" spans="1:2" x14ac:dyDescent="0.25">
      <c r="A14039" s="5">
        <v>42285</v>
      </c>
      <c r="B14039">
        <v>2013.43005371094</v>
      </c>
    </row>
    <row r="14040" spans="1:2" x14ac:dyDescent="0.25">
      <c r="A14040" s="5">
        <v>42286</v>
      </c>
      <c r="B14040">
        <v>2014.89001464844</v>
      </c>
    </row>
    <row r="14041" spans="1:2" x14ac:dyDescent="0.25">
      <c r="A14041" s="5">
        <v>42289</v>
      </c>
      <c r="B14041">
        <v>2017.4599609375</v>
      </c>
    </row>
    <row r="14042" spans="1:2" x14ac:dyDescent="0.25">
      <c r="A14042" s="5">
        <v>42290</v>
      </c>
      <c r="B14042">
        <v>2003.68994140625</v>
      </c>
    </row>
    <row r="14043" spans="1:2" x14ac:dyDescent="0.25">
      <c r="A14043" s="5">
        <v>42291</v>
      </c>
      <c r="B14043">
        <v>1994.23999023438</v>
      </c>
    </row>
    <row r="14044" spans="1:2" x14ac:dyDescent="0.25">
      <c r="A14044" s="5">
        <v>42292</v>
      </c>
      <c r="B14044">
        <v>2023.85998535156</v>
      </c>
    </row>
    <row r="14045" spans="1:2" x14ac:dyDescent="0.25">
      <c r="A14045" s="5">
        <v>42293</v>
      </c>
      <c r="B14045">
        <v>2033.10998535156</v>
      </c>
    </row>
    <row r="14046" spans="1:2" x14ac:dyDescent="0.25">
      <c r="A14046" s="5">
        <v>42296</v>
      </c>
      <c r="B14046">
        <v>2033.66003417969</v>
      </c>
    </row>
    <row r="14047" spans="1:2" x14ac:dyDescent="0.25">
      <c r="A14047" s="5">
        <v>42297</v>
      </c>
      <c r="B14047">
        <v>2030.77001953125</v>
      </c>
    </row>
    <row r="14048" spans="1:2" x14ac:dyDescent="0.25">
      <c r="A14048" s="5">
        <v>42298</v>
      </c>
      <c r="B14048">
        <v>2018.93994140625</v>
      </c>
    </row>
    <row r="14049" spans="1:2" x14ac:dyDescent="0.25">
      <c r="A14049" s="5">
        <v>42299</v>
      </c>
      <c r="B14049">
        <v>2052.51000976562</v>
      </c>
    </row>
    <row r="14050" spans="1:2" x14ac:dyDescent="0.25">
      <c r="A14050" s="5">
        <v>42300</v>
      </c>
      <c r="B14050">
        <v>2075.14990234375</v>
      </c>
    </row>
    <row r="14051" spans="1:2" x14ac:dyDescent="0.25">
      <c r="A14051" s="5">
        <v>42303</v>
      </c>
      <c r="B14051">
        <v>2071.17993164062</v>
      </c>
    </row>
    <row r="14052" spans="1:2" x14ac:dyDescent="0.25">
      <c r="A14052" s="5">
        <v>42304</v>
      </c>
      <c r="B14052">
        <v>2065.88989257812</v>
      </c>
    </row>
    <row r="14053" spans="1:2" x14ac:dyDescent="0.25">
      <c r="A14053" s="5">
        <v>42305</v>
      </c>
      <c r="B14053">
        <v>2090.35009765625</v>
      </c>
    </row>
    <row r="14054" spans="1:2" x14ac:dyDescent="0.25">
      <c r="A14054" s="5">
        <v>42306</v>
      </c>
      <c r="B14054">
        <v>2089.40991210938</v>
      </c>
    </row>
    <row r="14055" spans="1:2" x14ac:dyDescent="0.25">
      <c r="A14055" s="5">
        <v>42307</v>
      </c>
      <c r="B14055">
        <v>2079.36010742188</v>
      </c>
    </row>
    <row r="14056" spans="1:2" x14ac:dyDescent="0.25">
      <c r="A14056" s="5">
        <v>42310</v>
      </c>
      <c r="B14056">
        <v>2104.05004882812</v>
      </c>
    </row>
    <row r="14057" spans="1:2" x14ac:dyDescent="0.25">
      <c r="A14057" s="5">
        <v>42311</v>
      </c>
      <c r="B14057">
        <v>2109.7900390625</v>
      </c>
    </row>
    <row r="14058" spans="1:2" x14ac:dyDescent="0.25">
      <c r="A14058" s="5">
        <v>42312</v>
      </c>
      <c r="B14058">
        <v>2102.31005859375</v>
      </c>
    </row>
    <row r="14059" spans="1:2" x14ac:dyDescent="0.25">
      <c r="A14059" s="5">
        <v>42313</v>
      </c>
      <c r="B14059">
        <v>2099.92993164062</v>
      </c>
    </row>
    <row r="14060" spans="1:2" x14ac:dyDescent="0.25">
      <c r="A14060" s="5">
        <v>42314</v>
      </c>
      <c r="B14060">
        <v>2099.19995117188</v>
      </c>
    </row>
    <row r="14061" spans="1:2" x14ac:dyDescent="0.25">
      <c r="A14061" s="5">
        <v>42317</v>
      </c>
      <c r="B14061">
        <v>2078.580078125</v>
      </c>
    </row>
    <row r="14062" spans="1:2" x14ac:dyDescent="0.25">
      <c r="A14062" s="5">
        <v>42318</v>
      </c>
      <c r="B14062">
        <v>2081.71997070312</v>
      </c>
    </row>
    <row r="14063" spans="1:2" x14ac:dyDescent="0.25">
      <c r="A14063" s="5">
        <v>42319</v>
      </c>
      <c r="B14063">
        <v>2075</v>
      </c>
    </row>
    <row r="14064" spans="1:2" x14ac:dyDescent="0.25">
      <c r="A14064" s="5">
        <v>42320</v>
      </c>
      <c r="B14064">
        <v>2045.96997070312</v>
      </c>
    </row>
    <row r="14065" spans="1:2" x14ac:dyDescent="0.25">
      <c r="A14065" s="5">
        <v>42321</v>
      </c>
      <c r="B14065">
        <v>2023.0400390625</v>
      </c>
    </row>
    <row r="14066" spans="1:2" x14ac:dyDescent="0.25">
      <c r="A14066" s="5">
        <v>42324</v>
      </c>
      <c r="B14066">
        <v>2053.18994140625</v>
      </c>
    </row>
    <row r="14067" spans="1:2" x14ac:dyDescent="0.25">
      <c r="A14067" s="5">
        <v>42325</v>
      </c>
      <c r="B14067">
        <v>2050.43994140625</v>
      </c>
    </row>
    <row r="14068" spans="1:2" x14ac:dyDescent="0.25">
      <c r="A14068" s="5">
        <v>42326</v>
      </c>
      <c r="B14068">
        <v>2083.580078125</v>
      </c>
    </row>
    <row r="14069" spans="1:2" x14ac:dyDescent="0.25">
      <c r="A14069" s="5">
        <v>42327</v>
      </c>
      <c r="B14069">
        <v>2081.23999023438</v>
      </c>
    </row>
    <row r="14070" spans="1:2" x14ac:dyDescent="0.25">
      <c r="A14070" s="5">
        <v>42328</v>
      </c>
      <c r="B14070">
        <v>2089.169921875</v>
      </c>
    </row>
    <row r="14071" spans="1:2" x14ac:dyDescent="0.25">
      <c r="A14071" s="5">
        <v>42331</v>
      </c>
      <c r="B14071">
        <v>2086.59008789062</v>
      </c>
    </row>
    <row r="14072" spans="1:2" x14ac:dyDescent="0.25">
      <c r="A14072" s="5">
        <v>42332</v>
      </c>
      <c r="B14072">
        <v>2089.13989257812</v>
      </c>
    </row>
    <row r="14073" spans="1:2" x14ac:dyDescent="0.25">
      <c r="A14073" s="5">
        <v>42333</v>
      </c>
      <c r="B14073">
        <v>2088.8701171875</v>
      </c>
    </row>
    <row r="14074" spans="1:2" x14ac:dyDescent="0.25">
      <c r="A14074" s="5">
        <v>42335</v>
      </c>
      <c r="B14074">
        <v>2090.11010742188</v>
      </c>
    </row>
    <row r="14075" spans="1:2" x14ac:dyDescent="0.25">
      <c r="A14075" s="5">
        <v>42338</v>
      </c>
      <c r="B14075">
        <v>2080.40991210938</v>
      </c>
    </row>
    <row r="14076" spans="1:2" x14ac:dyDescent="0.25">
      <c r="A14076" s="5">
        <v>42339</v>
      </c>
      <c r="B14076">
        <v>2102.6298828125</v>
      </c>
    </row>
    <row r="14077" spans="1:2" x14ac:dyDescent="0.25">
      <c r="A14077" s="5">
        <v>42340</v>
      </c>
      <c r="B14077">
        <v>2079.51000976562</v>
      </c>
    </row>
    <row r="14078" spans="1:2" x14ac:dyDescent="0.25">
      <c r="A14078" s="5">
        <v>42341</v>
      </c>
      <c r="B14078">
        <v>2049.6201171875</v>
      </c>
    </row>
    <row r="14079" spans="1:2" x14ac:dyDescent="0.25">
      <c r="A14079" s="5">
        <v>42342</v>
      </c>
      <c r="B14079">
        <v>2091.68994140625</v>
      </c>
    </row>
    <row r="14080" spans="1:2" x14ac:dyDescent="0.25">
      <c r="A14080" s="5">
        <v>42345</v>
      </c>
      <c r="B14080">
        <v>2077.07006835938</v>
      </c>
    </row>
    <row r="14081" spans="1:2" x14ac:dyDescent="0.25">
      <c r="A14081" s="5">
        <v>42346</v>
      </c>
      <c r="B14081">
        <v>2063.59008789062</v>
      </c>
    </row>
    <row r="14082" spans="1:2" x14ac:dyDescent="0.25">
      <c r="A14082" s="5">
        <v>42347</v>
      </c>
      <c r="B14082">
        <v>2047.61999511719</v>
      </c>
    </row>
    <row r="14083" spans="1:2" x14ac:dyDescent="0.25">
      <c r="A14083" s="5">
        <v>42348</v>
      </c>
      <c r="B14083">
        <v>2052.22998046875</v>
      </c>
    </row>
    <row r="14084" spans="1:2" x14ac:dyDescent="0.25">
      <c r="A14084" s="5">
        <v>42349</v>
      </c>
      <c r="B14084">
        <v>2012.36999511719</v>
      </c>
    </row>
    <row r="14085" spans="1:2" x14ac:dyDescent="0.25">
      <c r="A14085" s="5">
        <v>42352</v>
      </c>
      <c r="B14085">
        <v>2021.93994140625</v>
      </c>
    </row>
    <row r="14086" spans="1:2" x14ac:dyDescent="0.25">
      <c r="A14086" s="5">
        <v>42353</v>
      </c>
      <c r="B14086">
        <v>2043.41003417969</v>
      </c>
    </row>
    <row r="14087" spans="1:2" x14ac:dyDescent="0.25">
      <c r="A14087" s="5">
        <v>42354</v>
      </c>
      <c r="B14087">
        <v>2073.07006835938</v>
      </c>
    </row>
    <row r="14088" spans="1:2" x14ac:dyDescent="0.25">
      <c r="A14088" s="5">
        <v>42355</v>
      </c>
      <c r="B14088">
        <v>2041.89001464844</v>
      </c>
    </row>
    <row r="14089" spans="1:2" x14ac:dyDescent="0.25">
      <c r="A14089" s="5">
        <v>42356</v>
      </c>
      <c r="B14089">
        <v>2005.55004882812</v>
      </c>
    </row>
    <row r="14090" spans="1:2" x14ac:dyDescent="0.25">
      <c r="A14090" s="5">
        <v>42359</v>
      </c>
      <c r="B14090">
        <v>2021.15002441406</v>
      </c>
    </row>
    <row r="14091" spans="1:2" x14ac:dyDescent="0.25">
      <c r="A14091" s="5">
        <v>42360</v>
      </c>
      <c r="B14091">
        <v>2038.96997070312</v>
      </c>
    </row>
    <row r="14092" spans="1:2" x14ac:dyDescent="0.25">
      <c r="A14092" s="5">
        <v>42361</v>
      </c>
      <c r="B14092">
        <v>2064.2900390625</v>
      </c>
    </row>
    <row r="14093" spans="1:2" x14ac:dyDescent="0.25">
      <c r="A14093" s="5">
        <v>42362</v>
      </c>
      <c r="B14093">
        <v>2060.98999023438</v>
      </c>
    </row>
    <row r="14094" spans="1:2" x14ac:dyDescent="0.25">
      <c r="A14094" s="5">
        <v>42366</v>
      </c>
      <c r="B14094">
        <v>2056.5</v>
      </c>
    </row>
    <row r="14095" spans="1:2" x14ac:dyDescent="0.25">
      <c r="A14095" s="5">
        <v>42367</v>
      </c>
      <c r="B14095">
        <v>2078.36010742188</v>
      </c>
    </row>
    <row r="14096" spans="1:2" x14ac:dyDescent="0.25">
      <c r="A14096" s="5">
        <v>42368</v>
      </c>
      <c r="B14096">
        <v>2063.36010742188</v>
      </c>
    </row>
    <row r="14097" spans="1:2" x14ac:dyDescent="0.25">
      <c r="A14097" s="5">
        <v>42369</v>
      </c>
      <c r="B14097">
        <v>2043.93994140625</v>
      </c>
    </row>
    <row r="14098" spans="1:2" x14ac:dyDescent="0.25">
      <c r="A14098" s="5">
        <v>42373</v>
      </c>
      <c r="B14098">
        <v>2012.66003417969</v>
      </c>
    </row>
    <row r="14099" spans="1:2" x14ac:dyDescent="0.25">
      <c r="A14099" s="5">
        <v>42374</v>
      </c>
      <c r="B14099">
        <v>2016.7099609375</v>
      </c>
    </row>
    <row r="14100" spans="1:2" x14ac:dyDescent="0.25">
      <c r="A14100" s="5">
        <v>42375</v>
      </c>
      <c r="B14100">
        <v>1990.26000976562</v>
      </c>
    </row>
    <row r="14101" spans="1:2" x14ac:dyDescent="0.25">
      <c r="A14101" s="5">
        <v>42376</v>
      </c>
      <c r="B14101">
        <v>1943.08996582031</v>
      </c>
    </row>
    <row r="14102" spans="1:2" x14ac:dyDescent="0.25">
      <c r="A14102" s="5">
        <v>42377</v>
      </c>
      <c r="B14102">
        <v>1922.03002929688</v>
      </c>
    </row>
    <row r="14103" spans="1:2" x14ac:dyDescent="0.25">
      <c r="A14103" s="5">
        <v>42380</v>
      </c>
      <c r="B14103">
        <v>1923.67004394531</v>
      </c>
    </row>
    <row r="14104" spans="1:2" x14ac:dyDescent="0.25">
      <c r="A14104" s="5">
        <v>42381</v>
      </c>
      <c r="B14104">
        <v>1938.68005371094</v>
      </c>
    </row>
    <row r="14105" spans="1:2" x14ac:dyDescent="0.25">
      <c r="A14105" s="5">
        <v>42382</v>
      </c>
      <c r="B14105">
        <v>1890.28002929688</v>
      </c>
    </row>
    <row r="14106" spans="1:2" x14ac:dyDescent="0.25">
      <c r="A14106" s="5">
        <v>42383</v>
      </c>
      <c r="B14106">
        <v>1921.83996582031</v>
      </c>
    </row>
    <row r="14107" spans="1:2" x14ac:dyDescent="0.25">
      <c r="A14107" s="5">
        <v>42384</v>
      </c>
      <c r="B14107">
        <v>1880.32995605469</v>
      </c>
    </row>
    <row r="14108" spans="1:2" x14ac:dyDescent="0.25">
      <c r="A14108" s="5">
        <v>42388</v>
      </c>
      <c r="B14108">
        <v>1881.32995605469</v>
      </c>
    </row>
    <row r="14109" spans="1:2" x14ac:dyDescent="0.25">
      <c r="A14109" s="5">
        <v>42389</v>
      </c>
      <c r="B14109">
        <v>1859.32995605469</v>
      </c>
    </row>
    <row r="14110" spans="1:2" x14ac:dyDescent="0.25">
      <c r="A14110" s="5">
        <v>42390</v>
      </c>
      <c r="B14110">
        <v>1868.98999023438</v>
      </c>
    </row>
    <row r="14111" spans="1:2" x14ac:dyDescent="0.25">
      <c r="A14111" s="5">
        <v>42391</v>
      </c>
      <c r="B14111">
        <v>1906.90002441406</v>
      </c>
    </row>
    <row r="14112" spans="1:2" x14ac:dyDescent="0.25">
      <c r="A14112" s="5">
        <v>42394</v>
      </c>
      <c r="B14112">
        <v>1877.07995605469</v>
      </c>
    </row>
    <row r="14113" spans="1:2" x14ac:dyDescent="0.25">
      <c r="A14113" s="5">
        <v>42395</v>
      </c>
      <c r="B14113">
        <v>1903.63000488281</v>
      </c>
    </row>
    <row r="14114" spans="1:2" x14ac:dyDescent="0.25">
      <c r="A14114" s="5">
        <v>42396</v>
      </c>
      <c r="B14114">
        <v>1882.94995117188</v>
      </c>
    </row>
    <row r="14115" spans="1:2" x14ac:dyDescent="0.25">
      <c r="A14115" s="5">
        <v>42397</v>
      </c>
      <c r="B14115">
        <v>1893.35998535156</v>
      </c>
    </row>
    <row r="14116" spans="1:2" x14ac:dyDescent="0.25">
      <c r="A14116" s="5">
        <v>42398</v>
      </c>
      <c r="B14116">
        <v>1940.23999023438</v>
      </c>
    </row>
    <row r="14117" spans="1:2" x14ac:dyDescent="0.25">
      <c r="A14117" s="5">
        <v>42401</v>
      </c>
      <c r="B14117">
        <v>1939.38000488281</v>
      </c>
    </row>
    <row r="14118" spans="1:2" x14ac:dyDescent="0.25">
      <c r="A14118" s="5">
        <v>42402</v>
      </c>
      <c r="B14118">
        <v>1903.03002929688</v>
      </c>
    </row>
    <row r="14119" spans="1:2" x14ac:dyDescent="0.25">
      <c r="A14119" s="5">
        <v>42403</v>
      </c>
      <c r="B14119">
        <v>1912.53002929688</v>
      </c>
    </row>
    <row r="14120" spans="1:2" x14ac:dyDescent="0.25">
      <c r="A14120" s="5">
        <v>42404</v>
      </c>
      <c r="B14120">
        <v>1915.44995117188</v>
      </c>
    </row>
    <row r="14121" spans="1:2" x14ac:dyDescent="0.25">
      <c r="A14121" s="5">
        <v>42405</v>
      </c>
      <c r="B14121">
        <v>1880.05004882812</v>
      </c>
    </row>
    <row r="14122" spans="1:2" x14ac:dyDescent="0.25">
      <c r="A14122" s="5">
        <v>42408</v>
      </c>
      <c r="B14122">
        <v>1853.43994140625</v>
      </c>
    </row>
    <row r="14123" spans="1:2" x14ac:dyDescent="0.25">
      <c r="A14123" s="5">
        <v>42409</v>
      </c>
      <c r="B14123">
        <v>1852.2099609375</v>
      </c>
    </row>
    <row r="14124" spans="1:2" x14ac:dyDescent="0.25">
      <c r="A14124" s="5">
        <v>42410</v>
      </c>
      <c r="B14124">
        <v>1851.85998535156</v>
      </c>
    </row>
    <row r="14125" spans="1:2" x14ac:dyDescent="0.25">
      <c r="A14125" s="5">
        <v>42411</v>
      </c>
      <c r="B14125">
        <v>1829.07995605469</v>
      </c>
    </row>
    <row r="14126" spans="1:2" x14ac:dyDescent="0.25">
      <c r="A14126" s="5">
        <v>42412</v>
      </c>
      <c r="B14126">
        <v>1864.78002929688</v>
      </c>
    </row>
    <row r="14127" spans="1:2" x14ac:dyDescent="0.25">
      <c r="A14127" s="5">
        <v>42416</v>
      </c>
      <c r="B14127">
        <v>1895.57995605469</v>
      </c>
    </row>
    <row r="14128" spans="1:2" x14ac:dyDescent="0.25">
      <c r="A14128" s="5">
        <v>42417</v>
      </c>
      <c r="B14128">
        <v>1926.81994628906</v>
      </c>
    </row>
    <row r="14129" spans="1:2" x14ac:dyDescent="0.25">
      <c r="A14129" s="5">
        <v>42418</v>
      </c>
      <c r="B14129">
        <v>1917.82995605469</v>
      </c>
    </row>
    <row r="14130" spans="1:2" x14ac:dyDescent="0.25">
      <c r="A14130" s="5">
        <v>42419</v>
      </c>
      <c r="B14130">
        <v>1917.78002929688</v>
      </c>
    </row>
    <row r="14131" spans="1:2" x14ac:dyDescent="0.25">
      <c r="A14131" s="5">
        <v>42422</v>
      </c>
      <c r="B14131">
        <v>1945.5</v>
      </c>
    </row>
    <row r="14132" spans="1:2" x14ac:dyDescent="0.25">
      <c r="A14132" s="5">
        <v>42423</v>
      </c>
      <c r="B14132">
        <v>1921.27001953125</v>
      </c>
    </row>
    <row r="14133" spans="1:2" x14ac:dyDescent="0.25">
      <c r="A14133" s="5">
        <v>42424</v>
      </c>
      <c r="B14133">
        <v>1929.80004882812</v>
      </c>
    </row>
    <row r="14134" spans="1:2" x14ac:dyDescent="0.25">
      <c r="A14134" s="5">
        <v>42425</v>
      </c>
      <c r="B14134">
        <v>1951.69995117188</v>
      </c>
    </row>
    <row r="14135" spans="1:2" x14ac:dyDescent="0.25">
      <c r="A14135" s="5">
        <v>42426</v>
      </c>
      <c r="B14135">
        <v>1948.05004882812</v>
      </c>
    </row>
    <row r="14136" spans="1:2" x14ac:dyDescent="0.25">
      <c r="A14136" s="5">
        <v>42429</v>
      </c>
      <c r="B14136">
        <v>1932.22998046875</v>
      </c>
    </row>
    <row r="14137" spans="1:2" x14ac:dyDescent="0.25">
      <c r="A14137" s="5">
        <v>42430</v>
      </c>
      <c r="B14137">
        <v>1978.34997558594</v>
      </c>
    </row>
    <row r="14138" spans="1:2" x14ac:dyDescent="0.25">
      <c r="A14138" s="5">
        <v>42431</v>
      </c>
      <c r="B14138">
        <v>1986.44995117188</v>
      </c>
    </row>
    <row r="14139" spans="1:2" x14ac:dyDescent="0.25">
      <c r="A14139" s="5">
        <v>42432</v>
      </c>
      <c r="B14139">
        <v>1993.40002441406</v>
      </c>
    </row>
    <row r="14140" spans="1:2" x14ac:dyDescent="0.25">
      <c r="A14140" s="5">
        <v>42433</v>
      </c>
      <c r="B14140">
        <v>1999.98999023438</v>
      </c>
    </row>
    <row r="14141" spans="1:2" x14ac:dyDescent="0.25">
      <c r="A14141" s="5">
        <v>42436</v>
      </c>
      <c r="B14141">
        <v>2001.76000976562</v>
      </c>
    </row>
    <row r="14142" spans="1:2" x14ac:dyDescent="0.25">
      <c r="A14142" s="5">
        <v>42437</v>
      </c>
      <c r="B14142">
        <v>1979.26000976562</v>
      </c>
    </row>
    <row r="14143" spans="1:2" x14ac:dyDescent="0.25">
      <c r="A14143" s="5">
        <v>42438</v>
      </c>
      <c r="B14143">
        <v>1989.26000976562</v>
      </c>
    </row>
    <row r="14144" spans="1:2" x14ac:dyDescent="0.25">
      <c r="A14144" s="5">
        <v>42439</v>
      </c>
      <c r="B14144">
        <v>1989.56994628906</v>
      </c>
    </row>
    <row r="14145" spans="1:2" x14ac:dyDescent="0.25">
      <c r="A14145" s="5">
        <v>42440</v>
      </c>
      <c r="B14145">
        <v>2022.18994140625</v>
      </c>
    </row>
    <row r="14146" spans="1:2" x14ac:dyDescent="0.25">
      <c r="A14146" s="5">
        <v>42443</v>
      </c>
      <c r="B14146">
        <v>2019.64001464844</v>
      </c>
    </row>
    <row r="14147" spans="1:2" x14ac:dyDescent="0.25">
      <c r="A14147" s="5">
        <v>42444</v>
      </c>
      <c r="B14147">
        <v>2015.93005371094</v>
      </c>
    </row>
    <row r="14148" spans="1:2" x14ac:dyDescent="0.25">
      <c r="A14148" s="5">
        <v>42445</v>
      </c>
      <c r="B14148">
        <v>2027.21997070312</v>
      </c>
    </row>
    <row r="14149" spans="1:2" x14ac:dyDescent="0.25">
      <c r="A14149" s="5">
        <v>42446</v>
      </c>
      <c r="B14149">
        <v>2040.58996582031</v>
      </c>
    </row>
    <row r="14150" spans="1:2" x14ac:dyDescent="0.25">
      <c r="A14150" s="5">
        <v>42447</v>
      </c>
      <c r="B14150">
        <v>2049.580078125</v>
      </c>
    </row>
    <row r="14151" spans="1:2" x14ac:dyDescent="0.25">
      <c r="A14151" s="5">
        <v>42450</v>
      </c>
      <c r="B14151">
        <v>2051.60009765625</v>
      </c>
    </row>
    <row r="14152" spans="1:2" x14ac:dyDescent="0.25">
      <c r="A14152" s="5">
        <v>42451</v>
      </c>
      <c r="B14152">
        <v>2049.80004882812</v>
      </c>
    </row>
    <row r="14153" spans="1:2" x14ac:dyDescent="0.25">
      <c r="A14153" s="5">
        <v>42452</v>
      </c>
      <c r="B14153">
        <v>2036.7099609375</v>
      </c>
    </row>
    <row r="14154" spans="1:2" x14ac:dyDescent="0.25">
      <c r="A14154" s="5">
        <v>42453</v>
      </c>
      <c r="B14154">
        <v>2035.93994140625</v>
      </c>
    </row>
    <row r="14155" spans="1:2" x14ac:dyDescent="0.25">
      <c r="A14155" s="5">
        <v>42457</v>
      </c>
      <c r="B14155">
        <v>2037.05004882812</v>
      </c>
    </row>
    <row r="14156" spans="1:2" x14ac:dyDescent="0.25">
      <c r="A14156" s="5">
        <v>42458</v>
      </c>
      <c r="B14156">
        <v>2055.01000976562</v>
      </c>
    </row>
    <row r="14157" spans="1:2" x14ac:dyDescent="0.25">
      <c r="A14157" s="5">
        <v>42459</v>
      </c>
      <c r="B14157">
        <v>2063.94995117188</v>
      </c>
    </row>
    <row r="14158" spans="1:2" x14ac:dyDescent="0.25">
      <c r="A14158" s="5">
        <v>42460</v>
      </c>
      <c r="B14158">
        <v>2059.73999023438</v>
      </c>
    </row>
    <row r="14159" spans="1:2" x14ac:dyDescent="0.25">
      <c r="A14159" s="5">
        <v>42461</v>
      </c>
      <c r="B14159">
        <v>2072.78002929688</v>
      </c>
    </row>
    <row r="14160" spans="1:2" x14ac:dyDescent="0.25">
      <c r="A14160" s="5">
        <v>42464</v>
      </c>
      <c r="B14160">
        <v>2066.1298828125</v>
      </c>
    </row>
    <row r="14161" spans="1:2" x14ac:dyDescent="0.25">
      <c r="A14161" s="5">
        <v>42465</v>
      </c>
      <c r="B14161">
        <v>2045.17004394531</v>
      </c>
    </row>
    <row r="14162" spans="1:2" x14ac:dyDescent="0.25">
      <c r="A14162" s="5">
        <v>42466</v>
      </c>
      <c r="B14162">
        <v>2066.65991210938</v>
      </c>
    </row>
    <row r="14163" spans="1:2" x14ac:dyDescent="0.25">
      <c r="A14163" s="5">
        <v>42467</v>
      </c>
      <c r="B14163">
        <v>2041.91003417969</v>
      </c>
    </row>
    <row r="14164" spans="1:2" x14ac:dyDescent="0.25">
      <c r="A14164" s="5">
        <v>42468</v>
      </c>
      <c r="B14164">
        <v>2047.59997558594</v>
      </c>
    </row>
    <row r="14165" spans="1:2" x14ac:dyDescent="0.25">
      <c r="A14165" s="5">
        <v>42471</v>
      </c>
      <c r="B14165">
        <v>2041.98999023438</v>
      </c>
    </row>
    <row r="14166" spans="1:2" x14ac:dyDescent="0.25">
      <c r="A14166" s="5">
        <v>42472</v>
      </c>
      <c r="B14166">
        <v>2061.71997070312</v>
      </c>
    </row>
    <row r="14167" spans="1:2" x14ac:dyDescent="0.25">
      <c r="A14167" s="5">
        <v>42473</v>
      </c>
      <c r="B14167">
        <v>2082.419921875</v>
      </c>
    </row>
    <row r="14168" spans="1:2" x14ac:dyDescent="0.25">
      <c r="A14168" s="5">
        <v>42474</v>
      </c>
      <c r="B14168">
        <v>2082.78002929688</v>
      </c>
    </row>
    <row r="14169" spans="1:2" x14ac:dyDescent="0.25">
      <c r="A14169" s="5">
        <v>42475</v>
      </c>
      <c r="B14169">
        <v>2080.72998046875</v>
      </c>
    </row>
    <row r="14170" spans="1:2" x14ac:dyDescent="0.25">
      <c r="A14170" s="5">
        <v>42478</v>
      </c>
      <c r="B14170">
        <v>2094.34008789062</v>
      </c>
    </row>
    <row r="14171" spans="1:2" x14ac:dyDescent="0.25">
      <c r="A14171" s="5">
        <v>42479</v>
      </c>
      <c r="B14171">
        <v>2100.80004882812</v>
      </c>
    </row>
    <row r="14172" spans="1:2" x14ac:dyDescent="0.25">
      <c r="A14172" s="5">
        <v>42480</v>
      </c>
      <c r="B14172">
        <v>2102.39990234375</v>
      </c>
    </row>
    <row r="14173" spans="1:2" x14ac:dyDescent="0.25">
      <c r="A14173" s="5">
        <v>42481</v>
      </c>
      <c r="B14173">
        <v>2091.47998046875</v>
      </c>
    </row>
    <row r="14174" spans="1:2" x14ac:dyDescent="0.25">
      <c r="A14174" s="5">
        <v>42482</v>
      </c>
      <c r="B14174">
        <v>2091.580078125</v>
      </c>
    </row>
    <row r="14175" spans="1:2" x14ac:dyDescent="0.25">
      <c r="A14175" s="5">
        <v>42485</v>
      </c>
      <c r="B14175">
        <v>2087.7900390625</v>
      </c>
    </row>
    <row r="14176" spans="1:2" x14ac:dyDescent="0.25">
      <c r="A14176" s="5">
        <v>42486</v>
      </c>
      <c r="B14176">
        <v>2091.69995117188</v>
      </c>
    </row>
    <row r="14177" spans="1:2" x14ac:dyDescent="0.25">
      <c r="A14177" s="5">
        <v>42487</v>
      </c>
      <c r="B14177">
        <v>2095.14990234375</v>
      </c>
    </row>
    <row r="14178" spans="1:2" x14ac:dyDescent="0.25">
      <c r="A14178" s="5">
        <v>42488</v>
      </c>
      <c r="B14178">
        <v>2075.81005859375</v>
      </c>
    </row>
    <row r="14179" spans="1:2" x14ac:dyDescent="0.25">
      <c r="A14179" s="5">
        <v>42489</v>
      </c>
      <c r="B14179">
        <v>2065.30004882812</v>
      </c>
    </row>
    <row r="14180" spans="1:2" x14ac:dyDescent="0.25">
      <c r="A14180" s="5">
        <v>42492</v>
      </c>
      <c r="B14180">
        <v>2081.42993164062</v>
      </c>
    </row>
    <row r="14181" spans="1:2" x14ac:dyDescent="0.25">
      <c r="A14181" s="5">
        <v>42493</v>
      </c>
      <c r="B14181">
        <v>2063.3701171875</v>
      </c>
    </row>
    <row r="14182" spans="1:2" x14ac:dyDescent="0.25">
      <c r="A14182" s="5">
        <v>42494</v>
      </c>
      <c r="B14182">
        <v>2051.1201171875</v>
      </c>
    </row>
    <row r="14183" spans="1:2" x14ac:dyDescent="0.25">
      <c r="A14183" s="5">
        <v>42495</v>
      </c>
      <c r="B14183">
        <v>2050.6298828125</v>
      </c>
    </row>
    <row r="14184" spans="1:2" x14ac:dyDescent="0.25">
      <c r="A14184" s="5">
        <v>42496</v>
      </c>
      <c r="B14184">
        <v>2057.13989257812</v>
      </c>
    </row>
    <row r="14185" spans="1:2" x14ac:dyDescent="0.25">
      <c r="A14185" s="5">
        <v>42499</v>
      </c>
      <c r="B14185">
        <v>2058.68994140625</v>
      </c>
    </row>
    <row r="14186" spans="1:2" x14ac:dyDescent="0.25">
      <c r="A14186" s="5">
        <v>42500</v>
      </c>
      <c r="B14186">
        <v>2084.38989257812</v>
      </c>
    </row>
    <row r="14187" spans="1:2" x14ac:dyDescent="0.25">
      <c r="A14187" s="5">
        <v>42501</v>
      </c>
      <c r="B14187">
        <v>2064.4599609375</v>
      </c>
    </row>
    <row r="14188" spans="1:2" x14ac:dyDescent="0.25">
      <c r="A14188" s="5">
        <v>42502</v>
      </c>
      <c r="B14188">
        <v>2064.11010742188</v>
      </c>
    </row>
    <row r="14189" spans="1:2" x14ac:dyDescent="0.25">
      <c r="A14189" s="5">
        <v>42503</v>
      </c>
      <c r="B14189">
        <v>2046.60998535156</v>
      </c>
    </row>
    <row r="14190" spans="1:2" x14ac:dyDescent="0.25">
      <c r="A14190" s="5">
        <v>42506</v>
      </c>
      <c r="B14190">
        <v>2066.65991210938</v>
      </c>
    </row>
    <row r="14191" spans="1:2" x14ac:dyDescent="0.25">
      <c r="A14191" s="5">
        <v>42507</v>
      </c>
      <c r="B14191">
        <v>2047.2099609375</v>
      </c>
    </row>
    <row r="14192" spans="1:2" x14ac:dyDescent="0.25">
      <c r="A14192" s="5">
        <v>42508</v>
      </c>
      <c r="B14192">
        <v>2047.63000488281</v>
      </c>
    </row>
    <row r="14193" spans="1:2" x14ac:dyDescent="0.25">
      <c r="A14193" s="5">
        <v>42509</v>
      </c>
      <c r="B14193">
        <v>2040.0400390625</v>
      </c>
    </row>
    <row r="14194" spans="1:2" x14ac:dyDescent="0.25">
      <c r="A14194" s="5">
        <v>42510</v>
      </c>
      <c r="B14194">
        <v>2052.32006835938</v>
      </c>
    </row>
    <row r="14195" spans="1:2" x14ac:dyDescent="0.25">
      <c r="A14195" s="5">
        <v>42513</v>
      </c>
      <c r="B14195">
        <v>2048.0400390625</v>
      </c>
    </row>
    <row r="14196" spans="1:2" x14ac:dyDescent="0.25">
      <c r="A14196" s="5">
        <v>42514</v>
      </c>
      <c r="B14196">
        <v>2076.06005859375</v>
      </c>
    </row>
    <row r="14197" spans="1:2" x14ac:dyDescent="0.25">
      <c r="A14197" s="5">
        <v>42515</v>
      </c>
      <c r="B14197">
        <v>2090.5400390625</v>
      </c>
    </row>
    <row r="14198" spans="1:2" x14ac:dyDescent="0.25">
      <c r="A14198" s="5">
        <v>42516</v>
      </c>
      <c r="B14198">
        <v>2090.10009765625</v>
      </c>
    </row>
    <row r="14199" spans="1:2" x14ac:dyDescent="0.25">
      <c r="A14199" s="5">
        <v>42517</v>
      </c>
      <c r="B14199">
        <v>2099.06005859375</v>
      </c>
    </row>
    <row r="14200" spans="1:2" x14ac:dyDescent="0.25">
      <c r="A14200" s="5">
        <v>42521</v>
      </c>
      <c r="B14200">
        <v>2096.94995117188</v>
      </c>
    </row>
    <row r="14201" spans="1:2" x14ac:dyDescent="0.25">
      <c r="A14201" s="5">
        <v>42522</v>
      </c>
      <c r="B14201">
        <v>2099.330078125</v>
      </c>
    </row>
    <row r="14202" spans="1:2" x14ac:dyDescent="0.25">
      <c r="A14202" s="5">
        <v>42523</v>
      </c>
      <c r="B14202">
        <v>2105.26000976562</v>
      </c>
    </row>
    <row r="14203" spans="1:2" x14ac:dyDescent="0.25">
      <c r="A14203" s="5">
        <v>42524</v>
      </c>
      <c r="B14203">
        <v>2099.1298828125</v>
      </c>
    </row>
    <row r="14204" spans="1:2" x14ac:dyDescent="0.25">
      <c r="A14204" s="5">
        <v>42527</v>
      </c>
      <c r="B14204">
        <v>2109.40991210938</v>
      </c>
    </row>
    <row r="14205" spans="1:2" x14ac:dyDescent="0.25">
      <c r="A14205" s="5">
        <v>42528</v>
      </c>
      <c r="B14205">
        <v>2112.1298828125</v>
      </c>
    </row>
    <row r="14206" spans="1:2" x14ac:dyDescent="0.25">
      <c r="A14206" s="5">
        <v>42529</v>
      </c>
      <c r="B14206">
        <v>2119.1201171875</v>
      </c>
    </row>
    <row r="14207" spans="1:2" x14ac:dyDescent="0.25">
      <c r="A14207" s="5">
        <v>42530</v>
      </c>
      <c r="B14207">
        <v>2115.47998046875</v>
      </c>
    </row>
    <row r="14208" spans="1:2" x14ac:dyDescent="0.25">
      <c r="A14208" s="5">
        <v>42531</v>
      </c>
      <c r="B14208">
        <v>2096.07006835938</v>
      </c>
    </row>
    <row r="14209" spans="1:2" x14ac:dyDescent="0.25">
      <c r="A14209" s="5">
        <v>42534</v>
      </c>
      <c r="B14209">
        <v>2079.06005859375</v>
      </c>
    </row>
    <row r="14210" spans="1:2" x14ac:dyDescent="0.25">
      <c r="A14210" s="5">
        <v>42535</v>
      </c>
      <c r="B14210">
        <v>2075.32006835938</v>
      </c>
    </row>
    <row r="14211" spans="1:2" x14ac:dyDescent="0.25">
      <c r="A14211" s="5">
        <v>42536</v>
      </c>
      <c r="B14211">
        <v>2071.5</v>
      </c>
    </row>
    <row r="14212" spans="1:2" x14ac:dyDescent="0.25">
      <c r="A14212" s="5">
        <v>42537</v>
      </c>
      <c r="B14212">
        <v>2077.98999023438</v>
      </c>
    </row>
    <row r="14213" spans="1:2" x14ac:dyDescent="0.25">
      <c r="A14213" s="5">
        <v>42538</v>
      </c>
      <c r="B14213">
        <v>2071.21997070312</v>
      </c>
    </row>
    <row r="14214" spans="1:2" x14ac:dyDescent="0.25">
      <c r="A14214" s="5">
        <v>42541</v>
      </c>
      <c r="B14214">
        <v>2083.25</v>
      </c>
    </row>
    <row r="14215" spans="1:2" x14ac:dyDescent="0.25">
      <c r="A14215" s="5">
        <v>42542</v>
      </c>
      <c r="B14215">
        <v>2088.89990234375</v>
      </c>
    </row>
    <row r="14216" spans="1:2" x14ac:dyDescent="0.25">
      <c r="A14216" s="5">
        <v>42543</v>
      </c>
      <c r="B14216">
        <v>2085.44995117188</v>
      </c>
    </row>
    <row r="14217" spans="1:2" x14ac:dyDescent="0.25">
      <c r="A14217" s="5">
        <v>42544</v>
      </c>
      <c r="B14217">
        <v>2113.32006835938</v>
      </c>
    </row>
    <row r="14218" spans="1:2" x14ac:dyDescent="0.25">
      <c r="A14218" s="5">
        <v>42545</v>
      </c>
      <c r="B14218">
        <v>2037.41003417969</v>
      </c>
    </row>
    <row r="14219" spans="1:2" x14ac:dyDescent="0.25">
      <c r="A14219" s="5">
        <v>42548</v>
      </c>
      <c r="B14219">
        <v>2000.5400390625</v>
      </c>
    </row>
    <row r="14220" spans="1:2" x14ac:dyDescent="0.25">
      <c r="A14220" s="5">
        <v>42549</v>
      </c>
      <c r="B14220">
        <v>2036.08996582031</v>
      </c>
    </row>
    <row r="14221" spans="1:2" x14ac:dyDescent="0.25">
      <c r="A14221" s="5">
        <v>42550</v>
      </c>
      <c r="B14221">
        <v>2070.77001953125</v>
      </c>
    </row>
    <row r="14222" spans="1:2" x14ac:dyDescent="0.25">
      <c r="A14222" s="5">
        <v>42551</v>
      </c>
      <c r="B14222">
        <v>2098.86</v>
      </c>
    </row>
    <row r="14223" spans="1:2" x14ac:dyDescent="0.25">
      <c r="A14223" s="5">
        <v>42552</v>
      </c>
      <c r="B14223">
        <v>2102.9499999999998</v>
      </c>
    </row>
    <row r="14224" spans="1:2" x14ac:dyDescent="0.25">
      <c r="A14224" s="5">
        <v>42556</v>
      </c>
      <c r="B14224">
        <v>2088.5500000000002</v>
      </c>
    </row>
    <row r="14225" spans="1:2" x14ac:dyDescent="0.25">
      <c r="A14225" s="5">
        <v>42557</v>
      </c>
      <c r="B14225">
        <v>2099.73</v>
      </c>
    </row>
    <row r="14226" spans="1:2" x14ac:dyDescent="0.25">
      <c r="A14226" s="5">
        <v>42558</v>
      </c>
      <c r="B14226">
        <v>2097.9</v>
      </c>
    </row>
    <row r="14227" spans="1:2" x14ac:dyDescent="0.25">
      <c r="A14227" s="5">
        <v>42559</v>
      </c>
      <c r="B14227">
        <v>2129.9</v>
      </c>
    </row>
    <row r="14228" spans="1:2" x14ac:dyDescent="0.25">
      <c r="A14228" s="5">
        <v>42562</v>
      </c>
      <c r="B14228">
        <v>2137.16</v>
      </c>
    </row>
    <row r="14229" spans="1:2" x14ac:dyDescent="0.25">
      <c r="A14229" s="5">
        <v>42563</v>
      </c>
      <c r="B14229">
        <v>2152.14</v>
      </c>
    </row>
    <row r="14230" spans="1:2" x14ac:dyDescent="0.25">
      <c r="A14230" s="5">
        <v>42564</v>
      </c>
      <c r="B14230">
        <v>2152.4299999999998</v>
      </c>
    </row>
    <row r="14231" spans="1:2" x14ac:dyDescent="0.25">
      <c r="A14231" s="5">
        <v>42565</v>
      </c>
      <c r="B14231">
        <v>2163.75</v>
      </c>
    </row>
    <row r="14232" spans="1:2" x14ac:dyDescent="0.25">
      <c r="A14232" s="5">
        <v>42566</v>
      </c>
      <c r="B14232">
        <v>2161.7399999999998</v>
      </c>
    </row>
    <row r="14233" spans="1:2" x14ac:dyDescent="0.25">
      <c r="A14233" s="5">
        <v>42569</v>
      </c>
      <c r="B14233">
        <v>2166.89</v>
      </c>
    </row>
    <row r="14234" spans="1:2" x14ac:dyDescent="0.25">
      <c r="A14234" s="5">
        <v>42570</v>
      </c>
      <c r="B14234">
        <v>2163.7800000000002</v>
      </c>
    </row>
    <row r="14235" spans="1:2" x14ac:dyDescent="0.25">
      <c r="A14235" s="5">
        <v>42571</v>
      </c>
      <c r="B14235">
        <v>2173.02</v>
      </c>
    </row>
    <row r="14236" spans="1:2" x14ac:dyDescent="0.25">
      <c r="A14236" s="5">
        <v>42572</v>
      </c>
      <c r="B14236">
        <v>2165.17</v>
      </c>
    </row>
    <row r="14237" spans="1:2" x14ac:dyDescent="0.25">
      <c r="A14237" s="5">
        <v>42573</v>
      </c>
      <c r="B14237">
        <v>2175.0300000000002</v>
      </c>
    </row>
    <row r="14238" spans="1:2" x14ac:dyDescent="0.25">
      <c r="A14238" s="5">
        <v>42576</v>
      </c>
      <c r="B14238">
        <v>2168.48</v>
      </c>
    </row>
    <row r="14239" spans="1:2" x14ac:dyDescent="0.25">
      <c r="A14239" s="5">
        <v>42577</v>
      </c>
      <c r="B14239">
        <v>2169.1799999999998</v>
      </c>
    </row>
    <row r="14240" spans="1:2" x14ac:dyDescent="0.25">
      <c r="A14240" s="5">
        <v>42578</v>
      </c>
      <c r="B14240">
        <v>2166.58</v>
      </c>
    </row>
    <row r="14241" spans="1:2" x14ac:dyDescent="0.25">
      <c r="A14241" s="5">
        <v>42579</v>
      </c>
      <c r="B14241">
        <v>2170.06</v>
      </c>
    </row>
    <row r="14242" spans="1:2" x14ac:dyDescent="0.25">
      <c r="A14242" s="5">
        <v>42580</v>
      </c>
      <c r="B14242">
        <v>2173.6</v>
      </c>
    </row>
    <row r="14243" spans="1:2" x14ac:dyDescent="0.25">
      <c r="A14243" s="5">
        <v>42583</v>
      </c>
      <c r="B14243">
        <v>2170.84</v>
      </c>
    </row>
    <row r="14244" spans="1:2" x14ac:dyDescent="0.25">
      <c r="A14244" s="5">
        <v>42584</v>
      </c>
      <c r="B14244">
        <v>2157.0300000000002</v>
      </c>
    </row>
    <row r="14245" spans="1:2" x14ac:dyDescent="0.25">
      <c r="A14245" s="5">
        <v>42585</v>
      </c>
      <c r="B14245">
        <v>2163.79</v>
      </c>
    </row>
    <row r="14246" spans="1:2" x14ac:dyDescent="0.25">
      <c r="A14246" s="5">
        <v>42586</v>
      </c>
      <c r="B14246">
        <v>2164.25</v>
      </c>
    </row>
    <row r="14247" spans="1:2" x14ac:dyDescent="0.25">
      <c r="A14247" s="5">
        <v>42587</v>
      </c>
      <c r="B14247">
        <v>2182.87</v>
      </c>
    </row>
    <row r="14248" spans="1:2" x14ac:dyDescent="0.25">
      <c r="A14248" s="5">
        <v>42590</v>
      </c>
      <c r="B14248">
        <v>2180.89</v>
      </c>
    </row>
    <row r="14249" spans="1:2" x14ac:dyDescent="0.25">
      <c r="A14249" s="5">
        <v>42591</v>
      </c>
      <c r="B14249">
        <v>2181.7399999999998</v>
      </c>
    </row>
    <row r="14250" spans="1:2" x14ac:dyDescent="0.25">
      <c r="A14250" s="5">
        <v>42592</v>
      </c>
      <c r="B14250">
        <v>2175.4899999999998</v>
      </c>
    </row>
    <row r="14251" spans="1:2" x14ac:dyDescent="0.25">
      <c r="A14251" s="5">
        <v>42593</v>
      </c>
      <c r="B14251">
        <v>2185.79</v>
      </c>
    </row>
    <row r="14252" spans="1:2" x14ac:dyDescent="0.25">
      <c r="A14252" s="5">
        <v>42594</v>
      </c>
      <c r="B14252">
        <v>2184.0500000000002</v>
      </c>
    </row>
    <row r="14253" spans="1:2" x14ac:dyDescent="0.25">
      <c r="A14253" s="5">
        <v>42597</v>
      </c>
      <c r="B14253">
        <v>2190.15</v>
      </c>
    </row>
    <row r="14254" spans="1:2" x14ac:dyDescent="0.25">
      <c r="A14254" s="5">
        <v>42598</v>
      </c>
      <c r="B14254">
        <v>2178.15</v>
      </c>
    </row>
    <row r="14255" spans="1:2" x14ac:dyDescent="0.25">
      <c r="A14255" s="5">
        <v>42599</v>
      </c>
      <c r="B14255">
        <v>2182.2199999999998</v>
      </c>
    </row>
    <row r="14256" spans="1:2" x14ac:dyDescent="0.25">
      <c r="A14256" s="5">
        <v>42600</v>
      </c>
      <c r="B14256">
        <v>2187.02</v>
      </c>
    </row>
    <row r="14257" spans="1:2" x14ac:dyDescent="0.25">
      <c r="A14257" s="5">
        <v>42601</v>
      </c>
      <c r="B14257">
        <v>2183.87</v>
      </c>
    </row>
    <row r="14258" spans="1:2" x14ac:dyDescent="0.25">
      <c r="A14258" s="5">
        <v>42604</v>
      </c>
      <c r="B14258">
        <v>2182.64</v>
      </c>
    </row>
    <row r="14259" spans="1:2" x14ac:dyDescent="0.25">
      <c r="A14259" s="5">
        <v>42605</v>
      </c>
      <c r="B14259">
        <v>2186.9</v>
      </c>
    </row>
    <row r="14260" spans="1:2" x14ac:dyDescent="0.25">
      <c r="A14260" s="5">
        <v>42606</v>
      </c>
      <c r="B14260">
        <v>2175.44</v>
      </c>
    </row>
    <row r="14261" spans="1:2" x14ac:dyDescent="0.25">
      <c r="A14261" s="5">
        <v>42607</v>
      </c>
      <c r="B14261">
        <v>2172.4699999999998</v>
      </c>
    </row>
    <row r="14262" spans="1:2" x14ac:dyDescent="0.25">
      <c r="A14262" s="5">
        <v>42608</v>
      </c>
      <c r="B14262">
        <v>2169.04</v>
      </c>
    </row>
    <row r="14263" spans="1:2" x14ac:dyDescent="0.25">
      <c r="A14263" s="5">
        <v>42611</v>
      </c>
      <c r="B14263">
        <v>2180.38</v>
      </c>
    </row>
    <row r="14264" spans="1:2" x14ac:dyDescent="0.25">
      <c r="A14264" s="5">
        <v>42612</v>
      </c>
      <c r="B14264">
        <v>2176.12</v>
      </c>
    </row>
    <row r="14265" spans="1:2" x14ac:dyDescent="0.25">
      <c r="A14265" s="5">
        <v>42613</v>
      </c>
      <c r="B14265">
        <v>2170.9499999999998</v>
      </c>
    </row>
    <row r="14266" spans="1:2" x14ac:dyDescent="0.25">
      <c r="A14266" s="5">
        <v>42614</v>
      </c>
      <c r="B14266">
        <v>2170.86</v>
      </c>
    </row>
    <row r="14267" spans="1:2" x14ac:dyDescent="0.25">
      <c r="A14267" s="5">
        <v>42615</v>
      </c>
      <c r="B14267">
        <v>2179.98</v>
      </c>
    </row>
    <row r="14268" spans="1:2" x14ac:dyDescent="0.25">
      <c r="A14268" s="5">
        <v>42619</v>
      </c>
      <c r="B14268">
        <v>2186.48</v>
      </c>
    </row>
    <row r="14269" spans="1:2" x14ac:dyDescent="0.25">
      <c r="A14269" s="5">
        <v>42620</v>
      </c>
      <c r="B14269">
        <v>2186.16</v>
      </c>
    </row>
    <row r="14270" spans="1:2" x14ac:dyDescent="0.25">
      <c r="A14270" s="5">
        <v>42621</v>
      </c>
      <c r="B14270">
        <v>2181.3000000000002</v>
      </c>
    </row>
    <row r="14271" spans="1:2" x14ac:dyDescent="0.25">
      <c r="A14271" s="5">
        <v>42622</v>
      </c>
      <c r="B14271">
        <v>2127.81</v>
      </c>
    </row>
    <row r="14272" spans="1:2" x14ac:dyDescent="0.25">
      <c r="A14272" s="5">
        <v>42625</v>
      </c>
      <c r="B14272">
        <v>2159.04</v>
      </c>
    </row>
    <row r="14273" spans="1:2" x14ac:dyDescent="0.25">
      <c r="A14273" s="5">
        <v>42626</v>
      </c>
      <c r="B14273">
        <v>2127.02</v>
      </c>
    </row>
    <row r="14274" spans="1:2" x14ac:dyDescent="0.25">
      <c r="A14274" s="5">
        <v>42627</v>
      </c>
      <c r="B14274">
        <v>2125.77</v>
      </c>
    </row>
    <row r="14275" spans="1:2" x14ac:dyDescent="0.25">
      <c r="A14275" s="5">
        <v>42628</v>
      </c>
      <c r="B14275">
        <v>2147.2600000000002</v>
      </c>
    </row>
    <row r="14276" spans="1:2" x14ac:dyDescent="0.25">
      <c r="A14276" s="5">
        <v>42629</v>
      </c>
      <c r="B14276">
        <v>2139.16</v>
      </c>
    </row>
    <row r="14277" spans="1:2" x14ac:dyDescent="0.25">
      <c r="A14277" s="5">
        <v>42632</v>
      </c>
      <c r="B14277">
        <v>2139.12</v>
      </c>
    </row>
    <row r="14278" spans="1:2" x14ac:dyDescent="0.25">
      <c r="A14278" s="5">
        <v>42633</v>
      </c>
      <c r="B14278">
        <v>2139.7600000000002</v>
      </c>
    </row>
    <row r="14279" spans="1:2" x14ac:dyDescent="0.25">
      <c r="A14279" s="5">
        <v>42634</v>
      </c>
      <c r="B14279">
        <v>2163.12</v>
      </c>
    </row>
    <row r="14280" spans="1:2" x14ac:dyDescent="0.25">
      <c r="A14280" s="5">
        <v>42635</v>
      </c>
      <c r="B14280">
        <v>2177.1799999999998</v>
      </c>
    </row>
    <row r="14281" spans="1:2" x14ac:dyDescent="0.25">
      <c r="A14281" s="5">
        <v>42636</v>
      </c>
      <c r="B14281">
        <v>2164.69</v>
      </c>
    </row>
    <row r="14282" spans="1:2" x14ac:dyDescent="0.25">
      <c r="A14282" s="5">
        <v>42639</v>
      </c>
      <c r="B14282">
        <v>2146.1</v>
      </c>
    </row>
    <row r="14283" spans="1:2" x14ac:dyDescent="0.25">
      <c r="A14283" s="5">
        <v>42640</v>
      </c>
      <c r="B14283">
        <v>2159.9299999999998</v>
      </c>
    </row>
    <row r="14284" spans="1:2" x14ac:dyDescent="0.25">
      <c r="A14284" s="5">
        <v>42641</v>
      </c>
      <c r="B14284">
        <v>2171.37</v>
      </c>
    </row>
    <row r="14285" spans="1:2" x14ac:dyDescent="0.25">
      <c r="A14285" s="5">
        <v>42642</v>
      </c>
      <c r="B14285">
        <v>2151.13</v>
      </c>
    </row>
    <row r="14286" spans="1:2" x14ac:dyDescent="0.25">
      <c r="A14286" s="5">
        <v>42643</v>
      </c>
      <c r="B14286">
        <v>2168.27</v>
      </c>
    </row>
    <row r="14287" spans="1:2" x14ac:dyDescent="0.25">
      <c r="A14287" s="5">
        <v>42646</v>
      </c>
      <c r="B14287">
        <v>2161.1999999999998</v>
      </c>
    </row>
    <row r="14288" spans="1:2" x14ac:dyDescent="0.25">
      <c r="A14288" s="5">
        <v>42647</v>
      </c>
      <c r="B14288">
        <v>2150.4899999999998</v>
      </c>
    </row>
    <row r="14289" spans="1:2" x14ac:dyDescent="0.25">
      <c r="A14289" s="5">
        <v>42648</v>
      </c>
      <c r="B14289">
        <v>2159.73</v>
      </c>
    </row>
    <row r="14290" spans="1:2" x14ac:dyDescent="0.25">
      <c r="A14290" s="5">
        <v>42649</v>
      </c>
      <c r="B14290">
        <v>2160.77</v>
      </c>
    </row>
    <row r="14291" spans="1:2" x14ac:dyDescent="0.25">
      <c r="A14291" s="5">
        <v>42650</v>
      </c>
      <c r="B14291">
        <v>2153.7399999999998</v>
      </c>
    </row>
    <row r="14292" spans="1:2" x14ac:dyDescent="0.25">
      <c r="A14292" s="5">
        <v>42653</v>
      </c>
      <c r="B14292">
        <v>2163.66</v>
      </c>
    </row>
    <row r="14293" spans="1:2" x14ac:dyDescent="0.25">
      <c r="A14293" s="5">
        <v>42654</v>
      </c>
      <c r="B14293">
        <v>2136.73</v>
      </c>
    </row>
    <row r="14294" spans="1:2" x14ac:dyDescent="0.25">
      <c r="A14294" s="5">
        <v>42655</v>
      </c>
      <c r="B14294">
        <v>2139.1799999999998</v>
      </c>
    </row>
    <row r="14295" spans="1:2" x14ac:dyDescent="0.25">
      <c r="A14295" s="5">
        <v>42656</v>
      </c>
      <c r="B14295">
        <v>2132.5500000000002</v>
      </c>
    </row>
    <row r="14296" spans="1:2" x14ac:dyDescent="0.25">
      <c r="A14296" s="5">
        <v>42657</v>
      </c>
      <c r="B14296">
        <v>2132.98</v>
      </c>
    </row>
    <row r="14297" spans="1:2" x14ac:dyDescent="0.25">
      <c r="A14297" s="5">
        <v>42660</v>
      </c>
      <c r="B14297">
        <v>2126.5</v>
      </c>
    </row>
    <row r="14298" spans="1:2" x14ac:dyDescent="0.25">
      <c r="A14298" s="5">
        <v>42661</v>
      </c>
      <c r="B14298">
        <v>2139.6</v>
      </c>
    </row>
    <row r="14299" spans="1:2" x14ac:dyDescent="0.25">
      <c r="A14299" s="5">
        <v>42662</v>
      </c>
      <c r="B14299">
        <v>2144.29</v>
      </c>
    </row>
    <row r="14300" spans="1:2" x14ac:dyDescent="0.25">
      <c r="A14300" s="5">
        <v>42663</v>
      </c>
      <c r="B14300">
        <v>2141.34</v>
      </c>
    </row>
    <row r="14301" spans="1:2" x14ac:dyDescent="0.25">
      <c r="A14301" s="5">
        <v>42664</v>
      </c>
      <c r="B14301">
        <v>2141.16</v>
      </c>
    </row>
    <row r="14302" spans="1:2" x14ac:dyDescent="0.25">
      <c r="A14302" s="5">
        <v>42667</v>
      </c>
      <c r="B14302">
        <v>2151.33</v>
      </c>
    </row>
    <row r="14303" spans="1:2" x14ac:dyDescent="0.25">
      <c r="A14303" s="5">
        <v>42668</v>
      </c>
      <c r="B14303">
        <v>2143.16</v>
      </c>
    </row>
    <row r="14304" spans="1:2" x14ac:dyDescent="0.25">
      <c r="A14304" s="5">
        <v>42669</v>
      </c>
      <c r="B14304">
        <v>2139.4299999999998</v>
      </c>
    </row>
    <row r="14305" spans="1:2" x14ac:dyDescent="0.25">
      <c r="A14305" s="5">
        <v>42670</v>
      </c>
      <c r="B14305">
        <v>2133.04</v>
      </c>
    </row>
    <row r="14306" spans="1:2" x14ac:dyDescent="0.25">
      <c r="A14306" s="5">
        <v>42671</v>
      </c>
      <c r="B14306">
        <v>2126.41</v>
      </c>
    </row>
    <row r="14307" spans="1:2" x14ac:dyDescent="0.25">
      <c r="A14307" s="5">
        <v>42674</v>
      </c>
      <c r="B14307">
        <v>2126.15</v>
      </c>
    </row>
    <row r="14308" spans="1:2" x14ac:dyDescent="0.25">
      <c r="A14308" s="5">
        <v>42675</v>
      </c>
      <c r="B14308">
        <v>2111.7199999999998</v>
      </c>
    </row>
    <row r="14309" spans="1:2" x14ac:dyDescent="0.25">
      <c r="A14309" s="5">
        <v>42676</v>
      </c>
      <c r="B14309">
        <v>2097.94</v>
      </c>
    </row>
    <row r="14310" spans="1:2" x14ac:dyDescent="0.25">
      <c r="A14310" s="5">
        <v>42677</v>
      </c>
      <c r="B14310">
        <v>2088.66</v>
      </c>
    </row>
    <row r="14311" spans="1:2" x14ac:dyDescent="0.25">
      <c r="A14311" s="5">
        <v>42678</v>
      </c>
      <c r="B14311">
        <v>2085.1799999999998</v>
      </c>
    </row>
    <row r="14312" spans="1:2" x14ac:dyDescent="0.25">
      <c r="A14312" s="5">
        <v>42681</v>
      </c>
      <c r="B14312">
        <v>2131.52</v>
      </c>
    </row>
    <row r="14313" spans="1:2" x14ac:dyDescent="0.25">
      <c r="A14313" s="5">
        <v>42682</v>
      </c>
      <c r="B14313">
        <v>2139.56</v>
      </c>
    </row>
    <row r="14314" spans="1:2" x14ac:dyDescent="0.25">
      <c r="A14314" s="5">
        <v>42683</v>
      </c>
      <c r="B14314">
        <v>2163.2600000000002</v>
      </c>
    </row>
    <row r="14315" spans="1:2" x14ac:dyDescent="0.25">
      <c r="A14315" s="5">
        <v>42684</v>
      </c>
      <c r="B14315">
        <v>2167.48</v>
      </c>
    </row>
    <row r="14316" spans="1:2" x14ac:dyDescent="0.25">
      <c r="A14316" s="5">
        <v>42685</v>
      </c>
      <c r="B14316">
        <v>2164.4499999999998</v>
      </c>
    </row>
    <row r="14317" spans="1:2" x14ac:dyDescent="0.25">
      <c r="A14317" s="5">
        <v>42688</v>
      </c>
      <c r="B14317">
        <v>2164.1999999999998</v>
      </c>
    </row>
    <row r="14318" spans="1:2" x14ac:dyDescent="0.25">
      <c r="A14318" s="5">
        <v>42689</v>
      </c>
      <c r="B14318">
        <v>2180.39</v>
      </c>
    </row>
    <row r="14319" spans="1:2" x14ac:dyDescent="0.25">
      <c r="A14319" s="5">
        <v>42690</v>
      </c>
      <c r="B14319">
        <v>2176.94</v>
      </c>
    </row>
    <row r="14320" spans="1:2" x14ac:dyDescent="0.25">
      <c r="A14320" s="5">
        <v>42691</v>
      </c>
      <c r="B14320">
        <v>2187.12</v>
      </c>
    </row>
    <row r="14321" spans="1:2" x14ac:dyDescent="0.25">
      <c r="A14321" s="5">
        <v>42692</v>
      </c>
      <c r="B14321">
        <v>2181.9</v>
      </c>
    </row>
    <row r="14322" spans="1:2" x14ac:dyDescent="0.25">
      <c r="A14322" s="5">
        <v>42695</v>
      </c>
      <c r="B14322">
        <v>2198.1799999999998</v>
      </c>
    </row>
    <row r="14323" spans="1:2" x14ac:dyDescent="0.25">
      <c r="A14323" s="5">
        <v>42696</v>
      </c>
      <c r="B14323">
        <v>2202.94</v>
      </c>
    </row>
    <row r="14324" spans="1:2" x14ac:dyDescent="0.25">
      <c r="A14324" s="5">
        <v>42697</v>
      </c>
      <c r="B14324">
        <v>2204.7199999999998</v>
      </c>
    </row>
    <row r="14325" spans="1:2" x14ac:dyDescent="0.25">
      <c r="A14325" s="5">
        <v>42699</v>
      </c>
      <c r="B14325">
        <v>2213.35</v>
      </c>
    </row>
    <row r="14326" spans="1:2" x14ac:dyDescent="0.25">
      <c r="A14326" s="5">
        <v>42702</v>
      </c>
      <c r="B14326">
        <v>2201.7199999999998</v>
      </c>
    </row>
    <row r="14327" spans="1:2" x14ac:dyDescent="0.25">
      <c r="A14327" s="5">
        <v>42703</v>
      </c>
      <c r="B14327">
        <v>2204.66</v>
      </c>
    </row>
    <row r="14328" spans="1:2" x14ac:dyDescent="0.25">
      <c r="A14328" s="5">
        <v>42704</v>
      </c>
      <c r="B14328">
        <v>2198.81</v>
      </c>
    </row>
    <row r="14329" spans="1:2" x14ac:dyDescent="0.25">
      <c r="A14329" s="5">
        <v>42705</v>
      </c>
      <c r="B14329">
        <v>2191.08</v>
      </c>
    </row>
    <row r="14330" spans="1:2" x14ac:dyDescent="0.25">
      <c r="A14330" s="5">
        <v>42706</v>
      </c>
      <c r="B14330">
        <v>2191.9499999999998</v>
      </c>
    </row>
    <row r="14331" spans="1:2" x14ac:dyDescent="0.25">
      <c r="A14331" s="5">
        <v>42709</v>
      </c>
      <c r="B14331">
        <v>2204.71</v>
      </c>
    </row>
    <row r="14332" spans="1:2" x14ac:dyDescent="0.25">
      <c r="A14332" s="5">
        <v>42710</v>
      </c>
      <c r="B14332">
        <v>2212.23</v>
      </c>
    </row>
    <row r="14333" spans="1:2" x14ac:dyDescent="0.25">
      <c r="A14333" s="5">
        <v>42711</v>
      </c>
      <c r="B14333">
        <v>2241.35</v>
      </c>
    </row>
    <row r="14334" spans="1:2" x14ac:dyDescent="0.25">
      <c r="A14334" s="5">
        <v>42712</v>
      </c>
      <c r="B14334">
        <v>2246.19</v>
      </c>
    </row>
    <row r="14335" spans="1:2" x14ac:dyDescent="0.25">
      <c r="A14335" s="5">
        <v>42713</v>
      </c>
      <c r="B14335">
        <v>2259.5300000000002</v>
      </c>
    </row>
    <row r="14336" spans="1:2" x14ac:dyDescent="0.25">
      <c r="A14336" s="5">
        <v>42716</v>
      </c>
      <c r="B14336">
        <v>2256.96</v>
      </c>
    </row>
    <row r="14337" spans="1:2" x14ac:dyDescent="0.25">
      <c r="A14337" s="5">
        <v>42717</v>
      </c>
      <c r="B14337">
        <v>2271.7199999999998</v>
      </c>
    </row>
    <row r="14338" spans="1:2" x14ac:dyDescent="0.25">
      <c r="A14338" s="5">
        <v>42718</v>
      </c>
      <c r="B14338">
        <v>2253.2800000000002</v>
      </c>
    </row>
    <row r="14339" spans="1:2" x14ac:dyDescent="0.25">
      <c r="A14339" s="5">
        <v>42719</v>
      </c>
      <c r="B14339">
        <v>2262.0300000000002</v>
      </c>
    </row>
    <row r="14340" spans="1:2" x14ac:dyDescent="0.25">
      <c r="A14340" s="5">
        <v>42720</v>
      </c>
      <c r="B14340">
        <v>2258.0700000000002</v>
      </c>
    </row>
    <row r="14341" spans="1:2" x14ac:dyDescent="0.25">
      <c r="A14341" s="5">
        <v>42723</v>
      </c>
      <c r="B14341">
        <v>2262.5300000000002</v>
      </c>
    </row>
    <row r="14342" spans="1:2" x14ac:dyDescent="0.25">
      <c r="A14342" s="5">
        <v>42724</v>
      </c>
      <c r="B14342">
        <v>2270.7600000000002</v>
      </c>
    </row>
    <row r="14343" spans="1:2" x14ac:dyDescent="0.25">
      <c r="A14343" s="5">
        <v>42725</v>
      </c>
      <c r="B14343">
        <v>2265.1799999999998</v>
      </c>
    </row>
    <row r="14344" spans="1:2" x14ac:dyDescent="0.25">
      <c r="A14344" s="5">
        <v>42726</v>
      </c>
      <c r="B14344">
        <v>2260.96</v>
      </c>
    </row>
    <row r="14345" spans="1:2" x14ac:dyDescent="0.25">
      <c r="A14345" s="5">
        <v>42727</v>
      </c>
      <c r="B14345">
        <v>2263.79</v>
      </c>
    </row>
    <row r="14346" spans="1:2" x14ac:dyDescent="0.25">
      <c r="A14346" s="5">
        <v>42731</v>
      </c>
      <c r="B14346">
        <v>2268.88</v>
      </c>
    </row>
    <row r="14347" spans="1:2" x14ac:dyDescent="0.25">
      <c r="A14347" s="5">
        <v>42732</v>
      </c>
      <c r="B14347">
        <v>2249.92</v>
      </c>
    </row>
    <row r="14348" spans="1:2" x14ac:dyDescent="0.25">
      <c r="A14348" s="5">
        <v>42733</v>
      </c>
      <c r="B14348">
        <v>2249.2600000000002</v>
      </c>
    </row>
    <row r="14349" spans="1:2" x14ac:dyDescent="0.25">
      <c r="A14349" s="5">
        <v>42734</v>
      </c>
      <c r="B14349">
        <v>2238.83</v>
      </c>
    </row>
    <row r="14350" spans="1:2" x14ac:dyDescent="0.25">
      <c r="A14350" s="5">
        <v>42738</v>
      </c>
      <c r="B14350">
        <v>2257.83</v>
      </c>
    </row>
    <row r="14351" spans="1:2" x14ac:dyDescent="0.25">
      <c r="A14351" s="5">
        <v>42739</v>
      </c>
      <c r="B14351">
        <v>2270.75</v>
      </c>
    </row>
    <row r="14352" spans="1:2" x14ac:dyDescent="0.25">
      <c r="A14352" s="5">
        <v>42740</v>
      </c>
      <c r="B14352">
        <v>2269</v>
      </c>
    </row>
    <row r="14353" spans="1:2" x14ac:dyDescent="0.25">
      <c r="A14353" s="5">
        <v>42741</v>
      </c>
      <c r="B14353">
        <v>2276.98</v>
      </c>
    </row>
    <row r="14354" spans="1:2" x14ac:dyDescent="0.25">
      <c r="A14354" s="5">
        <v>42744</v>
      </c>
      <c r="B14354">
        <v>2268.9</v>
      </c>
    </row>
    <row r="14355" spans="1:2" x14ac:dyDescent="0.25">
      <c r="A14355" s="5">
        <v>42745</v>
      </c>
      <c r="B14355">
        <v>2268.9</v>
      </c>
    </row>
    <row r="14356" spans="1:2" x14ac:dyDescent="0.25">
      <c r="A14356" s="5">
        <v>42746</v>
      </c>
      <c r="B14356">
        <v>2275.3200000000002</v>
      </c>
    </row>
    <row r="14357" spans="1:2" x14ac:dyDescent="0.25">
      <c r="A14357" s="5">
        <v>42747</v>
      </c>
      <c r="B14357">
        <v>2270.44</v>
      </c>
    </row>
    <row r="14358" spans="1:2" x14ac:dyDescent="0.25">
      <c r="A14358" s="5">
        <v>42748</v>
      </c>
      <c r="B14358">
        <v>2274.64</v>
      </c>
    </row>
    <row r="14359" spans="1:2" x14ac:dyDescent="0.25">
      <c r="A14359" s="5">
        <v>42752</v>
      </c>
      <c r="B14359">
        <v>2267.89</v>
      </c>
    </row>
    <row r="14360" spans="1:2" x14ac:dyDescent="0.25">
      <c r="A14360" s="5">
        <v>42753</v>
      </c>
      <c r="B14360">
        <v>2271.89</v>
      </c>
    </row>
    <row r="14361" spans="1:2" x14ac:dyDescent="0.25">
      <c r="A14361" s="5">
        <v>42754</v>
      </c>
      <c r="B14361">
        <v>2263.69</v>
      </c>
    </row>
    <row r="14362" spans="1:2" x14ac:dyDescent="0.25">
      <c r="A14362" s="5">
        <v>42755</v>
      </c>
      <c r="B14362">
        <v>2271.31</v>
      </c>
    </row>
    <row r="14363" spans="1:2" x14ac:dyDescent="0.25">
      <c r="A14363" s="5">
        <v>42758</v>
      </c>
      <c r="B14363">
        <v>2265.1999999999998</v>
      </c>
    </row>
    <row r="14364" spans="1:2" x14ac:dyDescent="0.25">
      <c r="A14364" s="5">
        <v>42759</v>
      </c>
      <c r="B14364">
        <v>2280.0700000000002</v>
      </c>
    </row>
    <row r="14365" spans="1:2" x14ac:dyDescent="0.25">
      <c r="A14365" s="5">
        <v>42760</v>
      </c>
      <c r="B14365">
        <v>2298.37</v>
      </c>
    </row>
    <row r="14366" spans="1:2" x14ac:dyDescent="0.25">
      <c r="A14366" s="5">
        <v>42761</v>
      </c>
      <c r="B14366">
        <v>2296.6799999999998</v>
      </c>
    </row>
    <row r="14367" spans="1:2" x14ac:dyDescent="0.25">
      <c r="A14367" s="5">
        <v>42762</v>
      </c>
      <c r="B14367">
        <v>2294.69</v>
      </c>
    </row>
    <row r="14368" spans="1:2" x14ac:dyDescent="0.25">
      <c r="A14368" s="5">
        <v>42765</v>
      </c>
      <c r="B14368">
        <v>2280.9</v>
      </c>
    </row>
    <row r="14369" spans="1:2" x14ac:dyDescent="0.25">
      <c r="A14369" s="5">
        <v>42766</v>
      </c>
      <c r="B14369">
        <v>2278.87</v>
      </c>
    </row>
    <row r="14370" spans="1:2" x14ac:dyDescent="0.25">
      <c r="A14370" s="5">
        <v>42767</v>
      </c>
      <c r="B14370">
        <v>2279.5500000000002</v>
      </c>
    </row>
    <row r="14371" spans="1:2" x14ac:dyDescent="0.25">
      <c r="A14371" s="5">
        <v>42768</v>
      </c>
      <c r="B14371">
        <v>2280.85</v>
      </c>
    </row>
    <row r="14372" spans="1:2" x14ac:dyDescent="0.25">
      <c r="A14372" s="5">
        <v>42769</v>
      </c>
      <c r="B14372">
        <v>2297.42</v>
      </c>
    </row>
    <row r="14373" spans="1:2" x14ac:dyDescent="0.25">
      <c r="A14373" s="5">
        <v>42772</v>
      </c>
      <c r="B14373">
        <v>2292.56</v>
      </c>
    </row>
    <row r="14374" spans="1:2" x14ac:dyDescent="0.25">
      <c r="A14374" s="5">
        <v>42773</v>
      </c>
      <c r="B14374">
        <v>2293.08</v>
      </c>
    </row>
    <row r="14375" spans="1:2" x14ac:dyDescent="0.25">
      <c r="A14375" s="5">
        <v>42774</v>
      </c>
      <c r="B14375">
        <v>2294.67</v>
      </c>
    </row>
    <row r="14376" spans="1:2" x14ac:dyDescent="0.25">
      <c r="A14376" s="5">
        <v>42775</v>
      </c>
      <c r="B14376">
        <v>2307.87</v>
      </c>
    </row>
    <row r="14377" spans="1:2" x14ac:dyDescent="0.25">
      <c r="A14377" s="5">
        <v>42776</v>
      </c>
      <c r="B14377">
        <v>2316.1</v>
      </c>
    </row>
    <row r="14378" spans="1:2" x14ac:dyDescent="0.25">
      <c r="A14378" s="5">
        <v>42779</v>
      </c>
      <c r="B14378">
        <v>2328.25</v>
      </c>
    </row>
    <row r="14379" spans="1:2" x14ac:dyDescent="0.25">
      <c r="A14379" s="5">
        <v>42780</v>
      </c>
      <c r="B14379">
        <v>2337.58</v>
      </c>
    </row>
    <row r="14380" spans="1:2" x14ac:dyDescent="0.25">
      <c r="A14380" s="5">
        <v>42781</v>
      </c>
      <c r="B14380">
        <v>2349.25</v>
      </c>
    </row>
    <row r="14381" spans="1:2" x14ac:dyDescent="0.25">
      <c r="A14381" s="5">
        <v>42782</v>
      </c>
      <c r="B14381">
        <v>2347.2199999999998</v>
      </c>
    </row>
    <row r="14382" spans="1:2" x14ac:dyDescent="0.25">
      <c r="A14382" s="5">
        <v>42783</v>
      </c>
      <c r="B14382">
        <v>2351.16</v>
      </c>
    </row>
    <row r="14383" spans="1:2" x14ac:dyDescent="0.25">
      <c r="A14383" s="5">
        <v>42787</v>
      </c>
      <c r="B14383">
        <v>2365.38</v>
      </c>
    </row>
    <row r="14384" spans="1:2" x14ac:dyDescent="0.25">
      <c r="A14384" s="5">
        <v>42788</v>
      </c>
      <c r="B14384">
        <v>2362.8200000000002</v>
      </c>
    </row>
    <row r="14385" spans="1:2" x14ac:dyDescent="0.25">
      <c r="A14385" s="5">
        <v>42789</v>
      </c>
      <c r="B14385">
        <v>2363.81</v>
      </c>
    </row>
    <row r="14386" spans="1:2" x14ac:dyDescent="0.25">
      <c r="A14386" s="5">
        <v>42790</v>
      </c>
      <c r="B14386">
        <v>2367.34</v>
      </c>
    </row>
    <row r="14387" spans="1:2" x14ac:dyDescent="0.25">
      <c r="A14387" s="5">
        <v>42793</v>
      </c>
      <c r="B14387">
        <v>2369.75</v>
      </c>
    </row>
    <row r="14388" spans="1:2" x14ac:dyDescent="0.25">
      <c r="A14388" s="5">
        <v>42794</v>
      </c>
      <c r="B14388">
        <v>2363.64</v>
      </c>
    </row>
    <row r="14389" spans="1:2" x14ac:dyDescent="0.25">
      <c r="A14389" s="5">
        <v>42795</v>
      </c>
      <c r="B14389">
        <v>2395.96</v>
      </c>
    </row>
    <row r="14390" spans="1:2" x14ac:dyDescent="0.25">
      <c r="A14390" s="5">
        <v>42796</v>
      </c>
      <c r="B14390">
        <v>2381.92</v>
      </c>
    </row>
    <row r="14391" spans="1:2" x14ac:dyDescent="0.25">
      <c r="A14391" s="5">
        <v>42797</v>
      </c>
      <c r="B14391">
        <v>2383.12</v>
      </c>
    </row>
    <row r="14392" spans="1:2" x14ac:dyDescent="0.25">
      <c r="A14392" s="5">
        <v>42800</v>
      </c>
      <c r="B14392">
        <v>2375.31</v>
      </c>
    </row>
    <row r="14393" spans="1:2" x14ac:dyDescent="0.25">
      <c r="A14393" s="5">
        <v>42801</v>
      </c>
      <c r="B14393">
        <v>2368.39</v>
      </c>
    </row>
    <row r="14394" spans="1:2" x14ac:dyDescent="0.25">
      <c r="A14394" s="5">
        <v>42802</v>
      </c>
      <c r="B14394">
        <v>2362.98</v>
      </c>
    </row>
    <row r="14395" spans="1:2" x14ac:dyDescent="0.25">
      <c r="A14395" s="5">
        <v>42803</v>
      </c>
      <c r="B14395">
        <v>2364.87</v>
      </c>
    </row>
    <row r="14396" spans="1:2" x14ac:dyDescent="0.25">
      <c r="A14396" s="5">
        <v>42804</v>
      </c>
      <c r="B14396">
        <v>2372.6</v>
      </c>
    </row>
    <row r="14397" spans="1:2" x14ac:dyDescent="0.25">
      <c r="A14397" s="5">
        <v>42807</v>
      </c>
      <c r="B14397">
        <v>2373.4699999999998</v>
      </c>
    </row>
    <row r="14398" spans="1:2" x14ac:dyDescent="0.25">
      <c r="A14398" s="5">
        <v>42808</v>
      </c>
      <c r="B14398">
        <v>2365.4499999999998</v>
      </c>
    </row>
    <row r="14399" spans="1:2" x14ac:dyDescent="0.25">
      <c r="A14399" s="5">
        <v>42809</v>
      </c>
      <c r="B14399">
        <v>2385.2600000000002</v>
      </c>
    </row>
    <row r="14400" spans="1:2" x14ac:dyDescent="0.25">
      <c r="A14400" s="5">
        <v>42810</v>
      </c>
      <c r="B14400">
        <v>2381.38</v>
      </c>
    </row>
    <row r="14401" spans="1:2" x14ac:dyDescent="0.25">
      <c r="A14401" s="5">
        <v>42811</v>
      </c>
      <c r="B14401">
        <v>2378.25</v>
      </c>
    </row>
    <row r="14402" spans="1:2" x14ac:dyDescent="0.25">
      <c r="A14402" s="5">
        <v>42814</v>
      </c>
      <c r="B14402">
        <v>2373.4699999999998</v>
      </c>
    </row>
    <row r="14403" spans="1:2" x14ac:dyDescent="0.25">
      <c r="A14403" s="5">
        <v>42815</v>
      </c>
      <c r="B14403">
        <v>2344.02</v>
      </c>
    </row>
    <row r="14404" spans="1:2" x14ac:dyDescent="0.25">
      <c r="A14404" s="5">
        <v>42816</v>
      </c>
      <c r="B14404">
        <v>2348.4499999999998</v>
      </c>
    </row>
    <row r="14405" spans="1:2" x14ac:dyDescent="0.25">
      <c r="A14405" s="5">
        <v>42817</v>
      </c>
      <c r="B14405">
        <v>2345.96</v>
      </c>
    </row>
    <row r="14406" spans="1:2" x14ac:dyDescent="0.25">
      <c r="A14406" s="5">
        <v>42818</v>
      </c>
      <c r="B14406">
        <v>2343.98</v>
      </c>
    </row>
    <row r="14407" spans="1:2" x14ac:dyDescent="0.25">
      <c r="A14407" s="5">
        <v>42821</v>
      </c>
      <c r="B14407">
        <v>2341.59</v>
      </c>
    </row>
    <row r="14408" spans="1:2" x14ac:dyDescent="0.25">
      <c r="A14408" s="5">
        <v>42822</v>
      </c>
      <c r="B14408">
        <v>2358.5700000000002</v>
      </c>
    </row>
    <row r="14409" spans="1:2" x14ac:dyDescent="0.25">
      <c r="A14409" s="5">
        <v>42823</v>
      </c>
      <c r="B14409">
        <v>2361.13</v>
      </c>
    </row>
    <row r="14410" spans="1:2" x14ac:dyDescent="0.25">
      <c r="A14410" s="5">
        <v>42824</v>
      </c>
      <c r="B14410">
        <v>2368.06</v>
      </c>
    </row>
    <row r="14411" spans="1:2" x14ac:dyDescent="0.25">
      <c r="A14411" s="5">
        <v>42825</v>
      </c>
      <c r="B14411">
        <v>2362.7199999999998</v>
      </c>
    </row>
    <row r="14412" spans="1:2" x14ac:dyDescent="0.25">
      <c r="A14412" s="5">
        <v>42828</v>
      </c>
      <c r="B14412">
        <v>2358.84</v>
      </c>
    </row>
    <row r="14413" spans="1:2" x14ac:dyDescent="0.25">
      <c r="A14413" s="5">
        <v>42829</v>
      </c>
      <c r="B14413">
        <v>2360.16</v>
      </c>
    </row>
    <row r="14414" spans="1:2" x14ac:dyDescent="0.25">
      <c r="A14414" s="5">
        <v>42830</v>
      </c>
      <c r="B14414">
        <v>2352.9499999999998</v>
      </c>
    </row>
    <row r="14415" spans="1:2" x14ac:dyDescent="0.25">
      <c r="A14415" s="5">
        <v>42831</v>
      </c>
      <c r="B14415">
        <v>2357.4899999999998</v>
      </c>
    </row>
    <row r="14416" spans="1:2" x14ac:dyDescent="0.25">
      <c r="A14416" s="5">
        <v>42832</v>
      </c>
      <c r="B14416">
        <v>2355.54</v>
      </c>
    </row>
    <row r="14417" spans="1:2" x14ac:dyDescent="0.25">
      <c r="A14417" s="5">
        <v>42835</v>
      </c>
      <c r="B14417">
        <v>2357.16</v>
      </c>
    </row>
    <row r="14418" spans="1:2" x14ac:dyDescent="0.25">
      <c r="A14418" s="5">
        <v>42836</v>
      </c>
      <c r="B14418">
        <v>2353.7800000000002</v>
      </c>
    </row>
    <row r="14419" spans="1:2" x14ac:dyDescent="0.25">
      <c r="A14419" s="5">
        <v>42837</v>
      </c>
      <c r="B14419">
        <v>2344.9299999999998</v>
      </c>
    </row>
    <row r="14420" spans="1:2" x14ac:dyDescent="0.25">
      <c r="A14420" s="5">
        <v>42838</v>
      </c>
      <c r="B14420">
        <v>2328.9499999999998</v>
      </c>
    </row>
    <row r="14421" spans="1:2" x14ac:dyDescent="0.25">
      <c r="A14421" s="5">
        <v>42842</v>
      </c>
      <c r="B14421">
        <v>2349.0100000000002</v>
      </c>
    </row>
    <row r="14422" spans="1:2" x14ac:dyDescent="0.25">
      <c r="A14422" s="5">
        <v>42843</v>
      </c>
      <c r="B14422">
        <v>2342.19</v>
      </c>
    </row>
    <row r="14423" spans="1:2" x14ac:dyDescent="0.25">
      <c r="A14423" s="5">
        <v>42844</v>
      </c>
      <c r="B14423">
        <v>2338.17</v>
      </c>
    </row>
    <row r="14424" spans="1:2" x14ac:dyDescent="0.25">
      <c r="A14424" s="5">
        <v>42845</v>
      </c>
      <c r="B14424">
        <v>2355.84</v>
      </c>
    </row>
    <row r="14425" spans="1:2" x14ac:dyDescent="0.25">
      <c r="A14425" s="5">
        <v>42846</v>
      </c>
      <c r="B14425">
        <v>2348.69</v>
      </c>
    </row>
    <row r="14426" spans="1:2" x14ac:dyDescent="0.25">
      <c r="A14426" s="5">
        <v>42849</v>
      </c>
      <c r="B14426">
        <v>2374.15</v>
      </c>
    </row>
    <row r="14427" spans="1:2" x14ac:dyDescent="0.25">
      <c r="A14427" s="5">
        <v>42850</v>
      </c>
      <c r="B14427">
        <v>2388.61</v>
      </c>
    </row>
    <row r="14428" spans="1:2" x14ac:dyDescent="0.25">
      <c r="A14428" s="5">
        <v>42851</v>
      </c>
      <c r="B14428">
        <v>2387.4499999999998</v>
      </c>
    </row>
    <row r="14429" spans="1:2" x14ac:dyDescent="0.25">
      <c r="A14429" s="5">
        <v>42852</v>
      </c>
      <c r="B14429">
        <v>2388.77</v>
      </c>
    </row>
    <row r="14430" spans="1:2" x14ac:dyDescent="0.25">
      <c r="A14430" s="5">
        <v>42853</v>
      </c>
      <c r="B14430">
        <v>2384.1999999999998</v>
      </c>
    </row>
    <row r="14431" spans="1:2" x14ac:dyDescent="0.25">
      <c r="A14431" s="5">
        <v>42856</v>
      </c>
      <c r="B14431">
        <v>2388.33</v>
      </c>
    </row>
    <row r="14432" spans="1:2" x14ac:dyDescent="0.25">
      <c r="A14432" s="5">
        <v>42857</v>
      </c>
      <c r="B14432">
        <v>2391.17</v>
      </c>
    </row>
    <row r="14433" spans="1:2" x14ac:dyDescent="0.25">
      <c r="A14433" s="5">
        <v>42858</v>
      </c>
      <c r="B14433">
        <v>2388.13</v>
      </c>
    </row>
    <row r="14434" spans="1:2" x14ac:dyDescent="0.25">
      <c r="A14434" s="5">
        <v>42859</v>
      </c>
      <c r="B14434">
        <v>2389.52</v>
      </c>
    </row>
    <row r="14435" spans="1:2" x14ac:dyDescent="0.25">
      <c r="A14435" s="5">
        <v>42860</v>
      </c>
      <c r="B14435">
        <v>2399.29</v>
      </c>
    </row>
    <row r="14436" spans="1:2" x14ac:dyDescent="0.25">
      <c r="A14436" s="5">
        <v>42863</v>
      </c>
      <c r="B14436">
        <v>2399.38</v>
      </c>
    </row>
    <row r="14437" spans="1:2" x14ac:dyDescent="0.25">
      <c r="A14437" s="5">
        <v>42864</v>
      </c>
      <c r="B14437">
        <v>2396.92</v>
      </c>
    </row>
    <row r="14438" spans="1:2" x14ac:dyDescent="0.25">
      <c r="A14438" s="5">
        <v>42865</v>
      </c>
      <c r="B14438">
        <v>2399.63</v>
      </c>
    </row>
    <row r="14439" spans="1:2" x14ac:dyDescent="0.25">
      <c r="A14439" s="5">
        <v>42866</v>
      </c>
      <c r="B14439">
        <v>2394.44</v>
      </c>
    </row>
    <row r="14440" spans="1:2" x14ac:dyDescent="0.25">
      <c r="A14440" s="5">
        <v>42867</v>
      </c>
      <c r="B14440">
        <v>2390.9</v>
      </c>
    </row>
    <row r="14441" spans="1:2" x14ac:dyDescent="0.25">
      <c r="A14441" s="5">
        <v>42870</v>
      </c>
      <c r="B14441">
        <v>2402.3200000000002</v>
      </c>
    </row>
    <row r="14442" spans="1:2" x14ac:dyDescent="0.25">
      <c r="A14442" s="5">
        <v>42871</v>
      </c>
      <c r="B14442">
        <v>2400.67</v>
      </c>
    </row>
    <row r="14443" spans="1:2" x14ac:dyDescent="0.25">
      <c r="A14443" s="5">
        <v>42872</v>
      </c>
      <c r="B14443">
        <v>2357.0300000000002</v>
      </c>
    </row>
    <row r="14444" spans="1:2" x14ac:dyDescent="0.25">
      <c r="A14444" s="5">
        <v>42873</v>
      </c>
      <c r="B14444">
        <v>2365.7199999999998</v>
      </c>
    </row>
    <row r="14445" spans="1:2" x14ac:dyDescent="0.25">
      <c r="A14445" s="5">
        <v>42874</v>
      </c>
      <c r="B14445">
        <v>2381.73</v>
      </c>
    </row>
    <row r="14446" spans="1:2" x14ac:dyDescent="0.25">
      <c r="A14446" s="5">
        <v>42877</v>
      </c>
      <c r="B14446">
        <v>2394.02</v>
      </c>
    </row>
    <row r="14447" spans="1:2" x14ac:dyDescent="0.25">
      <c r="A14447" s="5">
        <v>42878</v>
      </c>
      <c r="B14447">
        <v>2398.42</v>
      </c>
    </row>
    <row r="14448" spans="1:2" x14ac:dyDescent="0.25">
      <c r="A14448" s="5">
        <v>42879</v>
      </c>
      <c r="B14448">
        <v>2404.39</v>
      </c>
    </row>
    <row r="14449" spans="1:2" x14ac:dyDescent="0.25">
      <c r="A14449" s="5">
        <v>42880</v>
      </c>
      <c r="B14449">
        <v>2415.0700000000002</v>
      </c>
    </row>
    <row r="14450" spans="1:2" x14ac:dyDescent="0.25">
      <c r="A14450" s="5">
        <v>42881</v>
      </c>
      <c r="B14450">
        <v>2415.8200000000002</v>
      </c>
    </row>
    <row r="14451" spans="1:2" x14ac:dyDescent="0.25">
      <c r="A14451" s="5">
        <v>42885</v>
      </c>
      <c r="B14451">
        <v>2412.91</v>
      </c>
    </row>
    <row r="14452" spans="1:2" x14ac:dyDescent="0.25">
      <c r="A14452" s="5">
        <v>42886</v>
      </c>
      <c r="B14452">
        <v>2411.8000000000002</v>
      </c>
    </row>
    <row r="14453" spans="1:2" x14ac:dyDescent="0.25">
      <c r="A14453" s="5">
        <v>42887</v>
      </c>
      <c r="B14453">
        <v>2430.06</v>
      </c>
    </row>
    <row r="14454" spans="1:2" x14ac:dyDescent="0.25">
      <c r="A14454" s="5">
        <v>42888</v>
      </c>
      <c r="B14454">
        <v>2439.0700000000002</v>
      </c>
    </row>
    <row r="14455" spans="1:2" x14ac:dyDescent="0.25">
      <c r="A14455" s="5">
        <v>42891</v>
      </c>
      <c r="B14455">
        <v>2436.1</v>
      </c>
    </row>
    <row r="14456" spans="1:2" x14ac:dyDescent="0.25">
      <c r="A14456" s="5">
        <v>42892</v>
      </c>
      <c r="B14456">
        <v>2429.33</v>
      </c>
    </row>
    <row r="14457" spans="1:2" x14ac:dyDescent="0.25">
      <c r="A14457" s="5">
        <v>42893</v>
      </c>
      <c r="B14457">
        <v>2433.14</v>
      </c>
    </row>
    <row r="14458" spans="1:2" x14ac:dyDescent="0.25">
      <c r="A14458" s="5">
        <v>42894</v>
      </c>
      <c r="B14458">
        <v>2433.79</v>
      </c>
    </row>
    <row r="14459" spans="1:2" x14ac:dyDescent="0.25">
      <c r="A14459" s="5">
        <v>42895</v>
      </c>
      <c r="B14459">
        <v>2431.77</v>
      </c>
    </row>
    <row r="14460" spans="1:2" x14ac:dyDescent="0.25">
      <c r="A14460" s="5">
        <v>42898</v>
      </c>
      <c r="B14460">
        <v>2429.39</v>
      </c>
    </row>
    <row r="14461" spans="1:2" x14ac:dyDescent="0.25">
      <c r="A14461" s="5">
        <v>42899</v>
      </c>
      <c r="B14461">
        <v>2440.35</v>
      </c>
    </row>
    <row r="14462" spans="1:2" x14ac:dyDescent="0.25">
      <c r="A14462" s="5">
        <v>42900</v>
      </c>
      <c r="B14462">
        <v>2437.92</v>
      </c>
    </row>
    <row r="14463" spans="1:2" x14ac:dyDescent="0.25">
      <c r="A14463" s="5">
        <v>42901</v>
      </c>
      <c r="B14463">
        <v>2432.46</v>
      </c>
    </row>
    <row r="14464" spans="1:2" x14ac:dyDescent="0.25">
      <c r="A14464" s="5">
        <v>42902</v>
      </c>
      <c r="B14464">
        <v>2433.15</v>
      </c>
    </row>
    <row r="14465" spans="1:2" x14ac:dyDescent="0.25">
      <c r="A14465" s="5">
        <v>42905</v>
      </c>
      <c r="B14465">
        <v>2453.46</v>
      </c>
    </row>
    <row r="14466" spans="1:2" x14ac:dyDescent="0.25">
      <c r="A14466" s="5">
        <v>42906</v>
      </c>
      <c r="B14466">
        <v>2437.0300000000002</v>
      </c>
    </row>
    <row r="14467" spans="1:2" x14ac:dyDescent="0.25">
      <c r="A14467" s="5">
        <v>42907</v>
      </c>
      <c r="B14467">
        <v>2435.61</v>
      </c>
    </row>
    <row r="14468" spans="1:2" x14ac:dyDescent="0.25">
      <c r="A14468" s="5">
        <v>42908</v>
      </c>
      <c r="B14468">
        <v>2434.5</v>
      </c>
    </row>
    <row r="14469" spans="1:2" x14ac:dyDescent="0.25">
      <c r="A14469" s="5">
        <v>42909</v>
      </c>
      <c r="B14469">
        <v>2438.3000000000002</v>
      </c>
    </row>
    <row r="14470" spans="1:2" x14ac:dyDescent="0.25">
      <c r="A14470" s="5">
        <v>42912</v>
      </c>
      <c r="B14470">
        <v>2439.0700000000002</v>
      </c>
    </row>
    <row r="14471" spans="1:2" x14ac:dyDescent="0.25">
      <c r="A14471" s="5">
        <v>42913</v>
      </c>
      <c r="B14471">
        <v>2419.38</v>
      </c>
    </row>
    <row r="14472" spans="1:2" x14ac:dyDescent="0.25">
      <c r="A14472" s="5">
        <v>42914</v>
      </c>
      <c r="B14472">
        <v>2440.69</v>
      </c>
    </row>
    <row r="14473" spans="1:2" x14ac:dyDescent="0.25">
      <c r="A14473" s="5">
        <v>42915</v>
      </c>
      <c r="B14473">
        <v>2419.6999999999998</v>
      </c>
    </row>
    <row r="14474" spans="1:2" x14ac:dyDescent="0.25">
      <c r="A14474" s="5">
        <v>42916</v>
      </c>
      <c r="B14474">
        <v>2423.41</v>
      </c>
    </row>
    <row r="14475" spans="1:2" x14ac:dyDescent="0.25">
      <c r="A14475" s="5">
        <v>42919</v>
      </c>
      <c r="B14475">
        <v>2429.0100000000002</v>
      </c>
    </row>
    <row r="14476" spans="1:2" x14ac:dyDescent="0.25">
      <c r="A14476" s="5">
        <v>42921</v>
      </c>
      <c r="B14476">
        <v>2432.54</v>
      </c>
    </row>
    <row r="14477" spans="1:2" x14ac:dyDescent="0.25">
      <c r="A14477" s="5">
        <v>42922</v>
      </c>
      <c r="B14477">
        <v>2409.75</v>
      </c>
    </row>
    <row r="14478" spans="1:2" x14ac:dyDescent="0.25">
      <c r="A14478" s="5">
        <v>42923</v>
      </c>
      <c r="B14478">
        <v>2425.1799999999998</v>
      </c>
    </row>
    <row r="14479" spans="1:2" x14ac:dyDescent="0.25">
      <c r="A14479" s="5">
        <v>42926</v>
      </c>
      <c r="B14479">
        <v>2427.4299999999998</v>
      </c>
    </row>
    <row r="14480" spans="1:2" x14ac:dyDescent="0.25">
      <c r="A14480" s="5">
        <v>42927</v>
      </c>
      <c r="B14480">
        <v>2425.5300000000002</v>
      </c>
    </row>
    <row r="14481" spans="1:2" x14ac:dyDescent="0.25">
      <c r="A14481" s="5">
        <v>42928</v>
      </c>
      <c r="B14481">
        <v>2443.25</v>
      </c>
    </row>
    <row r="14482" spans="1:2" x14ac:dyDescent="0.25">
      <c r="A14482" s="5">
        <v>42929</v>
      </c>
      <c r="B14482">
        <v>2447.83</v>
      </c>
    </row>
    <row r="14483" spans="1:2" x14ac:dyDescent="0.25">
      <c r="A14483" s="5">
        <v>42930</v>
      </c>
      <c r="B14483">
        <v>2459.27</v>
      </c>
    </row>
    <row r="14484" spans="1:2" x14ac:dyDescent="0.25">
      <c r="A14484" s="5">
        <v>42933</v>
      </c>
      <c r="B14484">
        <v>2459.14</v>
      </c>
    </row>
    <row r="14485" spans="1:2" x14ac:dyDescent="0.25">
      <c r="A14485" s="5">
        <v>42934</v>
      </c>
      <c r="B14485">
        <v>2460.61</v>
      </c>
    </row>
    <row r="14486" spans="1:2" x14ac:dyDescent="0.25">
      <c r="A14486" s="5">
        <v>42935</v>
      </c>
      <c r="B14486">
        <v>2473.83</v>
      </c>
    </row>
    <row r="14487" spans="1:2" x14ac:dyDescent="0.25">
      <c r="A14487" s="5">
        <v>42936</v>
      </c>
      <c r="B14487">
        <v>2473.4499999999998</v>
      </c>
    </row>
    <row r="14488" spans="1:2" x14ac:dyDescent="0.25">
      <c r="A14488" s="5">
        <v>42937</v>
      </c>
      <c r="B14488">
        <v>2472.54</v>
      </c>
    </row>
    <row r="14489" spans="1:2" x14ac:dyDescent="0.25">
      <c r="A14489" s="5">
        <v>42940</v>
      </c>
      <c r="B14489">
        <v>2469.91</v>
      </c>
    </row>
    <row r="14490" spans="1:2" x14ac:dyDescent="0.25">
      <c r="A14490" s="5">
        <v>42941</v>
      </c>
      <c r="B14490">
        <v>2477.13</v>
      </c>
    </row>
    <row r="14491" spans="1:2" x14ac:dyDescent="0.25">
      <c r="A14491" s="5">
        <v>42942</v>
      </c>
      <c r="B14491">
        <v>2477.83</v>
      </c>
    </row>
    <row r="14492" spans="1:2" x14ac:dyDescent="0.25">
      <c r="A14492" s="5">
        <v>42943</v>
      </c>
      <c r="B14492">
        <v>2475.42</v>
      </c>
    </row>
    <row r="14493" spans="1:2" x14ac:dyDescent="0.25">
      <c r="A14493" s="5">
        <v>42944</v>
      </c>
      <c r="B14493">
        <v>2472.1</v>
      </c>
    </row>
    <row r="14494" spans="1:2" x14ac:dyDescent="0.25">
      <c r="A14494" s="5">
        <v>42947</v>
      </c>
      <c r="B14494">
        <v>2470.3000000000002</v>
      </c>
    </row>
    <row r="14495" spans="1:2" x14ac:dyDescent="0.25">
      <c r="A14495" s="5">
        <v>42948</v>
      </c>
      <c r="B14495">
        <v>2476.35</v>
      </c>
    </row>
    <row r="14496" spans="1:2" x14ac:dyDescent="0.25">
      <c r="A14496" s="5">
        <v>42949</v>
      </c>
      <c r="B14496">
        <v>2477.5700000000002</v>
      </c>
    </row>
    <row r="14497" spans="1:2" x14ac:dyDescent="0.25">
      <c r="A14497" s="5">
        <v>42950</v>
      </c>
      <c r="B14497">
        <v>2472.16</v>
      </c>
    </row>
    <row r="14498" spans="1:2" x14ac:dyDescent="0.25">
      <c r="A14498" s="5">
        <v>42951</v>
      </c>
      <c r="B14498">
        <v>2476.83</v>
      </c>
    </row>
    <row r="14499" spans="1:2" x14ac:dyDescent="0.25">
      <c r="A14499" s="5">
        <v>42954</v>
      </c>
      <c r="B14499">
        <v>2480.91</v>
      </c>
    </row>
    <row r="14500" spans="1:2" x14ac:dyDescent="0.25">
      <c r="A14500" s="5">
        <v>42955</v>
      </c>
      <c r="B14500">
        <v>2474.92</v>
      </c>
    </row>
    <row r="14501" spans="1:2" x14ac:dyDescent="0.25">
      <c r="A14501" s="5">
        <v>42956</v>
      </c>
      <c r="B14501">
        <v>2474.02</v>
      </c>
    </row>
    <row r="14502" spans="1:2" x14ac:dyDescent="0.25">
      <c r="A14502" s="5">
        <v>42957</v>
      </c>
      <c r="B14502">
        <v>2438.21</v>
      </c>
    </row>
    <row r="14503" spans="1:2" x14ac:dyDescent="0.25">
      <c r="A14503" s="5">
        <v>42958</v>
      </c>
      <c r="B14503">
        <v>2441.3200000000002</v>
      </c>
    </row>
    <row r="14504" spans="1:2" x14ac:dyDescent="0.25">
      <c r="A14504" s="5">
        <v>42961</v>
      </c>
      <c r="B14504">
        <v>2465.84</v>
      </c>
    </row>
    <row r="14505" spans="1:2" x14ac:dyDescent="0.25">
      <c r="A14505" s="5">
        <v>42962</v>
      </c>
      <c r="B14505">
        <v>2464.61</v>
      </c>
    </row>
    <row r="14506" spans="1:2" x14ac:dyDescent="0.25">
      <c r="A14506" s="5">
        <v>42963</v>
      </c>
      <c r="B14506">
        <v>2468.11</v>
      </c>
    </row>
    <row r="14507" spans="1:2" x14ac:dyDescent="0.25">
      <c r="A14507" s="5">
        <v>42964</v>
      </c>
      <c r="B14507">
        <v>2430.0100000000002</v>
      </c>
    </row>
    <row r="14508" spans="1:2" x14ac:dyDescent="0.25">
      <c r="A14508" s="5">
        <v>42965</v>
      </c>
      <c r="B14508">
        <v>2425.5500000000002</v>
      </c>
    </row>
    <row r="14509" spans="1:2" x14ac:dyDescent="0.25">
      <c r="A14509" s="5">
        <v>42968</v>
      </c>
      <c r="B14509">
        <v>2428.37</v>
      </c>
    </row>
    <row r="14510" spans="1:2" x14ac:dyDescent="0.25">
      <c r="A14510" s="5">
        <v>42969</v>
      </c>
      <c r="B14510">
        <v>2452.5100000000002</v>
      </c>
    </row>
    <row r="14511" spans="1:2" x14ac:dyDescent="0.25">
      <c r="A14511" s="5">
        <v>42970</v>
      </c>
      <c r="B14511">
        <v>2444.04</v>
      </c>
    </row>
    <row r="14512" spans="1:2" x14ac:dyDescent="0.25">
      <c r="A14512" s="5">
        <v>42971</v>
      </c>
      <c r="B14512">
        <v>2438.9699999999998</v>
      </c>
    </row>
    <row r="14513" spans="1:2" x14ac:dyDescent="0.25">
      <c r="A14513" s="5">
        <v>42972</v>
      </c>
      <c r="B14513">
        <v>2443.0500000000002</v>
      </c>
    </row>
    <row r="14514" spans="1:2" x14ac:dyDescent="0.25">
      <c r="A14514" s="5">
        <v>42975</v>
      </c>
      <c r="B14514">
        <v>2444.2399999999998</v>
      </c>
    </row>
    <row r="14515" spans="1:2" x14ac:dyDescent="0.25">
      <c r="A14515" s="5">
        <v>42976</v>
      </c>
      <c r="B14515">
        <v>2446.3000000000002</v>
      </c>
    </row>
    <row r="14516" spans="1:2" x14ac:dyDescent="0.25">
      <c r="A14516" s="5">
        <v>42977</v>
      </c>
      <c r="B14516">
        <v>2457.59</v>
      </c>
    </row>
    <row r="14517" spans="1:2" x14ac:dyDescent="0.25">
      <c r="A14517" s="5">
        <v>42978</v>
      </c>
      <c r="B14517">
        <v>2471.65</v>
      </c>
    </row>
    <row r="14518" spans="1:2" x14ac:dyDescent="0.25">
      <c r="A14518" s="5">
        <v>42979</v>
      </c>
      <c r="B14518">
        <v>2476.5500000000002</v>
      </c>
    </row>
    <row r="14519" spans="1:2" x14ac:dyDescent="0.25">
      <c r="A14519" s="5">
        <v>42983</v>
      </c>
      <c r="B14519">
        <v>2457.85</v>
      </c>
    </row>
    <row r="14520" spans="1:2" x14ac:dyDescent="0.25">
      <c r="A14520" s="5">
        <v>42984</v>
      </c>
      <c r="B14520">
        <v>2465.54</v>
      </c>
    </row>
    <row r="14521" spans="1:2" x14ac:dyDescent="0.25">
      <c r="A14521" s="5">
        <v>42985</v>
      </c>
      <c r="B14521">
        <v>2465.1</v>
      </c>
    </row>
    <row r="14522" spans="1:2" x14ac:dyDescent="0.25">
      <c r="A14522" s="5">
        <v>42986</v>
      </c>
      <c r="B14522">
        <v>2461.4299999999998</v>
      </c>
    </row>
    <row r="14523" spans="1:2" x14ac:dyDescent="0.25">
      <c r="A14523" s="5">
        <v>42989</v>
      </c>
      <c r="B14523">
        <v>2488.11</v>
      </c>
    </row>
    <row r="14524" spans="1:2" x14ac:dyDescent="0.25">
      <c r="A14524" s="5">
        <v>42990</v>
      </c>
      <c r="B14524">
        <v>2496.48</v>
      </c>
    </row>
    <row r="14525" spans="1:2" x14ac:dyDescent="0.25">
      <c r="A14525" s="5">
        <v>42991</v>
      </c>
      <c r="B14525">
        <v>2498.37</v>
      </c>
    </row>
    <row r="14526" spans="1:2" x14ac:dyDescent="0.25">
      <c r="A14526" s="5">
        <v>42992</v>
      </c>
      <c r="B14526">
        <v>2495.62</v>
      </c>
    </row>
    <row r="14527" spans="1:2" x14ac:dyDescent="0.25">
      <c r="A14527" s="5">
        <v>42993</v>
      </c>
      <c r="B14527">
        <v>2500.23</v>
      </c>
    </row>
    <row r="14528" spans="1:2" x14ac:dyDescent="0.25">
      <c r="A14528" s="5">
        <v>42996</v>
      </c>
      <c r="B14528">
        <v>2503.87</v>
      </c>
    </row>
    <row r="14529" spans="1:2" x14ac:dyDescent="0.25">
      <c r="A14529" s="5">
        <v>42997</v>
      </c>
      <c r="B14529">
        <v>2506.65</v>
      </c>
    </row>
    <row r="14530" spans="1:2" x14ac:dyDescent="0.25">
      <c r="A14530" s="5">
        <v>42998</v>
      </c>
      <c r="B14530">
        <v>2508.2399999999998</v>
      </c>
    </row>
    <row r="14531" spans="1:2" x14ac:dyDescent="0.25">
      <c r="A14531" s="5">
        <v>42999</v>
      </c>
      <c r="B14531">
        <v>2500.6</v>
      </c>
    </row>
    <row r="14532" spans="1:2" x14ac:dyDescent="0.25">
      <c r="A14532" s="5">
        <v>43000</v>
      </c>
      <c r="B14532">
        <v>2502.2199999999998</v>
      </c>
    </row>
    <row r="14533" spans="1:2" x14ac:dyDescent="0.25">
      <c r="A14533" s="5">
        <v>43003</v>
      </c>
      <c r="B14533">
        <v>2496.66</v>
      </c>
    </row>
    <row r="14534" spans="1:2" x14ac:dyDescent="0.25">
      <c r="A14534" s="5">
        <v>43004</v>
      </c>
      <c r="B14534">
        <v>2496.84</v>
      </c>
    </row>
    <row r="14535" spans="1:2" x14ac:dyDescent="0.25">
      <c r="A14535" s="5">
        <v>43005</v>
      </c>
      <c r="B14535">
        <v>2507.04</v>
      </c>
    </row>
    <row r="14536" spans="1:2" x14ac:dyDescent="0.25">
      <c r="A14536" s="5">
        <v>43006</v>
      </c>
      <c r="B14536">
        <v>2510.06</v>
      </c>
    </row>
    <row r="14537" spans="1:2" x14ac:dyDescent="0.25">
      <c r="A14537" s="5">
        <v>43007</v>
      </c>
      <c r="B14537">
        <v>2519.36</v>
      </c>
    </row>
    <row r="14538" spans="1:2" x14ac:dyDescent="0.25">
      <c r="A14538" s="5">
        <v>43010</v>
      </c>
      <c r="B14538">
        <v>2529.12</v>
      </c>
    </row>
    <row r="14539" spans="1:2" x14ac:dyDescent="0.25">
      <c r="A14539" s="5">
        <v>43011</v>
      </c>
      <c r="B14539">
        <v>2534.58</v>
      </c>
    </row>
    <row r="14540" spans="1:2" x14ac:dyDescent="0.25">
      <c r="A14540" s="5">
        <v>43012</v>
      </c>
      <c r="B14540">
        <v>2537.7399999999998</v>
      </c>
    </row>
    <row r="14541" spans="1:2" x14ac:dyDescent="0.25">
      <c r="A14541" s="5">
        <v>43013</v>
      </c>
      <c r="B14541">
        <v>2552.0700000000002</v>
      </c>
    </row>
    <row r="14542" spans="1:2" x14ac:dyDescent="0.25">
      <c r="A14542" s="5">
        <v>43014</v>
      </c>
      <c r="B14542">
        <v>2549.33</v>
      </c>
    </row>
    <row r="14543" spans="1:2" x14ac:dyDescent="0.25">
      <c r="A14543" s="5">
        <v>43017</v>
      </c>
      <c r="B14543">
        <v>2544.73</v>
      </c>
    </row>
    <row r="14544" spans="1:2" x14ac:dyDescent="0.25">
      <c r="A14544" s="5">
        <v>43018</v>
      </c>
      <c r="B14544">
        <v>2550.64</v>
      </c>
    </row>
    <row r="14545" spans="1:2" x14ac:dyDescent="0.25">
      <c r="A14545" s="5">
        <v>43019</v>
      </c>
      <c r="B14545">
        <v>2555.2399999999998</v>
      </c>
    </row>
    <row r="14546" spans="1:2" x14ac:dyDescent="0.25">
      <c r="A14546" s="5">
        <v>43020</v>
      </c>
      <c r="B14546">
        <v>2550.9299999999998</v>
      </c>
    </row>
    <row r="14547" spans="1:2" x14ac:dyDescent="0.25">
      <c r="A14547" s="5">
        <v>43021</v>
      </c>
      <c r="B14547">
        <v>2553.17</v>
      </c>
    </row>
    <row r="14548" spans="1:2" x14ac:dyDescent="0.25">
      <c r="A14548" s="5">
        <v>43024</v>
      </c>
      <c r="B14548">
        <v>2557.64</v>
      </c>
    </row>
    <row r="14549" spans="1:2" x14ac:dyDescent="0.25">
      <c r="A14549" s="5">
        <v>43025</v>
      </c>
      <c r="B14549">
        <v>2559.36</v>
      </c>
    </row>
    <row r="14550" spans="1:2" x14ac:dyDescent="0.25">
      <c r="A14550" s="5">
        <v>43026</v>
      </c>
      <c r="B14550">
        <v>2561.2600000000002</v>
      </c>
    </row>
    <row r="14551" spans="1:2" x14ac:dyDescent="0.25">
      <c r="A14551" s="5">
        <v>43027</v>
      </c>
      <c r="B14551">
        <v>2562.1</v>
      </c>
    </row>
    <row r="14552" spans="1:2" x14ac:dyDescent="0.25">
      <c r="A14552" s="5">
        <v>43028</v>
      </c>
      <c r="B14552">
        <v>2575.21</v>
      </c>
    </row>
    <row r="14553" spans="1:2" x14ac:dyDescent="0.25">
      <c r="A14553" s="5">
        <v>43031</v>
      </c>
      <c r="B14553">
        <v>2564.98</v>
      </c>
    </row>
    <row r="14554" spans="1:2" x14ac:dyDescent="0.25">
      <c r="A14554" s="5">
        <v>43032</v>
      </c>
      <c r="B14554">
        <v>2569.13</v>
      </c>
    </row>
    <row r="14555" spans="1:2" x14ac:dyDescent="0.25">
      <c r="A14555" s="5">
        <v>43033</v>
      </c>
      <c r="B14555">
        <v>2557.15</v>
      </c>
    </row>
    <row r="14556" spans="1:2" x14ac:dyDescent="0.25">
      <c r="A14556" s="5">
        <v>43034</v>
      </c>
      <c r="B14556">
        <v>2560.4</v>
      </c>
    </row>
    <row r="14557" spans="1:2" x14ac:dyDescent="0.25">
      <c r="A14557" s="5">
        <v>43035</v>
      </c>
      <c r="B14557">
        <v>2581.0700000000002</v>
      </c>
    </row>
    <row r="14558" spans="1:2" x14ac:dyDescent="0.25">
      <c r="A14558" s="5">
        <v>43038</v>
      </c>
      <c r="B14558">
        <v>2572.83</v>
      </c>
    </row>
    <row r="14559" spans="1:2" x14ac:dyDescent="0.25">
      <c r="A14559" s="5">
        <v>43039</v>
      </c>
      <c r="B14559">
        <v>2575.2600000000002</v>
      </c>
    </row>
    <row r="14560" spans="1:2" x14ac:dyDescent="0.25">
      <c r="A14560" s="5">
        <v>43040</v>
      </c>
      <c r="B14560">
        <v>2579.36</v>
      </c>
    </row>
    <row r="14561" spans="1:2" x14ac:dyDescent="0.25">
      <c r="A14561" s="5">
        <v>43041</v>
      </c>
      <c r="B14561">
        <v>2579.85</v>
      </c>
    </row>
    <row r="14562" spans="1:2" x14ac:dyDescent="0.25">
      <c r="A14562" s="5">
        <v>43042</v>
      </c>
      <c r="B14562">
        <v>2587.84</v>
      </c>
    </row>
    <row r="14563" spans="1:2" x14ac:dyDescent="0.25">
      <c r="A14563" s="5">
        <v>43045</v>
      </c>
      <c r="B14563">
        <v>2591.13</v>
      </c>
    </row>
    <row r="14564" spans="1:2" x14ac:dyDescent="0.25">
      <c r="A14564" s="5">
        <v>43046</v>
      </c>
      <c r="B14564">
        <v>2590.64</v>
      </c>
    </row>
    <row r="14565" spans="1:2" x14ac:dyDescent="0.25">
      <c r="A14565" s="5">
        <v>43047</v>
      </c>
      <c r="B14565">
        <v>2594.38</v>
      </c>
    </row>
    <row r="14566" spans="1:2" x14ac:dyDescent="0.25">
      <c r="A14566" s="5">
        <v>43048</v>
      </c>
      <c r="B14566">
        <v>2584.62</v>
      </c>
    </row>
    <row r="14567" spans="1:2" x14ac:dyDescent="0.25">
      <c r="A14567" s="5">
        <v>43049</v>
      </c>
      <c r="B14567">
        <v>2582.3000000000002</v>
      </c>
    </row>
    <row r="14568" spans="1:2" x14ac:dyDescent="0.25">
      <c r="A14568" s="5">
        <v>43052</v>
      </c>
      <c r="B14568">
        <v>2584.84</v>
      </c>
    </row>
    <row r="14569" spans="1:2" x14ac:dyDescent="0.25">
      <c r="A14569" s="5">
        <v>43053</v>
      </c>
      <c r="B14569">
        <v>2578.87</v>
      </c>
    </row>
    <row r="14570" spans="1:2" x14ac:dyDescent="0.25">
      <c r="A14570" s="5">
        <v>43054</v>
      </c>
      <c r="B14570">
        <v>2564.62</v>
      </c>
    </row>
    <row r="14571" spans="1:2" x14ac:dyDescent="0.25">
      <c r="A14571" s="5">
        <v>43055</v>
      </c>
      <c r="B14571">
        <v>2585.64</v>
      </c>
    </row>
    <row r="14572" spans="1:2" x14ac:dyDescent="0.25">
      <c r="A14572" s="5">
        <v>43056</v>
      </c>
      <c r="B14572">
        <v>2578.85</v>
      </c>
    </row>
    <row r="14573" spans="1:2" x14ac:dyDescent="0.25">
      <c r="A14573" s="5">
        <v>43059</v>
      </c>
      <c r="B14573">
        <v>2582.14</v>
      </c>
    </row>
    <row r="14574" spans="1:2" x14ac:dyDescent="0.25">
      <c r="A14574" s="5">
        <v>43060</v>
      </c>
      <c r="B14574">
        <v>2599.0300000000002</v>
      </c>
    </row>
    <row r="14575" spans="1:2" x14ac:dyDescent="0.25">
      <c r="A14575" s="5">
        <v>43061</v>
      </c>
      <c r="B14575">
        <v>2597.08</v>
      </c>
    </row>
    <row r="14576" spans="1:2" x14ac:dyDescent="0.25">
      <c r="A14576" s="5">
        <v>43063</v>
      </c>
      <c r="B14576">
        <v>2602.42</v>
      </c>
    </row>
    <row r="14577" spans="1:2" x14ac:dyDescent="0.25">
      <c r="A14577" s="5">
        <v>43066</v>
      </c>
      <c r="B14577">
        <v>2601.42</v>
      </c>
    </row>
    <row r="14578" spans="1:2" x14ac:dyDescent="0.25">
      <c r="A14578" s="5">
        <v>43067</v>
      </c>
      <c r="B14578">
        <v>2627.04</v>
      </c>
    </row>
    <row r="14579" spans="1:2" x14ac:dyDescent="0.25">
      <c r="A14579" s="5">
        <v>43068</v>
      </c>
      <c r="B14579">
        <v>2626.07</v>
      </c>
    </row>
    <row r="14580" spans="1:2" x14ac:dyDescent="0.25">
      <c r="A14580" s="5">
        <v>43069</v>
      </c>
      <c r="B14580">
        <v>2647.58</v>
      </c>
    </row>
    <row r="14581" spans="1:2" x14ac:dyDescent="0.25">
      <c r="A14581" s="5">
        <v>43070</v>
      </c>
      <c r="B14581">
        <v>2642.22</v>
      </c>
    </row>
    <row r="14582" spans="1:2" x14ac:dyDescent="0.25">
      <c r="A14582" s="5">
        <v>43073</v>
      </c>
      <c r="B14582">
        <v>2639.44</v>
      </c>
    </row>
    <row r="14583" spans="1:2" x14ac:dyDescent="0.25">
      <c r="A14583" s="5">
        <v>43074</v>
      </c>
      <c r="B14583">
        <v>2629.57</v>
      </c>
    </row>
    <row r="14584" spans="1:2" x14ac:dyDescent="0.25">
      <c r="A14584" s="5">
        <v>43075</v>
      </c>
      <c r="B14584">
        <v>2629.27</v>
      </c>
    </row>
    <row r="14585" spans="1:2" x14ac:dyDescent="0.25">
      <c r="A14585" s="5">
        <v>43076</v>
      </c>
      <c r="B14585">
        <v>2636.98</v>
      </c>
    </row>
    <row r="14586" spans="1:2" x14ac:dyDescent="0.25">
      <c r="A14586" s="5">
        <v>43077</v>
      </c>
      <c r="B14586">
        <v>2651.5</v>
      </c>
    </row>
    <row r="14587" spans="1:2" x14ac:dyDescent="0.25">
      <c r="A14587" s="5">
        <v>43080</v>
      </c>
      <c r="B14587">
        <v>2659.99</v>
      </c>
    </row>
    <row r="14588" spans="1:2" x14ac:dyDescent="0.25">
      <c r="A14588" s="5">
        <v>43081</v>
      </c>
      <c r="B14588">
        <v>2664.11</v>
      </c>
    </row>
    <row r="14589" spans="1:2" x14ac:dyDescent="0.25">
      <c r="A14589" s="5">
        <v>43082</v>
      </c>
      <c r="B14589">
        <v>2662.85</v>
      </c>
    </row>
    <row r="14590" spans="1:2" x14ac:dyDescent="0.25">
      <c r="A14590" s="5">
        <v>43083</v>
      </c>
      <c r="B14590">
        <v>2652.01</v>
      </c>
    </row>
    <row r="14591" spans="1:2" x14ac:dyDescent="0.25">
      <c r="A14591" s="5">
        <v>43084</v>
      </c>
      <c r="B14591">
        <v>2675.81</v>
      </c>
    </row>
    <row r="14592" spans="1:2" x14ac:dyDescent="0.25">
      <c r="A14592" s="5">
        <v>43087</v>
      </c>
      <c r="B14592">
        <v>2690.16</v>
      </c>
    </row>
    <row r="14593" spans="1:2" x14ac:dyDescent="0.25">
      <c r="A14593" s="5">
        <v>43088</v>
      </c>
      <c r="B14593">
        <v>2681.47</v>
      </c>
    </row>
    <row r="14594" spans="1:2" x14ac:dyDescent="0.25">
      <c r="A14594" s="5">
        <v>43089</v>
      </c>
      <c r="B14594">
        <v>2679.25</v>
      </c>
    </row>
    <row r="14595" spans="1:2" x14ac:dyDescent="0.25">
      <c r="A14595" s="5">
        <v>43090</v>
      </c>
      <c r="B14595">
        <v>2684.57</v>
      </c>
    </row>
    <row r="14596" spans="1:2" x14ac:dyDescent="0.25">
      <c r="A14596" s="5">
        <v>43091</v>
      </c>
      <c r="B14596">
        <v>2683.34</v>
      </c>
    </row>
    <row r="14597" spans="1:2" x14ac:dyDescent="0.25">
      <c r="A14597" s="5">
        <v>43095</v>
      </c>
      <c r="B14597">
        <v>2680.5</v>
      </c>
    </row>
    <row r="14598" spans="1:2" x14ac:dyDescent="0.25">
      <c r="A14598" s="5">
        <v>43096</v>
      </c>
      <c r="B14598">
        <v>2682.62</v>
      </c>
    </row>
    <row r="14599" spans="1:2" x14ac:dyDescent="0.25">
      <c r="A14599" s="5">
        <v>43097</v>
      </c>
      <c r="B14599">
        <v>2687.54</v>
      </c>
    </row>
    <row r="14600" spans="1:2" x14ac:dyDescent="0.25">
      <c r="A14600" s="5">
        <v>43098</v>
      </c>
      <c r="B14600">
        <v>2673.61</v>
      </c>
    </row>
    <row r="14601" spans="1:2" x14ac:dyDescent="0.25">
      <c r="A14601" s="5">
        <v>43102</v>
      </c>
      <c r="B14601">
        <v>2695.81</v>
      </c>
    </row>
    <row r="14602" spans="1:2" x14ac:dyDescent="0.25">
      <c r="A14602" s="5">
        <v>43103</v>
      </c>
      <c r="B14602">
        <v>2713.06</v>
      </c>
    </row>
    <row r="14603" spans="1:2" x14ac:dyDescent="0.25">
      <c r="A14603" s="5">
        <v>43104</v>
      </c>
      <c r="B14603">
        <v>2723.99</v>
      </c>
    </row>
    <row r="14604" spans="1:2" x14ac:dyDescent="0.25">
      <c r="A14604" s="5">
        <v>43105</v>
      </c>
      <c r="B14604">
        <v>2743.15</v>
      </c>
    </row>
    <row r="14605" spans="1:2" x14ac:dyDescent="0.25">
      <c r="A14605" s="5">
        <v>43108</v>
      </c>
      <c r="B14605">
        <v>2747.71</v>
      </c>
    </row>
    <row r="14606" spans="1:2" x14ac:dyDescent="0.25">
      <c r="A14606" s="5">
        <v>43109</v>
      </c>
      <c r="B14606">
        <v>2751.29</v>
      </c>
    </row>
    <row r="14607" spans="1:2" x14ac:dyDescent="0.25">
      <c r="A14607" s="5">
        <v>43110</v>
      </c>
      <c r="B14607">
        <v>2748.23</v>
      </c>
    </row>
    <row r="14608" spans="1:2" x14ac:dyDescent="0.25">
      <c r="A14608" s="5">
        <v>43111</v>
      </c>
      <c r="B14608">
        <v>2767.56</v>
      </c>
    </row>
    <row r="14609" spans="1:2" x14ac:dyDescent="0.25">
      <c r="A14609" s="5">
        <v>43112</v>
      </c>
      <c r="B14609">
        <v>2786.24</v>
      </c>
    </row>
    <row r="14610" spans="1:2" x14ac:dyDescent="0.25">
      <c r="A14610" s="5">
        <v>43116</v>
      </c>
      <c r="B14610">
        <v>2776.42</v>
      </c>
    </row>
    <row r="14611" spans="1:2" x14ac:dyDescent="0.25">
      <c r="A14611" s="5">
        <v>43117</v>
      </c>
      <c r="B14611">
        <v>2802.56</v>
      </c>
    </row>
    <row r="14612" spans="1:2" x14ac:dyDescent="0.25">
      <c r="A14612" s="5">
        <v>43118</v>
      </c>
      <c r="B14612">
        <v>2798.03</v>
      </c>
    </row>
    <row r="14613" spans="1:2" x14ac:dyDescent="0.25">
      <c r="A14613" s="5">
        <v>43119</v>
      </c>
      <c r="B14613">
        <v>2810.3</v>
      </c>
    </row>
    <row r="14614" spans="1:2" x14ac:dyDescent="0.25">
      <c r="A14614" s="5">
        <v>43122</v>
      </c>
      <c r="B14614">
        <v>2832.97</v>
      </c>
    </row>
    <row r="14615" spans="1:2" x14ac:dyDescent="0.25">
      <c r="A14615" s="5">
        <v>43123</v>
      </c>
      <c r="B14615">
        <v>2839.13</v>
      </c>
    </row>
    <row r="14616" spans="1:2" x14ac:dyDescent="0.25">
      <c r="A14616" s="5">
        <v>43124</v>
      </c>
      <c r="B14616">
        <v>2837.54</v>
      </c>
    </row>
    <row r="14617" spans="1:2" x14ac:dyDescent="0.25">
      <c r="A14617" s="5">
        <v>43125</v>
      </c>
      <c r="B14617">
        <v>2839.25</v>
      </c>
    </row>
    <row r="14618" spans="1:2" x14ac:dyDescent="0.25">
      <c r="A14618" s="5">
        <v>43126</v>
      </c>
      <c r="B14618">
        <v>2872.87</v>
      </c>
    </row>
    <row r="14619" spans="1:2" x14ac:dyDescent="0.25">
      <c r="A14619" s="5">
        <v>43129</v>
      </c>
      <c r="B14619">
        <v>2853.53</v>
      </c>
    </row>
    <row r="14620" spans="1:2" x14ac:dyDescent="0.25">
      <c r="A14620" s="5">
        <v>43130</v>
      </c>
      <c r="B14620">
        <v>2822.43</v>
      </c>
    </row>
    <row r="14621" spans="1:2" x14ac:dyDescent="0.25">
      <c r="A14621" s="5">
        <v>43131</v>
      </c>
      <c r="B14621">
        <v>2823.81</v>
      </c>
    </row>
    <row r="14622" spans="1:2" x14ac:dyDescent="0.25">
      <c r="A14622" s="5">
        <v>43132</v>
      </c>
      <c r="B14622">
        <v>2821.98</v>
      </c>
    </row>
    <row r="14623" spans="1:2" x14ac:dyDescent="0.25">
      <c r="A14623" s="5">
        <v>43133</v>
      </c>
      <c r="B14623">
        <v>2762.13</v>
      </c>
    </row>
    <row r="14624" spans="1:2" x14ac:dyDescent="0.25">
      <c r="A14624" s="5">
        <v>43136</v>
      </c>
      <c r="B14624">
        <v>2648.94</v>
      </c>
    </row>
    <row r="14625" spans="1:2" x14ac:dyDescent="0.25">
      <c r="A14625" s="5">
        <v>43137</v>
      </c>
      <c r="B14625">
        <v>2695.14</v>
      </c>
    </row>
    <row r="14626" spans="1:2" x14ac:dyDescent="0.25">
      <c r="A14626" s="5">
        <v>43138</v>
      </c>
      <c r="B14626">
        <v>2681.66</v>
      </c>
    </row>
    <row r="14627" spans="1:2" x14ac:dyDescent="0.25">
      <c r="A14627" s="5">
        <v>43139</v>
      </c>
      <c r="B14627">
        <v>2581</v>
      </c>
    </row>
    <row r="14628" spans="1:2" x14ac:dyDescent="0.25">
      <c r="A14628" s="5">
        <v>43140</v>
      </c>
      <c r="B14628">
        <v>2619.5500000000002</v>
      </c>
    </row>
    <row r="14629" spans="1:2" x14ac:dyDescent="0.25">
      <c r="A14629" s="5">
        <v>43143</v>
      </c>
      <c r="B14629">
        <v>2656</v>
      </c>
    </row>
    <row r="14630" spans="1:2" x14ac:dyDescent="0.25">
      <c r="A14630" s="5">
        <v>43144</v>
      </c>
      <c r="B14630">
        <v>2662.94</v>
      </c>
    </row>
    <row r="14631" spans="1:2" x14ac:dyDescent="0.25">
      <c r="A14631" s="5">
        <v>43145</v>
      </c>
      <c r="B14631">
        <v>2698.63</v>
      </c>
    </row>
    <row r="14632" spans="1:2" x14ac:dyDescent="0.25">
      <c r="A14632" s="5">
        <v>43146</v>
      </c>
      <c r="B14632">
        <v>2731.2</v>
      </c>
    </row>
    <row r="14633" spans="1:2" x14ac:dyDescent="0.25">
      <c r="A14633" s="5">
        <v>43147</v>
      </c>
      <c r="B14633">
        <v>2732.22</v>
      </c>
    </row>
    <row r="14634" spans="1:2" x14ac:dyDescent="0.25">
      <c r="A14634" s="5">
        <v>43151</v>
      </c>
      <c r="B14634">
        <v>2716.26</v>
      </c>
    </row>
    <row r="14635" spans="1:2" x14ac:dyDescent="0.25">
      <c r="A14635" s="5">
        <v>43152</v>
      </c>
      <c r="B14635">
        <v>2701.33</v>
      </c>
    </row>
    <row r="14636" spans="1:2" x14ac:dyDescent="0.25">
      <c r="A14636" s="5">
        <v>43153</v>
      </c>
      <c r="B14636">
        <v>2703.96</v>
      </c>
    </row>
    <row r="14637" spans="1:2" x14ac:dyDescent="0.25">
      <c r="A14637" s="5">
        <v>43154</v>
      </c>
      <c r="B14637">
        <v>2747.3</v>
      </c>
    </row>
    <row r="14638" spans="1:2" x14ac:dyDescent="0.25">
      <c r="A14638" s="5">
        <v>43157</v>
      </c>
      <c r="B14638">
        <v>2779.6</v>
      </c>
    </row>
    <row r="14639" spans="1:2" x14ac:dyDescent="0.25">
      <c r="A14639" s="5">
        <v>43158</v>
      </c>
      <c r="B14639">
        <v>2744.28</v>
      </c>
    </row>
    <row r="14640" spans="1:2" x14ac:dyDescent="0.25">
      <c r="A14640" s="5">
        <v>43159</v>
      </c>
      <c r="B14640">
        <v>2713.83</v>
      </c>
    </row>
    <row r="14641" spans="1:2" x14ac:dyDescent="0.25">
      <c r="A14641" s="5">
        <v>43160</v>
      </c>
      <c r="B14641">
        <v>2677.67</v>
      </c>
    </row>
    <row r="14642" spans="1:2" x14ac:dyDescent="0.25">
      <c r="A14642" s="5">
        <v>43161</v>
      </c>
      <c r="B14642">
        <v>2691.25</v>
      </c>
    </row>
    <row r="14643" spans="1:2" x14ac:dyDescent="0.25">
      <c r="A14643" s="5">
        <v>43164</v>
      </c>
      <c r="B14643">
        <v>2720.94</v>
      </c>
    </row>
    <row r="14644" spans="1:2" x14ac:dyDescent="0.25">
      <c r="A14644" s="5">
        <v>43165</v>
      </c>
      <c r="B14644">
        <v>2728.12</v>
      </c>
    </row>
    <row r="14645" spans="1:2" x14ac:dyDescent="0.25">
      <c r="A14645" s="5">
        <v>43166</v>
      </c>
      <c r="B14645">
        <v>2726.8</v>
      </c>
    </row>
    <row r="14646" spans="1:2" x14ac:dyDescent="0.25">
      <c r="A14646" s="5">
        <v>43167</v>
      </c>
      <c r="B14646">
        <v>2738.97</v>
      </c>
    </row>
    <row r="14647" spans="1:2" x14ac:dyDescent="0.25">
      <c r="A14647" s="5">
        <v>43168</v>
      </c>
      <c r="B14647">
        <v>2786.57</v>
      </c>
    </row>
    <row r="14648" spans="1:2" x14ac:dyDescent="0.25">
      <c r="A14648" s="5">
        <v>43171</v>
      </c>
      <c r="B14648">
        <v>2783.02</v>
      </c>
    </row>
    <row r="14649" spans="1:2" x14ac:dyDescent="0.25">
      <c r="A14649" s="5">
        <v>43172</v>
      </c>
      <c r="B14649">
        <v>2765.31</v>
      </c>
    </row>
    <row r="14650" spans="1:2" x14ac:dyDescent="0.25">
      <c r="A14650" s="5">
        <v>43173</v>
      </c>
      <c r="B14650">
        <v>2749.48</v>
      </c>
    </row>
    <row r="14651" spans="1:2" x14ac:dyDescent="0.25">
      <c r="A14651" s="5">
        <v>43174</v>
      </c>
      <c r="B14651">
        <v>2747.33</v>
      </c>
    </row>
    <row r="14652" spans="1:2" x14ac:dyDescent="0.25">
      <c r="A14652" s="5">
        <v>43175</v>
      </c>
      <c r="B14652">
        <v>2752.01</v>
      </c>
    </row>
    <row r="14653" spans="1:2" x14ac:dyDescent="0.25">
      <c r="A14653" s="5">
        <v>43178</v>
      </c>
      <c r="B14653">
        <v>2712.92</v>
      </c>
    </row>
    <row r="14654" spans="1:2" x14ac:dyDescent="0.25">
      <c r="A14654" s="5">
        <v>43179</v>
      </c>
      <c r="B14654">
        <v>2716.94</v>
      </c>
    </row>
    <row r="14655" spans="1:2" x14ac:dyDescent="0.25">
      <c r="A14655" s="5">
        <v>43180</v>
      </c>
      <c r="B14655">
        <v>2711.93</v>
      </c>
    </row>
    <row r="14656" spans="1:2" x14ac:dyDescent="0.25">
      <c r="A14656" s="5">
        <v>43181</v>
      </c>
      <c r="B14656">
        <v>2643.69</v>
      </c>
    </row>
    <row r="14657" spans="1:2" x14ac:dyDescent="0.25">
      <c r="A14657" s="5">
        <v>43182</v>
      </c>
      <c r="B14657">
        <v>2588.2600000000002</v>
      </c>
    </row>
    <row r="14658" spans="1:2" x14ac:dyDescent="0.25">
      <c r="A14658" s="5">
        <v>43185</v>
      </c>
      <c r="B14658">
        <v>2658.55</v>
      </c>
    </row>
    <row r="14659" spans="1:2" x14ac:dyDescent="0.25">
      <c r="A14659" s="5">
        <v>43186</v>
      </c>
      <c r="B14659">
        <v>2612.62</v>
      </c>
    </row>
    <row r="14660" spans="1:2" x14ac:dyDescent="0.25">
      <c r="A14660" s="5">
        <v>43187</v>
      </c>
      <c r="B14660">
        <v>2605</v>
      </c>
    </row>
    <row r="14661" spans="1:2" x14ac:dyDescent="0.25">
      <c r="A14661" s="5">
        <v>43188</v>
      </c>
      <c r="B14661">
        <v>2640.87</v>
      </c>
    </row>
    <row r="14662" spans="1:2" x14ac:dyDescent="0.25">
      <c r="A14662" s="5">
        <v>43192</v>
      </c>
      <c r="B14662">
        <v>2581.88</v>
      </c>
    </row>
    <row r="14663" spans="1:2" x14ac:dyDescent="0.25">
      <c r="A14663" s="5">
        <v>43193</v>
      </c>
      <c r="B14663">
        <v>2614.4499999999998</v>
      </c>
    </row>
    <row r="14664" spans="1:2" x14ac:dyDescent="0.25">
      <c r="A14664" s="5">
        <v>43194</v>
      </c>
      <c r="B14664">
        <v>2644.69</v>
      </c>
    </row>
    <row r="14665" spans="1:2" x14ac:dyDescent="0.25">
      <c r="A14665" s="5">
        <v>43195</v>
      </c>
      <c r="B14665">
        <v>2662.84</v>
      </c>
    </row>
    <row r="14666" spans="1:2" x14ac:dyDescent="0.25">
      <c r="A14666" s="5">
        <v>43196</v>
      </c>
      <c r="B14666">
        <v>2604.4699999999998</v>
      </c>
    </row>
    <row r="14667" spans="1:2" x14ac:dyDescent="0.25">
      <c r="A14667" s="5">
        <v>43199</v>
      </c>
      <c r="B14667">
        <v>2613.16</v>
      </c>
    </row>
    <row r="14668" spans="1:2" x14ac:dyDescent="0.25">
      <c r="A14668" s="5">
        <v>43200</v>
      </c>
      <c r="B14668">
        <v>2656.87</v>
      </c>
    </row>
    <row r="14669" spans="1:2" x14ac:dyDescent="0.25">
      <c r="A14669" s="5">
        <v>43201</v>
      </c>
      <c r="B14669">
        <v>2642.19</v>
      </c>
    </row>
    <row r="14670" spans="1:2" x14ac:dyDescent="0.25">
      <c r="A14670" s="5">
        <v>43202</v>
      </c>
      <c r="B14670">
        <v>2663.99</v>
      </c>
    </row>
    <row r="14671" spans="1:2" x14ac:dyDescent="0.25">
      <c r="A14671" s="5">
        <v>43203</v>
      </c>
      <c r="B14671">
        <v>2656.3</v>
      </c>
    </row>
    <row r="14672" spans="1:2" x14ac:dyDescent="0.25">
      <c r="A14672" s="5">
        <v>43206</v>
      </c>
      <c r="B14672">
        <v>2677.84</v>
      </c>
    </row>
    <row r="14673" spans="1:2" x14ac:dyDescent="0.25">
      <c r="A14673" s="5">
        <v>43207</v>
      </c>
      <c r="B14673">
        <v>2706.39</v>
      </c>
    </row>
    <row r="14674" spans="1:2" x14ac:dyDescent="0.25">
      <c r="A14674" s="5">
        <v>43208</v>
      </c>
      <c r="B14674">
        <v>2708.64</v>
      </c>
    </row>
    <row r="14675" spans="1:2" x14ac:dyDescent="0.25">
      <c r="A14675" s="5">
        <v>43209</v>
      </c>
      <c r="B14675">
        <v>2693.13</v>
      </c>
    </row>
    <row r="14676" spans="1:2" x14ac:dyDescent="0.25">
      <c r="A14676" s="5">
        <v>43210</v>
      </c>
      <c r="B14676">
        <v>2670.14</v>
      </c>
    </row>
    <row r="14677" spans="1:2" x14ac:dyDescent="0.25">
      <c r="A14677" s="5">
        <v>43213</v>
      </c>
      <c r="B14677">
        <v>2670.29</v>
      </c>
    </row>
    <row r="14678" spans="1:2" x14ac:dyDescent="0.25">
      <c r="A14678" s="5">
        <v>43214</v>
      </c>
      <c r="B14678">
        <v>2634.56</v>
      </c>
    </row>
    <row r="14679" spans="1:2" x14ac:dyDescent="0.25">
      <c r="A14679" s="5">
        <v>43215</v>
      </c>
      <c r="B14679">
        <v>2639.4</v>
      </c>
    </row>
    <row r="14680" spans="1:2" x14ac:dyDescent="0.25">
      <c r="A14680" s="5">
        <v>43216</v>
      </c>
      <c r="B14680">
        <v>2666.94</v>
      </c>
    </row>
    <row r="14681" spans="1:2" x14ac:dyDescent="0.25">
      <c r="A14681" s="5">
        <v>43217</v>
      </c>
      <c r="B14681">
        <v>2669.91</v>
      </c>
    </row>
    <row r="14682" spans="1:2" x14ac:dyDescent="0.25">
      <c r="A14682" s="5">
        <v>43220</v>
      </c>
      <c r="B14682">
        <v>2648.05</v>
      </c>
    </row>
    <row r="14683" spans="1:2" x14ac:dyDescent="0.25">
      <c r="A14683" s="5">
        <v>43221</v>
      </c>
      <c r="B14683">
        <v>2654.8</v>
      </c>
    </row>
    <row r="14684" spans="1:2" x14ac:dyDescent="0.25">
      <c r="A14684" s="5">
        <v>43222</v>
      </c>
      <c r="B14684">
        <v>2635.67</v>
      </c>
    </row>
    <row r="14685" spans="1:2" x14ac:dyDescent="0.25">
      <c r="A14685" s="5">
        <v>43223</v>
      </c>
      <c r="B14685">
        <v>2629.73</v>
      </c>
    </row>
    <row r="14686" spans="1:2" x14ac:dyDescent="0.25">
      <c r="A14686" s="5">
        <v>43224</v>
      </c>
      <c r="B14686">
        <v>2663.42</v>
      </c>
    </row>
    <row r="14687" spans="1:2" x14ac:dyDescent="0.25">
      <c r="A14687" s="5">
        <v>43227</v>
      </c>
      <c r="B14687">
        <v>2672.63</v>
      </c>
    </row>
    <row r="14688" spans="1:2" x14ac:dyDescent="0.25">
      <c r="A14688" s="5">
        <v>43228</v>
      </c>
      <c r="B14688">
        <v>2671.92</v>
      </c>
    </row>
    <row r="14689" spans="1:2" x14ac:dyDescent="0.25">
      <c r="A14689" s="5">
        <v>43229</v>
      </c>
      <c r="B14689">
        <v>2697.79</v>
      </c>
    </row>
    <row r="14690" spans="1:2" x14ac:dyDescent="0.25">
      <c r="A14690" s="5">
        <v>43230</v>
      </c>
      <c r="B14690">
        <v>2723.07</v>
      </c>
    </row>
    <row r="14691" spans="1:2" x14ac:dyDescent="0.25">
      <c r="A14691" s="5">
        <v>43231</v>
      </c>
      <c r="B14691">
        <v>2727.72</v>
      </c>
    </row>
    <row r="14692" spans="1:2" x14ac:dyDescent="0.25">
      <c r="A14692" s="5">
        <v>43234</v>
      </c>
      <c r="B14692">
        <v>2730.13</v>
      </c>
    </row>
    <row r="14693" spans="1:2" x14ac:dyDescent="0.25">
      <c r="A14693" s="5">
        <v>43235</v>
      </c>
      <c r="B14693">
        <v>2711.45</v>
      </c>
    </row>
    <row r="14694" spans="1:2" x14ac:dyDescent="0.25">
      <c r="A14694" s="5">
        <v>43236</v>
      </c>
      <c r="B14694">
        <v>2722.46</v>
      </c>
    </row>
    <row r="14695" spans="1:2" x14ac:dyDescent="0.25">
      <c r="A14695" s="5">
        <v>43237</v>
      </c>
      <c r="B14695">
        <v>2720.13</v>
      </c>
    </row>
    <row r="14696" spans="1:2" x14ac:dyDescent="0.25">
      <c r="A14696" s="5">
        <v>43238</v>
      </c>
      <c r="B14696">
        <v>2712.97</v>
      </c>
    </row>
    <row r="14697" spans="1:2" x14ac:dyDescent="0.25">
      <c r="A14697" s="5">
        <v>43241</v>
      </c>
      <c r="B14697">
        <v>2733.01</v>
      </c>
    </row>
    <row r="14698" spans="1:2" x14ac:dyDescent="0.25">
      <c r="A14698" s="5">
        <v>43242</v>
      </c>
      <c r="B14698">
        <v>2724.44</v>
      </c>
    </row>
    <row r="14699" spans="1:2" x14ac:dyDescent="0.25">
      <c r="A14699" s="5">
        <v>43243</v>
      </c>
      <c r="B14699">
        <v>2733.29</v>
      </c>
    </row>
    <row r="14700" spans="1:2" x14ac:dyDescent="0.25">
      <c r="A14700" s="5">
        <v>43244</v>
      </c>
      <c r="B14700">
        <v>2727.76</v>
      </c>
    </row>
    <row r="14701" spans="1:2" x14ac:dyDescent="0.25">
      <c r="A14701" s="5">
        <v>43245</v>
      </c>
      <c r="B14701">
        <v>2721.33</v>
      </c>
    </row>
    <row r="14702" spans="1:2" x14ac:dyDescent="0.25">
      <c r="A14702" s="5">
        <v>43249</v>
      </c>
      <c r="B14702">
        <v>2689.86</v>
      </c>
    </row>
    <row r="14703" spans="1:2" x14ac:dyDescent="0.25">
      <c r="A14703" s="5">
        <v>43250</v>
      </c>
      <c r="B14703">
        <v>2724.01</v>
      </c>
    </row>
    <row r="14704" spans="1:2" x14ac:dyDescent="0.25">
      <c r="A14704" s="5">
        <v>43251</v>
      </c>
      <c r="B14704">
        <v>2705.27</v>
      </c>
    </row>
    <row r="14705" spans="1:2" x14ac:dyDescent="0.25">
      <c r="A14705" s="5">
        <v>43252</v>
      </c>
      <c r="B14705">
        <v>2734.62</v>
      </c>
    </row>
    <row r="14706" spans="1:2" x14ac:dyDescent="0.25">
      <c r="A14706" s="5">
        <v>43255</v>
      </c>
      <c r="B14706">
        <v>2746.87</v>
      </c>
    </row>
    <row r="14707" spans="1:2" x14ac:dyDescent="0.25">
      <c r="A14707" s="5">
        <v>43256</v>
      </c>
      <c r="B14707">
        <v>2748.8</v>
      </c>
    </row>
    <row r="14708" spans="1:2" x14ac:dyDescent="0.25">
      <c r="A14708" s="5">
        <v>43257</v>
      </c>
      <c r="B14708">
        <v>2772.35</v>
      </c>
    </row>
    <row r="14709" spans="1:2" x14ac:dyDescent="0.25">
      <c r="A14709" s="5">
        <v>43258</v>
      </c>
      <c r="B14709">
        <v>2770.37</v>
      </c>
    </row>
    <row r="14710" spans="1:2" x14ac:dyDescent="0.25">
      <c r="A14710" s="5">
        <v>43259</v>
      </c>
      <c r="B14710">
        <v>2779.03</v>
      </c>
    </row>
    <row r="14711" spans="1:2" x14ac:dyDescent="0.25">
      <c r="A14711" s="5">
        <v>43262</v>
      </c>
      <c r="B14711">
        <v>2782</v>
      </c>
    </row>
    <row r="14712" spans="1:2" x14ac:dyDescent="0.25">
      <c r="A14712" s="5">
        <v>43263</v>
      </c>
      <c r="B14712">
        <v>2786.85</v>
      </c>
    </row>
    <row r="14713" spans="1:2" x14ac:dyDescent="0.25">
      <c r="A14713" s="5">
        <v>43264</v>
      </c>
      <c r="B14713">
        <v>2775.63</v>
      </c>
    </row>
    <row r="14714" spans="1:2" x14ac:dyDescent="0.25">
      <c r="A14714" s="5">
        <v>43265</v>
      </c>
      <c r="B14714">
        <v>2782.49</v>
      </c>
    </row>
    <row r="14715" spans="1:2" x14ac:dyDescent="0.25">
      <c r="A14715" s="5">
        <v>43266</v>
      </c>
      <c r="B14715">
        <v>2779.66</v>
      </c>
    </row>
    <row r="14716" spans="1:2" x14ac:dyDescent="0.25">
      <c r="A14716" s="5">
        <v>43269</v>
      </c>
      <c r="B14716">
        <v>2773.75</v>
      </c>
    </row>
    <row r="14717" spans="1:2" x14ac:dyDescent="0.25">
      <c r="A14717" s="5">
        <v>43270</v>
      </c>
      <c r="B14717">
        <v>2762.59</v>
      </c>
    </row>
    <row r="14718" spans="1:2" x14ac:dyDescent="0.25">
      <c r="A14718" s="5">
        <v>43271</v>
      </c>
      <c r="B14718">
        <v>2767.32</v>
      </c>
    </row>
    <row r="14719" spans="1:2" x14ac:dyDescent="0.25">
      <c r="A14719" s="5">
        <v>43272</v>
      </c>
      <c r="B14719">
        <v>2749.76</v>
      </c>
    </row>
    <row r="14720" spans="1:2" x14ac:dyDescent="0.25">
      <c r="A14720" s="5">
        <v>43273</v>
      </c>
      <c r="B14720">
        <v>2754.88</v>
      </c>
    </row>
    <row r="14721" spans="1:2" x14ac:dyDescent="0.25">
      <c r="A14721" s="5">
        <v>43276</v>
      </c>
      <c r="B14721">
        <v>2717.07</v>
      </c>
    </row>
    <row r="14722" spans="1:2" x14ac:dyDescent="0.25">
      <c r="A14722" s="5">
        <v>43277</v>
      </c>
      <c r="B14722">
        <v>2723.06</v>
      </c>
    </row>
    <row r="14723" spans="1:2" x14ac:dyDescent="0.25">
      <c r="A14723" s="5">
        <v>43278</v>
      </c>
      <c r="B14723">
        <v>2699.63</v>
      </c>
    </row>
    <row r="14724" spans="1:2" x14ac:dyDescent="0.25">
      <c r="A14724" s="5">
        <v>43279</v>
      </c>
      <c r="B14724">
        <v>2716.31</v>
      </c>
    </row>
    <row r="14725" spans="1:2" x14ac:dyDescent="0.25">
      <c r="A14725" s="5">
        <v>43280</v>
      </c>
      <c r="B14725">
        <v>2718.37</v>
      </c>
    </row>
    <row r="14726" spans="1:2" x14ac:dyDescent="0.25">
      <c r="A14726" s="5">
        <v>43283</v>
      </c>
      <c r="B14726">
        <v>2726.71</v>
      </c>
    </row>
    <row r="14727" spans="1:2" x14ac:dyDescent="0.25">
      <c r="A14727" s="5">
        <v>43284</v>
      </c>
      <c r="B14727">
        <v>2713.22</v>
      </c>
    </row>
    <row r="14728" spans="1:2" x14ac:dyDescent="0.25">
      <c r="A14728" s="5">
        <v>43286</v>
      </c>
      <c r="B14728">
        <v>2736.61</v>
      </c>
    </row>
    <row r="14729" spans="1:2" x14ac:dyDescent="0.25">
      <c r="A14729" s="5">
        <v>43287</v>
      </c>
      <c r="B14729">
        <v>2759.82</v>
      </c>
    </row>
    <row r="14730" spans="1:2" x14ac:dyDescent="0.25">
      <c r="A14730" s="5">
        <v>43290</v>
      </c>
      <c r="B14730">
        <v>2784.17</v>
      </c>
    </row>
    <row r="14731" spans="1:2" x14ac:dyDescent="0.25">
      <c r="A14731" s="5">
        <v>43291</v>
      </c>
      <c r="B14731">
        <v>2793.84</v>
      </c>
    </row>
    <row r="14732" spans="1:2" x14ac:dyDescent="0.25">
      <c r="A14732" s="5">
        <v>43292</v>
      </c>
      <c r="B14732">
        <v>2774.02</v>
      </c>
    </row>
    <row r="14733" spans="1:2" x14ac:dyDescent="0.25">
      <c r="A14733" s="5">
        <v>43293</v>
      </c>
      <c r="B14733">
        <v>2798.29</v>
      </c>
    </row>
    <row r="14734" spans="1:2" x14ac:dyDescent="0.25">
      <c r="A14734" s="5">
        <v>43294</v>
      </c>
      <c r="B14734">
        <v>2801.31</v>
      </c>
    </row>
    <row r="14735" spans="1:2" x14ac:dyDescent="0.25">
      <c r="A14735" s="5">
        <v>43297</v>
      </c>
      <c r="B14735">
        <v>2798.43</v>
      </c>
    </row>
    <row r="14736" spans="1:2" x14ac:dyDescent="0.25">
      <c r="A14736" s="5">
        <v>43298</v>
      </c>
      <c r="B14736">
        <v>2809.55</v>
      </c>
    </row>
    <row r="14737" spans="1:2" x14ac:dyDescent="0.25">
      <c r="A14737" s="5">
        <v>43299</v>
      </c>
      <c r="B14737">
        <v>2815.62</v>
      </c>
    </row>
    <row r="14738" spans="1:2" x14ac:dyDescent="0.25">
      <c r="A14738" s="5">
        <v>43300</v>
      </c>
      <c r="B14738">
        <v>2804.49</v>
      </c>
    </row>
    <row r="14739" spans="1:2" x14ac:dyDescent="0.25">
      <c r="A14739" s="5">
        <v>43301</v>
      </c>
      <c r="B14739">
        <v>2801.83</v>
      </c>
    </row>
    <row r="14740" spans="1:2" x14ac:dyDescent="0.25">
      <c r="A14740" s="5">
        <v>43304</v>
      </c>
      <c r="B14740">
        <v>2806.98</v>
      </c>
    </row>
    <row r="14741" spans="1:2" x14ac:dyDescent="0.25">
      <c r="A14741" s="5">
        <v>43305</v>
      </c>
      <c r="B14741">
        <v>2820.4</v>
      </c>
    </row>
    <row r="14742" spans="1:2" x14ac:dyDescent="0.25">
      <c r="A14742" s="5">
        <v>43306</v>
      </c>
      <c r="B14742">
        <v>2846.07</v>
      </c>
    </row>
    <row r="14743" spans="1:2" x14ac:dyDescent="0.25">
      <c r="A14743" s="5">
        <v>43307</v>
      </c>
      <c r="B14743">
        <v>2837.44</v>
      </c>
    </row>
    <row r="14744" spans="1:2" x14ac:dyDescent="0.25">
      <c r="A14744" s="5">
        <v>43308</v>
      </c>
      <c r="B14744">
        <v>2818.82</v>
      </c>
    </row>
    <row r="14745" spans="1:2" x14ac:dyDescent="0.25">
      <c r="A14745" s="5">
        <v>43311</v>
      </c>
      <c r="B14745">
        <v>2802.6</v>
      </c>
    </row>
    <row r="14746" spans="1:2" x14ac:dyDescent="0.25">
      <c r="A14746" s="5">
        <v>43312</v>
      </c>
      <c r="B14746">
        <v>2816.29</v>
      </c>
    </row>
    <row r="14747" spans="1:2" x14ac:dyDescent="0.25">
      <c r="A14747" s="5">
        <v>43313</v>
      </c>
      <c r="B14747">
        <v>2813.36</v>
      </c>
    </row>
    <row r="14748" spans="1:2" x14ac:dyDescent="0.25">
      <c r="A14748" s="5">
        <v>43314</v>
      </c>
      <c r="B14748">
        <v>2827.22</v>
      </c>
    </row>
    <row r="14749" spans="1:2" x14ac:dyDescent="0.25">
      <c r="A14749" s="5">
        <v>43315</v>
      </c>
      <c r="B14749">
        <v>2840.35</v>
      </c>
    </row>
    <row r="14750" spans="1:2" x14ac:dyDescent="0.25">
      <c r="A14750" s="5">
        <v>43318</v>
      </c>
      <c r="B14750">
        <v>2850.4</v>
      </c>
    </row>
    <row r="14751" spans="1:2" x14ac:dyDescent="0.25">
      <c r="A14751" s="5">
        <v>43319</v>
      </c>
      <c r="B14751">
        <v>2858.45</v>
      </c>
    </row>
    <row r="14752" spans="1:2" x14ac:dyDescent="0.25">
      <c r="A14752" s="5">
        <v>43320</v>
      </c>
      <c r="B14752">
        <v>2857.7</v>
      </c>
    </row>
    <row r="14753" spans="1:2" x14ac:dyDescent="0.25">
      <c r="A14753" s="5">
        <v>43321</v>
      </c>
      <c r="B14753">
        <v>2853.58</v>
      </c>
    </row>
    <row r="14754" spans="1:2" x14ac:dyDescent="0.25">
      <c r="A14754" s="5">
        <v>43322</v>
      </c>
      <c r="B14754">
        <v>2833.28</v>
      </c>
    </row>
    <row r="14755" spans="1:2" x14ac:dyDescent="0.25">
      <c r="A14755" s="5">
        <v>43325</v>
      </c>
      <c r="B14755">
        <v>2821.93</v>
      </c>
    </row>
    <row r="14756" spans="1:2" x14ac:dyDescent="0.25">
      <c r="A14756" s="5">
        <v>43326</v>
      </c>
      <c r="B14756">
        <v>2839.96</v>
      </c>
    </row>
    <row r="14757" spans="1:2" x14ac:dyDescent="0.25">
      <c r="A14757" s="5">
        <v>43327</v>
      </c>
      <c r="B14757">
        <v>2818.37</v>
      </c>
    </row>
    <row r="14758" spans="1:2" x14ac:dyDescent="0.25">
      <c r="A14758" s="5">
        <v>43328</v>
      </c>
      <c r="B14758">
        <v>2840.69</v>
      </c>
    </row>
    <row r="14759" spans="1:2" x14ac:dyDescent="0.25">
      <c r="A14759" s="5">
        <v>43329</v>
      </c>
      <c r="B14759">
        <v>2850.13</v>
      </c>
    </row>
    <row r="14760" spans="1:2" x14ac:dyDescent="0.25">
      <c r="A14760" s="5">
        <v>43332</v>
      </c>
      <c r="B14760">
        <v>2857.05</v>
      </c>
    </row>
    <row r="14761" spans="1:2" x14ac:dyDescent="0.25">
      <c r="A14761" s="5">
        <v>43333</v>
      </c>
      <c r="B14761">
        <v>2862.96</v>
      </c>
    </row>
    <row r="14762" spans="1:2" x14ac:dyDescent="0.25">
      <c r="A14762" s="5">
        <v>43334</v>
      </c>
      <c r="B14762">
        <v>2861.82</v>
      </c>
    </row>
    <row r="14763" spans="1:2" x14ac:dyDescent="0.25">
      <c r="A14763" s="5">
        <v>43335</v>
      </c>
      <c r="B14763">
        <v>2856.98</v>
      </c>
    </row>
    <row r="14764" spans="1:2" x14ac:dyDescent="0.25">
      <c r="A14764" s="5">
        <v>43336</v>
      </c>
      <c r="B14764">
        <v>2874.69</v>
      </c>
    </row>
    <row r="14765" spans="1:2" x14ac:dyDescent="0.25">
      <c r="A14765" s="5">
        <v>43339</v>
      </c>
      <c r="B14765">
        <v>2896.74</v>
      </c>
    </row>
    <row r="14766" spans="1:2" x14ac:dyDescent="0.25">
      <c r="A14766" s="5">
        <v>43340</v>
      </c>
      <c r="B14766">
        <v>2897.52</v>
      </c>
    </row>
    <row r="14767" spans="1:2" x14ac:dyDescent="0.25">
      <c r="A14767" s="5">
        <v>43341</v>
      </c>
      <c r="B14767">
        <v>2914.04</v>
      </c>
    </row>
    <row r="14768" spans="1:2" x14ac:dyDescent="0.25">
      <c r="A14768" s="5">
        <v>43342</v>
      </c>
      <c r="B14768">
        <v>2901.13</v>
      </c>
    </row>
    <row r="14769" spans="1:2" x14ac:dyDescent="0.25">
      <c r="A14769" s="5">
        <v>43343</v>
      </c>
      <c r="B14769">
        <v>2901.52</v>
      </c>
    </row>
    <row r="14770" spans="1:2" x14ac:dyDescent="0.25">
      <c r="A14770" s="5">
        <v>43347</v>
      </c>
      <c r="B14770">
        <v>2896.72</v>
      </c>
    </row>
    <row r="14771" spans="1:2" x14ac:dyDescent="0.25">
      <c r="A14771" s="5">
        <v>43348</v>
      </c>
      <c r="B14771">
        <v>2888.6</v>
      </c>
    </row>
    <row r="14772" spans="1:2" x14ac:dyDescent="0.25">
      <c r="A14772" s="5">
        <v>43349</v>
      </c>
      <c r="B14772">
        <v>2878.05</v>
      </c>
    </row>
    <row r="14773" spans="1:2" x14ac:dyDescent="0.25">
      <c r="A14773" s="5">
        <v>43350</v>
      </c>
      <c r="B14773">
        <v>2871.68</v>
      </c>
    </row>
    <row r="14774" spans="1:2" x14ac:dyDescent="0.25">
      <c r="A14774" s="5">
        <v>43353</v>
      </c>
      <c r="B14774">
        <v>2877.13</v>
      </c>
    </row>
    <row r="14775" spans="1:2" x14ac:dyDescent="0.25">
      <c r="A14775" s="5">
        <v>43354</v>
      </c>
      <c r="B14775">
        <v>2887.89</v>
      </c>
    </row>
    <row r="14776" spans="1:2" x14ac:dyDescent="0.25">
      <c r="A14776" s="5">
        <v>43355</v>
      </c>
      <c r="B14776">
        <v>2888.92</v>
      </c>
    </row>
    <row r="14777" spans="1:2" x14ac:dyDescent="0.25">
      <c r="A14777" s="5">
        <v>43356</v>
      </c>
      <c r="B14777">
        <v>2904.18</v>
      </c>
    </row>
    <row r="14778" spans="1:2" x14ac:dyDescent="0.25">
      <c r="A14778" s="5">
        <v>43357</v>
      </c>
      <c r="B14778">
        <v>2904.98</v>
      </c>
    </row>
    <row r="14779" spans="1:2" x14ac:dyDescent="0.25">
      <c r="A14779" s="5">
        <v>43360</v>
      </c>
      <c r="B14779">
        <v>2888.8</v>
      </c>
    </row>
    <row r="14780" spans="1:2" x14ac:dyDescent="0.25">
      <c r="A14780" s="5">
        <v>43361</v>
      </c>
      <c r="B14780">
        <v>2904.31</v>
      </c>
    </row>
    <row r="14781" spans="1:2" x14ac:dyDescent="0.25">
      <c r="A14781" s="5">
        <v>43362</v>
      </c>
      <c r="B14781">
        <v>2907.95</v>
      </c>
    </row>
    <row r="14782" spans="1:2" x14ac:dyDescent="0.25">
      <c r="A14782" s="5">
        <v>43363</v>
      </c>
      <c r="B14782">
        <v>2930.75</v>
      </c>
    </row>
    <row r="14783" spans="1:2" x14ac:dyDescent="0.25">
      <c r="A14783" s="5">
        <v>43364</v>
      </c>
      <c r="B14783">
        <v>2929.67</v>
      </c>
    </row>
    <row r="14784" spans="1:2" x14ac:dyDescent="0.25">
      <c r="A14784" s="5">
        <v>43367</v>
      </c>
      <c r="B14784">
        <v>2919.37</v>
      </c>
    </row>
    <row r="14785" spans="1:2" x14ac:dyDescent="0.25">
      <c r="A14785" s="5">
        <v>43368</v>
      </c>
      <c r="B14785">
        <v>2915.56</v>
      </c>
    </row>
    <row r="14786" spans="1:2" x14ac:dyDescent="0.25">
      <c r="A14786" s="5">
        <v>43369</v>
      </c>
      <c r="B14786">
        <v>2905.97</v>
      </c>
    </row>
    <row r="14787" spans="1:2" x14ac:dyDescent="0.25">
      <c r="A14787" s="5">
        <v>43370</v>
      </c>
      <c r="B14787">
        <v>2914</v>
      </c>
    </row>
    <row r="14788" spans="1:2" x14ac:dyDescent="0.25">
      <c r="A14788" s="5">
        <v>43371</v>
      </c>
      <c r="B14788">
        <v>2913.98</v>
      </c>
    </row>
    <row r="14789" spans="1:2" x14ac:dyDescent="0.25">
      <c r="A14789" s="5">
        <v>43374</v>
      </c>
      <c r="B14789">
        <v>2924.59</v>
      </c>
    </row>
    <row r="14790" spans="1:2" x14ac:dyDescent="0.25">
      <c r="A14790" s="5">
        <v>43375</v>
      </c>
      <c r="B14790">
        <v>2923.43</v>
      </c>
    </row>
    <row r="14791" spans="1:2" x14ac:dyDescent="0.25">
      <c r="A14791" s="5">
        <v>43376</v>
      </c>
      <c r="B14791">
        <v>2925.51</v>
      </c>
    </row>
    <row r="14792" spans="1:2" x14ac:dyDescent="0.25">
      <c r="A14792" s="5">
        <v>43377</v>
      </c>
      <c r="B14792">
        <v>2901.61</v>
      </c>
    </row>
    <row r="14793" spans="1:2" x14ac:dyDescent="0.25">
      <c r="A14793" s="5">
        <v>43378</v>
      </c>
      <c r="B14793">
        <v>2885.57</v>
      </c>
    </row>
    <row r="14794" spans="1:2" x14ac:dyDescent="0.25">
      <c r="A14794" s="5">
        <v>43381</v>
      </c>
      <c r="B14794">
        <v>2884.43</v>
      </c>
    </row>
    <row r="14795" spans="1:2" x14ac:dyDescent="0.25">
      <c r="A14795" s="5">
        <v>43382</v>
      </c>
      <c r="B14795">
        <v>2880.34</v>
      </c>
    </row>
    <row r="14796" spans="1:2" x14ac:dyDescent="0.25">
      <c r="A14796" s="5">
        <v>43383</v>
      </c>
      <c r="B14796">
        <v>2785.68</v>
      </c>
    </row>
    <row r="14797" spans="1:2" x14ac:dyDescent="0.25">
      <c r="A14797" s="5">
        <v>43384</v>
      </c>
      <c r="B14797">
        <v>2728.37</v>
      </c>
    </row>
    <row r="14798" spans="1:2" x14ac:dyDescent="0.25">
      <c r="A14798" s="5">
        <v>43385</v>
      </c>
      <c r="B14798">
        <v>2767.13</v>
      </c>
    </row>
    <row r="14799" spans="1:2" x14ac:dyDescent="0.25">
      <c r="A14799" s="5">
        <v>43388</v>
      </c>
      <c r="B14799">
        <v>2750.79</v>
      </c>
    </row>
    <row r="14800" spans="1:2" x14ac:dyDescent="0.25">
      <c r="A14800" s="5">
        <v>43389</v>
      </c>
      <c r="B14800">
        <v>2809.92</v>
      </c>
    </row>
    <row r="14801" spans="1:2" x14ac:dyDescent="0.25">
      <c r="A14801" s="5">
        <v>43390</v>
      </c>
      <c r="B14801">
        <v>2809.21</v>
      </c>
    </row>
    <row r="14802" spans="1:2" x14ac:dyDescent="0.25">
      <c r="A14802" s="5">
        <v>43391</v>
      </c>
      <c r="B14802">
        <v>2768.78</v>
      </c>
    </row>
    <row r="14803" spans="1:2" x14ac:dyDescent="0.25">
      <c r="A14803" s="5">
        <v>43392</v>
      </c>
      <c r="B14803">
        <v>2767.78</v>
      </c>
    </row>
    <row r="14804" spans="1:2" x14ac:dyDescent="0.25">
      <c r="A14804" s="5">
        <v>43395</v>
      </c>
      <c r="B14804">
        <v>2755.88</v>
      </c>
    </row>
    <row r="14805" spans="1:2" x14ac:dyDescent="0.25">
      <c r="A14805" s="5">
        <v>43396</v>
      </c>
      <c r="B14805">
        <v>2740.69</v>
      </c>
    </row>
    <row r="14806" spans="1:2" x14ac:dyDescent="0.25">
      <c r="A14806" s="5">
        <v>43397</v>
      </c>
      <c r="B14806">
        <v>2656.1</v>
      </c>
    </row>
    <row r="14807" spans="1:2" x14ac:dyDescent="0.25">
      <c r="A14807" s="5">
        <v>43398</v>
      </c>
      <c r="B14807">
        <v>2705.57</v>
      </c>
    </row>
    <row r="14808" spans="1:2" x14ac:dyDescent="0.25">
      <c r="A14808" s="5">
        <v>43399</v>
      </c>
      <c r="B14808">
        <v>2658.69</v>
      </c>
    </row>
    <row r="14809" spans="1:2" x14ac:dyDescent="0.25">
      <c r="A14809" s="5">
        <v>43402</v>
      </c>
      <c r="B14809">
        <v>2641.25</v>
      </c>
    </row>
    <row r="14810" spans="1:2" x14ac:dyDescent="0.25">
      <c r="A14810" s="5">
        <v>43403</v>
      </c>
      <c r="B14810">
        <v>2682.63</v>
      </c>
    </row>
    <row r="14811" spans="1:2" x14ac:dyDescent="0.25">
      <c r="A14811" s="5">
        <v>43404</v>
      </c>
      <c r="B14811">
        <v>2711.74</v>
      </c>
    </row>
    <row r="14812" spans="1:2" x14ac:dyDescent="0.25">
      <c r="A14812" s="5">
        <v>43405</v>
      </c>
      <c r="B14812">
        <v>2740.37</v>
      </c>
    </row>
    <row r="14813" spans="1:2" x14ac:dyDescent="0.25">
      <c r="A14813" s="5">
        <v>43406</v>
      </c>
      <c r="B14813">
        <v>2723.06</v>
      </c>
    </row>
    <row r="14814" spans="1:2" x14ac:dyDescent="0.25">
      <c r="A14814" s="5">
        <v>43409</v>
      </c>
      <c r="B14814">
        <v>2738.31</v>
      </c>
    </row>
    <row r="14815" spans="1:2" x14ac:dyDescent="0.25">
      <c r="A14815" s="5">
        <v>43410</v>
      </c>
      <c r="B14815">
        <v>2755.45</v>
      </c>
    </row>
    <row r="14816" spans="1:2" x14ac:dyDescent="0.25">
      <c r="A14816" s="5">
        <v>43411</v>
      </c>
      <c r="B14816">
        <v>2813.89</v>
      </c>
    </row>
    <row r="14817" spans="1:2" x14ac:dyDescent="0.25">
      <c r="A14817" s="5">
        <v>43412</v>
      </c>
      <c r="B14817">
        <v>2806.83</v>
      </c>
    </row>
    <row r="14818" spans="1:2" x14ac:dyDescent="0.25">
      <c r="A14818" s="5">
        <v>43413</v>
      </c>
      <c r="B14818">
        <v>2781.01</v>
      </c>
    </row>
    <row r="14819" spans="1:2" x14ac:dyDescent="0.25">
      <c r="A14819" s="5">
        <v>43416</v>
      </c>
      <c r="B14819">
        <v>2726.22</v>
      </c>
    </row>
    <row r="14820" spans="1:2" x14ac:dyDescent="0.25">
      <c r="A14820" s="5">
        <v>43417</v>
      </c>
      <c r="B14820">
        <v>2722.18</v>
      </c>
    </row>
    <row r="14821" spans="1:2" x14ac:dyDescent="0.25">
      <c r="A14821" s="5">
        <v>43418</v>
      </c>
      <c r="B14821">
        <v>2701.58</v>
      </c>
    </row>
    <row r="14822" spans="1:2" x14ac:dyDescent="0.25">
      <c r="A14822" s="5">
        <v>43419</v>
      </c>
      <c r="B14822">
        <v>2730.2</v>
      </c>
    </row>
    <row r="14823" spans="1:2" x14ac:dyDescent="0.25">
      <c r="A14823" s="5">
        <v>43420</v>
      </c>
      <c r="B14823">
        <v>2736.27</v>
      </c>
    </row>
    <row r="14824" spans="1:2" x14ac:dyDescent="0.25">
      <c r="A14824" s="5">
        <v>43423</v>
      </c>
      <c r="B14824">
        <v>2690.73</v>
      </c>
    </row>
    <row r="14825" spans="1:2" x14ac:dyDescent="0.25">
      <c r="A14825" s="5">
        <v>43424</v>
      </c>
      <c r="B14825">
        <v>2641.89</v>
      </c>
    </row>
    <row r="14826" spans="1:2" x14ac:dyDescent="0.25">
      <c r="A14826" s="5">
        <v>43425</v>
      </c>
      <c r="B14826">
        <v>2649.93</v>
      </c>
    </row>
    <row r="14827" spans="1:2" x14ac:dyDescent="0.25">
      <c r="A14827" s="5">
        <v>43427</v>
      </c>
      <c r="B14827">
        <v>2632.56</v>
      </c>
    </row>
    <row r="14828" spans="1:2" x14ac:dyDescent="0.25">
      <c r="A14828" s="5">
        <v>43430</v>
      </c>
      <c r="B14828">
        <v>2673.45</v>
      </c>
    </row>
    <row r="14829" spans="1:2" x14ac:dyDescent="0.25">
      <c r="A14829" s="5">
        <v>43431</v>
      </c>
      <c r="B14829">
        <v>2682.17</v>
      </c>
    </row>
    <row r="14830" spans="1:2" x14ac:dyDescent="0.25">
      <c r="A14830" s="5">
        <v>43432</v>
      </c>
      <c r="B14830">
        <v>2743.79</v>
      </c>
    </row>
    <row r="14831" spans="1:2" x14ac:dyDescent="0.25">
      <c r="A14831" s="5">
        <v>43433</v>
      </c>
      <c r="B14831">
        <v>2737.76</v>
      </c>
    </row>
    <row r="14832" spans="1:2" x14ac:dyDescent="0.25">
      <c r="A14832" s="5">
        <v>43434</v>
      </c>
      <c r="B14832">
        <v>2760.17</v>
      </c>
    </row>
    <row r="14833" spans="1:2" x14ac:dyDescent="0.25">
      <c r="A14833" s="5">
        <v>43437</v>
      </c>
      <c r="B14833">
        <v>2790.37</v>
      </c>
    </row>
    <row r="14834" spans="1:2" x14ac:dyDescent="0.25">
      <c r="A14834" s="5">
        <v>43438</v>
      </c>
      <c r="B14834">
        <v>2700.06</v>
      </c>
    </row>
    <row r="14835" spans="1:2" x14ac:dyDescent="0.25">
      <c r="A14835" s="5">
        <v>43440</v>
      </c>
      <c r="B14835">
        <v>2695.95</v>
      </c>
    </row>
    <row r="14836" spans="1:2" x14ac:dyDescent="0.25">
      <c r="A14836" s="5">
        <v>43441</v>
      </c>
      <c r="B14836">
        <v>2633.08</v>
      </c>
    </row>
    <row r="14837" spans="1:2" x14ac:dyDescent="0.25">
      <c r="A14837" s="5">
        <v>43444</v>
      </c>
      <c r="B14837">
        <v>2637.72</v>
      </c>
    </row>
    <row r="14838" spans="1:2" x14ac:dyDescent="0.25">
      <c r="A14838" s="5">
        <v>43445</v>
      </c>
      <c r="B14838">
        <v>2636.78</v>
      </c>
    </row>
    <row r="14839" spans="1:2" x14ac:dyDescent="0.25">
      <c r="A14839" s="5">
        <v>43446</v>
      </c>
      <c r="B14839">
        <v>2651.07</v>
      </c>
    </row>
    <row r="14840" spans="1:2" x14ac:dyDescent="0.25">
      <c r="A14840" s="5">
        <v>43447</v>
      </c>
      <c r="B14840">
        <v>2650.54</v>
      </c>
    </row>
    <row r="14841" spans="1:2" x14ac:dyDescent="0.25">
      <c r="A14841" s="5">
        <v>43448</v>
      </c>
      <c r="B14841">
        <v>2599.9499999999998</v>
      </c>
    </row>
    <row r="14842" spans="1:2" x14ac:dyDescent="0.25">
      <c r="A14842" s="5">
        <v>43451</v>
      </c>
      <c r="B14842">
        <v>2545.94</v>
      </c>
    </row>
    <row r="14843" spans="1:2" x14ac:dyDescent="0.25">
      <c r="A14843" s="5">
        <v>43452</v>
      </c>
      <c r="B14843">
        <v>2546.16</v>
      </c>
    </row>
    <row r="14844" spans="1:2" x14ac:dyDescent="0.25">
      <c r="A14844" s="5">
        <v>43453</v>
      </c>
      <c r="B14844">
        <v>2506.96</v>
      </c>
    </row>
    <row r="14845" spans="1:2" x14ac:dyDescent="0.25">
      <c r="A14845" s="5">
        <v>43454</v>
      </c>
      <c r="B14845">
        <v>2467.42</v>
      </c>
    </row>
    <row r="14846" spans="1:2" x14ac:dyDescent="0.25">
      <c r="A14846" s="5">
        <v>43455</v>
      </c>
      <c r="B14846">
        <v>2416.62</v>
      </c>
    </row>
    <row r="14847" spans="1:2" x14ac:dyDescent="0.25">
      <c r="A14847" s="5">
        <v>43458</v>
      </c>
      <c r="B14847">
        <v>2351.1</v>
      </c>
    </row>
    <row r="14848" spans="1:2" x14ac:dyDescent="0.25">
      <c r="A14848" s="5">
        <v>43460</v>
      </c>
      <c r="B14848">
        <v>2467.6999999999998</v>
      </c>
    </row>
    <row r="14849" spans="1:2" x14ac:dyDescent="0.25">
      <c r="A14849" s="5">
        <v>43461</v>
      </c>
      <c r="B14849">
        <v>2488.83</v>
      </c>
    </row>
    <row r="14850" spans="1:2" x14ac:dyDescent="0.25">
      <c r="A14850" s="5">
        <v>43462</v>
      </c>
      <c r="B14850">
        <v>2485.7399999999998</v>
      </c>
    </row>
    <row r="14851" spans="1:2" x14ac:dyDescent="0.25">
      <c r="A14851" s="5">
        <v>43465</v>
      </c>
      <c r="B14851">
        <v>2506.85</v>
      </c>
    </row>
    <row r="14852" spans="1:2" x14ac:dyDescent="0.25">
      <c r="A14852" s="5">
        <v>43467</v>
      </c>
      <c r="B14852">
        <v>2510.0300000000002</v>
      </c>
    </row>
    <row r="14853" spans="1:2" x14ac:dyDescent="0.25">
      <c r="A14853" s="5">
        <v>43468</v>
      </c>
      <c r="B14853">
        <v>2447.89</v>
      </c>
    </row>
    <row r="14854" spans="1:2" x14ac:dyDescent="0.25">
      <c r="A14854" s="5">
        <v>43469</v>
      </c>
      <c r="B14854">
        <v>2531.94</v>
      </c>
    </row>
    <row r="14855" spans="1:2" x14ac:dyDescent="0.25">
      <c r="A14855" s="5">
        <v>43472</v>
      </c>
      <c r="B14855">
        <v>2549.69</v>
      </c>
    </row>
    <row r="14856" spans="1:2" x14ac:dyDescent="0.25">
      <c r="A14856" s="5">
        <v>43473</v>
      </c>
      <c r="B14856">
        <v>2574.41</v>
      </c>
    </row>
    <row r="14857" spans="1:2" x14ac:dyDescent="0.25">
      <c r="A14857" s="5">
        <v>43474</v>
      </c>
      <c r="B14857">
        <v>2584.96</v>
      </c>
    </row>
    <row r="14858" spans="1:2" x14ac:dyDescent="0.25">
      <c r="A14858" s="5">
        <v>43475</v>
      </c>
      <c r="B14858">
        <v>2596.64</v>
      </c>
    </row>
    <row r="14859" spans="1:2" x14ac:dyDescent="0.25">
      <c r="A14859" s="5">
        <v>43476</v>
      </c>
      <c r="B14859">
        <v>2596.2600000000002</v>
      </c>
    </row>
    <row r="14860" spans="1:2" x14ac:dyDescent="0.25">
      <c r="A14860" s="5">
        <v>43479</v>
      </c>
      <c r="B14860">
        <v>2582.61</v>
      </c>
    </row>
    <row r="14861" spans="1:2" x14ac:dyDescent="0.25">
      <c r="A14861" s="5">
        <v>43480</v>
      </c>
      <c r="B14861">
        <v>2610.3000000000002</v>
      </c>
    </row>
    <row r="14862" spans="1:2" x14ac:dyDescent="0.25">
      <c r="A14862" s="5">
        <v>43481</v>
      </c>
      <c r="B14862">
        <v>2616.1</v>
      </c>
    </row>
    <row r="14863" spans="1:2" x14ac:dyDescent="0.25">
      <c r="A14863" s="5">
        <v>43482</v>
      </c>
      <c r="B14863">
        <v>2635.96</v>
      </c>
    </row>
    <row r="14864" spans="1:2" x14ac:dyDescent="0.25">
      <c r="A14864" s="5">
        <v>43483</v>
      </c>
      <c r="B14864">
        <v>2670.71</v>
      </c>
    </row>
    <row r="14865" spans="1:2" x14ac:dyDescent="0.25">
      <c r="A14865" s="5">
        <v>43487</v>
      </c>
      <c r="B14865">
        <v>2632.9</v>
      </c>
    </row>
    <row r="14866" spans="1:2" x14ac:dyDescent="0.25">
      <c r="A14866" s="5">
        <v>43488</v>
      </c>
      <c r="B14866">
        <v>2638.7</v>
      </c>
    </row>
    <row r="14867" spans="1:2" x14ac:dyDescent="0.25">
      <c r="A14867" s="5">
        <v>43489</v>
      </c>
      <c r="B14867">
        <v>2642.33</v>
      </c>
    </row>
    <row r="14868" spans="1:2" x14ac:dyDescent="0.25">
      <c r="A14868" s="5">
        <v>43490</v>
      </c>
      <c r="B14868">
        <v>2664.76</v>
      </c>
    </row>
    <row r="14869" spans="1:2" x14ac:dyDescent="0.25">
      <c r="A14869" s="5">
        <v>43493</v>
      </c>
      <c r="B14869">
        <v>2643.85</v>
      </c>
    </row>
    <row r="14870" spans="1:2" x14ac:dyDescent="0.25">
      <c r="A14870" s="5">
        <v>43494</v>
      </c>
      <c r="B14870">
        <v>2640</v>
      </c>
    </row>
    <row r="14871" spans="1:2" x14ac:dyDescent="0.25">
      <c r="A14871" s="5">
        <v>43495</v>
      </c>
      <c r="B14871">
        <v>2681.05</v>
      </c>
    </row>
    <row r="14872" spans="1:2" x14ac:dyDescent="0.25">
      <c r="A14872" s="5">
        <v>43496</v>
      </c>
      <c r="B14872">
        <v>2704.1</v>
      </c>
    </row>
    <row r="14873" spans="1:2" x14ac:dyDescent="0.25">
      <c r="A14873" s="5">
        <v>43497</v>
      </c>
      <c r="B14873">
        <v>2706.53</v>
      </c>
    </row>
    <row r="14874" spans="1:2" x14ac:dyDescent="0.25">
      <c r="A14874" s="5">
        <v>43500</v>
      </c>
      <c r="B14874">
        <v>2724.87</v>
      </c>
    </row>
    <row r="14875" spans="1:2" x14ac:dyDescent="0.25">
      <c r="A14875" s="5">
        <v>43501</v>
      </c>
      <c r="B14875">
        <v>2737.7</v>
      </c>
    </row>
    <row r="14876" spans="1:2" x14ac:dyDescent="0.25">
      <c r="A14876" s="5">
        <v>43502</v>
      </c>
      <c r="B14876">
        <v>2731.61</v>
      </c>
    </row>
    <row r="14877" spans="1:2" x14ac:dyDescent="0.25">
      <c r="A14877" s="5">
        <v>43503</v>
      </c>
      <c r="B14877">
        <v>2706.05</v>
      </c>
    </row>
    <row r="14878" spans="1:2" x14ac:dyDescent="0.25">
      <c r="A14878" s="5">
        <v>43504</v>
      </c>
      <c r="B14878">
        <v>2707.88</v>
      </c>
    </row>
    <row r="14879" spans="1:2" x14ac:dyDescent="0.25">
      <c r="A14879" s="5">
        <v>43507</v>
      </c>
      <c r="B14879">
        <v>2709.8</v>
      </c>
    </row>
    <row r="14880" spans="1:2" x14ac:dyDescent="0.25">
      <c r="A14880" s="5">
        <v>43508</v>
      </c>
      <c r="B14880">
        <v>2744.73</v>
      </c>
    </row>
    <row r="14881" spans="1:2" x14ac:dyDescent="0.25">
      <c r="A14881" s="5">
        <v>43509</v>
      </c>
      <c r="B14881">
        <v>2753.03</v>
      </c>
    </row>
    <row r="14882" spans="1:2" x14ac:dyDescent="0.25">
      <c r="A14882" s="5">
        <v>43510</v>
      </c>
      <c r="B14882">
        <v>2745.73</v>
      </c>
    </row>
    <row r="14883" spans="1:2" x14ac:dyDescent="0.25">
      <c r="A14883" s="5">
        <v>43511</v>
      </c>
      <c r="B14883">
        <v>2775.6</v>
      </c>
    </row>
    <row r="14884" spans="1:2" x14ac:dyDescent="0.25">
      <c r="A14884" s="5">
        <v>43515</v>
      </c>
      <c r="B14884">
        <v>2779.76</v>
      </c>
    </row>
    <row r="14885" spans="1:2" x14ac:dyDescent="0.25">
      <c r="A14885" s="5">
        <v>43516</v>
      </c>
      <c r="B14885">
        <v>2784.7</v>
      </c>
    </row>
    <row r="14886" spans="1:2" x14ac:dyDescent="0.25">
      <c r="A14886" s="5">
        <v>43517</v>
      </c>
      <c r="B14886">
        <v>2774.88</v>
      </c>
    </row>
    <row r="14887" spans="1:2" x14ac:dyDescent="0.25">
      <c r="A14887" s="5">
        <v>43518</v>
      </c>
      <c r="B14887">
        <v>2792.67</v>
      </c>
    </row>
    <row r="14888" spans="1:2" x14ac:dyDescent="0.25">
      <c r="A14888" s="5">
        <v>43521</v>
      </c>
      <c r="B14888">
        <v>2796.11</v>
      </c>
    </row>
    <row r="14889" spans="1:2" x14ac:dyDescent="0.25">
      <c r="A14889" s="5">
        <v>43522</v>
      </c>
      <c r="B14889">
        <v>2793.9</v>
      </c>
    </row>
    <row r="14890" spans="1:2" x14ac:dyDescent="0.25">
      <c r="A14890" s="5">
        <v>43523</v>
      </c>
      <c r="B14890">
        <v>2792.38</v>
      </c>
    </row>
    <row r="14891" spans="1:2" x14ac:dyDescent="0.25">
      <c r="A14891" s="5">
        <v>43524</v>
      </c>
      <c r="B14891">
        <v>2784.49</v>
      </c>
    </row>
    <row r="14892" spans="1:2" x14ac:dyDescent="0.25">
      <c r="A14892" s="5">
        <v>43525</v>
      </c>
      <c r="B14892">
        <v>2803.69</v>
      </c>
    </row>
    <row r="14893" spans="1:2" x14ac:dyDescent="0.25">
      <c r="A14893" s="5">
        <v>43528</v>
      </c>
      <c r="B14893">
        <v>2792.81</v>
      </c>
    </row>
    <row r="14894" spans="1:2" x14ac:dyDescent="0.25">
      <c r="A14894" s="5">
        <v>43529</v>
      </c>
      <c r="B14894">
        <v>2789.65</v>
      </c>
    </row>
    <row r="14895" spans="1:2" x14ac:dyDescent="0.25">
      <c r="A14895" s="5">
        <v>43530</v>
      </c>
      <c r="B14895">
        <v>2771.45</v>
      </c>
    </row>
    <row r="14896" spans="1:2" x14ac:dyDescent="0.25">
      <c r="A14896" s="5">
        <v>43531</v>
      </c>
      <c r="B14896">
        <v>2748.93</v>
      </c>
    </row>
    <row r="14897" spans="1:2" x14ac:dyDescent="0.25">
      <c r="A14897" s="5">
        <v>43532</v>
      </c>
      <c r="B14897">
        <v>2743.07</v>
      </c>
    </row>
    <row r="14898" spans="1:2" x14ac:dyDescent="0.25">
      <c r="A14898" s="5">
        <v>43535</v>
      </c>
      <c r="B14898">
        <v>2783.3</v>
      </c>
    </row>
    <row r="14899" spans="1:2" x14ac:dyDescent="0.25">
      <c r="A14899" s="5">
        <v>43536</v>
      </c>
      <c r="B14899">
        <v>2791.52</v>
      </c>
    </row>
    <row r="14900" spans="1:2" x14ac:dyDescent="0.25">
      <c r="A14900" s="5">
        <v>43537</v>
      </c>
      <c r="B14900">
        <v>2810.92</v>
      </c>
    </row>
    <row r="14901" spans="1:2" x14ac:dyDescent="0.25">
      <c r="A14901" s="5">
        <v>43538</v>
      </c>
      <c r="B14901">
        <v>2808.48</v>
      </c>
    </row>
    <row r="14902" spans="1:2" x14ac:dyDescent="0.25">
      <c r="A14902" s="5">
        <v>43539</v>
      </c>
      <c r="B14902">
        <v>2822.48</v>
      </c>
    </row>
    <row r="14903" spans="1:2" x14ac:dyDescent="0.25">
      <c r="A14903" s="5">
        <v>43542</v>
      </c>
      <c r="B14903">
        <v>2832.94</v>
      </c>
    </row>
    <row r="14904" spans="1:2" x14ac:dyDescent="0.25">
      <c r="A14904" s="5">
        <v>43543</v>
      </c>
      <c r="B14904">
        <v>2832.57</v>
      </c>
    </row>
    <row r="14905" spans="1:2" x14ac:dyDescent="0.25">
      <c r="A14905" s="5">
        <v>43544</v>
      </c>
      <c r="B14905">
        <v>2824.23</v>
      </c>
    </row>
    <row r="14906" spans="1:2" x14ac:dyDescent="0.25">
      <c r="A14906" s="5">
        <v>43545</v>
      </c>
      <c r="B14906">
        <v>2854.88</v>
      </c>
    </row>
    <row r="14907" spans="1:2" x14ac:dyDescent="0.25">
      <c r="A14907" s="5">
        <v>43546</v>
      </c>
      <c r="B14907">
        <v>2800.71</v>
      </c>
    </row>
    <row r="14908" spans="1:2" x14ac:dyDescent="0.25">
      <c r="A14908" s="5">
        <v>43549</v>
      </c>
      <c r="B14908">
        <v>2798.36</v>
      </c>
    </row>
    <row r="14909" spans="1:2" x14ac:dyDescent="0.25">
      <c r="A14909" s="5">
        <v>43550</v>
      </c>
      <c r="B14909">
        <v>2818.46</v>
      </c>
    </row>
    <row r="14910" spans="1:2" x14ac:dyDescent="0.25">
      <c r="A14910" s="5">
        <v>43551</v>
      </c>
      <c r="B14910">
        <v>2805.37</v>
      </c>
    </row>
    <row r="14911" spans="1:2" x14ac:dyDescent="0.25">
      <c r="A14911" s="5">
        <v>43552</v>
      </c>
      <c r="B14911">
        <v>2815.44</v>
      </c>
    </row>
    <row r="14912" spans="1:2" x14ac:dyDescent="0.25">
      <c r="A14912" s="5">
        <v>43553</v>
      </c>
      <c r="B14912">
        <v>2834.4</v>
      </c>
    </row>
    <row r="14913" spans="1:2" x14ac:dyDescent="0.25">
      <c r="A14913" s="5">
        <v>43556</v>
      </c>
      <c r="B14913">
        <v>2867.19</v>
      </c>
    </row>
    <row r="14914" spans="1:2" x14ac:dyDescent="0.25">
      <c r="A14914" s="5">
        <v>43557</v>
      </c>
      <c r="B14914">
        <v>2867.24</v>
      </c>
    </row>
    <row r="14915" spans="1:2" x14ac:dyDescent="0.25">
      <c r="A14915" s="5">
        <v>43558</v>
      </c>
      <c r="B14915">
        <v>2873.4</v>
      </c>
    </row>
    <row r="14916" spans="1:2" x14ac:dyDescent="0.25">
      <c r="A14916" s="5">
        <v>43559</v>
      </c>
      <c r="B14916">
        <v>2879.39</v>
      </c>
    </row>
    <row r="14917" spans="1:2" x14ac:dyDescent="0.25">
      <c r="A14917" s="5">
        <v>43560</v>
      </c>
      <c r="B14917">
        <v>2892.74</v>
      </c>
    </row>
    <row r="14918" spans="1:2" x14ac:dyDescent="0.25">
      <c r="A14918" s="5">
        <v>43563</v>
      </c>
      <c r="B14918">
        <v>2895.77</v>
      </c>
    </row>
    <row r="14919" spans="1:2" x14ac:dyDescent="0.25">
      <c r="A14919" s="5">
        <v>43564</v>
      </c>
      <c r="B14919">
        <v>2878.2</v>
      </c>
    </row>
    <row r="14920" spans="1:2" x14ac:dyDescent="0.25">
      <c r="A14920" s="5">
        <v>43565</v>
      </c>
      <c r="B14920">
        <v>2888.21</v>
      </c>
    </row>
    <row r="14921" spans="1:2" x14ac:dyDescent="0.25">
      <c r="A14921" s="5">
        <v>43566</v>
      </c>
      <c r="B14921">
        <v>2888.32</v>
      </c>
    </row>
    <row r="14922" spans="1:2" x14ac:dyDescent="0.25">
      <c r="A14922" s="5">
        <v>43567</v>
      </c>
      <c r="B14922">
        <v>2907.41</v>
      </c>
    </row>
    <row r="14923" spans="1:2" x14ac:dyDescent="0.25">
      <c r="A14923" s="5">
        <v>43570</v>
      </c>
      <c r="B14923">
        <v>2905.58</v>
      </c>
    </row>
    <row r="14924" spans="1:2" x14ac:dyDescent="0.25">
      <c r="A14924" s="5">
        <v>43571</v>
      </c>
      <c r="B14924">
        <v>2907.06</v>
      </c>
    </row>
    <row r="14925" spans="1:2" x14ac:dyDescent="0.25">
      <c r="A14925" s="5">
        <v>43572</v>
      </c>
      <c r="B14925">
        <v>2900.45</v>
      </c>
    </row>
    <row r="14926" spans="1:2" x14ac:dyDescent="0.25">
      <c r="A14926" s="5">
        <v>43573</v>
      </c>
      <c r="B14926">
        <v>2905.03</v>
      </c>
    </row>
    <row r="14927" spans="1:2" x14ac:dyDescent="0.25">
      <c r="A14927" s="5">
        <v>43577</v>
      </c>
      <c r="B14927">
        <v>2907.97</v>
      </c>
    </row>
    <row r="14928" spans="1:2" x14ac:dyDescent="0.25">
      <c r="A14928" s="5">
        <v>43578</v>
      </c>
      <c r="B14928">
        <v>2933.68</v>
      </c>
    </row>
    <row r="14929" spans="1:2" x14ac:dyDescent="0.25">
      <c r="A14929" s="5">
        <v>43579</v>
      </c>
      <c r="B14929">
        <v>2927.25</v>
      </c>
    </row>
    <row r="14930" spans="1:2" x14ac:dyDescent="0.25">
      <c r="A14930" s="5">
        <v>43580</v>
      </c>
      <c r="B14930">
        <v>2926.17</v>
      </c>
    </row>
    <row r="14931" spans="1:2" x14ac:dyDescent="0.25">
      <c r="A14931" s="5">
        <v>43581</v>
      </c>
      <c r="B14931">
        <v>2939.88</v>
      </c>
    </row>
    <row r="14932" spans="1:2" x14ac:dyDescent="0.25">
      <c r="A14932" s="5">
        <v>43584</v>
      </c>
      <c r="B14932">
        <v>2943.03</v>
      </c>
    </row>
    <row r="14933" spans="1:2" x14ac:dyDescent="0.25">
      <c r="A14933" s="5">
        <v>43585</v>
      </c>
      <c r="B14933">
        <v>2945.83</v>
      </c>
    </row>
    <row r="14934" spans="1:2" x14ac:dyDescent="0.25">
      <c r="A14934" s="5">
        <v>43586</v>
      </c>
      <c r="B14934">
        <v>2923.73</v>
      </c>
    </row>
    <row r="14935" spans="1:2" x14ac:dyDescent="0.25">
      <c r="A14935" s="5">
        <v>43587</v>
      </c>
      <c r="B14935">
        <v>2917.52</v>
      </c>
    </row>
    <row r="14936" spans="1:2" x14ac:dyDescent="0.25">
      <c r="A14936" s="5">
        <v>43588</v>
      </c>
      <c r="B14936">
        <v>2945.64</v>
      </c>
    </row>
    <row r="14937" spans="1:2" x14ac:dyDescent="0.25">
      <c r="A14937" s="5">
        <v>43591</v>
      </c>
      <c r="B14937">
        <v>2932.47</v>
      </c>
    </row>
    <row r="14938" spans="1:2" x14ac:dyDescent="0.25">
      <c r="A14938" s="5">
        <v>43592</v>
      </c>
      <c r="B14938">
        <v>2884.05</v>
      </c>
    </row>
    <row r="14939" spans="1:2" x14ac:dyDescent="0.25">
      <c r="A14939" s="5">
        <v>43593</v>
      </c>
      <c r="B14939">
        <v>2879.42</v>
      </c>
    </row>
    <row r="14940" spans="1:2" x14ac:dyDescent="0.25">
      <c r="A14940" s="5">
        <v>43594</v>
      </c>
      <c r="B14940">
        <v>2870.72</v>
      </c>
    </row>
    <row r="14941" spans="1:2" x14ac:dyDescent="0.25">
      <c r="A14941" s="5">
        <v>43595</v>
      </c>
      <c r="B14941">
        <v>2881.4</v>
      </c>
    </row>
    <row r="14942" spans="1:2" x14ac:dyDescent="0.25">
      <c r="A14942" s="5">
        <v>43598</v>
      </c>
      <c r="B14942">
        <v>2811.87</v>
      </c>
    </row>
    <row r="14943" spans="1:2" x14ac:dyDescent="0.25">
      <c r="A14943" s="5">
        <v>43599</v>
      </c>
      <c r="B14943">
        <v>2834.41</v>
      </c>
    </row>
    <row r="14944" spans="1:2" x14ac:dyDescent="0.25">
      <c r="A14944" s="5">
        <v>43600</v>
      </c>
      <c r="B14944">
        <v>2850.96</v>
      </c>
    </row>
    <row r="14945" spans="1:2" x14ac:dyDescent="0.25">
      <c r="A14945" s="5">
        <v>43601</v>
      </c>
      <c r="B14945">
        <v>2876.32</v>
      </c>
    </row>
    <row r="14946" spans="1:2" x14ac:dyDescent="0.25">
      <c r="A14946" s="5">
        <v>43602</v>
      </c>
      <c r="B14946">
        <v>2859.53</v>
      </c>
    </row>
    <row r="14947" spans="1:2" x14ac:dyDescent="0.25">
      <c r="A14947" s="5">
        <v>43605</v>
      </c>
      <c r="B14947">
        <v>2840.23</v>
      </c>
    </row>
    <row r="14948" spans="1:2" x14ac:dyDescent="0.25">
      <c r="A14948" s="5">
        <v>43606</v>
      </c>
      <c r="B14948">
        <v>2864.36</v>
      </c>
    </row>
    <row r="14949" spans="1:2" x14ac:dyDescent="0.25">
      <c r="A14949" s="5">
        <v>43607</v>
      </c>
      <c r="B14949">
        <v>2856.27</v>
      </c>
    </row>
    <row r="14950" spans="1:2" x14ac:dyDescent="0.25">
      <c r="A14950" s="5">
        <v>43608</v>
      </c>
      <c r="B14950">
        <v>2822.24</v>
      </c>
    </row>
    <row r="14951" spans="1:2" x14ac:dyDescent="0.25">
      <c r="A14951" s="5">
        <v>43609</v>
      </c>
      <c r="B14951">
        <v>2826.06</v>
      </c>
    </row>
    <row r="14952" spans="1:2" x14ac:dyDescent="0.25">
      <c r="A14952" s="5">
        <v>43613</v>
      </c>
      <c r="B14952">
        <v>2802.39</v>
      </c>
    </row>
    <row r="14953" spans="1:2" x14ac:dyDescent="0.25">
      <c r="A14953" s="5">
        <v>43614</v>
      </c>
      <c r="B14953">
        <v>2783.02</v>
      </c>
    </row>
    <row r="14954" spans="1:2" x14ac:dyDescent="0.25">
      <c r="A14954" s="5">
        <v>43615</v>
      </c>
      <c r="B14954">
        <v>2788.86</v>
      </c>
    </row>
    <row r="14955" spans="1:2" x14ac:dyDescent="0.25">
      <c r="A14955" s="5">
        <v>43616</v>
      </c>
      <c r="B14955">
        <v>2752.06</v>
      </c>
    </row>
    <row r="14956" spans="1:2" x14ac:dyDescent="0.25">
      <c r="A14956" s="5">
        <v>43619</v>
      </c>
      <c r="B14956">
        <v>2744.45</v>
      </c>
    </row>
    <row r="14957" spans="1:2" x14ac:dyDescent="0.25">
      <c r="A14957" s="5">
        <v>43620</v>
      </c>
      <c r="B14957">
        <v>2803.27</v>
      </c>
    </row>
    <row r="14958" spans="1:2" x14ac:dyDescent="0.25">
      <c r="A14958" s="5">
        <v>43621</v>
      </c>
      <c r="B14958">
        <v>2826.15</v>
      </c>
    </row>
    <row r="14959" spans="1:2" x14ac:dyDescent="0.25">
      <c r="A14959" s="5">
        <v>43622</v>
      </c>
      <c r="B14959">
        <v>2843.49</v>
      </c>
    </row>
    <row r="14960" spans="1:2" x14ac:dyDescent="0.25">
      <c r="A14960" s="5">
        <v>43623</v>
      </c>
      <c r="B14960">
        <v>2873.34</v>
      </c>
    </row>
    <row r="14961" spans="1:2" x14ac:dyDescent="0.25">
      <c r="A14961" s="5">
        <v>43626</v>
      </c>
      <c r="B14961">
        <v>2886.73</v>
      </c>
    </row>
    <row r="14962" spans="1:2" x14ac:dyDescent="0.25">
      <c r="A14962" s="5">
        <v>43627</v>
      </c>
      <c r="B14962">
        <v>2885.72</v>
      </c>
    </row>
    <row r="14963" spans="1:2" x14ac:dyDescent="0.25">
      <c r="A14963" s="5">
        <v>43628</v>
      </c>
      <c r="B14963">
        <v>2879.84</v>
      </c>
    </row>
    <row r="14964" spans="1:2" x14ac:dyDescent="0.25">
      <c r="A14964" s="5">
        <v>43629</v>
      </c>
      <c r="B14964">
        <v>2891.64</v>
      </c>
    </row>
    <row r="14965" spans="1:2" x14ac:dyDescent="0.25">
      <c r="A14965" s="5">
        <v>43630</v>
      </c>
      <c r="B14965">
        <v>2886.98</v>
      </c>
    </row>
    <row r="14966" spans="1:2" x14ac:dyDescent="0.25">
      <c r="A14966" s="5">
        <v>43633</v>
      </c>
      <c r="B14966">
        <v>2889.67</v>
      </c>
    </row>
    <row r="14967" spans="1:2" x14ac:dyDescent="0.25">
      <c r="A14967" s="5">
        <v>43634</v>
      </c>
      <c r="B14967">
        <v>2917.75</v>
      </c>
    </row>
    <row r="14968" spans="1:2" x14ac:dyDescent="0.25">
      <c r="A14968" s="5">
        <v>43635</v>
      </c>
      <c r="B14968">
        <v>2926.46</v>
      </c>
    </row>
    <row r="14969" spans="1:2" x14ac:dyDescent="0.25">
      <c r="A14969" s="5">
        <v>43636</v>
      </c>
      <c r="B14969">
        <v>2954.18</v>
      </c>
    </row>
    <row r="14970" spans="1:2" x14ac:dyDescent="0.25">
      <c r="A14970" s="5">
        <v>43637</v>
      </c>
      <c r="B14970">
        <v>2950.46</v>
      </c>
    </row>
    <row r="14971" spans="1:2" x14ac:dyDescent="0.25">
      <c r="A14971" s="5">
        <v>43640</v>
      </c>
      <c r="B14971">
        <v>2945.35</v>
      </c>
    </row>
    <row r="14972" spans="1:2" x14ac:dyDescent="0.25">
      <c r="A14972" s="5">
        <v>43641</v>
      </c>
      <c r="B14972">
        <v>2917.38</v>
      </c>
    </row>
    <row r="14973" spans="1:2" x14ac:dyDescent="0.25">
      <c r="A14973" s="5">
        <v>43642</v>
      </c>
      <c r="B14973">
        <v>2913.78</v>
      </c>
    </row>
    <row r="14974" spans="1:2" x14ac:dyDescent="0.25">
      <c r="A14974" s="5">
        <v>43643</v>
      </c>
      <c r="B14974">
        <v>2924.92</v>
      </c>
    </row>
    <row r="14975" spans="1:2" x14ac:dyDescent="0.25">
      <c r="A14975" s="5">
        <v>43644</v>
      </c>
      <c r="B14975">
        <v>2941.76</v>
      </c>
    </row>
    <row r="14976" spans="1:2" x14ac:dyDescent="0.25">
      <c r="A14976" s="5">
        <v>43647</v>
      </c>
      <c r="B14976">
        <v>2964.33</v>
      </c>
    </row>
    <row r="14977" spans="1:2" x14ac:dyDescent="0.25">
      <c r="A14977" s="5">
        <v>43648</v>
      </c>
      <c r="B14977">
        <v>2973.01</v>
      </c>
    </row>
    <row r="14978" spans="1:2" x14ac:dyDescent="0.25">
      <c r="A14978" s="5">
        <v>43649</v>
      </c>
      <c r="B14978">
        <v>2995.82</v>
      </c>
    </row>
    <row r="14979" spans="1:2" x14ac:dyDescent="0.25">
      <c r="A14979" s="5">
        <v>43651</v>
      </c>
      <c r="B14979">
        <v>2990.41</v>
      </c>
    </row>
    <row r="14980" spans="1:2" x14ac:dyDescent="0.25">
      <c r="A14980" s="5">
        <v>43654</v>
      </c>
      <c r="B14980">
        <v>2975.95</v>
      </c>
    </row>
    <row r="14981" spans="1:2" x14ac:dyDescent="0.25">
      <c r="A14981" s="5">
        <v>43655</v>
      </c>
      <c r="B14981">
        <v>2979.63</v>
      </c>
    </row>
    <row r="14982" spans="1:2" x14ac:dyDescent="0.25">
      <c r="A14982" s="5">
        <v>43656</v>
      </c>
      <c r="B14982">
        <v>2993.07</v>
      </c>
    </row>
    <row r="14983" spans="1:2" x14ac:dyDescent="0.25">
      <c r="A14983" s="5">
        <v>43657</v>
      </c>
      <c r="B14983">
        <v>2999.91</v>
      </c>
    </row>
    <row r="14984" spans="1:2" x14ac:dyDescent="0.25">
      <c r="A14984" s="5">
        <v>43658</v>
      </c>
      <c r="B14984">
        <v>3013.77</v>
      </c>
    </row>
    <row r="14985" spans="1:2" x14ac:dyDescent="0.25">
      <c r="A14985" s="5">
        <v>43661</v>
      </c>
      <c r="B14985">
        <v>3014.3</v>
      </c>
    </row>
    <row r="14986" spans="1:2" x14ac:dyDescent="0.25">
      <c r="A14986" s="5">
        <v>43662</v>
      </c>
      <c r="B14986">
        <v>3004.04</v>
      </c>
    </row>
    <row r="14987" spans="1:2" x14ac:dyDescent="0.25">
      <c r="A14987" s="5">
        <v>43663</v>
      </c>
      <c r="B14987">
        <v>2984.42</v>
      </c>
    </row>
    <row r="14988" spans="1:2" x14ac:dyDescent="0.25">
      <c r="A14988" s="5">
        <v>43664</v>
      </c>
      <c r="B14988">
        <v>2995.11</v>
      </c>
    </row>
    <row r="14989" spans="1:2" x14ac:dyDescent="0.25">
      <c r="A14989" s="5">
        <v>43665</v>
      </c>
      <c r="B14989">
        <v>2976.61</v>
      </c>
    </row>
    <row r="14990" spans="1:2" x14ac:dyDescent="0.25">
      <c r="A14990" s="5">
        <v>43668</v>
      </c>
      <c r="B14990">
        <v>2985.03</v>
      </c>
    </row>
    <row r="14991" spans="1:2" x14ac:dyDescent="0.25">
      <c r="A14991" s="5">
        <v>43669</v>
      </c>
      <c r="B14991">
        <v>3005.47</v>
      </c>
    </row>
    <row r="14992" spans="1:2" x14ac:dyDescent="0.25">
      <c r="A14992" s="5">
        <v>43670</v>
      </c>
      <c r="B14992">
        <v>3019.56</v>
      </c>
    </row>
    <row r="14993" spans="1:2" x14ac:dyDescent="0.25">
      <c r="A14993" s="5">
        <v>43671</v>
      </c>
      <c r="B14993">
        <v>3003.67</v>
      </c>
    </row>
    <row r="14994" spans="1:2" x14ac:dyDescent="0.25">
      <c r="A14994" s="5">
        <v>43672</v>
      </c>
      <c r="B14994">
        <v>3025.86</v>
      </c>
    </row>
    <row r="14995" spans="1:2" x14ac:dyDescent="0.25">
      <c r="A14995" s="5">
        <v>43675</v>
      </c>
      <c r="B14995">
        <v>3020.97</v>
      </c>
    </row>
    <row r="14996" spans="1:2" x14ac:dyDescent="0.25">
      <c r="A14996" s="5">
        <v>43676</v>
      </c>
      <c r="B14996">
        <v>3013.18</v>
      </c>
    </row>
    <row r="14997" spans="1:2" x14ac:dyDescent="0.25">
      <c r="A14997" s="5">
        <v>43677</v>
      </c>
      <c r="B14997">
        <v>2980.38</v>
      </c>
    </row>
    <row r="14998" spans="1:2" x14ac:dyDescent="0.25">
      <c r="A14998" s="5">
        <v>43678</v>
      </c>
      <c r="B14998">
        <v>2953.56</v>
      </c>
    </row>
    <row r="14999" spans="1:2" x14ac:dyDescent="0.25">
      <c r="A14999" s="5">
        <v>43679</v>
      </c>
      <c r="B14999">
        <v>2932.05</v>
      </c>
    </row>
    <row r="15000" spans="1:2" x14ac:dyDescent="0.25">
      <c r="A15000" s="5">
        <v>43682</v>
      </c>
      <c r="B15000">
        <v>2844.74</v>
      </c>
    </row>
    <row r="15001" spans="1:2" x14ac:dyDescent="0.25">
      <c r="A15001" s="5">
        <v>43683</v>
      </c>
      <c r="B15001">
        <v>2881.77</v>
      </c>
    </row>
    <row r="15002" spans="1:2" x14ac:dyDescent="0.25">
      <c r="A15002" s="5">
        <v>43684</v>
      </c>
      <c r="B15002">
        <v>2883.98</v>
      </c>
    </row>
    <row r="15003" spans="1:2" x14ac:dyDescent="0.25">
      <c r="A15003" s="5">
        <v>43685</v>
      </c>
      <c r="B15003">
        <v>2938.09</v>
      </c>
    </row>
    <row r="15004" spans="1:2" x14ac:dyDescent="0.25">
      <c r="A15004" s="5">
        <v>43686</v>
      </c>
      <c r="B15004">
        <v>2918.65</v>
      </c>
    </row>
    <row r="15005" spans="1:2" x14ac:dyDescent="0.25">
      <c r="A15005" s="5">
        <v>43689</v>
      </c>
      <c r="B15005">
        <v>2883.75</v>
      </c>
    </row>
    <row r="15006" spans="1:2" x14ac:dyDescent="0.25">
      <c r="A15006" s="5">
        <v>43690</v>
      </c>
      <c r="B15006">
        <v>2926.32</v>
      </c>
    </row>
    <row r="15007" spans="1:2" x14ac:dyDescent="0.25">
      <c r="A15007" s="5">
        <v>43691</v>
      </c>
      <c r="B15007">
        <v>2840.6</v>
      </c>
    </row>
    <row r="15008" spans="1:2" x14ac:dyDescent="0.25">
      <c r="A15008" s="5">
        <v>43692</v>
      </c>
      <c r="B15008">
        <v>2847.6</v>
      </c>
    </row>
    <row r="15009" spans="1:2" x14ac:dyDescent="0.25">
      <c r="A15009" s="5">
        <v>43693</v>
      </c>
      <c r="B15009">
        <v>2888.68</v>
      </c>
    </row>
    <row r="15010" spans="1:2" x14ac:dyDescent="0.25">
      <c r="A15010" s="5">
        <v>43696</v>
      </c>
      <c r="B15010">
        <v>2923.65</v>
      </c>
    </row>
    <row r="15011" spans="1:2" x14ac:dyDescent="0.25">
      <c r="A15011" s="5">
        <v>43697</v>
      </c>
      <c r="B15011">
        <v>2900.51</v>
      </c>
    </row>
    <row r="15012" spans="1:2" x14ac:dyDescent="0.25">
      <c r="A15012" s="5">
        <v>43698</v>
      </c>
      <c r="B15012">
        <v>2924.43</v>
      </c>
    </row>
    <row r="15013" spans="1:2" x14ac:dyDescent="0.25">
      <c r="A15013" s="5">
        <v>43699</v>
      </c>
      <c r="B15013">
        <v>2922.95</v>
      </c>
    </row>
    <row r="15014" spans="1:2" x14ac:dyDescent="0.25">
      <c r="A15014" s="5">
        <v>43700</v>
      </c>
      <c r="B15014">
        <v>2847.11</v>
      </c>
    </row>
    <row r="15015" spans="1:2" x14ac:dyDescent="0.25">
      <c r="A15015" s="5">
        <v>43703</v>
      </c>
      <c r="B15015">
        <v>2878.38</v>
      </c>
    </row>
    <row r="15016" spans="1:2" x14ac:dyDescent="0.25">
      <c r="A15016" s="5">
        <v>43704</v>
      </c>
      <c r="B15016">
        <v>2869.16</v>
      </c>
    </row>
    <row r="15017" spans="1:2" x14ac:dyDescent="0.25">
      <c r="A15017" s="5">
        <v>43705</v>
      </c>
      <c r="B15017">
        <v>2887.94</v>
      </c>
    </row>
    <row r="15018" spans="1:2" x14ac:dyDescent="0.25">
      <c r="A15018" s="5">
        <v>43706</v>
      </c>
      <c r="B15018">
        <v>2924.58</v>
      </c>
    </row>
    <row r="15019" spans="1:2" x14ac:dyDescent="0.25">
      <c r="A15019" s="5">
        <v>43707</v>
      </c>
      <c r="B15019">
        <v>2926.46</v>
      </c>
    </row>
    <row r="15020" spans="1:2" x14ac:dyDescent="0.25">
      <c r="A15020" s="5">
        <v>43711</v>
      </c>
      <c r="B15020">
        <v>2906.27</v>
      </c>
    </row>
    <row r="15021" spans="1:2" x14ac:dyDescent="0.25">
      <c r="A15021" s="5">
        <v>43712</v>
      </c>
      <c r="B15021">
        <v>2937.78</v>
      </c>
    </row>
    <row r="15022" spans="1:2" x14ac:dyDescent="0.25">
      <c r="A15022" s="5">
        <v>43713</v>
      </c>
      <c r="B15022">
        <v>2976</v>
      </c>
    </row>
    <row r="15023" spans="1:2" x14ac:dyDescent="0.25">
      <c r="A15023" s="5">
        <v>43714</v>
      </c>
      <c r="B15023">
        <v>2978.71</v>
      </c>
    </row>
    <row r="15024" spans="1:2" x14ac:dyDescent="0.25">
      <c r="A15024" s="5">
        <v>43717</v>
      </c>
      <c r="B15024">
        <v>2978.43</v>
      </c>
    </row>
    <row r="15025" spans="1:2" x14ac:dyDescent="0.25">
      <c r="A15025" s="5">
        <v>43718</v>
      </c>
      <c r="B15025">
        <v>2979.39</v>
      </c>
    </row>
    <row r="15026" spans="1:2" x14ac:dyDescent="0.25">
      <c r="A15026" s="5">
        <v>43719</v>
      </c>
      <c r="B15026">
        <v>3000.93</v>
      </c>
    </row>
    <row r="15027" spans="1:2" x14ac:dyDescent="0.25">
      <c r="A15027" s="5">
        <v>43720</v>
      </c>
      <c r="B15027">
        <v>3009.57</v>
      </c>
    </row>
    <row r="15028" spans="1:2" x14ac:dyDescent="0.25">
      <c r="A15028" s="5">
        <v>43721</v>
      </c>
      <c r="B15028">
        <v>3007.39</v>
      </c>
    </row>
    <row r="15029" spans="1:2" x14ac:dyDescent="0.25">
      <c r="A15029" s="5">
        <v>43724</v>
      </c>
      <c r="B15029">
        <v>2997.96</v>
      </c>
    </row>
    <row r="15030" spans="1:2" x14ac:dyDescent="0.25">
      <c r="A15030" s="5">
        <v>43725</v>
      </c>
      <c r="B15030">
        <v>3005.7</v>
      </c>
    </row>
    <row r="15031" spans="1:2" x14ac:dyDescent="0.25">
      <c r="A15031" s="5">
        <v>43726</v>
      </c>
      <c r="B15031">
        <v>3006.73</v>
      </c>
    </row>
    <row r="15032" spans="1:2" x14ac:dyDescent="0.25">
      <c r="A15032" s="5">
        <v>43727</v>
      </c>
      <c r="B15032">
        <v>3006.79</v>
      </c>
    </row>
    <row r="15033" spans="1:2" x14ac:dyDescent="0.25">
      <c r="A15033" s="5">
        <v>43728</v>
      </c>
      <c r="B15033">
        <v>2992.07</v>
      </c>
    </row>
    <row r="15034" spans="1:2" x14ac:dyDescent="0.25">
      <c r="A15034" s="5">
        <v>43731</v>
      </c>
      <c r="B15034">
        <v>2991.78</v>
      </c>
    </row>
    <row r="15035" spans="1:2" x14ac:dyDescent="0.25">
      <c r="A15035" s="5">
        <v>43732</v>
      </c>
      <c r="B15035">
        <v>2966.6</v>
      </c>
    </row>
    <row r="15036" spans="1:2" x14ac:dyDescent="0.25">
      <c r="A15036" s="5">
        <v>43733</v>
      </c>
      <c r="B15036">
        <v>2984.87</v>
      </c>
    </row>
    <row r="15037" spans="1:2" x14ac:dyDescent="0.25">
      <c r="A15037" s="5">
        <v>43734</v>
      </c>
      <c r="B15037">
        <v>2977.62</v>
      </c>
    </row>
    <row r="15038" spans="1:2" x14ac:dyDescent="0.25">
      <c r="A15038" s="5">
        <v>43735</v>
      </c>
      <c r="B15038">
        <v>2961.79</v>
      </c>
    </row>
    <row r="15039" spans="1:2" x14ac:dyDescent="0.25">
      <c r="A15039" s="5">
        <v>43738</v>
      </c>
      <c r="B15039">
        <v>2976.74</v>
      </c>
    </row>
    <row r="15040" spans="1:2" x14ac:dyDescent="0.25">
      <c r="A15040" s="5">
        <v>43739</v>
      </c>
      <c r="B15040">
        <v>2940.25</v>
      </c>
    </row>
    <row r="15041" spans="1:2" x14ac:dyDescent="0.25">
      <c r="A15041" s="5">
        <v>43740</v>
      </c>
      <c r="B15041">
        <v>2887.61</v>
      </c>
    </row>
    <row r="15042" spans="1:2" x14ac:dyDescent="0.25">
      <c r="A15042" s="5">
        <v>43741</v>
      </c>
      <c r="B15042">
        <v>2910.63</v>
      </c>
    </row>
    <row r="15043" spans="1:2" x14ac:dyDescent="0.25">
      <c r="A15043" s="5">
        <v>43742</v>
      </c>
      <c r="B15043">
        <v>2952.01</v>
      </c>
    </row>
    <row r="15044" spans="1:2" x14ac:dyDescent="0.25">
      <c r="A15044" s="5">
        <v>43745</v>
      </c>
      <c r="B15044">
        <v>2938.79</v>
      </c>
    </row>
    <row r="15045" spans="1:2" x14ac:dyDescent="0.25">
      <c r="A15045" s="5">
        <v>43746</v>
      </c>
      <c r="B15045">
        <v>2893.06</v>
      </c>
    </row>
    <row r="15046" spans="1:2" x14ac:dyDescent="0.25">
      <c r="A15046" s="5">
        <v>43747</v>
      </c>
      <c r="B15046">
        <v>2919.4</v>
      </c>
    </row>
    <row r="15047" spans="1:2" x14ac:dyDescent="0.25">
      <c r="A15047" s="5">
        <v>43748</v>
      </c>
      <c r="B15047">
        <v>2938.13</v>
      </c>
    </row>
    <row r="15048" spans="1:2" x14ac:dyDescent="0.25">
      <c r="A15048" s="5">
        <v>43749</v>
      </c>
      <c r="B15048">
        <v>2970.27</v>
      </c>
    </row>
    <row r="15049" spans="1:2" x14ac:dyDescent="0.25">
      <c r="A15049" s="5">
        <v>43752</v>
      </c>
      <c r="B15049">
        <v>2966.15</v>
      </c>
    </row>
    <row r="15050" spans="1:2" x14ac:dyDescent="0.25">
      <c r="A15050" s="5">
        <v>43753</v>
      </c>
      <c r="B15050">
        <v>2995.68</v>
      </c>
    </row>
    <row r="15051" spans="1:2" x14ac:dyDescent="0.25">
      <c r="A15051" s="5">
        <v>43754</v>
      </c>
      <c r="B15051">
        <v>2989.69</v>
      </c>
    </row>
    <row r="15052" spans="1:2" x14ac:dyDescent="0.25">
      <c r="A15052" s="5">
        <v>43755</v>
      </c>
      <c r="B15052">
        <v>2997.95</v>
      </c>
    </row>
    <row r="15053" spans="1:2" x14ac:dyDescent="0.25">
      <c r="A15053" s="5">
        <v>43756</v>
      </c>
      <c r="B15053">
        <v>2986.2</v>
      </c>
    </row>
    <row r="15054" spans="1:2" x14ac:dyDescent="0.25">
      <c r="A15054" s="5">
        <v>43759</v>
      </c>
      <c r="B15054">
        <v>3006.72</v>
      </c>
    </row>
    <row r="15055" spans="1:2" x14ac:dyDescent="0.25">
      <c r="A15055" s="5">
        <v>43760</v>
      </c>
      <c r="B15055">
        <v>2995.99</v>
      </c>
    </row>
    <row r="15056" spans="1:2" x14ac:dyDescent="0.25">
      <c r="A15056" s="5">
        <v>43761</v>
      </c>
      <c r="B15056">
        <v>3004.52</v>
      </c>
    </row>
    <row r="15057" spans="1:2" x14ac:dyDescent="0.25">
      <c r="A15057" s="5">
        <v>43762</v>
      </c>
      <c r="B15057">
        <v>3010.29</v>
      </c>
    </row>
    <row r="15058" spans="1:2" x14ac:dyDescent="0.25">
      <c r="A15058" s="5">
        <v>43763</v>
      </c>
      <c r="B15058">
        <v>3022.55</v>
      </c>
    </row>
    <row r="15059" spans="1:2" x14ac:dyDescent="0.25">
      <c r="A15059" s="5">
        <v>43766</v>
      </c>
      <c r="B15059">
        <v>3039.42</v>
      </c>
    </row>
    <row r="15060" spans="1:2" x14ac:dyDescent="0.25">
      <c r="A15060" s="5">
        <v>43767</v>
      </c>
      <c r="B15060">
        <v>3036.89</v>
      </c>
    </row>
    <row r="15061" spans="1:2" x14ac:dyDescent="0.25">
      <c r="A15061" s="5">
        <v>43768</v>
      </c>
      <c r="B15061">
        <v>3046.77</v>
      </c>
    </row>
    <row r="15062" spans="1:2" x14ac:dyDescent="0.25">
      <c r="A15062" s="5">
        <v>43769</v>
      </c>
      <c r="B15062">
        <v>3037.56</v>
      </c>
    </row>
    <row r="15063" spans="1:2" x14ac:dyDescent="0.25">
      <c r="A15063" s="5">
        <v>43770</v>
      </c>
      <c r="B15063">
        <v>3066.91</v>
      </c>
    </row>
    <row r="15064" spans="1:2" x14ac:dyDescent="0.25">
      <c r="A15064" s="5">
        <v>43773</v>
      </c>
      <c r="B15064">
        <v>3078.27</v>
      </c>
    </row>
    <row r="15065" spans="1:2" x14ac:dyDescent="0.25">
      <c r="A15065" s="5">
        <v>43774</v>
      </c>
      <c r="B15065">
        <v>3074.62</v>
      </c>
    </row>
    <row r="15066" spans="1:2" x14ac:dyDescent="0.25">
      <c r="A15066" s="5">
        <v>43775</v>
      </c>
      <c r="B15066">
        <v>3076.78</v>
      </c>
    </row>
    <row r="15067" spans="1:2" x14ac:dyDescent="0.25">
      <c r="A15067" s="5">
        <v>43776</v>
      </c>
      <c r="B15067">
        <v>3085.18</v>
      </c>
    </row>
    <row r="15068" spans="1:2" x14ac:dyDescent="0.25">
      <c r="A15068" s="5">
        <v>43777</v>
      </c>
      <c r="B15068">
        <v>3093.08</v>
      </c>
    </row>
    <row r="15069" spans="1:2" x14ac:dyDescent="0.25">
      <c r="A15069" s="5">
        <v>43780</v>
      </c>
      <c r="B15069">
        <v>3087.01</v>
      </c>
    </row>
    <row r="15070" spans="1:2" x14ac:dyDescent="0.25">
      <c r="A15070" s="5">
        <v>43781</v>
      </c>
      <c r="B15070">
        <v>3091.84</v>
      </c>
    </row>
    <row r="15071" spans="1:2" x14ac:dyDescent="0.25">
      <c r="A15071" s="5">
        <v>43782</v>
      </c>
      <c r="B15071">
        <v>3094.04</v>
      </c>
    </row>
    <row r="15072" spans="1:2" x14ac:dyDescent="0.25">
      <c r="A15072" s="5">
        <v>43783</v>
      </c>
      <c r="B15072">
        <v>3096.63</v>
      </c>
    </row>
    <row r="15073" spans="1:2" x14ac:dyDescent="0.25">
      <c r="A15073" s="5">
        <v>43784</v>
      </c>
      <c r="B15073">
        <v>3120.46</v>
      </c>
    </row>
    <row r="15074" spans="1:2" x14ac:dyDescent="0.25">
      <c r="A15074" s="5">
        <v>43787</v>
      </c>
      <c r="B15074">
        <v>3122.03</v>
      </c>
    </row>
    <row r="15075" spans="1:2" x14ac:dyDescent="0.25">
      <c r="A15075" s="5">
        <v>43788</v>
      </c>
      <c r="B15075">
        <v>3120.18</v>
      </c>
    </row>
    <row r="15076" spans="1:2" x14ac:dyDescent="0.25">
      <c r="A15076" s="5">
        <v>43789</v>
      </c>
      <c r="B15076">
        <v>3108.46</v>
      </c>
    </row>
    <row r="15077" spans="1:2" x14ac:dyDescent="0.25">
      <c r="A15077" s="5">
        <v>43790</v>
      </c>
      <c r="B15077">
        <v>3103.54</v>
      </c>
    </row>
    <row r="15078" spans="1:2" x14ac:dyDescent="0.25">
      <c r="A15078" s="5">
        <v>43791</v>
      </c>
      <c r="B15078">
        <v>3110.29</v>
      </c>
    </row>
    <row r="15079" spans="1:2" x14ac:dyDescent="0.25">
      <c r="A15079" s="5">
        <v>43794</v>
      </c>
      <c r="B15079">
        <v>3133.64</v>
      </c>
    </row>
    <row r="15080" spans="1:2" x14ac:dyDescent="0.25">
      <c r="A15080" s="5">
        <v>43795</v>
      </c>
      <c r="B15080">
        <v>3140.52</v>
      </c>
    </row>
    <row r="15081" spans="1:2" x14ac:dyDescent="0.25">
      <c r="A15081" s="5">
        <v>43796</v>
      </c>
      <c r="B15081">
        <v>3153.63</v>
      </c>
    </row>
    <row r="15082" spans="1:2" x14ac:dyDescent="0.25">
      <c r="A15082" s="5">
        <v>43798</v>
      </c>
      <c r="B15082">
        <v>3140.98</v>
      </c>
    </row>
    <row r="15083" spans="1:2" x14ac:dyDescent="0.25">
      <c r="A15083" s="5">
        <v>43801</v>
      </c>
      <c r="B15083">
        <v>3113.87</v>
      </c>
    </row>
    <row r="15084" spans="1:2" x14ac:dyDescent="0.25">
      <c r="A15084" s="5">
        <v>43802</v>
      </c>
      <c r="B15084">
        <v>3093.2</v>
      </c>
    </row>
    <row r="15085" spans="1:2" x14ac:dyDescent="0.25">
      <c r="A15085" s="5">
        <v>43803</v>
      </c>
      <c r="B15085">
        <v>3112.76</v>
      </c>
    </row>
    <row r="15086" spans="1:2" x14ac:dyDescent="0.25">
      <c r="A15086" s="5">
        <v>43804</v>
      </c>
      <c r="B15086">
        <v>3117.43</v>
      </c>
    </row>
    <row r="15087" spans="1:2" x14ac:dyDescent="0.25">
      <c r="A15087" s="5">
        <v>43805</v>
      </c>
      <c r="B15087">
        <v>3145.91</v>
      </c>
    </row>
    <row r="15088" spans="1:2" x14ac:dyDescent="0.25">
      <c r="A15088" s="5">
        <v>43808</v>
      </c>
      <c r="B15088">
        <v>3135.96</v>
      </c>
    </row>
    <row r="15089" spans="1:2" x14ac:dyDescent="0.25">
      <c r="A15089" s="5">
        <v>43809</v>
      </c>
      <c r="B15089">
        <v>3132.52</v>
      </c>
    </row>
    <row r="15090" spans="1:2" x14ac:dyDescent="0.25">
      <c r="A15090" s="5">
        <v>43810</v>
      </c>
      <c r="B15090">
        <v>3141.63</v>
      </c>
    </row>
    <row r="15091" spans="1:2" x14ac:dyDescent="0.25">
      <c r="A15091" s="5">
        <v>43811</v>
      </c>
      <c r="B15091">
        <v>3168.57</v>
      </c>
    </row>
    <row r="15092" spans="1:2" x14ac:dyDescent="0.25">
      <c r="A15092" s="5">
        <v>43812</v>
      </c>
      <c r="B15092">
        <v>3168.8</v>
      </c>
    </row>
    <row r="15093" spans="1:2" x14ac:dyDescent="0.25">
      <c r="A15093" s="5">
        <v>43815</v>
      </c>
      <c r="B15093">
        <v>3191.45</v>
      </c>
    </row>
    <row r="15094" spans="1:2" x14ac:dyDescent="0.25">
      <c r="A15094" s="5">
        <v>43816</v>
      </c>
      <c r="B15094">
        <v>3192.52</v>
      </c>
    </row>
    <row r="15095" spans="1:2" x14ac:dyDescent="0.25">
      <c r="A15095" s="5">
        <v>43817</v>
      </c>
      <c r="B15095">
        <v>3191.14</v>
      </c>
    </row>
    <row r="15096" spans="1:2" x14ac:dyDescent="0.25">
      <c r="A15096" s="5">
        <v>43818</v>
      </c>
      <c r="B15096">
        <v>3205.37</v>
      </c>
    </row>
    <row r="15097" spans="1:2" x14ac:dyDescent="0.25">
      <c r="A15097" s="5">
        <v>43819</v>
      </c>
      <c r="B15097">
        <v>3221.22</v>
      </c>
    </row>
    <row r="15098" spans="1:2" x14ac:dyDescent="0.25">
      <c r="A15098" s="5">
        <v>43822</v>
      </c>
      <c r="B15098">
        <v>3224.01</v>
      </c>
    </row>
    <row r="15099" spans="1:2" x14ac:dyDescent="0.25">
      <c r="A15099" s="5">
        <v>43823</v>
      </c>
      <c r="B15099">
        <v>3223.38</v>
      </c>
    </row>
    <row r="15100" spans="1:2" x14ac:dyDescent="0.25">
      <c r="A15100" s="5">
        <v>43825</v>
      </c>
      <c r="B15100">
        <v>3239.91</v>
      </c>
    </row>
    <row r="15101" spans="1:2" x14ac:dyDescent="0.25">
      <c r="A15101" s="5">
        <v>43826</v>
      </c>
      <c r="B15101">
        <v>3240.02</v>
      </c>
    </row>
    <row r="15102" spans="1:2" x14ac:dyDescent="0.25">
      <c r="A15102" s="5">
        <v>43829</v>
      </c>
      <c r="B15102">
        <v>3221.29</v>
      </c>
    </row>
    <row r="15103" spans="1:2" x14ac:dyDescent="0.25">
      <c r="A15103" s="5">
        <v>43830</v>
      </c>
      <c r="B15103">
        <v>3230.78</v>
      </c>
    </row>
    <row r="15104" spans="1:2" x14ac:dyDescent="0.25">
      <c r="A15104" s="5">
        <v>43832</v>
      </c>
      <c r="B15104">
        <v>3257.85</v>
      </c>
    </row>
    <row r="15105" spans="1:2" x14ac:dyDescent="0.25">
      <c r="A15105" s="5">
        <v>43833</v>
      </c>
      <c r="B15105">
        <v>3234.85</v>
      </c>
    </row>
    <row r="15106" spans="1:2" x14ac:dyDescent="0.25">
      <c r="A15106" s="5">
        <v>43836</v>
      </c>
      <c r="B15106">
        <v>3246.28</v>
      </c>
    </row>
    <row r="15107" spans="1:2" x14ac:dyDescent="0.25">
      <c r="A15107" s="5">
        <v>43837</v>
      </c>
      <c r="B15107">
        <v>3237.18</v>
      </c>
    </row>
    <row r="15108" spans="1:2" x14ac:dyDescent="0.25">
      <c r="A15108" s="5">
        <v>43838</v>
      </c>
      <c r="B15108">
        <v>3253.05</v>
      </c>
    </row>
    <row r="15109" spans="1:2" x14ac:dyDescent="0.25">
      <c r="A15109" s="5">
        <v>43839</v>
      </c>
      <c r="B15109">
        <v>3274.7</v>
      </c>
    </row>
    <row r="15110" spans="1:2" x14ac:dyDescent="0.25">
      <c r="A15110" s="5">
        <v>43840</v>
      </c>
      <c r="B15110">
        <v>3265.35</v>
      </c>
    </row>
    <row r="15111" spans="1:2" x14ac:dyDescent="0.25">
      <c r="A15111" s="5">
        <v>43843</v>
      </c>
      <c r="B15111">
        <v>3288.13</v>
      </c>
    </row>
    <row r="15112" spans="1:2" x14ac:dyDescent="0.25">
      <c r="A15112" s="5">
        <v>43844</v>
      </c>
      <c r="B15112">
        <v>3283.15</v>
      </c>
    </row>
    <row r="15113" spans="1:2" x14ac:dyDescent="0.25">
      <c r="A15113" s="5">
        <v>43845</v>
      </c>
      <c r="B15113">
        <v>3289.29</v>
      </c>
    </row>
    <row r="15114" spans="1:2" x14ac:dyDescent="0.25">
      <c r="A15114" s="5">
        <v>43846</v>
      </c>
      <c r="B15114">
        <v>3316.81</v>
      </c>
    </row>
    <row r="15115" spans="1:2" x14ac:dyDescent="0.25">
      <c r="A15115" s="5">
        <v>43847</v>
      </c>
      <c r="B15115">
        <v>3329.62</v>
      </c>
    </row>
    <row r="15116" spans="1:2" x14ac:dyDescent="0.25">
      <c r="A15116" s="5">
        <v>43851</v>
      </c>
      <c r="B15116">
        <v>3320.79</v>
      </c>
    </row>
    <row r="15117" spans="1:2" x14ac:dyDescent="0.25">
      <c r="A15117" s="5">
        <v>43852</v>
      </c>
      <c r="B15117">
        <v>3321.75</v>
      </c>
    </row>
    <row r="15118" spans="1:2" x14ac:dyDescent="0.25">
      <c r="A15118" s="5">
        <v>43853</v>
      </c>
      <c r="B15118">
        <v>3325.54</v>
      </c>
    </row>
    <row r="15119" spans="1:2" x14ac:dyDescent="0.25">
      <c r="A15119" s="5">
        <v>43854</v>
      </c>
      <c r="B15119">
        <v>3295.47</v>
      </c>
    </row>
    <row r="15120" spans="1:2" x14ac:dyDescent="0.25">
      <c r="A15120" s="5">
        <v>43857</v>
      </c>
      <c r="B15120">
        <v>3243.63</v>
      </c>
    </row>
    <row r="15121" spans="1:2" x14ac:dyDescent="0.25">
      <c r="A15121" s="5">
        <v>43858</v>
      </c>
      <c r="B15121">
        <v>3276.24</v>
      </c>
    </row>
    <row r="15122" spans="1:2" x14ac:dyDescent="0.25">
      <c r="A15122" s="5">
        <v>43859</v>
      </c>
      <c r="B15122">
        <v>3273.4</v>
      </c>
    </row>
    <row r="15123" spans="1:2" x14ac:dyDescent="0.25">
      <c r="A15123" s="5">
        <v>43860</v>
      </c>
      <c r="B15123">
        <v>3283.66</v>
      </c>
    </row>
    <row r="15124" spans="1:2" x14ac:dyDescent="0.25">
      <c r="A15124" s="5">
        <v>43861</v>
      </c>
      <c r="B15124">
        <v>3225.52</v>
      </c>
    </row>
    <row r="15125" spans="1:2" x14ac:dyDescent="0.25">
      <c r="A15125" s="5">
        <v>43864</v>
      </c>
      <c r="B15125">
        <v>3248.92</v>
      </c>
    </row>
    <row r="15126" spans="1:2" x14ac:dyDescent="0.25">
      <c r="A15126" s="5">
        <v>43865</v>
      </c>
      <c r="B15126">
        <v>3297.59</v>
      </c>
    </row>
    <row r="15127" spans="1:2" x14ac:dyDescent="0.25">
      <c r="A15127" s="5">
        <v>43866</v>
      </c>
      <c r="B15127">
        <v>3334.69</v>
      </c>
    </row>
    <row r="15128" spans="1:2" x14ac:dyDescent="0.25">
      <c r="A15128" s="5">
        <v>43867</v>
      </c>
      <c r="B15128">
        <v>3345.78</v>
      </c>
    </row>
    <row r="15129" spans="1:2" x14ac:dyDescent="0.25">
      <c r="A15129" s="5">
        <v>43868</v>
      </c>
      <c r="B15129">
        <v>3327.71</v>
      </c>
    </row>
    <row r="15130" spans="1:2" x14ac:dyDescent="0.25">
      <c r="A15130" s="5">
        <v>43871</v>
      </c>
      <c r="B15130">
        <v>3352.09</v>
      </c>
    </row>
    <row r="15131" spans="1:2" x14ac:dyDescent="0.25">
      <c r="A15131" s="5">
        <v>43872</v>
      </c>
      <c r="B15131">
        <v>3357.75</v>
      </c>
    </row>
    <row r="15132" spans="1:2" x14ac:dyDescent="0.25">
      <c r="A15132" s="5">
        <v>43873</v>
      </c>
      <c r="B15132">
        <v>3379.45</v>
      </c>
    </row>
    <row r="15133" spans="1:2" x14ac:dyDescent="0.25">
      <c r="A15133" s="5">
        <v>43874</v>
      </c>
      <c r="B15133">
        <v>3373.94</v>
      </c>
    </row>
    <row r="15134" spans="1:2" x14ac:dyDescent="0.25">
      <c r="A15134" s="5">
        <v>43875</v>
      </c>
      <c r="B15134">
        <v>3380.16</v>
      </c>
    </row>
    <row r="15135" spans="1:2" x14ac:dyDescent="0.25">
      <c r="A15135" s="5">
        <v>43879</v>
      </c>
      <c r="B15135">
        <v>3370.29</v>
      </c>
    </row>
    <row r="15136" spans="1:2" x14ac:dyDescent="0.25">
      <c r="A15136" s="5">
        <v>43880</v>
      </c>
      <c r="B15136">
        <v>3386.15</v>
      </c>
    </row>
    <row r="15137" spans="1:2" x14ac:dyDescent="0.25">
      <c r="A15137" s="5">
        <v>43881</v>
      </c>
      <c r="B15137">
        <v>3373.23</v>
      </c>
    </row>
    <row r="15138" spans="1:2" x14ac:dyDescent="0.25">
      <c r="A15138" s="5">
        <v>43882</v>
      </c>
      <c r="B15138">
        <v>3337.75</v>
      </c>
    </row>
    <row r="15139" spans="1:2" x14ac:dyDescent="0.25">
      <c r="A15139" s="5">
        <v>43885</v>
      </c>
      <c r="B15139">
        <v>3225.89</v>
      </c>
    </row>
    <row r="15140" spans="1:2" x14ac:dyDescent="0.25">
      <c r="A15140" s="5">
        <v>43886</v>
      </c>
      <c r="B15140">
        <v>3128.21</v>
      </c>
    </row>
    <row r="15141" spans="1:2" x14ac:dyDescent="0.25">
      <c r="A15141" s="5">
        <v>43887</v>
      </c>
      <c r="B15141">
        <v>3116.39</v>
      </c>
    </row>
    <row r="15142" spans="1:2" x14ac:dyDescent="0.25">
      <c r="A15142" s="5">
        <v>43888</v>
      </c>
      <c r="B15142">
        <v>2978.76</v>
      </c>
    </row>
    <row r="15143" spans="1:2" x14ac:dyDescent="0.25">
      <c r="A15143" s="5">
        <v>43889</v>
      </c>
      <c r="B15143">
        <v>2954.22</v>
      </c>
    </row>
    <row r="15144" spans="1:2" x14ac:dyDescent="0.25">
      <c r="A15144" s="5">
        <v>43892</v>
      </c>
      <c r="B15144">
        <v>3090.23</v>
      </c>
    </row>
    <row r="15145" spans="1:2" x14ac:dyDescent="0.25">
      <c r="A15145" s="5">
        <v>43893</v>
      </c>
      <c r="B15145">
        <v>3003.37</v>
      </c>
    </row>
    <row r="15146" spans="1:2" x14ac:dyDescent="0.25">
      <c r="A15146" s="5">
        <v>43894</v>
      </c>
      <c r="B15146">
        <v>3130.12</v>
      </c>
    </row>
    <row r="15147" spans="1:2" x14ac:dyDescent="0.25">
      <c r="A15147" s="5">
        <v>43895</v>
      </c>
      <c r="B15147">
        <v>3023.94</v>
      </c>
    </row>
    <row r="15148" spans="1:2" x14ac:dyDescent="0.25">
      <c r="A15148" s="5">
        <v>43896</v>
      </c>
      <c r="B15148">
        <v>2972.37</v>
      </c>
    </row>
    <row r="15149" spans="1:2" x14ac:dyDescent="0.25">
      <c r="A15149" s="5">
        <v>43899</v>
      </c>
      <c r="B15149">
        <v>2746.56</v>
      </c>
    </row>
    <row r="15150" spans="1:2" x14ac:dyDescent="0.25">
      <c r="A15150" s="5">
        <v>43900</v>
      </c>
      <c r="B15150">
        <v>2882.23</v>
      </c>
    </row>
    <row r="15151" spans="1:2" x14ac:dyDescent="0.25">
      <c r="A15151" s="5">
        <v>43901</v>
      </c>
      <c r="B15151">
        <v>2741.38</v>
      </c>
    </row>
    <row r="15152" spans="1:2" x14ac:dyDescent="0.25">
      <c r="A15152" s="5">
        <v>43902</v>
      </c>
      <c r="B15152">
        <v>2480.64</v>
      </c>
    </row>
    <row r="15153" spans="1:2" x14ac:dyDescent="0.25">
      <c r="A15153" s="5">
        <v>43903</v>
      </c>
      <c r="B15153">
        <v>2711.02</v>
      </c>
    </row>
    <row r="15154" spans="1:2" x14ac:dyDescent="0.25">
      <c r="A15154" s="5">
        <v>43906</v>
      </c>
      <c r="B15154">
        <v>2386.13</v>
      </c>
    </row>
    <row r="15155" spans="1:2" x14ac:dyDescent="0.25">
      <c r="A15155" s="5">
        <v>43907</v>
      </c>
      <c r="B15155">
        <v>2529.19</v>
      </c>
    </row>
    <row r="15156" spans="1:2" x14ac:dyDescent="0.25">
      <c r="A15156" s="5">
        <v>43908</v>
      </c>
      <c r="B15156">
        <v>2398.1</v>
      </c>
    </row>
    <row r="15157" spans="1:2" x14ac:dyDescent="0.25">
      <c r="A15157" s="5">
        <v>43909</v>
      </c>
      <c r="B15157">
        <v>2409.39</v>
      </c>
    </row>
    <row r="15158" spans="1:2" x14ac:dyDescent="0.25">
      <c r="A15158" s="5">
        <v>43910</v>
      </c>
      <c r="B15158">
        <v>2304.92</v>
      </c>
    </row>
    <row r="15159" spans="1:2" x14ac:dyDescent="0.25">
      <c r="A15159" s="5">
        <v>43913</v>
      </c>
      <c r="B15159">
        <v>2237.4</v>
      </c>
    </row>
    <row r="15160" spans="1:2" x14ac:dyDescent="0.25">
      <c r="A15160" s="5">
        <v>43914</v>
      </c>
      <c r="B15160">
        <v>2447.33</v>
      </c>
    </row>
    <row r="15161" spans="1:2" x14ac:dyDescent="0.25">
      <c r="A15161" s="5">
        <v>43915</v>
      </c>
      <c r="B15161">
        <v>2475.56</v>
      </c>
    </row>
    <row r="15162" spans="1:2" x14ac:dyDescent="0.25">
      <c r="A15162" s="5">
        <v>43916</v>
      </c>
      <c r="B15162">
        <v>2630.07</v>
      </c>
    </row>
    <row r="15163" spans="1:2" x14ac:dyDescent="0.25">
      <c r="A15163" s="5">
        <v>43917</v>
      </c>
      <c r="B15163">
        <v>2541.4699999999998</v>
      </c>
    </row>
    <row r="15164" spans="1:2" x14ac:dyDescent="0.25">
      <c r="A15164" s="5">
        <v>43920</v>
      </c>
      <c r="B15164">
        <v>2626.65</v>
      </c>
    </row>
    <row r="15165" spans="1:2" x14ac:dyDescent="0.25">
      <c r="A15165" s="5">
        <v>43921</v>
      </c>
      <c r="B15165">
        <v>2584.59</v>
      </c>
    </row>
    <row r="15166" spans="1:2" x14ac:dyDescent="0.25">
      <c r="A15166" s="5">
        <v>43922</v>
      </c>
      <c r="B15166">
        <v>2470.5</v>
      </c>
    </row>
    <row r="15167" spans="1:2" x14ac:dyDescent="0.25">
      <c r="A15167" s="5">
        <v>43923</v>
      </c>
      <c r="B15167">
        <v>2526.9</v>
      </c>
    </row>
    <row r="15168" spans="1:2" x14ac:dyDescent="0.25">
      <c r="A15168" s="5">
        <v>43924</v>
      </c>
      <c r="B15168">
        <v>2488.65</v>
      </c>
    </row>
    <row r="15169" spans="1:2" x14ac:dyDescent="0.25">
      <c r="A15169" s="5">
        <v>43927</v>
      </c>
      <c r="B15169">
        <v>2663.68</v>
      </c>
    </row>
    <row r="15170" spans="1:2" x14ac:dyDescent="0.25">
      <c r="A15170" s="5">
        <v>43928</v>
      </c>
      <c r="B15170">
        <v>2659.41</v>
      </c>
    </row>
    <row r="15171" spans="1:2" x14ac:dyDescent="0.25">
      <c r="A15171" s="5">
        <v>43929</v>
      </c>
      <c r="B15171">
        <v>2749.98</v>
      </c>
    </row>
    <row r="15172" spans="1:2" x14ac:dyDescent="0.25">
      <c r="A15172" s="5">
        <v>43930</v>
      </c>
      <c r="B15172">
        <v>2789.82</v>
      </c>
    </row>
    <row r="15173" spans="1:2" x14ac:dyDescent="0.25">
      <c r="A15173" s="5">
        <v>43934</v>
      </c>
      <c r="B15173">
        <v>2761.63</v>
      </c>
    </row>
    <row r="15174" spans="1:2" x14ac:dyDescent="0.25">
      <c r="A15174" s="5">
        <v>43935</v>
      </c>
      <c r="B15174">
        <v>2846.06</v>
      </c>
    </row>
    <row r="15175" spans="1:2" x14ac:dyDescent="0.25">
      <c r="A15175" s="5">
        <v>43936</v>
      </c>
      <c r="B15175">
        <v>2783.36</v>
      </c>
    </row>
    <row r="15176" spans="1:2" x14ac:dyDescent="0.25">
      <c r="A15176" s="5">
        <v>43937</v>
      </c>
      <c r="B15176">
        <v>2799.55</v>
      </c>
    </row>
    <row r="15177" spans="1:2" x14ac:dyDescent="0.25">
      <c r="A15177" s="5">
        <v>43938</v>
      </c>
      <c r="B15177">
        <v>2874.56</v>
      </c>
    </row>
    <row r="15178" spans="1:2" x14ac:dyDescent="0.25">
      <c r="A15178" s="5">
        <v>43941</v>
      </c>
      <c r="B15178">
        <v>2823.16</v>
      </c>
    </row>
    <row r="15179" spans="1:2" x14ac:dyDescent="0.25">
      <c r="A15179" s="5">
        <v>43942</v>
      </c>
      <c r="B15179">
        <v>2736.56</v>
      </c>
    </row>
    <row r="15180" spans="1:2" x14ac:dyDescent="0.25">
      <c r="A15180" s="5">
        <v>43943</v>
      </c>
      <c r="B15180">
        <v>2799.31</v>
      </c>
    </row>
    <row r="15181" spans="1:2" x14ac:dyDescent="0.25">
      <c r="A15181" s="5">
        <v>43944</v>
      </c>
      <c r="B15181">
        <v>2797.8</v>
      </c>
    </row>
    <row r="15182" spans="1:2" x14ac:dyDescent="0.25">
      <c r="A15182" s="5">
        <v>43945</v>
      </c>
      <c r="B15182">
        <v>2836.74</v>
      </c>
    </row>
    <row r="15183" spans="1:2" x14ac:dyDescent="0.25">
      <c r="A15183" s="5">
        <v>43948</v>
      </c>
      <c r="B15183">
        <v>2878.48</v>
      </c>
    </row>
    <row r="15184" spans="1:2" x14ac:dyDescent="0.25">
      <c r="A15184" s="5">
        <v>43949</v>
      </c>
      <c r="B15184">
        <v>2863.39</v>
      </c>
    </row>
    <row r="15185" spans="1:2" x14ac:dyDescent="0.25">
      <c r="A15185" s="5">
        <v>43950</v>
      </c>
      <c r="B15185">
        <v>2939.51</v>
      </c>
    </row>
    <row r="15186" spans="1:2" x14ac:dyDescent="0.25">
      <c r="A15186" s="5">
        <v>43951</v>
      </c>
      <c r="B15186">
        <v>2912.43</v>
      </c>
    </row>
    <row r="15187" spans="1:2" x14ac:dyDescent="0.25">
      <c r="A15187" s="5">
        <v>43952</v>
      </c>
      <c r="B15187">
        <v>2830.71</v>
      </c>
    </row>
    <row r="15188" spans="1:2" x14ac:dyDescent="0.25">
      <c r="A15188" s="5">
        <v>43955</v>
      </c>
      <c r="B15188">
        <v>2842.74</v>
      </c>
    </row>
    <row r="15189" spans="1:2" x14ac:dyDescent="0.25">
      <c r="A15189" s="5">
        <v>43956</v>
      </c>
      <c r="B15189">
        <v>2868.44</v>
      </c>
    </row>
    <row r="15190" spans="1:2" x14ac:dyDescent="0.25">
      <c r="A15190" s="5">
        <v>43957</v>
      </c>
      <c r="B15190">
        <v>2848.42</v>
      </c>
    </row>
    <row r="15191" spans="1:2" x14ac:dyDescent="0.25">
      <c r="A15191" s="5">
        <v>43958</v>
      </c>
      <c r="B15191">
        <v>2881.19</v>
      </c>
    </row>
    <row r="15192" spans="1:2" x14ac:dyDescent="0.25">
      <c r="A15192" s="5">
        <v>43959</v>
      </c>
      <c r="B15192">
        <v>2929.8</v>
      </c>
    </row>
    <row r="15193" spans="1:2" x14ac:dyDescent="0.25">
      <c r="A15193" s="5">
        <v>43962</v>
      </c>
      <c r="B15193">
        <v>2930.32</v>
      </c>
    </row>
    <row r="15194" spans="1:2" x14ac:dyDescent="0.25">
      <c r="A15194" s="5">
        <v>43963</v>
      </c>
      <c r="B15194">
        <v>2870.12</v>
      </c>
    </row>
    <row r="15195" spans="1:2" x14ac:dyDescent="0.25">
      <c r="A15195" s="5">
        <v>43964</v>
      </c>
      <c r="B15195">
        <v>2820</v>
      </c>
    </row>
    <row r="15196" spans="1:2" x14ac:dyDescent="0.25">
      <c r="A15196" s="5">
        <v>43965</v>
      </c>
      <c r="B15196">
        <v>2852.5</v>
      </c>
    </row>
    <row r="15197" spans="1:2" x14ac:dyDescent="0.25">
      <c r="A15197" s="5">
        <v>43966</v>
      </c>
      <c r="B15197">
        <v>2863.7</v>
      </c>
    </row>
    <row r="15198" spans="1:2" x14ac:dyDescent="0.25">
      <c r="A15198" s="5">
        <v>43969</v>
      </c>
      <c r="B15198">
        <v>2953.91</v>
      </c>
    </row>
    <row r="15199" spans="1:2" x14ac:dyDescent="0.25">
      <c r="A15199" s="5">
        <v>43970</v>
      </c>
      <c r="B15199">
        <v>2922.94</v>
      </c>
    </row>
    <row r="15200" spans="1:2" x14ac:dyDescent="0.25">
      <c r="A15200" s="5">
        <v>43971</v>
      </c>
      <c r="B15200">
        <v>2971.61</v>
      </c>
    </row>
    <row r="15201" spans="1:2" x14ac:dyDescent="0.25">
      <c r="A15201" s="5">
        <v>43972</v>
      </c>
      <c r="B15201">
        <v>2948.51</v>
      </c>
    </row>
    <row r="15202" spans="1:2" x14ac:dyDescent="0.25">
      <c r="A15202" s="5">
        <v>43973</v>
      </c>
      <c r="B15202">
        <v>2955.45</v>
      </c>
    </row>
    <row r="15203" spans="1:2" x14ac:dyDescent="0.25">
      <c r="A15203" s="5">
        <v>43977</v>
      </c>
      <c r="B15203">
        <v>2991.77</v>
      </c>
    </row>
    <row r="15204" spans="1:2" x14ac:dyDescent="0.25">
      <c r="A15204" s="5">
        <v>43978</v>
      </c>
      <c r="B15204">
        <v>3036.13</v>
      </c>
    </row>
    <row r="15205" spans="1:2" x14ac:dyDescent="0.25">
      <c r="A15205" s="5">
        <v>43979</v>
      </c>
      <c r="B15205">
        <v>3029.73</v>
      </c>
    </row>
    <row r="15206" spans="1:2" x14ac:dyDescent="0.25">
      <c r="A15206" s="5">
        <v>43980</v>
      </c>
      <c r="B15206">
        <v>3044.31</v>
      </c>
    </row>
    <row r="15207" spans="1:2" x14ac:dyDescent="0.25">
      <c r="A15207" s="5">
        <v>43983</v>
      </c>
      <c r="B15207">
        <v>3055.73</v>
      </c>
    </row>
    <row r="15208" spans="1:2" x14ac:dyDescent="0.25">
      <c r="A15208" s="5">
        <v>43984</v>
      </c>
      <c r="B15208">
        <v>3080.82</v>
      </c>
    </row>
    <row r="15209" spans="1:2" x14ac:dyDescent="0.25">
      <c r="A15209" s="5">
        <v>43985</v>
      </c>
      <c r="B15209">
        <v>3122.87</v>
      </c>
    </row>
    <row r="15210" spans="1:2" x14ac:dyDescent="0.25">
      <c r="A15210" s="5">
        <v>43986</v>
      </c>
      <c r="B15210">
        <v>3112.35</v>
      </c>
    </row>
    <row r="15211" spans="1:2" x14ac:dyDescent="0.25">
      <c r="A15211" s="5">
        <v>43987</v>
      </c>
      <c r="B15211">
        <v>3193.93</v>
      </c>
    </row>
    <row r="15212" spans="1:2" x14ac:dyDescent="0.25">
      <c r="A15212" s="5">
        <v>43990</v>
      </c>
      <c r="B15212">
        <v>3232.39</v>
      </c>
    </row>
    <row r="15213" spans="1:2" x14ac:dyDescent="0.25">
      <c r="A15213" s="5">
        <v>43991</v>
      </c>
      <c r="B15213">
        <v>3207.18</v>
      </c>
    </row>
    <row r="15214" spans="1:2" x14ac:dyDescent="0.25">
      <c r="A15214" s="5">
        <v>43992</v>
      </c>
      <c r="B15214">
        <v>3190.14</v>
      </c>
    </row>
    <row r="15215" spans="1:2" x14ac:dyDescent="0.25">
      <c r="A15215" s="5">
        <v>43993</v>
      </c>
      <c r="B15215">
        <v>3002.1</v>
      </c>
    </row>
    <row r="15216" spans="1:2" x14ac:dyDescent="0.25">
      <c r="A15216" s="5">
        <v>43994</v>
      </c>
      <c r="B15216">
        <v>3041.31</v>
      </c>
    </row>
    <row r="15217" spans="1:2" x14ac:dyDescent="0.25">
      <c r="A15217" s="5">
        <v>43997</v>
      </c>
      <c r="B15217">
        <v>3066.59</v>
      </c>
    </row>
    <row r="15218" spans="1:2" x14ac:dyDescent="0.25">
      <c r="A15218" s="5">
        <v>43998</v>
      </c>
      <c r="B15218">
        <v>3124.74</v>
      </c>
    </row>
    <row r="15219" spans="1:2" x14ac:dyDescent="0.25">
      <c r="A15219" s="5">
        <v>43999</v>
      </c>
      <c r="B15219">
        <v>3113.49</v>
      </c>
    </row>
    <row r="15220" spans="1:2" x14ac:dyDescent="0.25">
      <c r="A15220" s="5">
        <v>44000</v>
      </c>
      <c r="B15220">
        <v>3115.34</v>
      </c>
    </row>
    <row r="15221" spans="1:2" x14ac:dyDescent="0.25">
      <c r="A15221" s="5">
        <v>44001</v>
      </c>
      <c r="B15221">
        <v>3097.74</v>
      </c>
    </row>
    <row r="15222" spans="1:2" x14ac:dyDescent="0.25">
      <c r="A15222" s="5">
        <v>44004</v>
      </c>
      <c r="B15222">
        <v>3117.86</v>
      </c>
    </row>
    <row r="15223" spans="1:2" x14ac:dyDescent="0.25">
      <c r="A15223" s="5">
        <v>44005</v>
      </c>
      <c r="B15223">
        <v>3131.29</v>
      </c>
    </row>
    <row r="15224" spans="1:2" x14ac:dyDescent="0.25">
      <c r="A15224" s="5">
        <v>44006</v>
      </c>
      <c r="B15224">
        <v>3050.33</v>
      </c>
    </row>
    <row r="15225" spans="1:2" x14ac:dyDescent="0.25">
      <c r="A15225" s="5">
        <v>44007</v>
      </c>
      <c r="B15225">
        <v>3083.76</v>
      </c>
    </row>
    <row r="15226" spans="1:2" x14ac:dyDescent="0.25">
      <c r="A15226" s="5">
        <v>44008</v>
      </c>
      <c r="B15226">
        <v>3009.05</v>
      </c>
    </row>
    <row r="15227" spans="1:2" x14ac:dyDescent="0.25">
      <c r="A15227" s="5">
        <v>44011</v>
      </c>
      <c r="B15227">
        <v>3053.24</v>
      </c>
    </row>
    <row r="15228" spans="1:2" x14ac:dyDescent="0.25">
      <c r="A15228" s="5">
        <v>44012</v>
      </c>
      <c r="B15228">
        <v>3100.29</v>
      </c>
    </row>
    <row r="15229" spans="1:2" x14ac:dyDescent="0.25">
      <c r="A15229" s="5">
        <v>44013</v>
      </c>
      <c r="B15229">
        <v>3115.86</v>
      </c>
    </row>
    <row r="15230" spans="1:2" x14ac:dyDescent="0.25">
      <c r="A15230" s="5">
        <v>44014</v>
      </c>
      <c r="B15230">
        <v>3130.01</v>
      </c>
    </row>
    <row r="15231" spans="1:2" x14ac:dyDescent="0.25">
      <c r="A15231" s="5">
        <v>44018</v>
      </c>
      <c r="B15231">
        <v>3179.72</v>
      </c>
    </row>
    <row r="15232" spans="1:2" x14ac:dyDescent="0.25">
      <c r="A15232" s="5">
        <v>44019</v>
      </c>
      <c r="B15232">
        <v>3145.32</v>
      </c>
    </row>
    <row r="15233" spans="1:2" x14ac:dyDescent="0.25">
      <c r="A15233" s="5">
        <v>44020</v>
      </c>
      <c r="B15233">
        <v>3169.94</v>
      </c>
    </row>
    <row r="15234" spans="1:2" x14ac:dyDescent="0.25">
      <c r="A15234" s="5">
        <v>44021</v>
      </c>
      <c r="B15234">
        <v>3152.05</v>
      </c>
    </row>
    <row r="15235" spans="1:2" x14ac:dyDescent="0.25">
      <c r="A15235" s="5">
        <v>44022</v>
      </c>
      <c r="B15235">
        <v>3185.04</v>
      </c>
    </row>
    <row r="15236" spans="1:2" x14ac:dyDescent="0.25">
      <c r="A15236" s="5">
        <v>44025</v>
      </c>
      <c r="B15236">
        <v>3155.22</v>
      </c>
    </row>
    <row r="15237" spans="1:2" x14ac:dyDescent="0.25">
      <c r="A15237" s="5">
        <v>44026</v>
      </c>
      <c r="B15237">
        <v>3197.52</v>
      </c>
    </row>
    <row r="15238" spans="1:2" x14ac:dyDescent="0.25">
      <c r="A15238" s="5">
        <v>44027</v>
      </c>
      <c r="B15238">
        <v>3226.56</v>
      </c>
    </row>
    <row r="15239" spans="1:2" x14ac:dyDescent="0.25">
      <c r="A15239" s="5">
        <v>44028</v>
      </c>
      <c r="B15239">
        <v>3215.57</v>
      </c>
    </row>
    <row r="15240" spans="1:2" x14ac:dyDescent="0.25">
      <c r="A15240" s="5">
        <v>44029</v>
      </c>
      <c r="B15240">
        <v>3224.73</v>
      </c>
    </row>
    <row r="15241" spans="1:2" x14ac:dyDescent="0.25">
      <c r="A15241" s="5">
        <v>44032</v>
      </c>
      <c r="B15241">
        <v>3251.84</v>
      </c>
    </row>
    <row r="15242" spans="1:2" x14ac:dyDescent="0.25">
      <c r="A15242" s="5">
        <v>44033</v>
      </c>
      <c r="B15242">
        <v>3257.3</v>
      </c>
    </row>
    <row r="15243" spans="1:2" x14ac:dyDescent="0.25">
      <c r="A15243" s="5">
        <v>44034</v>
      </c>
      <c r="B15243">
        <v>3276.02</v>
      </c>
    </row>
    <row r="15244" spans="1:2" x14ac:dyDescent="0.25">
      <c r="A15244" s="5">
        <v>44035</v>
      </c>
      <c r="B15244">
        <v>3235.66</v>
      </c>
    </row>
    <row r="15245" spans="1:2" x14ac:dyDescent="0.25">
      <c r="A15245" s="5">
        <v>44036</v>
      </c>
      <c r="B15245">
        <v>3215.63</v>
      </c>
    </row>
    <row r="15246" spans="1:2" x14ac:dyDescent="0.25">
      <c r="A15246" s="5">
        <v>44039</v>
      </c>
      <c r="B15246">
        <v>3239.41</v>
      </c>
    </row>
    <row r="15247" spans="1:2" x14ac:dyDescent="0.25">
      <c r="A15247" s="5">
        <v>44040</v>
      </c>
      <c r="B15247">
        <v>3218.44</v>
      </c>
    </row>
    <row r="15248" spans="1:2" x14ac:dyDescent="0.25">
      <c r="A15248" s="5">
        <v>44041</v>
      </c>
      <c r="B15248">
        <v>3258.44</v>
      </c>
    </row>
    <row r="15249" spans="1:2" x14ac:dyDescent="0.25">
      <c r="A15249" s="5">
        <v>44042</v>
      </c>
      <c r="B15249">
        <v>3246.22</v>
      </c>
    </row>
    <row r="15250" spans="1:2" x14ac:dyDescent="0.25">
      <c r="A15250" s="5">
        <v>44043</v>
      </c>
      <c r="B15250">
        <v>3271.12</v>
      </c>
    </row>
    <row r="15251" spans="1:2" x14ac:dyDescent="0.25">
      <c r="A15251" s="5">
        <v>44046</v>
      </c>
      <c r="B15251">
        <v>3294.61</v>
      </c>
    </row>
    <row r="15252" spans="1:2" x14ac:dyDescent="0.25">
      <c r="A15252" s="5">
        <v>44047</v>
      </c>
      <c r="B15252">
        <v>3306.51</v>
      </c>
    </row>
    <row r="15253" spans="1:2" x14ac:dyDescent="0.25">
      <c r="A15253" s="5">
        <v>44048</v>
      </c>
      <c r="B15253">
        <v>3327.77</v>
      </c>
    </row>
    <row r="15254" spans="1:2" x14ac:dyDescent="0.25">
      <c r="A15254" s="5">
        <v>44049</v>
      </c>
      <c r="B15254">
        <v>3349.16</v>
      </c>
    </row>
    <row r="15255" spans="1:2" x14ac:dyDescent="0.25">
      <c r="A15255" s="5">
        <v>44050</v>
      </c>
      <c r="B15255">
        <v>3351.28</v>
      </c>
    </row>
    <row r="15256" spans="1:2" x14ac:dyDescent="0.25">
      <c r="A15256" s="5">
        <v>44053</v>
      </c>
      <c r="B15256">
        <v>3360.47</v>
      </c>
    </row>
    <row r="15257" spans="1:2" x14ac:dyDescent="0.25">
      <c r="A15257" s="5">
        <v>44054</v>
      </c>
      <c r="B15257">
        <v>3333.69</v>
      </c>
    </row>
    <row r="15258" spans="1:2" x14ac:dyDescent="0.25">
      <c r="A15258" s="5">
        <v>44055</v>
      </c>
      <c r="B15258">
        <v>3380.35</v>
      </c>
    </row>
    <row r="15259" spans="1:2" x14ac:dyDescent="0.25">
      <c r="A15259" s="5">
        <v>44056</v>
      </c>
      <c r="B15259">
        <v>3373.43</v>
      </c>
    </row>
    <row r="15260" spans="1:2" x14ac:dyDescent="0.25">
      <c r="A15260" s="5">
        <v>44057</v>
      </c>
      <c r="B15260">
        <v>3372.85</v>
      </c>
    </row>
    <row r="15261" spans="1:2" x14ac:dyDescent="0.25">
      <c r="A15261" s="5">
        <v>44060</v>
      </c>
      <c r="B15261">
        <v>3381.99</v>
      </c>
    </row>
    <row r="15262" spans="1:2" x14ac:dyDescent="0.25">
      <c r="A15262" s="5">
        <v>44061</v>
      </c>
      <c r="B15262">
        <v>3389.78</v>
      </c>
    </row>
    <row r="15263" spans="1:2" x14ac:dyDescent="0.25">
      <c r="A15263" s="5">
        <v>44062</v>
      </c>
      <c r="B15263">
        <v>3374.85</v>
      </c>
    </row>
    <row r="15264" spans="1:2" x14ac:dyDescent="0.25">
      <c r="A15264" s="5">
        <v>44063</v>
      </c>
      <c r="B15264">
        <v>3385.51</v>
      </c>
    </row>
    <row r="15265" spans="1:2" x14ac:dyDescent="0.25">
      <c r="A15265" s="5">
        <v>44064</v>
      </c>
      <c r="B15265">
        <v>3397.16</v>
      </c>
    </row>
    <row r="15266" spans="1:2" x14ac:dyDescent="0.25">
      <c r="A15266" s="5">
        <v>44067</v>
      </c>
      <c r="B15266">
        <v>3431.28</v>
      </c>
    </row>
    <row r="15267" spans="1:2" x14ac:dyDescent="0.25">
      <c r="A15267" s="5">
        <v>44068</v>
      </c>
      <c r="B15267">
        <v>3443.62</v>
      </c>
    </row>
    <row r="15268" spans="1:2" x14ac:dyDescent="0.25">
      <c r="A15268" s="5">
        <v>44069</v>
      </c>
      <c r="B15268">
        <v>3478.73</v>
      </c>
    </row>
    <row r="15269" spans="1:2" x14ac:dyDescent="0.25">
      <c r="A15269" s="5">
        <v>44070</v>
      </c>
      <c r="B15269">
        <v>3484.55</v>
      </c>
    </row>
    <row r="15270" spans="1:2" x14ac:dyDescent="0.25">
      <c r="A15270" s="5">
        <v>44071</v>
      </c>
      <c r="B15270">
        <v>3508.01</v>
      </c>
    </row>
    <row r="15271" spans="1:2" x14ac:dyDescent="0.25">
      <c r="A15271" s="5">
        <v>44074</v>
      </c>
      <c r="B15271">
        <v>3500.31</v>
      </c>
    </row>
    <row r="15272" spans="1:2" x14ac:dyDescent="0.25">
      <c r="A15272" s="5">
        <v>44075</v>
      </c>
      <c r="B15272">
        <v>3526.65</v>
      </c>
    </row>
    <row r="15273" spans="1:2" x14ac:dyDescent="0.25">
      <c r="A15273" s="5">
        <v>44076</v>
      </c>
      <c r="B15273">
        <v>3580.84</v>
      </c>
    </row>
    <row r="15274" spans="1:2" x14ac:dyDescent="0.25">
      <c r="A15274" s="5">
        <v>44077</v>
      </c>
      <c r="B15274">
        <v>3455.06</v>
      </c>
    </row>
    <row r="15275" spans="1:2" x14ac:dyDescent="0.25">
      <c r="A15275" s="5">
        <v>44078</v>
      </c>
      <c r="B15275">
        <v>3426.96</v>
      </c>
    </row>
    <row r="15276" spans="1:2" x14ac:dyDescent="0.25">
      <c r="A15276" s="5">
        <v>44082</v>
      </c>
      <c r="B15276">
        <v>3331.84</v>
      </c>
    </row>
    <row r="15277" spans="1:2" x14ac:dyDescent="0.25">
      <c r="A15277" s="5">
        <v>44083</v>
      </c>
      <c r="B15277">
        <v>3398.96</v>
      </c>
    </row>
    <row r="15278" spans="1:2" x14ac:dyDescent="0.25">
      <c r="A15278" s="5">
        <v>44084</v>
      </c>
      <c r="B15278">
        <v>3339.19</v>
      </c>
    </row>
    <row r="15279" spans="1:2" x14ac:dyDescent="0.25">
      <c r="A15279" s="5">
        <v>44085</v>
      </c>
      <c r="B15279">
        <v>3340.97</v>
      </c>
    </row>
    <row r="15280" spans="1:2" x14ac:dyDescent="0.25">
      <c r="A15280" s="5">
        <v>44088</v>
      </c>
      <c r="B15280">
        <v>3383.54</v>
      </c>
    </row>
    <row r="15281" spans="1:2" x14ac:dyDescent="0.25">
      <c r="A15281" s="5">
        <v>44089</v>
      </c>
      <c r="B15281">
        <v>3401.2</v>
      </c>
    </row>
    <row r="15282" spans="1:2" x14ac:dyDescent="0.25">
      <c r="A15282" s="5">
        <v>44090</v>
      </c>
      <c r="B15282">
        <v>3385.49</v>
      </c>
    </row>
    <row r="15283" spans="1:2" x14ac:dyDescent="0.25">
      <c r="A15283" s="5">
        <v>44091</v>
      </c>
      <c r="B15283">
        <v>3357.01</v>
      </c>
    </row>
    <row r="15284" spans="1:2" x14ac:dyDescent="0.25">
      <c r="A15284" s="5">
        <v>44092</v>
      </c>
      <c r="B15284">
        <v>3319.47</v>
      </c>
    </row>
    <row r="15285" spans="1:2" x14ac:dyDescent="0.25">
      <c r="A15285" s="5">
        <v>44095</v>
      </c>
      <c r="B15285">
        <v>3281.06</v>
      </c>
    </row>
    <row r="15286" spans="1:2" x14ac:dyDescent="0.25">
      <c r="A15286" s="5">
        <v>44096</v>
      </c>
      <c r="B15286">
        <v>3315.57</v>
      </c>
    </row>
    <row r="15287" spans="1:2" x14ac:dyDescent="0.25">
      <c r="A15287" s="5">
        <v>44097</v>
      </c>
      <c r="B15287">
        <v>3236.92</v>
      </c>
    </row>
    <row r="15288" spans="1:2" x14ac:dyDescent="0.25">
      <c r="A15288" s="5">
        <v>44098</v>
      </c>
      <c r="B15288">
        <v>3246.59</v>
      </c>
    </row>
    <row r="15289" spans="1:2" x14ac:dyDescent="0.25">
      <c r="A15289" s="5">
        <v>44099</v>
      </c>
      <c r="B15289">
        <v>3298.46</v>
      </c>
    </row>
    <row r="15290" spans="1:2" x14ac:dyDescent="0.25">
      <c r="A15290" s="5">
        <v>44102</v>
      </c>
      <c r="B15290">
        <v>3351.6</v>
      </c>
    </row>
    <row r="15291" spans="1:2" x14ac:dyDescent="0.25">
      <c r="A15291" s="5">
        <v>44103</v>
      </c>
      <c r="B15291">
        <v>3335.47</v>
      </c>
    </row>
    <row r="15292" spans="1:2" x14ac:dyDescent="0.25">
      <c r="A15292" s="5">
        <v>44104</v>
      </c>
      <c r="B15292">
        <v>3363</v>
      </c>
    </row>
    <row r="15293" spans="1:2" x14ac:dyDescent="0.25">
      <c r="A15293" s="5">
        <v>44105</v>
      </c>
      <c r="B15293">
        <v>3380.8</v>
      </c>
    </row>
    <row r="15294" spans="1:2" x14ac:dyDescent="0.25">
      <c r="A15294" s="5">
        <v>44106</v>
      </c>
      <c r="B15294">
        <v>3348.44</v>
      </c>
    </row>
    <row r="15295" spans="1:2" x14ac:dyDescent="0.25">
      <c r="A15295" s="5">
        <v>44109</v>
      </c>
      <c r="B15295">
        <v>3408.63</v>
      </c>
    </row>
    <row r="15296" spans="1:2" x14ac:dyDescent="0.25">
      <c r="A15296" s="5">
        <v>44110</v>
      </c>
      <c r="B15296">
        <v>3360.95</v>
      </c>
    </row>
    <row r="15297" spans="1:2" x14ac:dyDescent="0.25">
      <c r="A15297" s="5">
        <v>44111</v>
      </c>
      <c r="B15297">
        <v>3419.45</v>
      </c>
    </row>
    <row r="15298" spans="1:2" x14ac:dyDescent="0.25">
      <c r="A15298" s="5">
        <v>44112</v>
      </c>
      <c r="B15298">
        <v>3446.83</v>
      </c>
    </row>
    <row r="15299" spans="1:2" x14ac:dyDescent="0.25">
      <c r="A15299" s="5">
        <v>44113</v>
      </c>
      <c r="B15299">
        <v>3477.13</v>
      </c>
    </row>
    <row r="15300" spans="1:2" x14ac:dyDescent="0.25">
      <c r="A15300" s="5">
        <v>44116</v>
      </c>
      <c r="B15300">
        <v>3534.22</v>
      </c>
    </row>
    <row r="15301" spans="1:2" x14ac:dyDescent="0.25">
      <c r="A15301" s="5">
        <v>44117</v>
      </c>
      <c r="B15301">
        <v>3511.93</v>
      </c>
    </row>
    <row r="15302" spans="1:2" x14ac:dyDescent="0.25">
      <c r="A15302" s="5">
        <v>44118</v>
      </c>
      <c r="B15302">
        <v>3488.67</v>
      </c>
    </row>
    <row r="15303" spans="1:2" x14ac:dyDescent="0.25">
      <c r="A15303" s="5">
        <v>44119</v>
      </c>
      <c r="B15303">
        <v>3483.34</v>
      </c>
    </row>
    <row r="15304" spans="1:2" x14ac:dyDescent="0.25">
      <c r="A15304" s="5">
        <v>44120</v>
      </c>
      <c r="B15304">
        <v>3483.81</v>
      </c>
    </row>
    <row r="15305" spans="1:2" x14ac:dyDescent="0.25">
      <c r="A15305" s="5">
        <v>44123</v>
      </c>
      <c r="B15305">
        <v>3426.92</v>
      </c>
    </row>
    <row r="15306" spans="1:2" x14ac:dyDescent="0.25">
      <c r="A15306" s="5">
        <v>44124</v>
      </c>
      <c r="B15306">
        <v>3443.12</v>
      </c>
    </row>
    <row r="15307" spans="1:2" x14ac:dyDescent="0.25">
      <c r="A15307" s="5">
        <v>44125</v>
      </c>
      <c r="B15307">
        <v>3435.56</v>
      </c>
    </row>
    <row r="15308" spans="1:2" x14ac:dyDescent="0.25">
      <c r="A15308" s="5">
        <v>44126</v>
      </c>
      <c r="B15308">
        <v>3453.49</v>
      </c>
    </row>
    <row r="15309" spans="1:2" x14ac:dyDescent="0.25">
      <c r="A15309" s="5">
        <v>44127</v>
      </c>
      <c r="B15309">
        <v>3465.39</v>
      </c>
    </row>
    <row r="15310" spans="1:2" x14ac:dyDescent="0.25">
      <c r="A15310" s="5">
        <v>44130</v>
      </c>
      <c r="B15310">
        <v>3400.97</v>
      </c>
    </row>
    <row r="15311" spans="1:2" x14ac:dyDescent="0.25">
      <c r="A15311" s="5">
        <v>44131</v>
      </c>
      <c r="B15311">
        <v>3390.68</v>
      </c>
    </row>
    <row r="15312" spans="1:2" x14ac:dyDescent="0.25">
      <c r="A15312" s="5">
        <v>44132</v>
      </c>
      <c r="B15312">
        <v>3271.03</v>
      </c>
    </row>
    <row r="15313" spans="1:2" x14ac:dyDescent="0.25">
      <c r="A15313" s="5">
        <v>44133</v>
      </c>
      <c r="B15313">
        <v>3310.11</v>
      </c>
    </row>
    <row r="15314" spans="1:2" x14ac:dyDescent="0.25">
      <c r="A15314" s="5">
        <v>44134</v>
      </c>
      <c r="B15314">
        <v>3269.96</v>
      </c>
    </row>
    <row r="15315" spans="1:2" x14ac:dyDescent="0.25">
      <c r="A15315" s="5">
        <v>44137</v>
      </c>
      <c r="B15315">
        <v>3310.24</v>
      </c>
    </row>
    <row r="15316" spans="1:2" x14ac:dyDescent="0.25">
      <c r="A15316" s="5">
        <v>44138</v>
      </c>
      <c r="B15316">
        <v>3369.16</v>
      </c>
    </row>
    <row r="15317" spans="1:2" x14ac:dyDescent="0.25">
      <c r="A15317" s="5">
        <v>44139</v>
      </c>
      <c r="B15317">
        <v>3443.44</v>
      </c>
    </row>
    <row r="15318" spans="1:2" x14ac:dyDescent="0.25">
      <c r="A15318" s="5">
        <v>44140</v>
      </c>
      <c r="B15318">
        <v>3510.45</v>
      </c>
    </row>
    <row r="15319" spans="1:2" x14ac:dyDescent="0.25">
      <c r="A15319" s="5">
        <v>44141</v>
      </c>
      <c r="B15319">
        <v>3509.44</v>
      </c>
    </row>
    <row r="15320" spans="1:2" x14ac:dyDescent="0.25">
      <c r="A15320" s="5">
        <v>44144</v>
      </c>
      <c r="B15320">
        <v>3550.5</v>
      </c>
    </row>
    <row r="15321" spans="1:2" x14ac:dyDescent="0.25">
      <c r="A15321" s="5">
        <v>44145</v>
      </c>
      <c r="B15321">
        <v>3545.53</v>
      </c>
    </row>
    <row r="15322" spans="1:2" x14ac:dyDescent="0.25">
      <c r="A15322" s="5">
        <v>44146</v>
      </c>
      <c r="B15322">
        <v>3572.66</v>
      </c>
    </row>
    <row r="15323" spans="1:2" x14ac:dyDescent="0.25">
      <c r="A15323" s="5">
        <v>44147</v>
      </c>
      <c r="B15323">
        <v>3537.01</v>
      </c>
    </row>
    <row r="15324" spans="1:2" x14ac:dyDescent="0.25">
      <c r="A15324" s="5">
        <v>44148</v>
      </c>
      <c r="B15324">
        <v>3585.15</v>
      </c>
    </row>
    <row r="15325" spans="1:2" x14ac:dyDescent="0.25">
      <c r="A15325" s="5">
        <v>44151</v>
      </c>
      <c r="B15325">
        <v>3626.91</v>
      </c>
    </row>
    <row r="15326" spans="1:2" x14ac:dyDescent="0.25">
      <c r="A15326" s="5">
        <v>44152</v>
      </c>
      <c r="B15326">
        <v>3609.53</v>
      </c>
    </row>
    <row r="15327" spans="1:2" x14ac:dyDescent="0.25">
      <c r="A15327" s="5">
        <v>44153</v>
      </c>
      <c r="B15327">
        <v>3567.79</v>
      </c>
    </row>
    <row r="15328" spans="1:2" x14ac:dyDescent="0.25">
      <c r="A15328" s="5">
        <v>44154</v>
      </c>
      <c r="B15328">
        <v>3581.87</v>
      </c>
    </row>
    <row r="15329" spans="1:2" x14ac:dyDescent="0.25">
      <c r="A15329" s="5">
        <v>44155</v>
      </c>
      <c r="B15329">
        <v>3557.54</v>
      </c>
    </row>
    <row r="15330" spans="1:2" x14ac:dyDescent="0.25">
      <c r="A15330" s="5">
        <v>44158</v>
      </c>
      <c r="B15330">
        <v>3577.59</v>
      </c>
    </row>
    <row r="15331" spans="1:2" x14ac:dyDescent="0.25">
      <c r="A15331" s="5">
        <v>44159</v>
      </c>
      <c r="B15331">
        <v>3635.41</v>
      </c>
    </row>
    <row r="15332" spans="1:2" x14ac:dyDescent="0.25">
      <c r="A15332" s="5">
        <v>44160</v>
      </c>
      <c r="B15332">
        <v>3629.65</v>
      </c>
    </row>
    <row r="15333" spans="1:2" x14ac:dyDescent="0.25">
      <c r="A15333" s="5">
        <v>44162</v>
      </c>
      <c r="B15333">
        <v>3638.35</v>
      </c>
    </row>
    <row r="15334" spans="1:2" x14ac:dyDescent="0.25">
      <c r="A15334" s="5">
        <v>44165</v>
      </c>
      <c r="B15334">
        <v>3621.63</v>
      </c>
    </row>
    <row r="15335" spans="1:2" x14ac:dyDescent="0.25">
      <c r="A15335" s="5">
        <v>44166</v>
      </c>
      <c r="B15335">
        <v>3662.45</v>
      </c>
    </row>
    <row r="15336" spans="1:2" x14ac:dyDescent="0.25">
      <c r="A15336" s="5">
        <v>44167</v>
      </c>
      <c r="B15336">
        <v>3669.01</v>
      </c>
    </row>
    <row r="15337" spans="1:2" x14ac:dyDescent="0.25">
      <c r="A15337" s="5">
        <v>44168</v>
      </c>
      <c r="B15337">
        <v>3666.72</v>
      </c>
    </row>
    <row r="15338" spans="1:2" x14ac:dyDescent="0.25">
      <c r="A15338" s="5">
        <v>44169</v>
      </c>
      <c r="B15338">
        <v>3699.12</v>
      </c>
    </row>
    <row r="15339" spans="1:2" x14ac:dyDescent="0.25">
      <c r="A15339" s="5">
        <v>44172</v>
      </c>
      <c r="B15339">
        <v>3691.96</v>
      </c>
    </row>
    <row r="15340" spans="1:2" x14ac:dyDescent="0.25">
      <c r="A15340" s="5">
        <v>44173</v>
      </c>
      <c r="B15340">
        <v>3702.25</v>
      </c>
    </row>
    <row r="15341" spans="1:2" x14ac:dyDescent="0.25">
      <c r="A15341" s="5">
        <v>44174</v>
      </c>
      <c r="B15341">
        <v>3672.82</v>
      </c>
    </row>
    <row r="15342" spans="1:2" x14ac:dyDescent="0.25">
      <c r="A15342" s="5">
        <v>44175</v>
      </c>
      <c r="B15342">
        <v>3668.1</v>
      </c>
    </row>
    <row r="15343" spans="1:2" x14ac:dyDescent="0.25">
      <c r="A15343" s="5">
        <v>44176</v>
      </c>
      <c r="B15343">
        <v>3663.46</v>
      </c>
    </row>
    <row r="15344" spans="1:2" x14ac:dyDescent="0.25">
      <c r="A15344" s="5">
        <v>44179</v>
      </c>
      <c r="B15344">
        <v>3647.49</v>
      </c>
    </row>
    <row r="15345" spans="1:2" x14ac:dyDescent="0.25">
      <c r="A15345" s="5">
        <v>44180</v>
      </c>
      <c r="B15345">
        <v>3694.62</v>
      </c>
    </row>
    <row r="15346" spans="1:2" x14ac:dyDescent="0.25">
      <c r="A15346" s="5">
        <v>44181</v>
      </c>
      <c r="B15346">
        <v>3701.17</v>
      </c>
    </row>
    <row r="15347" spans="1:2" x14ac:dyDescent="0.25">
      <c r="A15347" s="5">
        <v>44182</v>
      </c>
      <c r="B15347">
        <v>3722.48</v>
      </c>
    </row>
    <row r="15348" spans="1:2" x14ac:dyDescent="0.25">
      <c r="A15348" s="5">
        <v>44183</v>
      </c>
      <c r="B15348">
        <v>3709.41</v>
      </c>
    </row>
    <row r="15349" spans="1:2" x14ac:dyDescent="0.25">
      <c r="A15349" s="5">
        <v>44186</v>
      </c>
      <c r="B15349">
        <v>3694.92</v>
      </c>
    </row>
    <row r="15350" spans="1:2" x14ac:dyDescent="0.25">
      <c r="A15350" s="5">
        <v>44187</v>
      </c>
      <c r="B15350">
        <v>3687.26</v>
      </c>
    </row>
    <row r="15351" spans="1:2" x14ac:dyDescent="0.25">
      <c r="A15351" s="5">
        <v>44188</v>
      </c>
      <c r="B15351">
        <v>3690.01</v>
      </c>
    </row>
    <row r="15352" spans="1:2" x14ac:dyDescent="0.25">
      <c r="A15352" s="5">
        <v>44189</v>
      </c>
      <c r="B15352">
        <v>3703.06</v>
      </c>
    </row>
    <row r="15353" spans="1:2" x14ac:dyDescent="0.25">
      <c r="A15353" s="5">
        <v>44193</v>
      </c>
      <c r="B15353">
        <v>3735.36</v>
      </c>
    </row>
    <row r="15354" spans="1:2" x14ac:dyDescent="0.25">
      <c r="A15354" s="5">
        <v>44194</v>
      </c>
      <c r="B15354">
        <v>3727.04</v>
      </c>
    </row>
    <row r="15355" spans="1:2" x14ac:dyDescent="0.25">
      <c r="A15355" s="5">
        <v>44195</v>
      </c>
      <c r="B15355">
        <v>3732.04</v>
      </c>
    </row>
    <row r="15356" spans="1:2" x14ac:dyDescent="0.25">
      <c r="A15356" s="5">
        <v>44196</v>
      </c>
      <c r="B15356">
        <v>3756.07</v>
      </c>
    </row>
    <row r="15357" spans="1:2" x14ac:dyDescent="0.25">
      <c r="A15357" s="5">
        <v>44200</v>
      </c>
      <c r="B15357">
        <v>3700.65</v>
      </c>
    </row>
    <row r="15358" spans="1:2" x14ac:dyDescent="0.25">
      <c r="A15358" s="5">
        <v>44201</v>
      </c>
      <c r="B15358">
        <v>3726.86</v>
      </c>
    </row>
    <row r="15359" spans="1:2" x14ac:dyDescent="0.25">
      <c r="A15359" s="5">
        <v>44202</v>
      </c>
      <c r="B15359">
        <v>3748.14</v>
      </c>
    </row>
    <row r="15360" spans="1:2" x14ac:dyDescent="0.25">
      <c r="A15360" s="5">
        <v>44203</v>
      </c>
      <c r="B15360">
        <v>3803.79</v>
      </c>
    </row>
    <row r="15361" spans="1:2" x14ac:dyDescent="0.25">
      <c r="A15361" s="5">
        <v>44204</v>
      </c>
      <c r="B15361">
        <v>3824.68</v>
      </c>
    </row>
    <row r="15362" spans="1:2" x14ac:dyDescent="0.25">
      <c r="A15362" s="5">
        <v>44207</v>
      </c>
      <c r="B15362">
        <v>3799.61</v>
      </c>
    </row>
    <row r="15363" spans="1:2" x14ac:dyDescent="0.25">
      <c r="A15363" s="5">
        <v>44208</v>
      </c>
      <c r="B15363">
        <v>3801.19</v>
      </c>
    </row>
    <row r="15364" spans="1:2" x14ac:dyDescent="0.25">
      <c r="A15364" s="5">
        <v>44209</v>
      </c>
      <c r="B15364">
        <v>3809.84</v>
      </c>
    </row>
    <row r="15365" spans="1:2" x14ac:dyDescent="0.25">
      <c r="A15365" s="5">
        <v>44210</v>
      </c>
      <c r="B15365">
        <v>3795.54</v>
      </c>
    </row>
    <row r="15366" spans="1:2" x14ac:dyDescent="0.25">
      <c r="A15366" s="5">
        <v>44211</v>
      </c>
      <c r="B15366">
        <v>3768.25</v>
      </c>
    </row>
    <row r="15367" spans="1:2" x14ac:dyDescent="0.25">
      <c r="A15367" s="5">
        <v>44215</v>
      </c>
      <c r="B15367">
        <v>3798.91</v>
      </c>
    </row>
    <row r="15368" spans="1:2" x14ac:dyDescent="0.25">
      <c r="A15368" s="5">
        <v>44216</v>
      </c>
      <c r="B15368">
        <v>3851.85</v>
      </c>
    </row>
    <row r="15369" spans="1:2" x14ac:dyDescent="0.25">
      <c r="A15369" s="5">
        <v>44217</v>
      </c>
      <c r="B15369">
        <v>3853.07</v>
      </c>
    </row>
    <row r="15370" spans="1:2" x14ac:dyDescent="0.25">
      <c r="A15370" s="5">
        <v>44218</v>
      </c>
      <c r="B15370">
        <v>3841.47</v>
      </c>
    </row>
    <row r="15371" spans="1:2" x14ac:dyDescent="0.25">
      <c r="A15371" s="5">
        <v>44221</v>
      </c>
      <c r="B15371">
        <v>3855.36</v>
      </c>
    </row>
    <row r="15372" spans="1:2" x14ac:dyDescent="0.25">
      <c r="A15372" s="5">
        <v>44222</v>
      </c>
      <c r="B15372">
        <v>3849.62</v>
      </c>
    </row>
    <row r="15373" spans="1:2" x14ac:dyDescent="0.25">
      <c r="A15373" s="5">
        <v>44223</v>
      </c>
      <c r="B15373">
        <v>3750.77</v>
      </c>
    </row>
    <row r="15374" spans="1:2" x14ac:dyDescent="0.25">
      <c r="A15374" s="5">
        <v>44224</v>
      </c>
      <c r="B15374">
        <v>3787.38</v>
      </c>
    </row>
    <row r="15375" spans="1:2" x14ac:dyDescent="0.25">
      <c r="A15375" s="5">
        <v>44225</v>
      </c>
      <c r="B15375">
        <v>3714.24</v>
      </c>
    </row>
    <row r="15376" spans="1:2" x14ac:dyDescent="0.25">
      <c r="A15376" s="5">
        <v>44228</v>
      </c>
      <c r="B15376">
        <v>3773.86</v>
      </c>
    </row>
    <row r="15377" spans="1:2" x14ac:dyDescent="0.25">
      <c r="A15377" s="5">
        <v>44229</v>
      </c>
      <c r="B15377">
        <v>3826.31</v>
      </c>
    </row>
    <row r="15378" spans="1:2" x14ac:dyDescent="0.25">
      <c r="A15378" s="5">
        <v>44230</v>
      </c>
      <c r="B15378">
        <v>3830.17</v>
      </c>
    </row>
    <row r="15379" spans="1:2" x14ac:dyDescent="0.25">
      <c r="A15379" s="5">
        <v>44231</v>
      </c>
      <c r="B15379">
        <v>3871.74</v>
      </c>
    </row>
    <row r="15380" spans="1:2" x14ac:dyDescent="0.25">
      <c r="A15380" s="5">
        <v>44232</v>
      </c>
      <c r="B15380">
        <v>3886.83</v>
      </c>
    </row>
    <row r="15381" spans="1:2" x14ac:dyDescent="0.25">
      <c r="A15381" s="5">
        <v>44235</v>
      </c>
      <c r="B15381">
        <v>3915.59</v>
      </c>
    </row>
    <row r="15382" spans="1:2" x14ac:dyDescent="0.25">
      <c r="A15382" s="5">
        <v>44236</v>
      </c>
      <c r="B15382">
        <v>3911.23</v>
      </c>
    </row>
    <row r="15383" spans="1:2" x14ac:dyDescent="0.25">
      <c r="A15383" s="5">
        <v>44237</v>
      </c>
      <c r="B15383">
        <v>3909.88</v>
      </c>
    </row>
    <row r="15384" spans="1:2" x14ac:dyDescent="0.25">
      <c r="A15384" s="5">
        <v>44238</v>
      </c>
      <c r="B15384">
        <v>3916.38</v>
      </c>
    </row>
    <row r="15385" spans="1:2" x14ac:dyDescent="0.25">
      <c r="A15385" s="5">
        <v>44239</v>
      </c>
      <c r="B15385">
        <v>3934.83</v>
      </c>
    </row>
    <row r="15386" spans="1:2" x14ac:dyDescent="0.25">
      <c r="A15386" s="5">
        <v>44243</v>
      </c>
      <c r="B15386">
        <v>3932.59</v>
      </c>
    </row>
    <row r="15387" spans="1:2" x14ac:dyDescent="0.25">
      <c r="A15387" s="5">
        <v>44244</v>
      </c>
      <c r="B15387">
        <v>3931.33</v>
      </c>
    </row>
    <row r="15388" spans="1:2" x14ac:dyDescent="0.25">
      <c r="A15388" s="5">
        <v>44245</v>
      </c>
      <c r="B15388">
        <v>3913.97</v>
      </c>
    </row>
    <row r="15389" spans="1:2" x14ac:dyDescent="0.25">
      <c r="A15389" s="5">
        <v>44246</v>
      </c>
      <c r="B15389">
        <v>3906.71</v>
      </c>
    </row>
    <row r="15390" spans="1:2" x14ac:dyDescent="0.25">
      <c r="A15390" s="5">
        <v>44249</v>
      </c>
      <c r="B15390">
        <v>3876.5</v>
      </c>
    </row>
    <row r="15391" spans="1:2" x14ac:dyDescent="0.25">
      <c r="A15391" s="5">
        <v>44250</v>
      </c>
      <c r="B15391">
        <v>3881.37</v>
      </c>
    </row>
    <row r="15392" spans="1:2" x14ac:dyDescent="0.25">
      <c r="A15392" s="5">
        <v>44251</v>
      </c>
      <c r="B15392">
        <v>3925.43</v>
      </c>
    </row>
    <row r="15393" spans="1:2" x14ac:dyDescent="0.25">
      <c r="A15393" s="5">
        <v>44252</v>
      </c>
      <c r="B15393">
        <v>3829.34</v>
      </c>
    </row>
    <row r="15394" spans="1:2" x14ac:dyDescent="0.25">
      <c r="A15394" s="5">
        <v>44253</v>
      </c>
      <c r="B15394">
        <v>3811.15</v>
      </c>
    </row>
    <row r="15395" spans="1:2" x14ac:dyDescent="0.25">
      <c r="A15395" s="5">
        <v>44256</v>
      </c>
      <c r="B15395">
        <v>3901.82</v>
      </c>
    </row>
    <row r="15396" spans="1:2" x14ac:dyDescent="0.25">
      <c r="A15396" s="5">
        <v>44257</v>
      </c>
      <c r="B15396">
        <v>3870.29</v>
      </c>
    </row>
    <row r="15397" spans="1:2" x14ac:dyDescent="0.25">
      <c r="A15397" s="5">
        <v>44258</v>
      </c>
      <c r="B15397">
        <v>3819.72</v>
      </c>
    </row>
    <row r="15398" spans="1:2" x14ac:dyDescent="0.25">
      <c r="A15398" s="5">
        <v>44259</v>
      </c>
      <c r="B15398">
        <v>3768.47</v>
      </c>
    </row>
    <row r="15399" spans="1:2" x14ac:dyDescent="0.25">
      <c r="A15399" s="5">
        <v>44260</v>
      </c>
      <c r="B15399">
        <v>3841.94</v>
      </c>
    </row>
    <row r="15400" spans="1:2" x14ac:dyDescent="0.25">
      <c r="A15400" s="5">
        <v>44263</v>
      </c>
      <c r="B15400">
        <v>3821.35</v>
      </c>
    </row>
    <row r="15401" spans="1:2" x14ac:dyDescent="0.25">
      <c r="A15401" s="5">
        <v>44264</v>
      </c>
      <c r="B15401">
        <v>3875.44</v>
      </c>
    </row>
    <row r="15402" spans="1:2" x14ac:dyDescent="0.25">
      <c r="A15402" s="5">
        <v>44265</v>
      </c>
      <c r="B15402">
        <v>3898.81</v>
      </c>
    </row>
    <row r="15403" spans="1:2" x14ac:dyDescent="0.25">
      <c r="A15403" s="5">
        <v>44266</v>
      </c>
      <c r="B15403">
        <v>3939.34</v>
      </c>
    </row>
    <row r="15404" spans="1:2" x14ac:dyDescent="0.25">
      <c r="A15404" s="5">
        <v>44267</v>
      </c>
      <c r="B15404">
        <v>3943.34</v>
      </c>
    </row>
    <row r="15405" spans="1:2" x14ac:dyDescent="0.25">
      <c r="A15405" s="5">
        <v>44270</v>
      </c>
      <c r="B15405">
        <v>3968.94</v>
      </c>
    </row>
    <row r="15406" spans="1:2" x14ac:dyDescent="0.25">
      <c r="A15406" s="5">
        <v>44271</v>
      </c>
      <c r="B15406">
        <v>3962.71</v>
      </c>
    </row>
    <row r="15407" spans="1:2" x14ac:dyDescent="0.25">
      <c r="A15407" s="5">
        <v>44272</v>
      </c>
      <c r="B15407">
        <v>3974.12</v>
      </c>
    </row>
    <row r="15408" spans="1:2" x14ac:dyDescent="0.25">
      <c r="A15408" s="5">
        <v>44273</v>
      </c>
      <c r="B15408">
        <v>3915.46</v>
      </c>
    </row>
    <row r="15409" spans="1:2" x14ac:dyDescent="0.25">
      <c r="A15409" s="5">
        <v>44274</v>
      </c>
      <c r="B15409">
        <v>3913.1</v>
      </c>
    </row>
    <row r="15410" spans="1:2" x14ac:dyDescent="0.25">
      <c r="A15410" s="5">
        <v>44277</v>
      </c>
      <c r="B15410">
        <v>3940.59</v>
      </c>
    </row>
    <row r="15411" spans="1:2" x14ac:dyDescent="0.25">
      <c r="A15411" s="5">
        <v>44278</v>
      </c>
      <c r="B15411">
        <v>3910.52</v>
      </c>
    </row>
    <row r="15412" spans="1:2" x14ac:dyDescent="0.25">
      <c r="A15412" s="5">
        <v>44279</v>
      </c>
      <c r="B15412">
        <v>3889.14</v>
      </c>
    </row>
    <row r="15413" spans="1:2" x14ac:dyDescent="0.25">
      <c r="A15413" s="5">
        <v>44280</v>
      </c>
      <c r="B15413">
        <v>3909.52</v>
      </c>
    </row>
    <row r="15414" spans="1:2" x14ac:dyDescent="0.25">
      <c r="A15414" s="5">
        <v>44281</v>
      </c>
      <c r="B15414">
        <v>3974.54</v>
      </c>
    </row>
    <row r="15415" spans="1:2" x14ac:dyDescent="0.25">
      <c r="A15415" s="5">
        <v>44284</v>
      </c>
      <c r="B15415">
        <v>3971.09</v>
      </c>
    </row>
    <row r="15416" spans="1:2" x14ac:dyDescent="0.25">
      <c r="A15416" s="5">
        <v>44285</v>
      </c>
      <c r="B15416">
        <v>3958.55</v>
      </c>
    </row>
    <row r="15417" spans="1:2" x14ac:dyDescent="0.25">
      <c r="A15417" s="5">
        <v>44286</v>
      </c>
      <c r="B15417">
        <v>3972.89</v>
      </c>
    </row>
    <row r="15418" spans="1:2" x14ac:dyDescent="0.25">
      <c r="A15418" s="5">
        <v>44287</v>
      </c>
      <c r="B15418">
        <v>4019.87</v>
      </c>
    </row>
    <row r="15419" spans="1:2" x14ac:dyDescent="0.25">
      <c r="A15419" s="5">
        <v>44291</v>
      </c>
      <c r="B15419">
        <v>4077.91</v>
      </c>
    </row>
    <row r="15420" spans="1:2" x14ac:dyDescent="0.25">
      <c r="A15420" s="5">
        <v>44292</v>
      </c>
      <c r="B15420">
        <v>4073.94</v>
      </c>
    </row>
    <row r="15421" spans="1:2" x14ac:dyDescent="0.25">
      <c r="A15421" s="5">
        <v>44293</v>
      </c>
      <c r="B15421">
        <v>4079.95</v>
      </c>
    </row>
    <row r="15422" spans="1:2" x14ac:dyDescent="0.25">
      <c r="A15422" s="5">
        <v>44294</v>
      </c>
      <c r="B15422">
        <v>4097.17</v>
      </c>
    </row>
    <row r="15423" spans="1:2" x14ac:dyDescent="0.25">
      <c r="A15423" s="5">
        <v>44295</v>
      </c>
      <c r="B15423">
        <v>4128.8</v>
      </c>
    </row>
    <row r="15424" spans="1:2" x14ac:dyDescent="0.25">
      <c r="A15424" s="5">
        <v>44298</v>
      </c>
      <c r="B15424">
        <v>4127.99</v>
      </c>
    </row>
    <row r="15425" spans="1:2" x14ac:dyDescent="0.25">
      <c r="A15425" s="5">
        <v>44299</v>
      </c>
      <c r="B15425">
        <v>4141.59</v>
      </c>
    </row>
    <row r="15426" spans="1:2" x14ac:dyDescent="0.25">
      <c r="A15426" s="5">
        <v>44300</v>
      </c>
      <c r="B15426">
        <v>4124.66</v>
      </c>
    </row>
    <row r="15427" spans="1:2" x14ac:dyDescent="0.25">
      <c r="A15427" s="5">
        <v>44301</v>
      </c>
      <c r="B15427">
        <v>4170.42</v>
      </c>
    </row>
    <row r="15428" spans="1:2" x14ac:dyDescent="0.25">
      <c r="A15428" s="5">
        <v>44302</v>
      </c>
      <c r="B15428">
        <v>4185.47</v>
      </c>
    </row>
    <row r="15429" spans="1:2" x14ac:dyDescent="0.25">
      <c r="A15429" s="5">
        <v>44305</v>
      </c>
      <c r="B15429">
        <v>4163.26</v>
      </c>
    </row>
    <row r="15430" spans="1:2" x14ac:dyDescent="0.25">
      <c r="A15430" s="5">
        <v>44306</v>
      </c>
      <c r="B15430">
        <v>4134.9399999999996</v>
      </c>
    </row>
    <row r="15431" spans="1:2" x14ac:dyDescent="0.25">
      <c r="A15431" s="5">
        <v>44307</v>
      </c>
      <c r="B15431">
        <v>4173.42</v>
      </c>
    </row>
    <row r="15432" spans="1:2" x14ac:dyDescent="0.25">
      <c r="A15432" s="5">
        <v>44308</v>
      </c>
      <c r="B15432">
        <v>4134.9799999999996</v>
      </c>
    </row>
    <row r="15433" spans="1:2" x14ac:dyDescent="0.25">
      <c r="A15433" s="5">
        <v>44309</v>
      </c>
      <c r="B15433">
        <v>4180.17</v>
      </c>
    </row>
    <row r="15434" spans="1:2" x14ac:dyDescent="0.25">
      <c r="A15434" s="5">
        <v>44312</v>
      </c>
      <c r="B15434">
        <v>4187.62</v>
      </c>
    </row>
    <row r="15435" spans="1:2" x14ac:dyDescent="0.25">
      <c r="A15435" s="5">
        <v>44313</v>
      </c>
      <c r="B15435">
        <v>4186.72</v>
      </c>
    </row>
    <row r="15436" spans="1:2" x14ac:dyDescent="0.25">
      <c r="A15436" s="5">
        <v>44314</v>
      </c>
      <c r="B15436">
        <v>4183.18</v>
      </c>
    </row>
    <row r="15437" spans="1:2" x14ac:dyDescent="0.25">
      <c r="A15437" s="5">
        <v>44315</v>
      </c>
      <c r="B15437">
        <v>4211.47</v>
      </c>
    </row>
    <row r="15438" spans="1:2" x14ac:dyDescent="0.25">
      <c r="A15438" s="5">
        <v>44316</v>
      </c>
      <c r="B15438">
        <v>4181.17</v>
      </c>
    </row>
    <row r="15439" spans="1:2" x14ac:dyDescent="0.25">
      <c r="A15439" s="5">
        <v>44319</v>
      </c>
      <c r="B15439">
        <v>4192.66</v>
      </c>
    </row>
    <row r="15440" spans="1:2" x14ac:dyDescent="0.25">
      <c r="A15440" s="5">
        <v>44320</v>
      </c>
      <c r="B15440">
        <v>4164.66</v>
      </c>
    </row>
    <row r="15441" spans="1:2" x14ac:dyDescent="0.25">
      <c r="A15441" s="5">
        <v>44321</v>
      </c>
      <c r="B15441">
        <v>4167.59</v>
      </c>
    </row>
    <row r="15442" spans="1:2" x14ac:dyDescent="0.25">
      <c r="A15442" s="5">
        <v>44322</v>
      </c>
      <c r="B15442">
        <v>4201.62</v>
      </c>
    </row>
    <row r="15443" spans="1:2" x14ac:dyDescent="0.25">
      <c r="A15443" s="5">
        <v>44323</v>
      </c>
      <c r="B15443">
        <v>4232.6000000000004</v>
      </c>
    </row>
    <row r="15444" spans="1:2" x14ac:dyDescent="0.25">
      <c r="A15444" s="5">
        <v>44326</v>
      </c>
      <c r="B15444">
        <v>4188.43</v>
      </c>
    </row>
    <row r="15445" spans="1:2" x14ac:dyDescent="0.25">
      <c r="A15445" s="5">
        <v>44327</v>
      </c>
      <c r="B15445">
        <v>4152.1000000000004</v>
      </c>
    </row>
    <row r="15446" spans="1:2" x14ac:dyDescent="0.25">
      <c r="A15446" s="5">
        <v>44328</v>
      </c>
      <c r="B15446">
        <v>4063.04</v>
      </c>
    </row>
    <row r="15447" spans="1:2" x14ac:dyDescent="0.25">
      <c r="A15447" s="5">
        <v>44329</v>
      </c>
      <c r="B15447">
        <v>4112.5</v>
      </c>
    </row>
    <row r="15448" spans="1:2" x14ac:dyDescent="0.25">
      <c r="A15448" s="5">
        <v>44330</v>
      </c>
      <c r="B15448">
        <v>4173.8500000000004</v>
      </c>
    </row>
    <row r="15449" spans="1:2" x14ac:dyDescent="0.25">
      <c r="A15449" s="5">
        <v>44333</v>
      </c>
      <c r="B15449">
        <v>4163.29</v>
      </c>
    </row>
    <row r="15450" spans="1:2" x14ac:dyDescent="0.25">
      <c r="A15450" s="5">
        <v>44334</v>
      </c>
      <c r="B15450">
        <v>4127.83</v>
      </c>
    </row>
    <row r="15451" spans="1:2" x14ac:dyDescent="0.25">
      <c r="A15451" s="5">
        <v>44335</v>
      </c>
      <c r="B15451">
        <v>4115.68</v>
      </c>
    </row>
    <row r="15452" spans="1:2" x14ac:dyDescent="0.25">
      <c r="A15452" s="5">
        <v>44336</v>
      </c>
      <c r="B15452">
        <v>4159.12</v>
      </c>
    </row>
    <row r="15453" spans="1:2" x14ac:dyDescent="0.25">
      <c r="A15453" s="5">
        <v>44337</v>
      </c>
      <c r="B15453">
        <v>4155.8599999999997</v>
      </c>
    </row>
    <row r="15454" spans="1:2" x14ac:dyDescent="0.25">
      <c r="A15454" s="5">
        <v>44340</v>
      </c>
      <c r="B15454">
        <v>4197.05</v>
      </c>
    </row>
    <row r="15455" spans="1:2" x14ac:dyDescent="0.25">
      <c r="A15455" s="5">
        <v>44341</v>
      </c>
      <c r="B15455">
        <v>4188.13</v>
      </c>
    </row>
    <row r="15456" spans="1:2" x14ac:dyDescent="0.25">
      <c r="A15456" s="5">
        <v>44342</v>
      </c>
      <c r="B15456">
        <v>4195.99</v>
      </c>
    </row>
    <row r="15457" spans="1:2" x14ac:dyDescent="0.25">
      <c r="A15457" s="5">
        <v>44343</v>
      </c>
      <c r="B15457">
        <v>4200.88</v>
      </c>
    </row>
    <row r="15458" spans="1:2" x14ac:dyDescent="0.25">
      <c r="A15458" s="5">
        <v>44344</v>
      </c>
      <c r="B15458">
        <v>4204.1099999999997</v>
      </c>
    </row>
    <row r="15459" spans="1:2" x14ac:dyDescent="0.25">
      <c r="A15459" s="5">
        <v>44348</v>
      </c>
      <c r="B15459">
        <v>4202.04</v>
      </c>
    </row>
    <row r="15460" spans="1:2" x14ac:dyDescent="0.25">
      <c r="A15460" s="5">
        <v>44349</v>
      </c>
      <c r="B15460">
        <v>4208.12</v>
      </c>
    </row>
    <row r="15461" spans="1:2" x14ac:dyDescent="0.25">
      <c r="A15461" s="5">
        <v>44350</v>
      </c>
      <c r="B15461">
        <v>4192.8500000000004</v>
      </c>
    </row>
    <row r="15462" spans="1:2" x14ac:dyDescent="0.25">
      <c r="A15462" s="5">
        <v>44351</v>
      </c>
      <c r="B15462">
        <v>4229.8900000000003</v>
      </c>
    </row>
    <row r="15463" spans="1:2" x14ac:dyDescent="0.25">
      <c r="A15463" s="5">
        <v>44354</v>
      </c>
      <c r="B15463">
        <v>4226.5200000000004</v>
      </c>
    </row>
    <row r="15464" spans="1:2" x14ac:dyDescent="0.25">
      <c r="A15464" s="5">
        <v>44355</v>
      </c>
      <c r="B15464">
        <v>4227.26</v>
      </c>
    </row>
    <row r="15465" spans="1:2" x14ac:dyDescent="0.25">
      <c r="A15465" s="5">
        <v>44356</v>
      </c>
      <c r="B15465">
        <v>4219.55</v>
      </c>
    </row>
    <row r="15466" spans="1:2" x14ac:dyDescent="0.25">
      <c r="A15466" s="5">
        <v>44357</v>
      </c>
      <c r="B15466">
        <v>4239.18</v>
      </c>
    </row>
    <row r="15467" spans="1:2" x14ac:dyDescent="0.25">
      <c r="A15467" s="5">
        <v>44358</v>
      </c>
      <c r="B15467">
        <v>4247.4399999999996</v>
      </c>
    </row>
    <row r="15468" spans="1:2" x14ac:dyDescent="0.25">
      <c r="A15468" s="5">
        <v>44361</v>
      </c>
      <c r="B15468">
        <v>4255.1499999999996</v>
      </c>
    </row>
    <row r="15469" spans="1:2" x14ac:dyDescent="0.25">
      <c r="A15469" s="5">
        <v>44362</v>
      </c>
      <c r="B15469">
        <v>4246.59</v>
      </c>
    </row>
    <row r="15470" spans="1:2" x14ac:dyDescent="0.25">
      <c r="A15470" s="5">
        <v>44363</v>
      </c>
      <c r="B15470">
        <v>4223.7</v>
      </c>
    </row>
    <row r="15471" spans="1:2" x14ac:dyDescent="0.25">
      <c r="A15471" s="5">
        <v>44364</v>
      </c>
      <c r="B15471">
        <v>4221.8599999999997</v>
      </c>
    </row>
    <row r="15472" spans="1:2" x14ac:dyDescent="0.25">
      <c r="A15472" s="5">
        <v>44365</v>
      </c>
      <c r="B15472">
        <v>4166.45</v>
      </c>
    </row>
    <row r="15473" spans="1:2" x14ac:dyDescent="0.25">
      <c r="A15473" s="5">
        <v>44368</v>
      </c>
      <c r="B15473">
        <v>4224.79</v>
      </c>
    </row>
    <row r="15474" spans="1:2" x14ac:dyDescent="0.25">
      <c r="A15474" s="5">
        <v>44369</v>
      </c>
      <c r="B15474">
        <v>4246.4399999999996</v>
      </c>
    </row>
    <row r="15475" spans="1:2" x14ac:dyDescent="0.25">
      <c r="A15475" s="5">
        <v>44370</v>
      </c>
      <c r="B15475">
        <v>4241.84</v>
      </c>
    </row>
    <row r="15476" spans="1:2" x14ac:dyDescent="0.25">
      <c r="A15476" s="5">
        <v>44371</v>
      </c>
      <c r="B15476">
        <v>4266.49</v>
      </c>
    </row>
    <row r="15477" spans="1:2" x14ac:dyDescent="0.25">
      <c r="A15477" s="5">
        <v>44372</v>
      </c>
      <c r="B15477">
        <v>4280.7</v>
      </c>
    </row>
    <row r="15478" spans="1:2" x14ac:dyDescent="0.25">
      <c r="A15478" s="5">
        <v>44375</v>
      </c>
      <c r="B15478">
        <v>4290.6099999999997</v>
      </c>
    </row>
    <row r="15479" spans="1:2" x14ac:dyDescent="0.25">
      <c r="A15479" s="5">
        <v>44376</v>
      </c>
      <c r="B15479">
        <v>4291.8</v>
      </c>
    </row>
    <row r="15480" spans="1:2" x14ac:dyDescent="0.25">
      <c r="A15480" s="5">
        <v>44377</v>
      </c>
      <c r="B15480">
        <v>4297.5</v>
      </c>
    </row>
    <row r="15481" spans="1:2" x14ac:dyDescent="0.25">
      <c r="A15481" s="5">
        <v>44378</v>
      </c>
      <c r="B15481">
        <v>4319.9399999999996</v>
      </c>
    </row>
    <row r="15482" spans="1:2" x14ac:dyDescent="0.25">
      <c r="A15482" s="5">
        <v>44379</v>
      </c>
      <c r="B15482">
        <v>4352.34</v>
      </c>
    </row>
    <row r="15483" spans="1:2" x14ac:dyDescent="0.25">
      <c r="A15483" s="5">
        <v>44383</v>
      </c>
      <c r="B15483">
        <v>4343.54</v>
      </c>
    </row>
    <row r="15484" spans="1:2" x14ac:dyDescent="0.25">
      <c r="A15484" s="5">
        <v>44384</v>
      </c>
      <c r="B15484">
        <v>4358.13</v>
      </c>
    </row>
    <row r="15485" spans="1:2" x14ac:dyDescent="0.25">
      <c r="A15485" s="5">
        <v>44385</v>
      </c>
      <c r="B15485">
        <v>4320.82</v>
      </c>
    </row>
    <row r="15486" spans="1:2" x14ac:dyDescent="0.25">
      <c r="A15486" s="5">
        <v>44386</v>
      </c>
      <c r="B15486">
        <v>4369.55</v>
      </c>
    </row>
    <row r="15487" spans="1:2" x14ac:dyDescent="0.25">
      <c r="A15487" s="5">
        <v>44389</v>
      </c>
      <c r="B15487">
        <v>4384.63</v>
      </c>
    </row>
    <row r="15488" spans="1:2" x14ac:dyDescent="0.25">
      <c r="A15488" s="5">
        <v>44390</v>
      </c>
      <c r="B15488">
        <v>4369.21</v>
      </c>
    </row>
    <row r="15489" spans="1:2" x14ac:dyDescent="0.25">
      <c r="A15489" s="5">
        <v>44391</v>
      </c>
      <c r="B15489">
        <v>4374.3</v>
      </c>
    </row>
    <row r="15490" spans="1:2" x14ac:dyDescent="0.25">
      <c r="A15490" s="5">
        <v>44392</v>
      </c>
      <c r="B15490">
        <v>4360.03</v>
      </c>
    </row>
    <row r="15491" spans="1:2" x14ac:dyDescent="0.25">
      <c r="A15491" s="5">
        <v>44393</v>
      </c>
      <c r="B15491">
        <v>4327.16</v>
      </c>
    </row>
    <row r="15492" spans="1:2" x14ac:dyDescent="0.25">
      <c r="A15492" s="5">
        <v>44396</v>
      </c>
      <c r="B15492">
        <v>4258.49</v>
      </c>
    </row>
    <row r="15493" spans="1:2" x14ac:dyDescent="0.25">
      <c r="A15493" s="5">
        <v>44397</v>
      </c>
      <c r="B15493">
        <v>4323.0600000000004</v>
      </c>
    </row>
    <row r="15494" spans="1:2" x14ac:dyDescent="0.25">
      <c r="A15494" s="5">
        <v>44398</v>
      </c>
      <c r="B15494">
        <v>4358.6899999999996</v>
      </c>
    </row>
    <row r="15495" spans="1:2" x14ac:dyDescent="0.25">
      <c r="A15495" s="5">
        <v>44399</v>
      </c>
      <c r="B15495">
        <v>4367.4799999999996</v>
      </c>
    </row>
    <row r="15496" spans="1:2" x14ac:dyDescent="0.25">
      <c r="A15496" s="5">
        <v>44400</v>
      </c>
      <c r="B15496">
        <v>4411.79</v>
      </c>
    </row>
    <row r="15497" spans="1:2" x14ac:dyDescent="0.25">
      <c r="A15497" s="5">
        <v>44403</v>
      </c>
      <c r="B15497">
        <v>4422.3</v>
      </c>
    </row>
    <row r="15498" spans="1:2" x14ac:dyDescent="0.25">
      <c r="A15498" s="5">
        <v>44404</v>
      </c>
      <c r="B15498">
        <v>4401.46</v>
      </c>
    </row>
    <row r="15499" spans="1:2" x14ac:dyDescent="0.25">
      <c r="A15499" s="5">
        <v>44405</v>
      </c>
      <c r="B15499">
        <v>4400.6400000000003</v>
      </c>
    </row>
    <row r="15500" spans="1:2" x14ac:dyDescent="0.25">
      <c r="A15500" s="5">
        <v>44406</v>
      </c>
      <c r="B15500">
        <v>4419.1499999999996</v>
      </c>
    </row>
    <row r="15501" spans="1:2" x14ac:dyDescent="0.25">
      <c r="A15501" s="5">
        <v>44407</v>
      </c>
      <c r="B15501">
        <v>4395.26</v>
      </c>
    </row>
    <row r="15502" spans="1:2" x14ac:dyDescent="0.25">
      <c r="A15502" s="5">
        <v>44410</v>
      </c>
      <c r="B15502">
        <v>4387.16</v>
      </c>
    </row>
    <row r="15503" spans="1:2" x14ac:dyDescent="0.25">
      <c r="A15503" s="5">
        <v>44411</v>
      </c>
      <c r="B15503">
        <v>4423.1499999999996</v>
      </c>
    </row>
    <row r="15504" spans="1:2" x14ac:dyDescent="0.25">
      <c r="A15504" s="5">
        <v>44412</v>
      </c>
      <c r="B15504">
        <v>4402.66</v>
      </c>
    </row>
    <row r="15505" spans="1:2" x14ac:dyDescent="0.25">
      <c r="A15505" s="5">
        <v>44413</v>
      </c>
      <c r="B15505">
        <v>4429.1000000000004</v>
      </c>
    </row>
    <row r="15506" spans="1:2" x14ac:dyDescent="0.25">
      <c r="A15506" s="5">
        <v>44414</v>
      </c>
      <c r="B15506">
        <v>4436.5200000000004</v>
      </c>
    </row>
    <row r="15507" spans="1:2" x14ac:dyDescent="0.25">
      <c r="A15507" s="5">
        <v>44417</v>
      </c>
      <c r="B15507">
        <v>4432.3500000000004</v>
      </c>
    </row>
    <row r="15508" spans="1:2" x14ac:dyDescent="0.25">
      <c r="A15508" s="5">
        <v>44418</v>
      </c>
      <c r="B15508">
        <v>4436.75</v>
      </c>
    </row>
    <row r="15509" spans="1:2" x14ac:dyDescent="0.25">
      <c r="A15509" s="5">
        <v>44419</v>
      </c>
      <c r="B15509">
        <v>4447.7</v>
      </c>
    </row>
    <row r="15510" spans="1:2" x14ac:dyDescent="0.25">
      <c r="A15510" s="5">
        <v>44420</v>
      </c>
      <c r="B15510">
        <v>4460.83</v>
      </c>
    </row>
    <row r="15511" spans="1:2" x14ac:dyDescent="0.25">
      <c r="A15511" s="5">
        <v>44421</v>
      </c>
      <c r="B15511">
        <v>4468</v>
      </c>
    </row>
    <row r="15512" spans="1:2" x14ac:dyDescent="0.25">
      <c r="A15512" s="5">
        <v>44424</v>
      </c>
      <c r="B15512">
        <v>4479.71</v>
      </c>
    </row>
    <row r="15513" spans="1:2" x14ac:dyDescent="0.25">
      <c r="A15513" s="5">
        <v>44425</v>
      </c>
      <c r="B15513">
        <v>4448.08</v>
      </c>
    </row>
    <row r="15514" spans="1:2" x14ac:dyDescent="0.25">
      <c r="A15514" s="5">
        <v>44426</v>
      </c>
      <c r="B15514">
        <v>4400.2700000000004</v>
      </c>
    </row>
    <row r="15515" spans="1:2" x14ac:dyDescent="0.25">
      <c r="A15515" s="5">
        <v>44427</v>
      </c>
      <c r="B15515">
        <v>4405.8</v>
      </c>
    </row>
    <row r="15516" spans="1:2" x14ac:dyDescent="0.25">
      <c r="A15516" s="5">
        <v>44428</v>
      </c>
      <c r="B15516">
        <v>4441.67</v>
      </c>
    </row>
    <row r="15517" spans="1:2" x14ac:dyDescent="0.25">
      <c r="A15517" s="5">
        <v>44431</v>
      </c>
      <c r="B15517">
        <v>4479.53</v>
      </c>
    </row>
    <row r="15518" spans="1:2" x14ac:dyDescent="0.25">
      <c r="A15518" s="5">
        <v>44432</v>
      </c>
      <c r="B15518">
        <v>4486.2299999999996</v>
      </c>
    </row>
    <row r="15519" spans="1:2" x14ac:dyDescent="0.25">
      <c r="A15519" s="5">
        <v>44433</v>
      </c>
      <c r="B15519">
        <v>4496.1899999999996</v>
      </c>
    </row>
    <row r="15520" spans="1:2" x14ac:dyDescent="0.25">
      <c r="A15520" s="5">
        <v>44434</v>
      </c>
      <c r="B15520">
        <v>4470</v>
      </c>
    </row>
    <row r="15521" spans="1:2" x14ac:dyDescent="0.25">
      <c r="A15521" s="5">
        <v>44435</v>
      </c>
      <c r="B15521">
        <v>4509.37</v>
      </c>
    </row>
    <row r="15522" spans="1:2" x14ac:dyDescent="0.25">
      <c r="A15522" s="5">
        <v>44438</v>
      </c>
      <c r="B15522">
        <v>4528.79</v>
      </c>
    </row>
    <row r="15523" spans="1:2" x14ac:dyDescent="0.25">
      <c r="A15523" s="5">
        <v>44439</v>
      </c>
      <c r="B15523">
        <v>4522.68</v>
      </c>
    </row>
    <row r="15524" spans="1:2" x14ac:dyDescent="0.25">
      <c r="A15524" s="5">
        <v>44440</v>
      </c>
      <c r="B15524">
        <v>4524.09</v>
      </c>
    </row>
    <row r="15525" spans="1:2" x14ac:dyDescent="0.25">
      <c r="A15525" s="5">
        <v>44441</v>
      </c>
      <c r="B15525">
        <v>4536.95</v>
      </c>
    </row>
    <row r="15526" spans="1:2" x14ac:dyDescent="0.25">
      <c r="A15526" s="5">
        <v>44442</v>
      </c>
      <c r="B15526">
        <v>4535.43</v>
      </c>
    </row>
    <row r="15527" spans="1:2" x14ac:dyDescent="0.25">
      <c r="A15527" s="5">
        <v>44446</v>
      </c>
      <c r="B15527">
        <v>4520.03</v>
      </c>
    </row>
    <row r="15528" spans="1:2" x14ac:dyDescent="0.25">
      <c r="A15528" s="5">
        <v>44447</v>
      </c>
      <c r="B15528">
        <v>4514.07</v>
      </c>
    </row>
    <row r="15529" spans="1:2" x14ac:dyDescent="0.25">
      <c r="A15529" s="5">
        <v>44448</v>
      </c>
      <c r="B15529">
        <v>4493.28</v>
      </c>
    </row>
    <row r="15530" spans="1:2" x14ac:dyDescent="0.25">
      <c r="A15530" s="5">
        <v>44449</v>
      </c>
      <c r="B15530">
        <v>4458.58</v>
      </c>
    </row>
    <row r="15531" spans="1:2" x14ac:dyDescent="0.25">
      <c r="A15531" s="5">
        <v>44452</v>
      </c>
      <c r="B15531">
        <v>4468.7299999999996</v>
      </c>
    </row>
    <row r="15532" spans="1:2" x14ac:dyDescent="0.25">
      <c r="A15532" s="5">
        <v>44453</v>
      </c>
      <c r="B15532">
        <v>4443.05</v>
      </c>
    </row>
    <row r="15533" spans="1:2" x14ac:dyDescent="0.25">
      <c r="A15533" s="5">
        <v>44454</v>
      </c>
      <c r="B15533">
        <v>4480.7</v>
      </c>
    </row>
    <row r="15534" spans="1:2" x14ac:dyDescent="0.25">
      <c r="A15534" s="5">
        <v>44455</v>
      </c>
      <c r="B15534">
        <v>4473.75</v>
      </c>
    </row>
    <row r="15535" spans="1:2" x14ac:dyDescent="0.25">
      <c r="A15535" s="5">
        <v>44456</v>
      </c>
      <c r="B15535">
        <v>4432.99</v>
      </c>
    </row>
    <row r="15536" spans="1:2" x14ac:dyDescent="0.25">
      <c r="A15536" s="5">
        <v>44459</v>
      </c>
      <c r="B15536">
        <v>4357.7299999999996</v>
      </c>
    </row>
    <row r="15537" spans="1:2" x14ac:dyDescent="0.25">
      <c r="A15537" s="5">
        <v>44460</v>
      </c>
      <c r="B15537">
        <v>4354.1899999999996</v>
      </c>
    </row>
    <row r="15538" spans="1:2" x14ac:dyDescent="0.25">
      <c r="A15538" s="5">
        <v>44461</v>
      </c>
      <c r="B15538">
        <v>4395.6400000000003</v>
      </c>
    </row>
    <row r="15539" spans="1:2" x14ac:dyDescent="0.25">
      <c r="A15539" s="5">
        <v>44462</v>
      </c>
      <c r="B15539">
        <v>4448.9799999999996</v>
      </c>
    </row>
    <row r="15540" spans="1:2" x14ac:dyDescent="0.25">
      <c r="A15540" s="5">
        <v>44463</v>
      </c>
      <c r="B15540">
        <v>4455.4799999999996</v>
      </c>
    </row>
    <row r="15541" spans="1:2" x14ac:dyDescent="0.25">
      <c r="A15541" s="5">
        <v>44466</v>
      </c>
      <c r="B15541">
        <v>4443.1099999999997</v>
      </c>
    </row>
    <row r="15542" spans="1:2" x14ac:dyDescent="0.25">
      <c r="A15542" s="5">
        <v>44467</v>
      </c>
      <c r="B15542">
        <v>4352.63</v>
      </c>
    </row>
    <row r="15543" spans="1:2" x14ac:dyDescent="0.25">
      <c r="A15543" s="5">
        <v>44468</v>
      </c>
      <c r="B15543">
        <v>4359.46</v>
      </c>
    </row>
    <row r="15544" spans="1:2" x14ac:dyDescent="0.25">
      <c r="A15544" s="5">
        <v>44469</v>
      </c>
      <c r="B15544">
        <v>4307.54</v>
      </c>
    </row>
    <row r="15545" spans="1:2" x14ac:dyDescent="0.25">
      <c r="A15545" s="5">
        <v>44470</v>
      </c>
      <c r="B15545">
        <v>4357.04</v>
      </c>
    </row>
    <row r="15546" spans="1:2" x14ac:dyDescent="0.25">
      <c r="A15546" s="5">
        <v>44473</v>
      </c>
      <c r="B15546">
        <v>4300.46</v>
      </c>
    </row>
    <row r="15547" spans="1:2" x14ac:dyDescent="0.25">
      <c r="A15547" s="5">
        <v>44474</v>
      </c>
      <c r="B15547">
        <v>4345.72</v>
      </c>
    </row>
    <row r="15548" spans="1:2" x14ac:dyDescent="0.25">
      <c r="A15548" s="5">
        <v>44475</v>
      </c>
      <c r="B15548">
        <v>4363.55</v>
      </c>
    </row>
    <row r="15549" spans="1:2" x14ac:dyDescent="0.25">
      <c r="A15549" s="5">
        <v>44476</v>
      </c>
      <c r="B15549">
        <v>4399.76</v>
      </c>
    </row>
    <row r="15550" spans="1:2" x14ac:dyDescent="0.25">
      <c r="A15550" s="5">
        <v>44477</v>
      </c>
      <c r="B15550">
        <v>4391.34</v>
      </c>
    </row>
    <row r="15551" spans="1:2" x14ac:dyDescent="0.25">
      <c r="A15551" s="5">
        <v>44480</v>
      </c>
      <c r="B15551">
        <v>4361.1899999999996</v>
      </c>
    </row>
    <row r="15552" spans="1:2" x14ac:dyDescent="0.25">
      <c r="A15552" s="5">
        <v>44481</v>
      </c>
      <c r="B15552">
        <v>4350.6499999999996</v>
      </c>
    </row>
    <row r="15553" spans="1:2" x14ac:dyDescent="0.25">
      <c r="A15553" s="5">
        <v>44482</v>
      </c>
      <c r="B15553">
        <v>4363.8</v>
      </c>
    </row>
    <row r="15554" spans="1:2" x14ac:dyDescent="0.25">
      <c r="A15554" s="5">
        <v>44483</v>
      </c>
      <c r="B15554">
        <v>4438.26</v>
      </c>
    </row>
    <row r="15555" spans="1:2" x14ac:dyDescent="0.25">
      <c r="A15555" s="5">
        <v>44484</v>
      </c>
      <c r="B15555">
        <v>4471.37</v>
      </c>
    </row>
    <row r="15556" spans="1:2" x14ac:dyDescent="0.25">
      <c r="A15556" s="5">
        <v>44487</v>
      </c>
      <c r="B15556">
        <v>4486.46</v>
      </c>
    </row>
    <row r="15557" spans="1:2" x14ac:dyDescent="0.25">
      <c r="A15557" s="5">
        <v>44488</v>
      </c>
      <c r="B15557">
        <v>4519.63</v>
      </c>
    </row>
    <row r="15558" spans="1:2" x14ac:dyDescent="0.25">
      <c r="A15558" s="5">
        <v>44489</v>
      </c>
      <c r="B15558">
        <v>4536.1899999999996</v>
      </c>
    </row>
    <row r="15559" spans="1:2" x14ac:dyDescent="0.25">
      <c r="A15559" s="5">
        <v>44490</v>
      </c>
      <c r="B15559">
        <v>4549.78</v>
      </c>
    </row>
    <row r="15560" spans="1:2" x14ac:dyDescent="0.25">
      <c r="A15560" s="5">
        <v>44491</v>
      </c>
      <c r="B15560">
        <v>4544.8999999999996</v>
      </c>
    </row>
    <row r="15561" spans="1:2" x14ac:dyDescent="0.25">
      <c r="A15561" s="5">
        <v>44494</v>
      </c>
      <c r="B15561">
        <v>4566.4799999999996</v>
      </c>
    </row>
    <row r="15562" spans="1:2" x14ac:dyDescent="0.25">
      <c r="A15562" s="5">
        <v>44495</v>
      </c>
      <c r="B15562">
        <v>4574.79</v>
      </c>
    </row>
    <row r="15563" spans="1:2" x14ac:dyDescent="0.25">
      <c r="A15563" s="5">
        <v>44496</v>
      </c>
      <c r="B15563">
        <v>4551.68</v>
      </c>
    </row>
    <row r="15564" spans="1:2" x14ac:dyDescent="0.25">
      <c r="A15564" s="5">
        <v>44497</v>
      </c>
      <c r="B15564">
        <v>4596.42</v>
      </c>
    </row>
    <row r="15565" spans="1:2" x14ac:dyDescent="0.25">
      <c r="A15565" s="5">
        <v>44498</v>
      </c>
      <c r="B15565">
        <v>4605.38</v>
      </c>
    </row>
    <row r="15566" spans="1:2" x14ac:dyDescent="0.25">
      <c r="A15566" s="5">
        <v>44501</v>
      </c>
      <c r="B15566">
        <v>4613.67</v>
      </c>
    </row>
    <row r="15567" spans="1:2" x14ac:dyDescent="0.25">
      <c r="A15567" s="5">
        <v>44502</v>
      </c>
      <c r="B15567">
        <v>4630.6499999999996</v>
      </c>
    </row>
    <row r="15568" spans="1:2" x14ac:dyDescent="0.25">
      <c r="A15568" s="5">
        <v>44503</v>
      </c>
      <c r="B15568">
        <v>4660.57</v>
      </c>
    </row>
    <row r="15569" spans="1:2" x14ac:dyDescent="0.25">
      <c r="A15569" s="5">
        <v>44504</v>
      </c>
      <c r="B15569">
        <v>4680.0600000000004</v>
      </c>
    </row>
    <row r="15570" spans="1:2" x14ac:dyDescent="0.25">
      <c r="A15570" s="5">
        <v>44505</v>
      </c>
      <c r="B15570">
        <v>4697.53</v>
      </c>
    </row>
    <row r="15571" spans="1:2" x14ac:dyDescent="0.25">
      <c r="A15571" s="5">
        <v>44508</v>
      </c>
      <c r="B15571">
        <v>4701.7</v>
      </c>
    </row>
    <row r="15572" spans="1:2" x14ac:dyDescent="0.25">
      <c r="A15572" s="5">
        <v>44509</v>
      </c>
      <c r="B15572">
        <v>4685.25</v>
      </c>
    </row>
    <row r="15573" spans="1:2" x14ac:dyDescent="0.25">
      <c r="A15573" s="5">
        <v>44510</v>
      </c>
      <c r="B15573">
        <v>4646.71</v>
      </c>
    </row>
    <row r="15574" spans="1:2" x14ac:dyDescent="0.25">
      <c r="A15574" s="5">
        <v>44511</v>
      </c>
      <c r="B15574">
        <v>4649.2700000000004</v>
      </c>
    </row>
    <row r="15575" spans="1:2" x14ac:dyDescent="0.25">
      <c r="A15575" s="5">
        <v>44512</v>
      </c>
      <c r="B15575">
        <v>4682.8500000000004</v>
      </c>
    </row>
    <row r="15576" spans="1:2" x14ac:dyDescent="0.25">
      <c r="A15576" s="5">
        <v>44515</v>
      </c>
      <c r="B15576">
        <v>4682.8</v>
      </c>
    </row>
    <row r="15577" spans="1:2" x14ac:dyDescent="0.25">
      <c r="A15577" s="5">
        <v>44516</v>
      </c>
      <c r="B15577">
        <v>4700.8999999999996</v>
      </c>
    </row>
    <row r="15578" spans="1:2" x14ac:dyDescent="0.25">
      <c r="A15578" s="5">
        <v>44517</v>
      </c>
      <c r="B15578">
        <v>4688.67</v>
      </c>
    </row>
    <row r="15579" spans="1:2" x14ac:dyDescent="0.25">
      <c r="A15579" s="5">
        <v>44518</v>
      </c>
      <c r="B15579">
        <v>4704.54</v>
      </c>
    </row>
    <row r="15580" spans="1:2" x14ac:dyDescent="0.25">
      <c r="A15580" s="5">
        <v>44519</v>
      </c>
      <c r="B15580">
        <v>4697.96</v>
      </c>
    </row>
    <row r="15581" spans="1:2" x14ac:dyDescent="0.25">
      <c r="A15581" s="5">
        <v>44522</v>
      </c>
      <c r="B15581">
        <v>4682.9399999999996</v>
      </c>
    </row>
    <row r="15582" spans="1:2" x14ac:dyDescent="0.25">
      <c r="A15582" s="5">
        <v>44523</v>
      </c>
      <c r="B15582">
        <v>4690.7</v>
      </c>
    </row>
    <row r="15583" spans="1:2" x14ac:dyDescent="0.25">
      <c r="A15583" s="5">
        <v>44524</v>
      </c>
      <c r="B15583">
        <v>4701.46</v>
      </c>
    </row>
    <row r="15584" spans="1:2" x14ac:dyDescent="0.25">
      <c r="A15584" s="5">
        <v>44526</v>
      </c>
      <c r="B15584">
        <v>4594.62</v>
      </c>
    </row>
    <row r="15585" spans="1:2" x14ac:dyDescent="0.25">
      <c r="A15585" s="5">
        <v>44529</v>
      </c>
      <c r="B15585">
        <v>4655.2700000000004</v>
      </c>
    </row>
    <row r="15586" spans="1:2" x14ac:dyDescent="0.25">
      <c r="A15586" s="5">
        <v>44530</v>
      </c>
      <c r="B15586">
        <v>4567</v>
      </c>
    </row>
    <row r="15587" spans="1:2" x14ac:dyDescent="0.25">
      <c r="A15587" s="5">
        <v>44531</v>
      </c>
      <c r="B15587">
        <v>4513.04</v>
      </c>
    </row>
    <row r="15588" spans="1:2" x14ac:dyDescent="0.25">
      <c r="A15588" s="5">
        <v>44532</v>
      </c>
      <c r="B15588">
        <v>4577.1000000000004</v>
      </c>
    </row>
    <row r="15589" spans="1:2" x14ac:dyDescent="0.25">
      <c r="A15589" s="5">
        <v>44533</v>
      </c>
      <c r="B15589">
        <v>4538.43</v>
      </c>
    </row>
    <row r="15590" spans="1:2" x14ac:dyDescent="0.25">
      <c r="A15590" s="5">
        <v>44536</v>
      </c>
      <c r="B15590">
        <v>4591.67</v>
      </c>
    </row>
    <row r="15591" spans="1:2" x14ac:dyDescent="0.25">
      <c r="A15591" s="5">
        <v>44537</v>
      </c>
      <c r="B15591">
        <v>4686.75</v>
      </c>
    </row>
    <row r="15592" spans="1:2" x14ac:dyDescent="0.25">
      <c r="A15592" s="5">
        <v>44538</v>
      </c>
      <c r="B15592">
        <v>4701.21</v>
      </c>
    </row>
    <row r="15593" spans="1:2" x14ac:dyDescent="0.25">
      <c r="A15593" s="5">
        <v>44539</v>
      </c>
      <c r="B15593">
        <v>4667.45</v>
      </c>
    </row>
    <row r="15594" spans="1:2" x14ac:dyDescent="0.25">
      <c r="A15594" s="5">
        <v>44540</v>
      </c>
      <c r="B15594">
        <v>4712.0200000000004</v>
      </c>
    </row>
    <row r="15595" spans="1:2" x14ac:dyDescent="0.25">
      <c r="A15595" s="5">
        <v>44543</v>
      </c>
      <c r="B15595">
        <v>4668.97</v>
      </c>
    </row>
    <row r="15596" spans="1:2" x14ac:dyDescent="0.25">
      <c r="A15596" s="5">
        <v>44544</v>
      </c>
      <c r="B15596">
        <v>4634.09</v>
      </c>
    </row>
    <row r="15597" spans="1:2" x14ac:dyDescent="0.25">
      <c r="A15597" s="5">
        <v>44545</v>
      </c>
      <c r="B15597">
        <v>4709.8500000000004</v>
      </c>
    </row>
    <row r="15598" spans="1:2" x14ac:dyDescent="0.25">
      <c r="A15598" s="5">
        <v>44546</v>
      </c>
      <c r="B15598">
        <v>4668.67</v>
      </c>
    </row>
    <row r="15599" spans="1:2" x14ac:dyDescent="0.25">
      <c r="A15599" s="5">
        <v>44547</v>
      </c>
      <c r="B15599">
        <v>4620.6400000000003</v>
      </c>
    </row>
    <row r="15600" spans="1:2" x14ac:dyDescent="0.25">
      <c r="A15600" s="5">
        <v>44550</v>
      </c>
      <c r="B15600">
        <v>4568.0200000000004</v>
      </c>
    </row>
    <row r="15601" spans="1:2" x14ac:dyDescent="0.25">
      <c r="A15601" s="5">
        <v>44551</v>
      </c>
      <c r="B15601">
        <v>4649.2299999999996</v>
      </c>
    </row>
    <row r="15602" spans="1:2" x14ac:dyDescent="0.25">
      <c r="A15602" s="5">
        <v>44552</v>
      </c>
      <c r="B15602">
        <v>4696.5600000000004</v>
      </c>
    </row>
    <row r="15603" spans="1:2" x14ac:dyDescent="0.25">
      <c r="A15603" s="5">
        <v>44553</v>
      </c>
      <c r="B15603">
        <v>4725.79</v>
      </c>
    </row>
    <row r="15604" spans="1:2" x14ac:dyDescent="0.25">
      <c r="A15604" s="5">
        <v>44557</v>
      </c>
      <c r="B15604">
        <v>4791.1899999999996</v>
      </c>
    </row>
    <row r="15605" spans="1:2" x14ac:dyDescent="0.25">
      <c r="A15605" s="5">
        <v>44558</v>
      </c>
      <c r="B15605">
        <v>4786.3500000000004</v>
      </c>
    </row>
    <row r="15606" spans="1:2" x14ac:dyDescent="0.25">
      <c r="A15606" s="5">
        <v>44559</v>
      </c>
      <c r="B15606">
        <v>4793.0600000000004</v>
      </c>
    </row>
    <row r="15607" spans="1:2" x14ac:dyDescent="0.25">
      <c r="A15607" s="5">
        <v>44560</v>
      </c>
      <c r="B15607">
        <v>4778.7299999999996</v>
      </c>
    </row>
    <row r="15608" spans="1:2" x14ac:dyDescent="0.25">
      <c r="A15608" s="5">
        <v>44561</v>
      </c>
      <c r="B15608">
        <v>4766.18</v>
      </c>
    </row>
    <row r="15609" spans="1:2" x14ac:dyDescent="0.25">
      <c r="A15609" s="5">
        <v>44564</v>
      </c>
      <c r="B15609">
        <v>4796.5600000000004</v>
      </c>
    </row>
    <row r="15610" spans="1:2" x14ac:dyDescent="0.25">
      <c r="A15610" s="5">
        <v>44565</v>
      </c>
      <c r="B15610">
        <v>4793.54</v>
      </c>
    </row>
    <row r="15611" spans="1:2" x14ac:dyDescent="0.25">
      <c r="A15611" s="5">
        <v>44566</v>
      </c>
      <c r="B15611">
        <v>4700.58</v>
      </c>
    </row>
    <row r="15612" spans="1:2" x14ac:dyDescent="0.25">
      <c r="A15612" s="5">
        <v>44567</v>
      </c>
      <c r="B15612">
        <v>4696.05</v>
      </c>
    </row>
    <row r="15613" spans="1:2" x14ac:dyDescent="0.25">
      <c r="A15613" s="5">
        <v>44568</v>
      </c>
      <c r="B15613">
        <v>4677.03</v>
      </c>
    </row>
    <row r="15614" spans="1:2" x14ac:dyDescent="0.25">
      <c r="A15614" s="5">
        <v>44571</v>
      </c>
      <c r="B15614">
        <v>4670.29</v>
      </c>
    </row>
    <row r="15615" spans="1:2" x14ac:dyDescent="0.25">
      <c r="A15615" s="5">
        <v>44572</v>
      </c>
      <c r="B15615">
        <v>4713.07</v>
      </c>
    </row>
    <row r="15616" spans="1:2" x14ac:dyDescent="0.25">
      <c r="A15616" s="5">
        <v>44573</v>
      </c>
      <c r="B15616">
        <v>4726.3500000000004</v>
      </c>
    </row>
    <row r="15617" spans="1:2" x14ac:dyDescent="0.25">
      <c r="A15617" s="5">
        <v>44574</v>
      </c>
      <c r="B15617">
        <v>4659.03</v>
      </c>
    </row>
    <row r="15618" spans="1:2" x14ac:dyDescent="0.25">
      <c r="A15618" s="5">
        <v>44575</v>
      </c>
      <c r="B15618">
        <v>4662.8500000000004</v>
      </c>
    </row>
    <row r="15619" spans="1:2" x14ac:dyDescent="0.25">
      <c r="A15619" s="5">
        <v>44579</v>
      </c>
      <c r="B15619">
        <v>4577.1099999999997</v>
      </c>
    </row>
    <row r="15620" spans="1:2" x14ac:dyDescent="0.25">
      <c r="A15620" s="5">
        <v>44580</v>
      </c>
      <c r="B15620">
        <v>4532.76</v>
      </c>
    </row>
    <row r="15621" spans="1:2" x14ac:dyDescent="0.25">
      <c r="A15621" s="5">
        <v>44581</v>
      </c>
      <c r="B15621">
        <v>4482.7299999999996</v>
      </c>
    </row>
    <row r="15622" spans="1:2" x14ac:dyDescent="0.25">
      <c r="A15622" s="5">
        <v>44582</v>
      </c>
      <c r="B15622">
        <v>4397.9399999999996</v>
      </c>
    </row>
    <row r="15623" spans="1:2" x14ac:dyDescent="0.25">
      <c r="A15623" s="5">
        <v>44585</v>
      </c>
      <c r="B15623">
        <v>4410.13</v>
      </c>
    </row>
    <row r="15624" spans="1:2" x14ac:dyDescent="0.25">
      <c r="A15624" s="5">
        <v>44586</v>
      </c>
      <c r="B15624">
        <v>4356.45</v>
      </c>
    </row>
    <row r="15625" spans="1:2" x14ac:dyDescent="0.25">
      <c r="A15625" s="5">
        <v>44587</v>
      </c>
      <c r="B15625">
        <v>4349.93</v>
      </c>
    </row>
    <row r="15626" spans="1:2" x14ac:dyDescent="0.25">
      <c r="A15626" s="5">
        <v>44588</v>
      </c>
      <c r="B15626">
        <v>4326.51</v>
      </c>
    </row>
    <row r="15627" spans="1:2" x14ac:dyDescent="0.25">
      <c r="A15627" s="5">
        <v>44589</v>
      </c>
      <c r="B15627">
        <v>4431.8500000000004</v>
      </c>
    </row>
    <row r="15628" spans="1:2" x14ac:dyDescent="0.25">
      <c r="A15628" s="5">
        <v>44592</v>
      </c>
      <c r="B15628">
        <v>4515.55</v>
      </c>
    </row>
    <row r="15629" spans="1:2" x14ac:dyDescent="0.25">
      <c r="A15629" s="5">
        <v>44593</v>
      </c>
      <c r="B15629">
        <v>4546.54</v>
      </c>
    </row>
    <row r="15630" spans="1:2" x14ac:dyDescent="0.25">
      <c r="A15630" s="5">
        <v>44594</v>
      </c>
      <c r="B15630">
        <v>4589.38</v>
      </c>
    </row>
    <row r="15631" spans="1:2" x14ac:dyDescent="0.25">
      <c r="A15631" s="5">
        <v>44595</v>
      </c>
      <c r="B15631">
        <v>4477.4399999999996</v>
      </c>
    </row>
    <row r="15632" spans="1:2" x14ac:dyDescent="0.25">
      <c r="A15632" s="5">
        <v>44596</v>
      </c>
      <c r="B15632">
        <v>4500.53</v>
      </c>
    </row>
    <row r="15633" spans="1:2" x14ac:dyDescent="0.25">
      <c r="A15633" s="5">
        <v>44599</v>
      </c>
      <c r="B15633">
        <v>4483.87</v>
      </c>
    </row>
    <row r="15634" spans="1:2" x14ac:dyDescent="0.25">
      <c r="A15634" s="5">
        <v>44600</v>
      </c>
      <c r="B15634">
        <v>4521.54</v>
      </c>
    </row>
    <row r="15635" spans="1:2" x14ac:dyDescent="0.25">
      <c r="A15635" s="5">
        <v>44601</v>
      </c>
      <c r="B15635">
        <v>4587.18</v>
      </c>
    </row>
    <row r="15636" spans="1:2" x14ac:dyDescent="0.25">
      <c r="A15636" s="5">
        <v>44602</v>
      </c>
      <c r="B15636">
        <v>4504.08</v>
      </c>
    </row>
    <row r="15637" spans="1:2" x14ac:dyDescent="0.25">
      <c r="A15637" s="5">
        <v>44603</v>
      </c>
      <c r="B15637">
        <v>4418.6400000000003</v>
      </c>
    </row>
    <row r="15638" spans="1:2" x14ac:dyDescent="0.25">
      <c r="A15638" s="5">
        <v>44606</v>
      </c>
      <c r="B15638">
        <v>4401.67</v>
      </c>
    </row>
    <row r="15639" spans="1:2" x14ac:dyDescent="0.25">
      <c r="A15639" s="5">
        <v>44607</v>
      </c>
      <c r="B15639">
        <v>4471.07</v>
      </c>
    </row>
    <row r="15640" spans="1:2" x14ac:dyDescent="0.25">
      <c r="A15640" s="5">
        <v>44608</v>
      </c>
      <c r="B15640">
        <v>4475.01</v>
      </c>
    </row>
    <row r="15641" spans="1:2" x14ac:dyDescent="0.25">
      <c r="A15641" s="5">
        <v>44609</v>
      </c>
      <c r="B15641">
        <v>4380.26</v>
      </c>
    </row>
    <row r="15642" spans="1:2" x14ac:dyDescent="0.25">
      <c r="A15642" s="5">
        <v>44610</v>
      </c>
      <c r="B15642">
        <v>4348.87</v>
      </c>
    </row>
    <row r="15643" spans="1:2" x14ac:dyDescent="0.25">
      <c r="A15643" s="5">
        <v>44614</v>
      </c>
      <c r="B15643">
        <v>4304.76</v>
      </c>
    </row>
    <row r="15644" spans="1:2" x14ac:dyDescent="0.25">
      <c r="A15644" s="5">
        <v>44615</v>
      </c>
      <c r="B15644">
        <v>4225.5</v>
      </c>
    </row>
    <row r="15645" spans="1:2" x14ac:dyDescent="0.25">
      <c r="A15645" s="5">
        <v>44616</v>
      </c>
      <c r="B15645">
        <v>4288.7</v>
      </c>
    </row>
    <row r="15646" spans="1:2" x14ac:dyDescent="0.25">
      <c r="A15646" s="5">
        <v>44617</v>
      </c>
      <c r="B15646">
        <v>4384.6499999999996</v>
      </c>
    </row>
    <row r="15647" spans="1:2" x14ac:dyDescent="0.25">
      <c r="A15647" s="5">
        <v>44620</v>
      </c>
      <c r="B15647">
        <v>4373.9399999999996</v>
      </c>
    </row>
    <row r="15648" spans="1:2" x14ac:dyDescent="0.25">
      <c r="A15648" s="5">
        <v>44621</v>
      </c>
      <c r="B15648">
        <v>4306.26</v>
      </c>
    </row>
    <row r="15649" spans="1:2" x14ac:dyDescent="0.25">
      <c r="A15649" s="5">
        <v>44622</v>
      </c>
      <c r="B15649">
        <v>4386.54</v>
      </c>
    </row>
    <row r="15650" spans="1:2" x14ac:dyDescent="0.25">
      <c r="A15650" s="5">
        <v>44623</v>
      </c>
      <c r="B15650">
        <v>4363.49</v>
      </c>
    </row>
    <row r="15651" spans="1:2" x14ac:dyDescent="0.25">
      <c r="A15651" s="5">
        <v>44624</v>
      </c>
      <c r="B15651">
        <v>4328.87</v>
      </c>
    </row>
    <row r="15652" spans="1:2" x14ac:dyDescent="0.25">
      <c r="A15652" s="5">
        <v>44627</v>
      </c>
      <c r="B15652">
        <v>4201.09</v>
      </c>
    </row>
    <row r="15653" spans="1:2" x14ac:dyDescent="0.25">
      <c r="A15653" s="5">
        <v>44628</v>
      </c>
      <c r="B15653">
        <v>4170.7</v>
      </c>
    </row>
    <row r="15654" spans="1:2" x14ac:dyDescent="0.25">
      <c r="A15654" s="5">
        <v>44629</v>
      </c>
      <c r="B15654">
        <v>4277.88</v>
      </c>
    </row>
    <row r="15655" spans="1:2" x14ac:dyDescent="0.25">
      <c r="A15655" s="5">
        <v>44630</v>
      </c>
      <c r="B15655">
        <v>4259.5200000000004</v>
      </c>
    </row>
    <row r="15656" spans="1:2" x14ac:dyDescent="0.25">
      <c r="A15656" s="5">
        <v>44631</v>
      </c>
      <c r="B15656">
        <v>4204.3100000000004</v>
      </c>
    </row>
    <row r="15657" spans="1:2" x14ac:dyDescent="0.25">
      <c r="A15657" s="5">
        <v>44634</v>
      </c>
      <c r="B15657">
        <v>4173.1099999999997</v>
      </c>
    </row>
    <row r="15658" spans="1:2" x14ac:dyDescent="0.25">
      <c r="A15658" s="5">
        <v>44635</v>
      </c>
      <c r="B15658">
        <v>4262.45</v>
      </c>
    </row>
    <row r="15659" spans="1:2" x14ac:dyDescent="0.25">
      <c r="A15659" s="5">
        <v>44636</v>
      </c>
      <c r="B15659">
        <v>4357.8599999999997</v>
      </c>
    </row>
    <row r="15660" spans="1:2" x14ac:dyDescent="0.25">
      <c r="A15660" s="5">
        <v>44637</v>
      </c>
      <c r="B15660">
        <v>4411.67</v>
      </c>
    </row>
    <row r="15661" spans="1:2" x14ac:dyDescent="0.25">
      <c r="A15661" s="5">
        <v>44638</v>
      </c>
      <c r="B15661">
        <v>4463.12</v>
      </c>
    </row>
    <row r="15662" spans="1:2" x14ac:dyDescent="0.25">
      <c r="A15662" s="5">
        <v>44641</v>
      </c>
      <c r="B15662">
        <v>4461.18</v>
      </c>
    </row>
    <row r="15663" spans="1:2" x14ac:dyDescent="0.25">
      <c r="A15663" s="5">
        <v>44642</v>
      </c>
      <c r="B15663">
        <v>4511.6099999999997</v>
      </c>
    </row>
    <row r="15664" spans="1:2" x14ac:dyDescent="0.25">
      <c r="A15664" s="5">
        <v>44643</v>
      </c>
      <c r="B15664">
        <v>4456.24</v>
      </c>
    </row>
    <row r="15665" spans="1:2" x14ac:dyDescent="0.25">
      <c r="A15665" s="5">
        <v>44644</v>
      </c>
      <c r="B15665">
        <v>4520.16</v>
      </c>
    </row>
    <row r="15666" spans="1:2" x14ac:dyDescent="0.25">
      <c r="A15666" s="5">
        <v>44645</v>
      </c>
      <c r="B15666">
        <v>4543.0600000000004</v>
      </c>
    </row>
    <row r="15667" spans="1:2" x14ac:dyDescent="0.25">
      <c r="A15667" s="5">
        <v>44648</v>
      </c>
      <c r="B15667">
        <v>4575.5200000000004</v>
      </c>
    </row>
    <row r="15668" spans="1:2" x14ac:dyDescent="0.25">
      <c r="A15668" s="5">
        <v>44649</v>
      </c>
      <c r="B15668">
        <v>4631.6000000000004</v>
      </c>
    </row>
    <row r="15669" spans="1:2" x14ac:dyDescent="0.25">
      <c r="A15669" s="5">
        <v>44650</v>
      </c>
      <c r="B15669">
        <v>4602.45</v>
      </c>
    </row>
    <row r="15670" spans="1:2" x14ac:dyDescent="0.25">
      <c r="A15670" s="5">
        <v>44651</v>
      </c>
      <c r="B15670">
        <v>4530.41</v>
      </c>
    </row>
    <row r="15671" spans="1:2" x14ac:dyDescent="0.25">
      <c r="A15671" s="5">
        <v>44652</v>
      </c>
      <c r="B15671">
        <v>4545.8599999999997</v>
      </c>
    </row>
    <row r="15672" spans="1:2" x14ac:dyDescent="0.25">
      <c r="A15672" s="5">
        <v>44655</v>
      </c>
      <c r="B15672">
        <v>4582.6400000000003</v>
      </c>
    </row>
    <row r="15673" spans="1:2" x14ac:dyDescent="0.25">
      <c r="A15673" s="5">
        <v>44656</v>
      </c>
      <c r="B15673">
        <v>4525.12</v>
      </c>
    </row>
    <row r="15674" spans="1:2" x14ac:dyDescent="0.25">
      <c r="A15674" s="5">
        <v>44657</v>
      </c>
      <c r="B15674">
        <v>4481.1499999999996</v>
      </c>
    </row>
    <row r="15675" spans="1:2" x14ac:dyDescent="0.25">
      <c r="A15675" s="5">
        <v>44658</v>
      </c>
      <c r="B15675">
        <v>4500.21</v>
      </c>
    </row>
    <row r="15676" spans="1:2" x14ac:dyDescent="0.25">
      <c r="A15676" s="5">
        <v>44659</v>
      </c>
      <c r="B15676">
        <v>4488.28</v>
      </c>
    </row>
    <row r="15677" spans="1:2" x14ac:dyDescent="0.25">
      <c r="A15677" s="5">
        <v>44662</v>
      </c>
      <c r="B15677">
        <v>4412.53</v>
      </c>
    </row>
    <row r="15678" spans="1:2" x14ac:dyDescent="0.25">
      <c r="A15678" s="5">
        <v>44663</v>
      </c>
      <c r="B15678">
        <v>4397.45</v>
      </c>
    </row>
    <row r="15679" spans="1:2" x14ac:dyDescent="0.25">
      <c r="A15679" s="5">
        <v>44664</v>
      </c>
      <c r="B15679">
        <v>4446.59</v>
      </c>
    </row>
    <row r="15680" spans="1:2" x14ac:dyDescent="0.25">
      <c r="A15680" s="5">
        <v>44665</v>
      </c>
      <c r="B15680">
        <v>4392.59</v>
      </c>
    </row>
    <row r="15681" spans="1:2" x14ac:dyDescent="0.25">
      <c r="A15681" s="5">
        <v>44669</v>
      </c>
      <c r="B15681">
        <v>4391.6899999999996</v>
      </c>
    </row>
    <row r="15682" spans="1:2" x14ac:dyDescent="0.25">
      <c r="A15682" s="5">
        <v>44670</v>
      </c>
      <c r="B15682">
        <v>4462.21</v>
      </c>
    </row>
    <row r="15683" spans="1:2" x14ac:dyDescent="0.25">
      <c r="A15683" s="5">
        <v>44671</v>
      </c>
      <c r="B15683">
        <v>4459.45</v>
      </c>
    </row>
    <row r="15684" spans="1:2" x14ac:dyDescent="0.25">
      <c r="A15684" s="5">
        <v>44672</v>
      </c>
      <c r="B15684">
        <v>4393.66</v>
      </c>
    </row>
    <row r="15685" spans="1:2" x14ac:dyDescent="0.25">
      <c r="A15685" s="5">
        <v>44673</v>
      </c>
      <c r="B15685">
        <v>4271.78</v>
      </c>
    </row>
    <row r="15686" spans="1:2" x14ac:dyDescent="0.25">
      <c r="A15686" s="5">
        <v>44676</v>
      </c>
      <c r="B15686">
        <v>4296.12</v>
      </c>
    </row>
    <row r="15687" spans="1:2" x14ac:dyDescent="0.25">
      <c r="A15687" s="5">
        <v>44677</v>
      </c>
      <c r="B15687">
        <v>4175.2</v>
      </c>
    </row>
    <row r="15688" spans="1:2" x14ac:dyDescent="0.25">
      <c r="A15688" s="5">
        <v>44678</v>
      </c>
      <c r="B15688">
        <v>4183.96</v>
      </c>
    </row>
    <row r="15689" spans="1:2" x14ac:dyDescent="0.25">
      <c r="A15689" s="5">
        <v>44679</v>
      </c>
      <c r="B15689">
        <v>4287.5</v>
      </c>
    </row>
    <row r="15690" spans="1:2" x14ac:dyDescent="0.25">
      <c r="A15690" s="5">
        <v>44680</v>
      </c>
      <c r="B15690">
        <v>4131.93</v>
      </c>
    </row>
    <row r="15691" spans="1:2" x14ac:dyDescent="0.25">
      <c r="A15691" s="5">
        <v>44683</v>
      </c>
      <c r="B15691">
        <v>4155.38</v>
      </c>
    </row>
    <row r="15692" spans="1:2" x14ac:dyDescent="0.25">
      <c r="A15692" s="5">
        <v>44684</v>
      </c>
      <c r="B15692">
        <v>4175.4799999999996</v>
      </c>
    </row>
    <row r="15693" spans="1:2" x14ac:dyDescent="0.25">
      <c r="A15693" s="5">
        <v>44685</v>
      </c>
      <c r="B15693">
        <v>4300.17</v>
      </c>
    </row>
    <row r="15694" spans="1:2" x14ac:dyDescent="0.25">
      <c r="A15694" s="5">
        <v>44686</v>
      </c>
      <c r="B15694">
        <v>4146.87</v>
      </c>
    </row>
    <row r="15695" spans="1:2" x14ac:dyDescent="0.25">
      <c r="A15695" s="5">
        <v>44687</v>
      </c>
      <c r="B15695">
        <v>4123.34</v>
      </c>
    </row>
    <row r="15696" spans="1:2" x14ac:dyDescent="0.25">
      <c r="A15696" s="5">
        <v>44690</v>
      </c>
      <c r="B15696">
        <v>3991.24</v>
      </c>
    </row>
    <row r="15697" spans="1:2" x14ac:dyDescent="0.25">
      <c r="A15697" s="5">
        <v>44691</v>
      </c>
      <c r="B15697">
        <v>4001.05</v>
      </c>
    </row>
    <row r="15698" spans="1:2" x14ac:dyDescent="0.25">
      <c r="A15698" s="5">
        <v>44692</v>
      </c>
      <c r="B15698">
        <v>3935.18</v>
      </c>
    </row>
    <row r="15699" spans="1:2" x14ac:dyDescent="0.25">
      <c r="A15699" s="5">
        <v>44693</v>
      </c>
      <c r="B15699">
        <v>3930.08</v>
      </c>
    </row>
    <row r="15700" spans="1:2" x14ac:dyDescent="0.25">
      <c r="A15700" s="5">
        <v>44694</v>
      </c>
      <c r="B15700">
        <v>4023.89</v>
      </c>
    </row>
    <row r="15701" spans="1:2" x14ac:dyDescent="0.25">
      <c r="A15701" s="5">
        <v>44697</v>
      </c>
      <c r="B15701">
        <v>4008.01</v>
      </c>
    </row>
    <row r="15702" spans="1:2" x14ac:dyDescent="0.25">
      <c r="A15702" s="5">
        <v>44698</v>
      </c>
      <c r="B15702">
        <v>4088.85</v>
      </c>
    </row>
    <row r="15703" spans="1:2" x14ac:dyDescent="0.25">
      <c r="A15703" s="5">
        <v>44699</v>
      </c>
      <c r="B15703">
        <v>3923.68</v>
      </c>
    </row>
    <row r="15704" spans="1:2" x14ac:dyDescent="0.25">
      <c r="A15704" s="5">
        <v>44700</v>
      </c>
      <c r="B15704">
        <v>3900.79</v>
      </c>
    </row>
    <row r="15705" spans="1:2" x14ac:dyDescent="0.25">
      <c r="A15705" s="5">
        <v>44701</v>
      </c>
      <c r="B15705">
        <v>3901.36</v>
      </c>
    </row>
    <row r="15706" spans="1:2" x14ac:dyDescent="0.25">
      <c r="A15706" s="5">
        <v>44704</v>
      </c>
      <c r="B15706">
        <v>3973.75</v>
      </c>
    </row>
    <row r="15707" spans="1:2" x14ac:dyDescent="0.25">
      <c r="A15707" s="5">
        <v>44705</v>
      </c>
      <c r="B15707">
        <v>3941.48</v>
      </c>
    </row>
    <row r="15708" spans="1:2" x14ac:dyDescent="0.25">
      <c r="A15708" s="5">
        <v>44706</v>
      </c>
      <c r="B15708">
        <v>3978.73</v>
      </c>
    </row>
    <row r="15709" spans="1:2" x14ac:dyDescent="0.25">
      <c r="A15709" s="5">
        <v>44707</v>
      </c>
      <c r="B15709">
        <v>4057.84</v>
      </c>
    </row>
    <row r="15710" spans="1:2" x14ac:dyDescent="0.25">
      <c r="A15710" s="5">
        <v>44708</v>
      </c>
      <c r="B15710">
        <v>4158.24</v>
      </c>
    </row>
    <row r="15711" spans="1:2" x14ac:dyDescent="0.25">
      <c r="A15711" s="5">
        <v>44712</v>
      </c>
      <c r="B15711">
        <v>4132.1499999999996</v>
      </c>
    </row>
    <row r="15712" spans="1:2" x14ac:dyDescent="0.25">
      <c r="A15712" s="5">
        <v>44713</v>
      </c>
      <c r="B15712">
        <v>4101.2299999999996</v>
      </c>
    </row>
    <row r="15713" spans="1:2" x14ac:dyDescent="0.25">
      <c r="A15713" s="5">
        <v>44714</v>
      </c>
      <c r="B15713">
        <v>4176.82</v>
      </c>
    </row>
    <row r="15714" spans="1:2" x14ac:dyDescent="0.25">
      <c r="A15714" s="5">
        <v>44715</v>
      </c>
      <c r="B15714">
        <v>4108.54</v>
      </c>
    </row>
    <row r="15715" spans="1:2" x14ac:dyDescent="0.25">
      <c r="A15715" s="5">
        <v>44718</v>
      </c>
      <c r="B15715">
        <v>4121.43</v>
      </c>
    </row>
    <row r="15716" spans="1:2" x14ac:dyDescent="0.25">
      <c r="A15716" s="5">
        <v>44719</v>
      </c>
      <c r="B15716">
        <v>4160.68</v>
      </c>
    </row>
    <row r="15717" spans="1:2" x14ac:dyDescent="0.25">
      <c r="A15717" s="5">
        <v>44720</v>
      </c>
      <c r="B15717">
        <v>4115.7700000000004</v>
      </c>
    </row>
    <row r="15718" spans="1:2" x14ac:dyDescent="0.25">
      <c r="A15718" s="5">
        <v>44721</v>
      </c>
      <c r="B15718">
        <v>4017.82</v>
      </c>
    </row>
    <row r="15719" spans="1:2" x14ac:dyDescent="0.25">
      <c r="A15719" s="5">
        <v>44722</v>
      </c>
      <c r="B15719">
        <v>3900.86</v>
      </c>
    </row>
    <row r="15720" spans="1:2" x14ac:dyDescent="0.25">
      <c r="A15720" s="5">
        <v>44725</v>
      </c>
      <c r="B15720">
        <v>3749.63</v>
      </c>
    </row>
    <row r="15721" spans="1:2" x14ac:dyDescent="0.25">
      <c r="A15721" s="5">
        <v>44726</v>
      </c>
      <c r="B15721">
        <v>3735.48</v>
      </c>
    </row>
    <row r="15722" spans="1:2" x14ac:dyDescent="0.25">
      <c r="A15722" s="5">
        <v>44727</v>
      </c>
      <c r="B15722">
        <v>3789.99</v>
      </c>
    </row>
    <row r="15723" spans="1:2" x14ac:dyDescent="0.25">
      <c r="A15723" s="5">
        <v>44728</v>
      </c>
      <c r="B15723">
        <v>3666.77</v>
      </c>
    </row>
    <row r="15724" spans="1:2" x14ac:dyDescent="0.25">
      <c r="A15724" s="5">
        <v>44729</v>
      </c>
      <c r="B15724">
        <v>3674.84</v>
      </c>
    </row>
    <row r="15725" spans="1:2" x14ac:dyDescent="0.25">
      <c r="A15725" s="5">
        <v>44733</v>
      </c>
      <c r="B15725">
        <v>3764.79</v>
      </c>
    </row>
    <row r="15726" spans="1:2" x14ac:dyDescent="0.25">
      <c r="A15726" s="5">
        <v>44734</v>
      </c>
      <c r="B15726">
        <v>3759.89</v>
      </c>
    </row>
    <row r="15727" spans="1:2" x14ac:dyDescent="0.25">
      <c r="A15727" s="5">
        <v>44735</v>
      </c>
      <c r="B15727">
        <v>3795.73</v>
      </c>
    </row>
    <row r="15728" spans="1:2" x14ac:dyDescent="0.25">
      <c r="A15728" s="5">
        <v>44736</v>
      </c>
      <c r="B15728">
        <v>3911.74</v>
      </c>
    </row>
    <row r="15729" spans="1:2" x14ac:dyDescent="0.25">
      <c r="A15729" s="5">
        <v>44739</v>
      </c>
      <c r="B15729">
        <v>3900.11</v>
      </c>
    </row>
    <row r="15730" spans="1:2" x14ac:dyDescent="0.25">
      <c r="A15730" s="5">
        <v>44740</v>
      </c>
      <c r="B15730">
        <v>3821.55</v>
      </c>
    </row>
    <row r="15731" spans="1:2" x14ac:dyDescent="0.25">
      <c r="A15731" s="5">
        <v>44741</v>
      </c>
      <c r="B15731">
        <v>3818.83</v>
      </c>
    </row>
    <row r="15732" spans="1:2" x14ac:dyDescent="0.25">
      <c r="A15732" s="5">
        <v>44742</v>
      </c>
      <c r="B15732">
        <v>3785.38</v>
      </c>
    </row>
    <row r="15733" spans="1:2" x14ac:dyDescent="0.25">
      <c r="A15733" s="5">
        <v>44743</v>
      </c>
      <c r="B15733">
        <v>3825.33</v>
      </c>
    </row>
    <row r="15734" spans="1:2" x14ac:dyDescent="0.25">
      <c r="A15734" s="5">
        <v>44747</v>
      </c>
      <c r="B15734">
        <v>3831.39</v>
      </c>
    </row>
    <row r="15735" spans="1:2" x14ac:dyDescent="0.25">
      <c r="A15735" s="5">
        <v>44748</v>
      </c>
      <c r="B15735">
        <v>3845.08</v>
      </c>
    </row>
    <row r="15736" spans="1:2" x14ac:dyDescent="0.25">
      <c r="A15736" s="5">
        <v>44749</v>
      </c>
      <c r="B15736">
        <v>3902.62</v>
      </c>
    </row>
    <row r="15737" spans="1:2" x14ac:dyDescent="0.25">
      <c r="A15737" s="5">
        <v>44750</v>
      </c>
      <c r="B15737">
        <v>3899.38</v>
      </c>
    </row>
    <row r="15738" spans="1:2" x14ac:dyDescent="0.25">
      <c r="A15738" s="5">
        <v>44753</v>
      </c>
      <c r="B15738">
        <v>3854.43</v>
      </c>
    </row>
    <row r="15739" spans="1:2" x14ac:dyDescent="0.25">
      <c r="A15739" s="5">
        <v>44754</v>
      </c>
      <c r="B15739">
        <v>3818.8</v>
      </c>
    </row>
    <row r="15740" spans="1:2" x14ac:dyDescent="0.25">
      <c r="A15740" s="5">
        <v>44755</v>
      </c>
      <c r="B15740">
        <v>3801.78</v>
      </c>
    </row>
    <row r="15741" spans="1:2" x14ac:dyDescent="0.25">
      <c r="A15741" s="5">
        <v>44756</v>
      </c>
      <c r="B15741">
        <v>3790.38</v>
      </c>
    </row>
    <row r="15742" spans="1:2" x14ac:dyDescent="0.25">
      <c r="A15742" s="5">
        <v>44757</v>
      </c>
      <c r="B15742">
        <v>3863.16</v>
      </c>
    </row>
    <row r="15743" spans="1:2" x14ac:dyDescent="0.25">
      <c r="A15743" s="5">
        <v>44760</v>
      </c>
      <c r="B15743">
        <v>3830.85</v>
      </c>
    </row>
    <row r="15744" spans="1:2" x14ac:dyDescent="0.25">
      <c r="A15744" s="5">
        <v>44761</v>
      </c>
      <c r="B15744">
        <v>3936.69</v>
      </c>
    </row>
    <row r="15745" spans="1:2" x14ac:dyDescent="0.25">
      <c r="A15745" s="5">
        <v>44762</v>
      </c>
      <c r="B15745">
        <v>3959.9</v>
      </c>
    </row>
    <row r="15746" spans="1:2" x14ac:dyDescent="0.25">
      <c r="A15746" s="5">
        <v>44763</v>
      </c>
      <c r="B15746">
        <v>3998.95</v>
      </c>
    </row>
    <row r="15747" spans="1:2" x14ac:dyDescent="0.25">
      <c r="A15747" s="5">
        <v>44764</v>
      </c>
      <c r="B15747">
        <v>3961.63</v>
      </c>
    </row>
    <row r="15748" spans="1:2" x14ac:dyDescent="0.25">
      <c r="A15748" s="5">
        <v>44767</v>
      </c>
      <c r="B15748">
        <v>3966.84</v>
      </c>
    </row>
    <row r="15749" spans="1:2" x14ac:dyDescent="0.25">
      <c r="A15749" s="5">
        <v>44768</v>
      </c>
      <c r="B15749">
        <v>3921.05</v>
      </c>
    </row>
    <row r="15750" spans="1:2" x14ac:dyDescent="0.25">
      <c r="A15750" s="5">
        <v>44769</v>
      </c>
      <c r="B15750">
        <v>4023.61</v>
      </c>
    </row>
    <row r="15751" spans="1:2" x14ac:dyDescent="0.25">
      <c r="A15751" s="5">
        <v>44770</v>
      </c>
      <c r="B15751">
        <v>4072.43</v>
      </c>
    </row>
    <row r="15752" spans="1:2" x14ac:dyDescent="0.25">
      <c r="A15752" s="5">
        <v>44771</v>
      </c>
      <c r="B15752">
        <v>4130.29</v>
      </c>
    </row>
    <row r="15753" spans="1:2" x14ac:dyDescent="0.25">
      <c r="A15753" s="5">
        <v>44774</v>
      </c>
      <c r="B15753">
        <v>4118.63</v>
      </c>
    </row>
    <row r="15754" spans="1:2" x14ac:dyDescent="0.25">
      <c r="A15754" s="5">
        <v>44775</v>
      </c>
      <c r="B15754">
        <v>4091.19</v>
      </c>
    </row>
    <row r="15755" spans="1:2" x14ac:dyDescent="0.25">
      <c r="A15755" s="5">
        <v>44776</v>
      </c>
      <c r="B15755">
        <v>4155.17</v>
      </c>
    </row>
    <row r="15756" spans="1:2" x14ac:dyDescent="0.25">
      <c r="A15756" s="5">
        <v>44777</v>
      </c>
      <c r="B15756">
        <v>4151.9399999999996</v>
      </c>
    </row>
    <row r="15757" spans="1:2" x14ac:dyDescent="0.25">
      <c r="A15757" s="5">
        <v>44778</v>
      </c>
      <c r="B15757">
        <v>4145.1899999999996</v>
      </c>
    </row>
    <row r="15758" spans="1:2" x14ac:dyDescent="0.25">
      <c r="A15758" s="5">
        <v>44781</v>
      </c>
      <c r="B15758">
        <v>4140.0600000000004</v>
      </c>
    </row>
    <row r="15759" spans="1:2" x14ac:dyDescent="0.25">
      <c r="A15759" s="5">
        <v>44782</v>
      </c>
      <c r="B15759">
        <v>4122.47</v>
      </c>
    </row>
    <row r="15760" spans="1:2" x14ac:dyDescent="0.25">
      <c r="A15760" s="5">
        <v>44783</v>
      </c>
      <c r="B15760">
        <v>4210.24</v>
      </c>
    </row>
    <row r="15761" spans="1:2" x14ac:dyDescent="0.25">
      <c r="A15761" s="5">
        <v>44784</v>
      </c>
      <c r="B15761">
        <v>4207.2700000000004</v>
      </c>
    </row>
    <row r="15762" spans="1:2" x14ac:dyDescent="0.25">
      <c r="A15762" s="5">
        <v>44785</v>
      </c>
      <c r="B15762">
        <v>4280.1499999999996</v>
      </c>
    </row>
    <row r="15763" spans="1:2" x14ac:dyDescent="0.25">
      <c r="A15763" s="5">
        <v>44788</v>
      </c>
      <c r="B15763">
        <v>4297.1400000000003</v>
      </c>
    </row>
    <row r="15764" spans="1:2" x14ac:dyDescent="0.25">
      <c r="A15764" s="5">
        <v>44789</v>
      </c>
      <c r="B15764">
        <v>4305.2</v>
      </c>
    </row>
    <row r="15765" spans="1:2" x14ac:dyDescent="0.25">
      <c r="A15765" s="5">
        <v>44790</v>
      </c>
      <c r="B15765">
        <v>4274.04</v>
      </c>
    </row>
    <row r="15766" spans="1:2" x14ac:dyDescent="0.25">
      <c r="A15766" s="5">
        <v>44791</v>
      </c>
      <c r="B15766">
        <v>4283.74</v>
      </c>
    </row>
    <row r="15767" spans="1:2" x14ac:dyDescent="0.25">
      <c r="A15767" s="5">
        <v>44792</v>
      </c>
      <c r="B15767">
        <v>4228.4799999999996</v>
      </c>
    </row>
    <row r="15768" spans="1:2" x14ac:dyDescent="0.25">
      <c r="A15768" s="5">
        <v>44795</v>
      </c>
      <c r="B15768">
        <v>4137.99</v>
      </c>
    </row>
    <row r="15769" spans="1:2" x14ac:dyDescent="0.25">
      <c r="A15769" s="5">
        <v>44796</v>
      </c>
      <c r="B15769">
        <v>4128.7299999999996</v>
      </c>
    </row>
    <row r="15770" spans="1:2" x14ac:dyDescent="0.25">
      <c r="A15770" s="5">
        <v>44797</v>
      </c>
      <c r="B15770">
        <v>4140.7700000000004</v>
      </c>
    </row>
    <row r="15771" spans="1:2" x14ac:dyDescent="0.25">
      <c r="A15771" s="5">
        <v>44798</v>
      </c>
      <c r="B15771">
        <v>4199.12</v>
      </c>
    </row>
    <row r="15772" spans="1:2" x14ac:dyDescent="0.25">
      <c r="A15772" s="5">
        <v>44799</v>
      </c>
      <c r="B15772">
        <v>4057.66</v>
      </c>
    </row>
    <row r="15773" spans="1:2" x14ac:dyDescent="0.25">
      <c r="A15773" s="5">
        <v>44802</v>
      </c>
      <c r="B15773">
        <v>4030.61</v>
      </c>
    </row>
    <row r="15774" spans="1:2" x14ac:dyDescent="0.25">
      <c r="A15774" s="5">
        <v>44803</v>
      </c>
      <c r="B15774">
        <v>3986.16</v>
      </c>
    </row>
    <row r="15775" spans="1:2" x14ac:dyDescent="0.25">
      <c r="A15775" s="5">
        <v>44804</v>
      </c>
      <c r="B15775">
        <v>3955</v>
      </c>
    </row>
    <row r="15776" spans="1:2" x14ac:dyDescent="0.25">
      <c r="A15776" s="5">
        <v>44805</v>
      </c>
      <c r="B15776">
        <v>3966.85</v>
      </c>
    </row>
    <row r="15777" spans="1:2" x14ac:dyDescent="0.25">
      <c r="A15777" s="5">
        <v>44806</v>
      </c>
      <c r="B15777">
        <v>3924.26</v>
      </c>
    </row>
    <row r="15778" spans="1:2" x14ac:dyDescent="0.25">
      <c r="A15778" s="5">
        <v>44810</v>
      </c>
      <c r="B15778">
        <v>3908.19</v>
      </c>
    </row>
    <row r="15779" spans="1:2" x14ac:dyDescent="0.25">
      <c r="A15779" s="5">
        <v>44811</v>
      </c>
      <c r="B15779">
        <v>3979.87</v>
      </c>
    </row>
    <row r="15780" spans="1:2" x14ac:dyDescent="0.25">
      <c r="A15780" s="5">
        <v>44812</v>
      </c>
      <c r="B15780">
        <v>4006.18</v>
      </c>
    </row>
    <row r="15781" spans="1:2" x14ac:dyDescent="0.25">
      <c r="A15781" s="5">
        <v>44813</v>
      </c>
      <c r="B15781">
        <v>4067.36</v>
      </c>
    </row>
    <row r="15782" spans="1:2" x14ac:dyDescent="0.25">
      <c r="A15782" s="5">
        <v>44816</v>
      </c>
      <c r="B15782">
        <v>4110.41</v>
      </c>
    </row>
    <row r="15783" spans="1:2" x14ac:dyDescent="0.25">
      <c r="A15783" s="5">
        <v>44817</v>
      </c>
      <c r="B15783">
        <v>3932.69</v>
      </c>
    </row>
    <row r="15784" spans="1:2" x14ac:dyDescent="0.25">
      <c r="A15784" s="5">
        <v>44818</v>
      </c>
      <c r="B15784">
        <v>3946.01</v>
      </c>
    </row>
    <row r="15785" spans="1:2" x14ac:dyDescent="0.25">
      <c r="A15785" s="5">
        <v>44819</v>
      </c>
      <c r="B15785">
        <v>3901.35</v>
      </c>
    </row>
    <row r="15786" spans="1:2" x14ac:dyDescent="0.25">
      <c r="A15786" s="5">
        <v>44820</v>
      </c>
      <c r="B15786">
        <v>3873.33</v>
      </c>
    </row>
    <row r="15787" spans="1:2" x14ac:dyDescent="0.25">
      <c r="A15787" s="5">
        <v>44823</v>
      </c>
      <c r="B15787">
        <v>3899.89</v>
      </c>
    </row>
    <row r="15788" spans="1:2" x14ac:dyDescent="0.25">
      <c r="A15788" s="5">
        <v>44824</v>
      </c>
      <c r="B15788">
        <v>3855.93</v>
      </c>
    </row>
    <row r="15789" spans="1:2" x14ac:dyDescent="0.25">
      <c r="A15789" s="5">
        <v>44825</v>
      </c>
      <c r="B15789">
        <v>3789.93</v>
      </c>
    </row>
    <row r="15790" spans="1:2" x14ac:dyDescent="0.25">
      <c r="A15790" s="5">
        <v>44826</v>
      </c>
      <c r="B15790">
        <v>3757.99</v>
      </c>
    </row>
    <row r="15791" spans="1:2" x14ac:dyDescent="0.25">
      <c r="A15791" s="5">
        <v>44827</v>
      </c>
      <c r="B15791">
        <v>3693.23</v>
      </c>
    </row>
    <row r="15792" spans="1:2" x14ac:dyDescent="0.25">
      <c r="A15792" s="5">
        <v>44830</v>
      </c>
      <c r="B15792">
        <v>3655.04</v>
      </c>
    </row>
    <row r="15793" spans="1:2" x14ac:dyDescent="0.25">
      <c r="A15793" s="5">
        <v>44831</v>
      </c>
      <c r="B15793">
        <v>3647.29</v>
      </c>
    </row>
    <row r="15794" spans="1:2" x14ac:dyDescent="0.25">
      <c r="A15794" s="5">
        <v>44832</v>
      </c>
      <c r="B15794">
        <v>3719.04</v>
      </c>
    </row>
    <row r="15795" spans="1:2" x14ac:dyDescent="0.25">
      <c r="A15795" s="5">
        <v>44833</v>
      </c>
      <c r="B15795">
        <v>3640.47</v>
      </c>
    </row>
    <row r="15796" spans="1:2" x14ac:dyDescent="0.25">
      <c r="A15796" s="5">
        <v>44834</v>
      </c>
      <c r="B15796">
        <v>3585.62</v>
      </c>
    </row>
    <row r="15797" spans="1:2" x14ac:dyDescent="0.25">
      <c r="A15797" s="5">
        <v>44837</v>
      </c>
      <c r="B15797">
        <v>3678.43</v>
      </c>
    </row>
    <row r="15798" spans="1:2" x14ac:dyDescent="0.25">
      <c r="A15798" s="5">
        <v>44838</v>
      </c>
      <c r="B15798">
        <v>3790.93</v>
      </c>
    </row>
    <row r="15799" spans="1:2" x14ac:dyDescent="0.25">
      <c r="A15799" s="5">
        <v>44839</v>
      </c>
      <c r="B15799">
        <v>3783.28</v>
      </c>
    </row>
    <row r="15800" spans="1:2" x14ac:dyDescent="0.25">
      <c r="A15800" s="5">
        <v>44840</v>
      </c>
      <c r="B15800">
        <v>3744.52</v>
      </c>
    </row>
    <row r="15801" spans="1:2" x14ac:dyDescent="0.25">
      <c r="A15801" s="5">
        <v>44841</v>
      </c>
      <c r="B15801">
        <v>3639.66</v>
      </c>
    </row>
    <row r="15802" spans="1:2" x14ac:dyDescent="0.25">
      <c r="A15802" s="5">
        <v>44844</v>
      </c>
      <c r="B15802">
        <v>3612.39</v>
      </c>
    </row>
    <row r="15803" spans="1:2" x14ac:dyDescent="0.25">
      <c r="A15803" s="5">
        <v>44845</v>
      </c>
      <c r="B15803">
        <v>3588.84</v>
      </c>
    </row>
    <row r="15804" spans="1:2" x14ac:dyDescent="0.25">
      <c r="A15804" s="5">
        <v>44846</v>
      </c>
      <c r="B15804">
        <v>3577.03</v>
      </c>
    </row>
    <row r="15805" spans="1:2" x14ac:dyDescent="0.25">
      <c r="A15805" s="5">
        <v>44847</v>
      </c>
      <c r="B15805">
        <v>3669.91</v>
      </c>
    </row>
    <row r="15806" spans="1:2" x14ac:dyDescent="0.25">
      <c r="A15806" s="5">
        <v>44848</v>
      </c>
      <c r="B15806">
        <v>3583.07</v>
      </c>
    </row>
    <row r="15807" spans="1:2" x14ac:dyDescent="0.25">
      <c r="A15807" s="5">
        <v>44851</v>
      </c>
      <c r="B15807">
        <v>3677.95</v>
      </c>
    </row>
    <row r="15808" spans="1:2" x14ac:dyDescent="0.25">
      <c r="A15808" s="5">
        <v>44852</v>
      </c>
      <c r="B15808">
        <v>3719.98</v>
      </c>
    </row>
    <row r="15809" spans="1:2" x14ac:dyDescent="0.25">
      <c r="A15809" s="5">
        <v>44853</v>
      </c>
      <c r="B15809">
        <v>3695.16</v>
      </c>
    </row>
    <row r="15810" spans="1:2" x14ac:dyDescent="0.25">
      <c r="A15810" s="5">
        <v>44854</v>
      </c>
      <c r="B15810">
        <v>3665.78</v>
      </c>
    </row>
    <row r="15811" spans="1:2" x14ac:dyDescent="0.25">
      <c r="A15811" s="5">
        <v>44855</v>
      </c>
      <c r="B15811">
        <v>3752.75</v>
      </c>
    </row>
    <row r="15812" spans="1:2" x14ac:dyDescent="0.25">
      <c r="A15812" s="5">
        <v>44858</v>
      </c>
      <c r="B15812">
        <v>3797.34</v>
      </c>
    </row>
    <row r="15813" spans="1:2" x14ac:dyDescent="0.25">
      <c r="A15813" s="5">
        <v>44859</v>
      </c>
      <c r="B15813">
        <v>3859.11</v>
      </c>
    </row>
    <row r="15814" spans="1:2" x14ac:dyDescent="0.25">
      <c r="A15814" s="5">
        <v>44860</v>
      </c>
      <c r="B15814">
        <v>3830.6</v>
      </c>
    </row>
    <row r="15815" spans="1:2" x14ac:dyDescent="0.25">
      <c r="A15815" s="5">
        <v>44861</v>
      </c>
      <c r="B15815">
        <v>3807.3</v>
      </c>
    </row>
    <row r="15816" spans="1:2" x14ac:dyDescent="0.25">
      <c r="A15816" s="5">
        <v>44862</v>
      </c>
      <c r="B15816">
        <v>3901.06</v>
      </c>
    </row>
    <row r="15817" spans="1:2" x14ac:dyDescent="0.25">
      <c r="A15817" s="5">
        <v>44865</v>
      </c>
      <c r="B15817">
        <v>3871.98</v>
      </c>
    </row>
    <row r="15818" spans="1:2" x14ac:dyDescent="0.25">
      <c r="A15818" s="5">
        <v>44866</v>
      </c>
      <c r="B15818">
        <v>3856.1</v>
      </c>
    </row>
    <row r="15819" spans="1:2" x14ac:dyDescent="0.25">
      <c r="A15819" s="5">
        <v>44867</v>
      </c>
      <c r="B15819">
        <v>3759.69</v>
      </c>
    </row>
    <row r="15820" spans="1:2" x14ac:dyDescent="0.25">
      <c r="A15820" s="5">
        <v>44868</v>
      </c>
      <c r="B15820">
        <v>3719.89</v>
      </c>
    </row>
    <row r="15821" spans="1:2" x14ac:dyDescent="0.25">
      <c r="A15821" s="5">
        <v>44869</v>
      </c>
      <c r="B15821">
        <v>3770.55</v>
      </c>
    </row>
    <row r="15822" spans="1:2" x14ac:dyDescent="0.25">
      <c r="A15822" s="5">
        <v>44872</v>
      </c>
      <c r="B15822">
        <v>3806.8</v>
      </c>
    </row>
    <row r="15823" spans="1:2" x14ac:dyDescent="0.25">
      <c r="A15823" s="5">
        <v>44873</v>
      </c>
      <c r="B15823">
        <v>3828.11</v>
      </c>
    </row>
    <row r="15824" spans="1:2" x14ac:dyDescent="0.25">
      <c r="A15824" s="5">
        <v>44874</v>
      </c>
      <c r="B15824">
        <v>3748.57</v>
      </c>
    </row>
    <row r="15825" spans="1:2" x14ac:dyDescent="0.25">
      <c r="A15825" s="5">
        <v>44875</v>
      </c>
      <c r="B15825">
        <v>3956.37</v>
      </c>
    </row>
    <row r="15826" spans="1:2" x14ac:dyDescent="0.25">
      <c r="A15826" s="5">
        <v>44876</v>
      </c>
      <c r="B15826">
        <v>3992.93</v>
      </c>
    </row>
    <row r="15827" spans="1:2" x14ac:dyDescent="0.25">
      <c r="A15827" s="5">
        <v>44879</v>
      </c>
      <c r="B15827">
        <v>3957.25</v>
      </c>
    </row>
    <row r="15828" spans="1:2" x14ac:dyDescent="0.25">
      <c r="A15828" s="5">
        <v>44880</v>
      </c>
      <c r="B15828">
        <v>3991.73</v>
      </c>
    </row>
    <row r="15829" spans="1:2" x14ac:dyDescent="0.25">
      <c r="A15829" s="5">
        <v>44881</v>
      </c>
      <c r="B15829">
        <v>3958.79</v>
      </c>
    </row>
    <row r="15830" spans="1:2" x14ac:dyDescent="0.25">
      <c r="A15830" s="5">
        <v>44882</v>
      </c>
      <c r="B15830">
        <v>3946.56</v>
      </c>
    </row>
    <row r="15831" spans="1:2" x14ac:dyDescent="0.25">
      <c r="A15831" s="5">
        <v>44883</v>
      </c>
      <c r="B15831">
        <v>3965.34</v>
      </c>
    </row>
    <row r="15832" spans="1:2" x14ac:dyDescent="0.25">
      <c r="A15832" s="5">
        <v>44886</v>
      </c>
      <c r="B15832">
        <v>3949.94</v>
      </c>
    </row>
    <row r="15833" spans="1:2" x14ac:dyDescent="0.25">
      <c r="A15833" s="5">
        <v>44887</v>
      </c>
      <c r="B15833">
        <v>4003.58</v>
      </c>
    </row>
    <row r="15834" spans="1:2" x14ac:dyDescent="0.25">
      <c r="A15834" s="5">
        <v>44888</v>
      </c>
      <c r="B15834">
        <v>4027.26</v>
      </c>
    </row>
    <row r="15835" spans="1:2" x14ac:dyDescent="0.25">
      <c r="A15835" s="5">
        <v>44890</v>
      </c>
      <c r="B15835">
        <v>4026.12</v>
      </c>
    </row>
    <row r="15836" spans="1:2" x14ac:dyDescent="0.25">
      <c r="A15836" s="5">
        <v>44893</v>
      </c>
      <c r="B15836">
        <v>3963.94</v>
      </c>
    </row>
    <row r="15837" spans="1:2" x14ac:dyDescent="0.25">
      <c r="A15837" s="5">
        <v>44894</v>
      </c>
      <c r="B15837">
        <v>3957.63</v>
      </c>
    </row>
    <row r="15838" spans="1:2" x14ac:dyDescent="0.25">
      <c r="A15838" s="5">
        <v>44895</v>
      </c>
      <c r="B15838">
        <v>4080.11</v>
      </c>
    </row>
    <row r="15839" spans="1:2" x14ac:dyDescent="0.25">
      <c r="A15839" s="5">
        <v>44896</v>
      </c>
      <c r="B15839">
        <v>4076.57</v>
      </c>
    </row>
    <row r="15840" spans="1:2" x14ac:dyDescent="0.25">
      <c r="A15840" s="5">
        <v>44897</v>
      </c>
      <c r="B15840">
        <v>4071.7</v>
      </c>
    </row>
    <row r="15841" spans="1:2" x14ac:dyDescent="0.25">
      <c r="A15841" s="5">
        <v>44900</v>
      </c>
      <c r="B15841">
        <v>3998.84</v>
      </c>
    </row>
    <row r="15842" spans="1:2" x14ac:dyDescent="0.25">
      <c r="A15842" s="5">
        <v>44901</v>
      </c>
      <c r="B15842">
        <v>3941.26</v>
      </c>
    </row>
    <row r="15843" spans="1:2" x14ac:dyDescent="0.25">
      <c r="A15843" s="5">
        <v>44902</v>
      </c>
      <c r="B15843">
        <v>3933.92</v>
      </c>
    </row>
    <row r="15844" spans="1:2" x14ac:dyDescent="0.25">
      <c r="A15844" s="5">
        <v>44903</v>
      </c>
      <c r="B15844">
        <v>3963.51</v>
      </c>
    </row>
    <row r="15845" spans="1:2" x14ac:dyDescent="0.25">
      <c r="A15845" s="5">
        <v>44904</v>
      </c>
      <c r="B15845">
        <v>3934.38</v>
      </c>
    </row>
    <row r="15846" spans="1:2" x14ac:dyDescent="0.25">
      <c r="A15846" s="5">
        <v>44907</v>
      </c>
      <c r="B15846">
        <v>3990.56</v>
      </c>
    </row>
    <row r="15847" spans="1:2" x14ac:dyDescent="0.25">
      <c r="A15847" s="5">
        <v>44908</v>
      </c>
      <c r="B15847">
        <v>4019.65</v>
      </c>
    </row>
    <row r="15848" spans="1:2" x14ac:dyDescent="0.25">
      <c r="A15848" s="5">
        <v>44909</v>
      </c>
      <c r="B15848">
        <v>3995.32</v>
      </c>
    </row>
    <row r="15849" spans="1:2" x14ac:dyDescent="0.25">
      <c r="A15849" s="5">
        <v>44910</v>
      </c>
      <c r="B15849">
        <v>3895.75</v>
      </c>
    </row>
    <row r="15850" spans="1:2" x14ac:dyDescent="0.25">
      <c r="A15850" s="5">
        <v>44911</v>
      </c>
      <c r="B15850">
        <v>3852.36</v>
      </c>
    </row>
    <row r="15851" spans="1:2" x14ac:dyDescent="0.25">
      <c r="A15851" s="5">
        <v>44914</v>
      </c>
      <c r="B15851">
        <v>3817.66</v>
      </c>
    </row>
    <row r="15852" spans="1:2" x14ac:dyDescent="0.25">
      <c r="A15852" s="5">
        <v>44915</v>
      </c>
      <c r="B15852">
        <v>3821.62</v>
      </c>
    </row>
    <row r="15853" spans="1:2" x14ac:dyDescent="0.25">
      <c r="A15853" s="5">
        <v>44916</v>
      </c>
      <c r="B15853">
        <v>3878.44</v>
      </c>
    </row>
    <row r="15854" spans="1:2" x14ac:dyDescent="0.25">
      <c r="A15854" s="5">
        <v>44917</v>
      </c>
      <c r="B15854">
        <v>3822.39</v>
      </c>
    </row>
    <row r="15855" spans="1:2" x14ac:dyDescent="0.25">
      <c r="A15855" s="5">
        <v>44918</v>
      </c>
      <c r="B15855">
        <v>3844.82</v>
      </c>
    </row>
    <row r="15856" spans="1:2" x14ac:dyDescent="0.25">
      <c r="A15856" s="5">
        <v>44922</v>
      </c>
      <c r="B15856">
        <v>3829.25</v>
      </c>
    </row>
    <row r="15857" spans="1:2" x14ac:dyDescent="0.25">
      <c r="A15857" s="5">
        <v>44923</v>
      </c>
      <c r="B15857">
        <v>3783.22</v>
      </c>
    </row>
    <row r="15858" spans="1:2" x14ac:dyDescent="0.25">
      <c r="A15858" s="5">
        <v>44924</v>
      </c>
      <c r="B15858">
        <v>3849.28</v>
      </c>
    </row>
    <row r="15859" spans="1:2" x14ac:dyDescent="0.25">
      <c r="A15859" s="5">
        <v>44925</v>
      </c>
      <c r="B15859">
        <v>3839.5</v>
      </c>
    </row>
    <row r="15860" spans="1:2" x14ac:dyDescent="0.25">
      <c r="A15860" s="5">
        <v>44929</v>
      </c>
      <c r="B15860">
        <v>3824.14</v>
      </c>
    </row>
    <row r="15861" spans="1:2" x14ac:dyDescent="0.25">
      <c r="A15861" s="5">
        <v>44930</v>
      </c>
      <c r="B15861">
        <v>3852.97</v>
      </c>
    </row>
    <row r="15862" spans="1:2" x14ac:dyDescent="0.25">
      <c r="A15862" s="5">
        <v>44931</v>
      </c>
      <c r="B15862">
        <v>3808.1</v>
      </c>
    </row>
    <row r="15863" spans="1:2" x14ac:dyDescent="0.25">
      <c r="A15863" s="5">
        <v>44932</v>
      </c>
      <c r="B15863">
        <v>3895.08</v>
      </c>
    </row>
    <row r="15864" spans="1:2" x14ac:dyDescent="0.25">
      <c r="A15864" s="5">
        <v>44935</v>
      </c>
      <c r="B15864">
        <v>3892.09</v>
      </c>
    </row>
    <row r="15865" spans="1:2" x14ac:dyDescent="0.25">
      <c r="A15865" s="5">
        <v>44936</v>
      </c>
      <c r="B15865">
        <v>3919.25</v>
      </c>
    </row>
    <row r="15866" spans="1:2" x14ac:dyDescent="0.25">
      <c r="A15866" s="5">
        <v>44937</v>
      </c>
      <c r="B15866">
        <v>3969.61</v>
      </c>
    </row>
    <row r="15867" spans="1:2" x14ac:dyDescent="0.25">
      <c r="A15867" s="5">
        <v>44938</v>
      </c>
      <c r="B15867">
        <v>3983.17</v>
      </c>
    </row>
    <row r="15868" spans="1:2" x14ac:dyDescent="0.25">
      <c r="A15868" s="5">
        <v>44939</v>
      </c>
      <c r="B15868">
        <v>3999.09</v>
      </c>
    </row>
    <row r="15869" spans="1:2" x14ac:dyDescent="0.25">
      <c r="A15869" s="5">
        <v>44943</v>
      </c>
      <c r="B15869">
        <v>3990.97</v>
      </c>
    </row>
    <row r="15870" spans="1:2" x14ac:dyDescent="0.25">
      <c r="A15870" s="5">
        <v>44944</v>
      </c>
      <c r="B15870">
        <v>3928.86</v>
      </c>
    </row>
    <row r="15871" spans="1:2" x14ac:dyDescent="0.25">
      <c r="A15871" s="5">
        <v>44945</v>
      </c>
      <c r="B15871">
        <v>3898.85</v>
      </c>
    </row>
    <row r="15872" spans="1:2" x14ac:dyDescent="0.25">
      <c r="A15872" s="5">
        <v>44946</v>
      </c>
      <c r="B15872">
        <v>3972.61</v>
      </c>
    </row>
    <row r="15873" spans="1:2" x14ac:dyDescent="0.25">
      <c r="A15873" s="5">
        <v>44949</v>
      </c>
      <c r="B15873">
        <v>4019.81</v>
      </c>
    </row>
    <row r="15874" spans="1:2" x14ac:dyDescent="0.25">
      <c r="A15874" s="5">
        <v>44950</v>
      </c>
      <c r="B15874">
        <v>4016.95</v>
      </c>
    </row>
    <row r="15875" spans="1:2" x14ac:dyDescent="0.25">
      <c r="A15875" s="5">
        <v>44951</v>
      </c>
      <c r="B15875">
        <v>4016.22</v>
      </c>
    </row>
    <row r="15876" spans="1:2" x14ac:dyDescent="0.25">
      <c r="A15876" s="5">
        <v>44952</v>
      </c>
      <c r="B15876">
        <v>4060.43</v>
      </c>
    </row>
    <row r="15877" spans="1:2" x14ac:dyDescent="0.25">
      <c r="A15877" s="5">
        <v>44953</v>
      </c>
      <c r="B15877">
        <v>4070.56</v>
      </c>
    </row>
    <row r="15878" spans="1:2" x14ac:dyDescent="0.25">
      <c r="A15878" s="5">
        <v>44956</v>
      </c>
      <c r="B15878">
        <v>4017.77</v>
      </c>
    </row>
    <row r="15879" spans="1:2" x14ac:dyDescent="0.25">
      <c r="A15879" s="5">
        <v>44957</v>
      </c>
      <c r="B15879">
        <v>4076.6</v>
      </c>
    </row>
    <row r="15880" spans="1:2" x14ac:dyDescent="0.25">
      <c r="A15880" s="5">
        <v>44958</v>
      </c>
      <c r="B15880">
        <v>4119.21</v>
      </c>
    </row>
    <row r="15881" spans="1:2" x14ac:dyDescent="0.25">
      <c r="A15881" s="5">
        <v>44959</v>
      </c>
      <c r="B15881">
        <v>4179.76</v>
      </c>
    </row>
    <row r="15882" spans="1:2" x14ac:dyDescent="0.25">
      <c r="A15882" s="5">
        <v>44960</v>
      </c>
      <c r="B15882">
        <v>4136.4799999999996</v>
      </c>
    </row>
    <row r="15883" spans="1:2" x14ac:dyDescent="0.25">
      <c r="A15883" s="5">
        <v>44963</v>
      </c>
      <c r="B15883">
        <v>4111.08</v>
      </c>
    </row>
    <row r="15884" spans="1:2" x14ac:dyDescent="0.25">
      <c r="A15884" s="5">
        <v>44964</v>
      </c>
      <c r="B15884">
        <v>4164</v>
      </c>
    </row>
    <row r="15885" spans="1:2" x14ac:dyDescent="0.25">
      <c r="A15885" s="5">
        <v>44965</v>
      </c>
      <c r="B15885">
        <v>4117.8599999999997</v>
      </c>
    </row>
    <row r="15886" spans="1:2" x14ac:dyDescent="0.25">
      <c r="A15886" s="5">
        <v>44966</v>
      </c>
      <c r="B15886">
        <v>4081.5</v>
      </c>
    </row>
    <row r="15887" spans="1:2" x14ac:dyDescent="0.25">
      <c r="A15887" s="5">
        <v>44967</v>
      </c>
      <c r="B15887">
        <v>4090.46</v>
      </c>
    </row>
    <row r="15888" spans="1:2" x14ac:dyDescent="0.25">
      <c r="A15888" s="5">
        <v>44970</v>
      </c>
      <c r="B15888">
        <v>4137.29</v>
      </c>
    </row>
    <row r="15889" spans="1:2" x14ac:dyDescent="0.25">
      <c r="A15889" s="5">
        <v>44971</v>
      </c>
      <c r="B15889">
        <v>4136.13</v>
      </c>
    </row>
    <row r="15890" spans="1:2" x14ac:dyDescent="0.25">
      <c r="A15890" s="5">
        <v>44972</v>
      </c>
      <c r="B15890">
        <v>4147.6000000000004</v>
      </c>
    </row>
    <row r="15891" spans="1:2" x14ac:dyDescent="0.25">
      <c r="A15891" s="5">
        <v>44973</v>
      </c>
      <c r="B15891">
        <v>4090.41</v>
      </c>
    </row>
    <row r="15892" spans="1:2" x14ac:dyDescent="0.25">
      <c r="A15892" s="5">
        <v>44974</v>
      </c>
      <c r="B15892">
        <v>4079.09</v>
      </c>
    </row>
    <row r="15893" spans="1:2" x14ac:dyDescent="0.25">
      <c r="A15893" s="5">
        <v>44978</v>
      </c>
      <c r="B15893">
        <v>3997.34</v>
      </c>
    </row>
    <row r="15894" spans="1:2" x14ac:dyDescent="0.25">
      <c r="A15894" s="5">
        <v>44979</v>
      </c>
      <c r="B15894">
        <v>3991.05</v>
      </c>
    </row>
    <row r="15895" spans="1:2" x14ac:dyDescent="0.25">
      <c r="A15895" s="5">
        <v>44980</v>
      </c>
      <c r="B15895">
        <v>4012.32</v>
      </c>
    </row>
    <row r="15896" spans="1:2" x14ac:dyDescent="0.25">
      <c r="A15896" s="5">
        <v>44981</v>
      </c>
      <c r="B15896">
        <v>3970.04</v>
      </c>
    </row>
    <row r="15897" spans="1:2" x14ac:dyDescent="0.25">
      <c r="A15897" s="5">
        <v>44984</v>
      </c>
      <c r="B15897">
        <v>3982.24</v>
      </c>
    </row>
    <row r="15898" spans="1:2" x14ac:dyDescent="0.25">
      <c r="A15898" s="5">
        <v>44985</v>
      </c>
      <c r="B15898">
        <v>3970.15</v>
      </c>
    </row>
    <row r="15899" spans="1:2" x14ac:dyDescent="0.25">
      <c r="A15899" s="5">
        <v>44986</v>
      </c>
      <c r="B15899">
        <v>3951.39</v>
      </c>
    </row>
    <row r="15900" spans="1:2" x14ac:dyDescent="0.25">
      <c r="A15900" s="5">
        <v>44987</v>
      </c>
      <c r="B15900">
        <v>3981.35</v>
      </c>
    </row>
    <row r="15901" spans="1:2" x14ac:dyDescent="0.25">
      <c r="A15901" s="5">
        <v>44988</v>
      </c>
      <c r="B15901">
        <v>4045.64</v>
      </c>
    </row>
    <row r="15902" spans="1:2" x14ac:dyDescent="0.25">
      <c r="A15902" s="5">
        <v>44991</v>
      </c>
      <c r="B15902">
        <v>4048.42</v>
      </c>
    </row>
    <row r="15903" spans="1:2" x14ac:dyDescent="0.25">
      <c r="A15903" s="5">
        <v>44992</v>
      </c>
      <c r="B15903">
        <v>3986.37</v>
      </c>
    </row>
    <row r="15904" spans="1:2" x14ac:dyDescent="0.25">
      <c r="A15904" s="5">
        <v>44993</v>
      </c>
      <c r="B15904">
        <v>3992.01</v>
      </c>
    </row>
    <row r="15905" spans="1:2" x14ac:dyDescent="0.25">
      <c r="A15905" s="5">
        <v>44994</v>
      </c>
      <c r="B15905">
        <v>3918.32</v>
      </c>
    </row>
    <row r="15906" spans="1:2" x14ac:dyDescent="0.25">
      <c r="A15906" s="5">
        <v>44995</v>
      </c>
      <c r="B15906">
        <v>3861.59</v>
      </c>
    </row>
    <row r="15907" spans="1:2" x14ac:dyDescent="0.25">
      <c r="A15907" s="5">
        <v>44998</v>
      </c>
      <c r="B15907">
        <v>3855.76</v>
      </c>
    </row>
    <row r="15908" spans="1:2" x14ac:dyDescent="0.25">
      <c r="A15908" s="5">
        <v>44999</v>
      </c>
      <c r="B15908">
        <v>3919.29</v>
      </c>
    </row>
    <row r="15909" spans="1:2" x14ac:dyDescent="0.25">
      <c r="A15909" s="5">
        <v>45000</v>
      </c>
      <c r="B15909">
        <v>3891.93</v>
      </c>
    </row>
    <row r="15910" spans="1:2" x14ac:dyDescent="0.25">
      <c r="A15910" s="5">
        <v>45001</v>
      </c>
      <c r="B15910">
        <v>3960.28</v>
      </c>
    </row>
    <row r="15911" spans="1:2" x14ac:dyDescent="0.25">
      <c r="A15911" s="5">
        <v>45002</v>
      </c>
      <c r="B15911">
        <v>3916.64</v>
      </c>
    </row>
    <row r="15912" spans="1:2" x14ac:dyDescent="0.25">
      <c r="A15912" s="5">
        <v>45005</v>
      </c>
      <c r="B15912">
        <v>3951.57</v>
      </c>
    </row>
    <row r="15913" spans="1:2" x14ac:dyDescent="0.25">
      <c r="A15913" s="5">
        <v>45006</v>
      </c>
      <c r="B15913">
        <v>4002.87</v>
      </c>
    </row>
    <row r="15914" spans="1:2" x14ac:dyDescent="0.25">
      <c r="A15914" s="5">
        <v>45007</v>
      </c>
      <c r="B15914">
        <v>3936.97</v>
      </c>
    </row>
    <row r="15915" spans="1:2" x14ac:dyDescent="0.25">
      <c r="A15915" s="5">
        <v>45008</v>
      </c>
      <c r="B15915">
        <v>3948.72</v>
      </c>
    </row>
    <row r="15916" spans="1:2" x14ac:dyDescent="0.25">
      <c r="A15916" s="5">
        <v>45009</v>
      </c>
      <c r="B15916">
        <v>3970.99</v>
      </c>
    </row>
    <row r="15917" spans="1:2" x14ac:dyDescent="0.25">
      <c r="A15917" s="5">
        <v>45012</v>
      </c>
      <c r="B15917">
        <v>3977.53</v>
      </c>
    </row>
    <row r="15918" spans="1:2" x14ac:dyDescent="0.25">
      <c r="A15918" s="5">
        <v>45013</v>
      </c>
      <c r="B15918">
        <v>3971.27</v>
      </c>
    </row>
    <row r="15919" spans="1:2" x14ac:dyDescent="0.25">
      <c r="A15919" s="5">
        <v>45014</v>
      </c>
      <c r="B15919">
        <v>4027.81</v>
      </c>
    </row>
    <row r="15920" spans="1:2" x14ac:dyDescent="0.25">
      <c r="A15920" s="5">
        <v>45015</v>
      </c>
      <c r="B15920">
        <v>4050.83</v>
      </c>
    </row>
    <row r="15921" spans="1:2" x14ac:dyDescent="0.25">
      <c r="A15921" s="5">
        <v>45016</v>
      </c>
      <c r="B15921">
        <v>4109.3100000000004</v>
      </c>
    </row>
    <row r="15922" spans="1:2" x14ac:dyDescent="0.25">
      <c r="A15922" s="5">
        <v>45019</v>
      </c>
      <c r="B15922">
        <v>4124.51</v>
      </c>
    </row>
    <row r="15923" spans="1:2" x14ac:dyDescent="0.25">
      <c r="A15923" s="5">
        <v>45020</v>
      </c>
      <c r="B15923">
        <v>4100.6000000000004</v>
      </c>
    </row>
    <row r="15924" spans="1:2" x14ac:dyDescent="0.25">
      <c r="A15924" s="5">
        <v>45021</v>
      </c>
      <c r="B15924">
        <v>4090.38</v>
      </c>
    </row>
    <row r="15925" spans="1:2" x14ac:dyDescent="0.25">
      <c r="A15925" s="5">
        <v>45022</v>
      </c>
      <c r="B15925">
        <v>4105.0200000000004</v>
      </c>
    </row>
    <row r="15926" spans="1:2" x14ac:dyDescent="0.25">
      <c r="A15926" s="5">
        <v>45026</v>
      </c>
      <c r="B15926">
        <v>4109.1099999999997</v>
      </c>
    </row>
    <row r="15927" spans="1:2" x14ac:dyDescent="0.25">
      <c r="A15927" s="5">
        <v>45027</v>
      </c>
      <c r="B15927">
        <v>4108.9399999999996</v>
      </c>
    </row>
    <row r="15928" spans="1:2" x14ac:dyDescent="0.25">
      <c r="A15928" s="5">
        <v>45028</v>
      </c>
      <c r="B15928">
        <v>4091.95</v>
      </c>
    </row>
    <row r="15929" spans="1:2" x14ac:dyDescent="0.25">
      <c r="A15929" s="5">
        <v>45029</v>
      </c>
      <c r="B15929">
        <v>4146.22</v>
      </c>
    </row>
    <row r="15930" spans="1:2" x14ac:dyDescent="0.25">
      <c r="A15930" s="5">
        <v>45030</v>
      </c>
      <c r="B15930">
        <v>4137.6400000000003</v>
      </c>
    </row>
    <row r="15931" spans="1:2" x14ac:dyDescent="0.25">
      <c r="A15931" s="5">
        <v>45033</v>
      </c>
      <c r="B15931">
        <v>4151.32</v>
      </c>
    </row>
    <row r="15932" spans="1:2" x14ac:dyDescent="0.25">
      <c r="A15932" s="5">
        <v>45034</v>
      </c>
      <c r="B15932">
        <v>4154.87</v>
      </c>
    </row>
    <row r="15933" spans="1:2" x14ac:dyDescent="0.25">
      <c r="A15933" s="5">
        <v>45035</v>
      </c>
      <c r="B15933">
        <v>4154.5200000000004</v>
      </c>
    </row>
    <row r="15934" spans="1:2" x14ac:dyDescent="0.25">
      <c r="A15934" s="5">
        <v>45036</v>
      </c>
      <c r="B15934">
        <v>4129.79</v>
      </c>
    </row>
    <row r="15935" spans="1:2" x14ac:dyDescent="0.25">
      <c r="A15935" s="5">
        <v>45037</v>
      </c>
      <c r="B15935">
        <v>4133.5200000000004</v>
      </c>
    </row>
    <row r="15936" spans="1:2" x14ac:dyDescent="0.25">
      <c r="A15936" s="5">
        <v>45040</v>
      </c>
      <c r="B15936">
        <v>4137.04</v>
      </c>
    </row>
    <row r="15937" spans="1:2" x14ac:dyDescent="0.25">
      <c r="A15937" s="5">
        <v>45041</v>
      </c>
      <c r="B15937">
        <v>4071.63</v>
      </c>
    </row>
    <row r="15938" spans="1:2" x14ac:dyDescent="0.25">
      <c r="A15938" s="5">
        <v>45042</v>
      </c>
      <c r="B15938">
        <v>4055.99</v>
      </c>
    </row>
    <row r="15939" spans="1:2" x14ac:dyDescent="0.25">
      <c r="A15939" s="5">
        <v>45043</v>
      </c>
      <c r="B15939">
        <v>4135.3500000000004</v>
      </c>
    </row>
    <row r="15940" spans="1:2" x14ac:dyDescent="0.25">
      <c r="A15940" s="5">
        <v>45044</v>
      </c>
      <c r="B15940">
        <v>4169.4799999999996</v>
      </c>
    </row>
    <row r="15941" spans="1:2" x14ac:dyDescent="0.25">
      <c r="A15941" s="5">
        <v>45047</v>
      </c>
      <c r="B15941">
        <v>4167.87</v>
      </c>
    </row>
    <row r="15942" spans="1:2" x14ac:dyDescent="0.25">
      <c r="A15942" s="5">
        <v>45048</v>
      </c>
      <c r="B15942">
        <v>4119.58</v>
      </c>
    </row>
    <row r="15943" spans="1:2" x14ac:dyDescent="0.25">
      <c r="A15943" s="5">
        <v>45049</v>
      </c>
      <c r="B15943">
        <v>4090.75</v>
      </c>
    </row>
    <row r="15944" spans="1:2" x14ac:dyDescent="0.25">
      <c r="A15944" s="5">
        <v>45050</v>
      </c>
      <c r="B15944">
        <v>4061.22</v>
      </c>
    </row>
    <row r="15945" spans="1:2" x14ac:dyDescent="0.25">
      <c r="A15945" s="5">
        <v>45051</v>
      </c>
      <c r="B15945">
        <v>4136.25</v>
      </c>
    </row>
    <row r="15946" spans="1:2" x14ac:dyDescent="0.25">
      <c r="A15946" s="5">
        <v>45054</v>
      </c>
      <c r="B15946">
        <v>4138.12</v>
      </c>
    </row>
    <row r="15947" spans="1:2" x14ac:dyDescent="0.25">
      <c r="A15947" s="5">
        <v>45055</v>
      </c>
      <c r="B15947">
        <v>4119.17</v>
      </c>
    </row>
    <row r="15948" spans="1:2" x14ac:dyDescent="0.25">
      <c r="A15948" s="5">
        <v>45056</v>
      </c>
      <c r="B15948">
        <v>4137.6400000000003</v>
      </c>
    </row>
    <row r="15949" spans="1:2" x14ac:dyDescent="0.25">
      <c r="A15949" s="5">
        <v>45057</v>
      </c>
      <c r="B15949">
        <v>4130.62</v>
      </c>
    </row>
    <row r="15950" spans="1:2" x14ac:dyDescent="0.25">
      <c r="A15950" s="5">
        <v>45058</v>
      </c>
      <c r="B15950">
        <v>4124.08</v>
      </c>
    </row>
    <row r="15951" spans="1:2" x14ac:dyDescent="0.25">
      <c r="A15951" s="5">
        <v>45061</v>
      </c>
      <c r="B15951">
        <v>4136.28</v>
      </c>
    </row>
    <row r="15952" spans="1:2" x14ac:dyDescent="0.25">
      <c r="A15952" s="5">
        <v>45062</v>
      </c>
      <c r="B15952">
        <v>4109.8999999999996</v>
      </c>
    </row>
    <row r="15953" spans="1:2" x14ac:dyDescent="0.25">
      <c r="A15953" s="5">
        <v>45063</v>
      </c>
      <c r="B15953">
        <v>4158.7700000000004</v>
      </c>
    </row>
    <row r="15954" spans="1:2" x14ac:dyDescent="0.25">
      <c r="A15954" s="5">
        <v>45064</v>
      </c>
      <c r="B15954">
        <v>4198.05</v>
      </c>
    </row>
    <row r="15955" spans="1:2" x14ac:dyDescent="0.25">
      <c r="A15955" s="5">
        <v>45065</v>
      </c>
      <c r="B15955">
        <v>4191.9799999999996</v>
      </c>
    </row>
    <row r="15956" spans="1:2" x14ac:dyDescent="0.25">
      <c r="A15956" s="5">
        <v>45068</v>
      </c>
      <c r="B15956">
        <v>4192.63</v>
      </c>
    </row>
    <row r="15957" spans="1:2" x14ac:dyDescent="0.25">
      <c r="A15957" s="5">
        <v>45069</v>
      </c>
      <c r="B15957">
        <v>4145.58</v>
      </c>
    </row>
    <row r="15958" spans="1:2" x14ac:dyDescent="0.25">
      <c r="A15958" s="5">
        <v>45070</v>
      </c>
      <c r="B15958">
        <v>4115.24</v>
      </c>
    </row>
    <row r="15959" spans="1:2" x14ac:dyDescent="0.25">
      <c r="A15959" s="5">
        <v>45071</v>
      </c>
      <c r="B15959">
        <v>4151.28</v>
      </c>
    </row>
    <row r="15960" spans="1:2" x14ac:dyDescent="0.25">
      <c r="A15960" s="5">
        <v>45072</v>
      </c>
      <c r="B15960">
        <v>4205.45</v>
      </c>
    </row>
    <row r="15961" spans="1:2" x14ac:dyDescent="0.25">
      <c r="A15961" s="5">
        <v>45076</v>
      </c>
      <c r="B15961">
        <v>4205.5200000000004</v>
      </c>
    </row>
    <row r="15962" spans="1:2" x14ac:dyDescent="0.25">
      <c r="A15962" s="5">
        <v>45077</v>
      </c>
      <c r="B15962">
        <v>4179.83</v>
      </c>
    </row>
    <row r="15963" spans="1:2" x14ac:dyDescent="0.25">
      <c r="A15963" s="5">
        <v>45078</v>
      </c>
      <c r="B15963">
        <v>4221.0200000000004</v>
      </c>
    </row>
    <row r="15964" spans="1:2" x14ac:dyDescent="0.25">
      <c r="A15964" s="5">
        <v>45079</v>
      </c>
      <c r="B15964">
        <v>4282.37</v>
      </c>
    </row>
    <row r="15965" spans="1:2" x14ac:dyDescent="0.25">
      <c r="A15965" s="5">
        <v>45082</v>
      </c>
      <c r="B15965">
        <v>4273.79</v>
      </c>
    </row>
    <row r="15966" spans="1:2" x14ac:dyDescent="0.25">
      <c r="A15966" s="5">
        <v>45083</v>
      </c>
      <c r="B15966">
        <v>4283.8500000000004</v>
      </c>
    </row>
    <row r="15967" spans="1:2" x14ac:dyDescent="0.25">
      <c r="A15967" s="5">
        <v>45084</v>
      </c>
      <c r="B15967">
        <v>4267.5200000000004</v>
      </c>
    </row>
    <row r="15968" spans="1:2" x14ac:dyDescent="0.25">
      <c r="A15968" s="5">
        <v>45085</v>
      </c>
      <c r="B15968">
        <v>4293.93</v>
      </c>
    </row>
    <row r="15969" spans="1:2" x14ac:dyDescent="0.25">
      <c r="A15969" s="5">
        <v>45086</v>
      </c>
      <c r="B15969">
        <v>4298.8599999999997</v>
      </c>
    </row>
    <row r="15970" spans="1:2" x14ac:dyDescent="0.25">
      <c r="A15970" s="5">
        <v>45089</v>
      </c>
      <c r="B15970">
        <v>4338.93</v>
      </c>
    </row>
    <row r="15971" spans="1:2" x14ac:dyDescent="0.25">
      <c r="A15971" s="5">
        <v>45090</v>
      </c>
      <c r="B15971">
        <v>4369.01</v>
      </c>
    </row>
    <row r="15972" spans="1:2" x14ac:dyDescent="0.25">
      <c r="A15972" s="5">
        <v>45091</v>
      </c>
      <c r="B15972">
        <v>4372.59</v>
      </c>
    </row>
    <row r="15973" spans="1:2" x14ac:dyDescent="0.25">
      <c r="A15973" s="5">
        <v>45092</v>
      </c>
      <c r="B15973">
        <v>4425.84</v>
      </c>
    </row>
    <row r="15974" spans="1:2" x14ac:dyDescent="0.25">
      <c r="A15974" s="5">
        <v>45093</v>
      </c>
      <c r="B15974">
        <v>4409.59</v>
      </c>
    </row>
    <row r="15975" spans="1:2" x14ac:dyDescent="0.25">
      <c r="A15975" s="5">
        <v>45097</v>
      </c>
      <c r="B15975">
        <v>4388.71</v>
      </c>
    </row>
    <row r="15976" spans="1:2" x14ac:dyDescent="0.25">
      <c r="A15976" s="5">
        <v>45098</v>
      </c>
      <c r="B15976">
        <v>4365.6899999999996</v>
      </c>
    </row>
    <row r="15977" spans="1:2" x14ac:dyDescent="0.25">
      <c r="A15977" s="5">
        <v>45099</v>
      </c>
      <c r="B15977">
        <v>4381.8900000000003</v>
      </c>
    </row>
    <row r="15978" spans="1:2" x14ac:dyDescent="0.25">
      <c r="A15978" s="5">
        <v>45100</v>
      </c>
      <c r="B15978">
        <v>4348.33</v>
      </c>
    </row>
    <row r="15979" spans="1:2" x14ac:dyDescent="0.25">
      <c r="A15979" s="5">
        <v>45103</v>
      </c>
      <c r="B15979">
        <v>4328.82</v>
      </c>
    </row>
    <row r="15980" spans="1:2" x14ac:dyDescent="0.25">
      <c r="A15980" s="5">
        <v>45104</v>
      </c>
      <c r="B15980">
        <v>4378.41</v>
      </c>
    </row>
    <row r="15981" spans="1:2" x14ac:dyDescent="0.25">
      <c r="A15981" s="5">
        <v>45105</v>
      </c>
      <c r="B15981">
        <v>4376.8599999999997</v>
      </c>
    </row>
    <row r="15982" spans="1:2" x14ac:dyDescent="0.25">
      <c r="A15982" s="5">
        <v>45106</v>
      </c>
      <c r="B15982">
        <v>4396.4399999999996</v>
      </c>
    </row>
    <row r="15983" spans="1:2" x14ac:dyDescent="0.25">
      <c r="A15983" s="5">
        <v>45107</v>
      </c>
      <c r="B15983">
        <v>4450.38</v>
      </c>
    </row>
    <row r="15984" spans="1:2" x14ac:dyDescent="0.25">
      <c r="A15984" s="5">
        <v>45110</v>
      </c>
      <c r="B15984">
        <v>4455.59</v>
      </c>
    </row>
    <row r="15985" spans="1:2" x14ac:dyDescent="0.25">
      <c r="A15985" s="5">
        <v>45112</v>
      </c>
      <c r="B15985">
        <v>4446.82</v>
      </c>
    </row>
    <row r="15986" spans="1:2" x14ac:dyDescent="0.25">
      <c r="A15986" s="5">
        <v>45113</v>
      </c>
      <c r="B15986">
        <v>4411.59</v>
      </c>
    </row>
    <row r="15987" spans="1:2" x14ac:dyDescent="0.25">
      <c r="A15987" s="5">
        <v>45114</v>
      </c>
      <c r="B15987">
        <v>4398.95</v>
      </c>
    </row>
    <row r="15988" spans="1:2" x14ac:dyDescent="0.25">
      <c r="A15988" s="5">
        <v>45117</v>
      </c>
      <c r="B15988">
        <v>4409.53</v>
      </c>
    </row>
    <row r="15989" spans="1:2" x14ac:dyDescent="0.25">
      <c r="A15989" s="5">
        <v>45118</v>
      </c>
      <c r="B15989">
        <v>4439.26</v>
      </c>
    </row>
    <row r="15990" spans="1:2" x14ac:dyDescent="0.25">
      <c r="A15990" s="5">
        <v>45119</v>
      </c>
      <c r="B15990">
        <v>4472.16</v>
      </c>
    </row>
    <row r="15991" spans="1:2" x14ac:dyDescent="0.25">
      <c r="A15991" s="5">
        <v>45120</v>
      </c>
      <c r="B15991">
        <v>4510.04</v>
      </c>
    </row>
    <row r="15992" spans="1:2" x14ac:dyDescent="0.25">
      <c r="A15992" s="5">
        <v>45121</v>
      </c>
      <c r="B15992">
        <v>4505.42</v>
      </c>
    </row>
    <row r="15993" spans="1:2" x14ac:dyDescent="0.25">
      <c r="A15993" s="5">
        <v>45124</v>
      </c>
      <c r="B15993">
        <v>4522.79</v>
      </c>
    </row>
    <row r="15994" spans="1:2" x14ac:dyDescent="0.25">
      <c r="A15994" s="5">
        <v>45125</v>
      </c>
      <c r="B15994">
        <v>4554.9799999999996</v>
      </c>
    </row>
    <row r="15995" spans="1:2" x14ac:dyDescent="0.25">
      <c r="A15995" s="5">
        <v>45126</v>
      </c>
      <c r="B15995">
        <v>4565.72</v>
      </c>
    </row>
    <row r="15996" spans="1:2" x14ac:dyDescent="0.25">
      <c r="A15996" s="5">
        <v>45127</v>
      </c>
      <c r="B15996">
        <v>4534.87</v>
      </c>
    </row>
    <row r="15997" spans="1:2" x14ac:dyDescent="0.25">
      <c r="A15997" s="5">
        <v>45128</v>
      </c>
      <c r="B15997">
        <v>4536.34</v>
      </c>
    </row>
    <row r="15998" spans="1:2" x14ac:dyDescent="0.25">
      <c r="A15998" s="5">
        <v>45131</v>
      </c>
      <c r="B15998">
        <v>4554.6400000000003</v>
      </c>
    </row>
    <row r="15999" spans="1:2" x14ac:dyDescent="0.25">
      <c r="A15999" s="5">
        <v>45132</v>
      </c>
      <c r="B15999">
        <v>4567.46</v>
      </c>
    </row>
    <row r="16000" spans="1:2" x14ac:dyDescent="0.25">
      <c r="A16000" s="5">
        <v>45133</v>
      </c>
      <c r="B16000">
        <v>4566.75</v>
      </c>
    </row>
    <row r="16001" spans="1:2" x14ac:dyDescent="0.25">
      <c r="A16001" s="5">
        <v>45134</v>
      </c>
      <c r="B16001">
        <v>4537.41</v>
      </c>
    </row>
    <row r="16002" spans="1:2" x14ac:dyDescent="0.25">
      <c r="A16002" s="5">
        <v>45135</v>
      </c>
      <c r="B16002">
        <v>4582.2299999999996</v>
      </c>
    </row>
    <row r="16003" spans="1:2" x14ac:dyDescent="0.25">
      <c r="A16003" s="5">
        <v>45138</v>
      </c>
      <c r="B16003">
        <v>4588.96</v>
      </c>
    </row>
    <row r="16004" spans="1:2" x14ac:dyDescent="0.25">
      <c r="A16004" s="5">
        <v>45139</v>
      </c>
      <c r="B16004">
        <v>4576.7299999999996</v>
      </c>
    </row>
    <row r="16005" spans="1:2" x14ac:dyDescent="0.25">
      <c r="A16005" s="5">
        <v>45140</v>
      </c>
      <c r="B16005">
        <v>4513.3900000000003</v>
      </c>
    </row>
    <row r="16006" spans="1:2" x14ac:dyDescent="0.25">
      <c r="A16006" s="5">
        <v>45141</v>
      </c>
      <c r="B16006">
        <v>4501.8900000000003</v>
      </c>
    </row>
    <row r="16007" spans="1:2" x14ac:dyDescent="0.25">
      <c r="A16007" s="5">
        <v>45142</v>
      </c>
      <c r="B16007">
        <v>4478.03</v>
      </c>
    </row>
    <row r="16008" spans="1:2" x14ac:dyDescent="0.25">
      <c r="A16008" s="5">
        <v>45145</v>
      </c>
      <c r="B16008">
        <v>4518.4399999999996</v>
      </c>
    </row>
    <row r="16009" spans="1:2" x14ac:dyDescent="0.25">
      <c r="A16009" s="5">
        <v>45146</v>
      </c>
      <c r="B16009">
        <v>4499.38</v>
      </c>
    </row>
    <row r="16010" spans="1:2" x14ac:dyDescent="0.25">
      <c r="A16010" s="5">
        <v>45147</v>
      </c>
      <c r="B16010">
        <v>4467.71</v>
      </c>
    </row>
    <row r="16011" spans="1:2" x14ac:dyDescent="0.25">
      <c r="A16011" s="5">
        <v>45148</v>
      </c>
      <c r="B16011">
        <v>4468.83</v>
      </c>
    </row>
    <row r="16012" spans="1:2" x14ac:dyDescent="0.25">
      <c r="A16012" s="5">
        <v>45149</v>
      </c>
      <c r="B16012">
        <v>4464.05</v>
      </c>
    </row>
    <row r="16013" spans="1:2" x14ac:dyDescent="0.25">
      <c r="A16013" s="5">
        <v>45152</v>
      </c>
      <c r="B16013">
        <v>4489.72</v>
      </c>
    </row>
    <row r="16014" spans="1:2" x14ac:dyDescent="0.25">
      <c r="A16014" s="5">
        <v>45153</v>
      </c>
      <c r="B16014">
        <v>4437.8599999999997</v>
      </c>
    </row>
    <row r="16015" spans="1:2" x14ac:dyDescent="0.25">
      <c r="A16015" s="5">
        <v>45154</v>
      </c>
      <c r="B16015">
        <v>4404.33</v>
      </c>
    </row>
    <row r="16016" spans="1:2" x14ac:dyDescent="0.25">
      <c r="A16016" s="5">
        <v>45155</v>
      </c>
      <c r="B16016">
        <v>4370.3599999999997</v>
      </c>
    </row>
    <row r="16017" spans="1:2" x14ac:dyDescent="0.25">
      <c r="A16017" s="5">
        <v>45156</v>
      </c>
      <c r="B16017">
        <v>4369.71</v>
      </c>
    </row>
    <row r="16018" spans="1:2" x14ac:dyDescent="0.25">
      <c r="A16018" s="5">
        <v>45159</v>
      </c>
      <c r="B16018">
        <v>4399.7700000000004</v>
      </c>
    </row>
    <row r="16019" spans="1:2" x14ac:dyDescent="0.25">
      <c r="A16019" s="5">
        <v>45160</v>
      </c>
      <c r="B16019">
        <v>4387.55</v>
      </c>
    </row>
    <row r="16020" spans="1:2" x14ac:dyDescent="0.25">
      <c r="A16020" s="5">
        <v>45161</v>
      </c>
      <c r="B16020">
        <v>4436.01</v>
      </c>
    </row>
    <row r="16021" spans="1:2" x14ac:dyDescent="0.25">
      <c r="A16021" s="5">
        <v>45162</v>
      </c>
      <c r="B16021">
        <v>4376.3100000000004</v>
      </c>
    </row>
    <row r="16022" spans="1:2" x14ac:dyDescent="0.25">
      <c r="A16022" s="5">
        <v>45163</v>
      </c>
      <c r="B16022">
        <v>4405.71</v>
      </c>
    </row>
    <row r="16023" spans="1:2" x14ac:dyDescent="0.25">
      <c r="A16023" s="5">
        <v>45166</v>
      </c>
      <c r="B16023">
        <v>4433.3100000000004</v>
      </c>
    </row>
    <row r="16024" spans="1:2" x14ac:dyDescent="0.25">
      <c r="A16024" s="5">
        <v>45167</v>
      </c>
      <c r="B16024">
        <v>4497.63</v>
      </c>
    </row>
    <row r="16025" spans="1:2" x14ac:dyDescent="0.25">
      <c r="A16025" s="5">
        <v>45168</v>
      </c>
      <c r="B16025">
        <v>4514.87</v>
      </c>
    </row>
    <row r="16026" spans="1:2" x14ac:dyDescent="0.25">
      <c r="A16026" s="5">
        <v>45169</v>
      </c>
      <c r="B16026">
        <v>4507.66</v>
      </c>
    </row>
    <row r="16027" spans="1:2" x14ac:dyDescent="0.25">
      <c r="A16027" s="5">
        <v>45170</v>
      </c>
      <c r="B16027">
        <v>4515.7700000000004</v>
      </c>
    </row>
    <row r="16028" spans="1:2" x14ac:dyDescent="0.25">
      <c r="A16028" s="5">
        <v>45174</v>
      </c>
      <c r="B16028">
        <v>4496.83</v>
      </c>
    </row>
    <row r="16029" spans="1:2" x14ac:dyDescent="0.25">
      <c r="A16029" s="5">
        <v>45175</v>
      </c>
      <c r="B16029">
        <v>4465.4799999999996</v>
      </c>
    </row>
    <row r="16030" spans="1:2" x14ac:dyDescent="0.25">
      <c r="A16030" s="5">
        <v>45176</v>
      </c>
      <c r="B16030">
        <v>4451.1400000000003</v>
      </c>
    </row>
    <row r="16031" spans="1:2" x14ac:dyDescent="0.25">
      <c r="A16031" s="5">
        <v>45177</v>
      </c>
      <c r="B16031">
        <v>4457.49</v>
      </c>
    </row>
    <row r="16032" spans="1:2" x14ac:dyDescent="0.25">
      <c r="A16032" s="5">
        <v>45180</v>
      </c>
      <c r="B16032">
        <v>4487.46</v>
      </c>
    </row>
    <row r="16033" spans="1:2" x14ac:dyDescent="0.25">
      <c r="A16033" s="5">
        <v>45181</v>
      </c>
      <c r="B16033">
        <v>4461.8999999999996</v>
      </c>
    </row>
    <row r="16034" spans="1:2" x14ac:dyDescent="0.25">
      <c r="A16034" s="5">
        <v>45182</v>
      </c>
      <c r="B16034">
        <v>4467.4399999999996</v>
      </c>
    </row>
    <row r="16035" spans="1:2" x14ac:dyDescent="0.25">
      <c r="A16035" s="5">
        <v>45183</v>
      </c>
      <c r="B16035">
        <v>4505.1000000000004</v>
      </c>
    </row>
    <row r="16036" spans="1:2" x14ac:dyDescent="0.25">
      <c r="A16036" s="5">
        <v>45184</v>
      </c>
      <c r="B16036">
        <v>4450.32</v>
      </c>
    </row>
    <row r="16037" spans="1:2" x14ac:dyDescent="0.25">
      <c r="A16037" s="5">
        <v>45187</v>
      </c>
      <c r="B16037">
        <v>4453.53</v>
      </c>
    </row>
    <row r="16038" spans="1:2" x14ac:dyDescent="0.25">
      <c r="A16038" s="5">
        <v>45188</v>
      </c>
      <c r="B16038">
        <v>4443.95</v>
      </c>
    </row>
    <row r="16039" spans="1:2" x14ac:dyDescent="0.25">
      <c r="A16039" s="5">
        <v>45189</v>
      </c>
      <c r="B16039">
        <v>4402.2</v>
      </c>
    </row>
    <row r="16040" spans="1:2" x14ac:dyDescent="0.25">
      <c r="A16040" s="5">
        <v>45190</v>
      </c>
      <c r="B16040">
        <v>4330</v>
      </c>
    </row>
    <row r="16041" spans="1:2" x14ac:dyDescent="0.25">
      <c r="A16041" s="5">
        <v>45191</v>
      </c>
      <c r="B16041">
        <v>4320.0600000000004</v>
      </c>
    </row>
    <row r="16042" spans="1:2" x14ac:dyDescent="0.25">
      <c r="A16042" s="5">
        <v>45194</v>
      </c>
      <c r="B16042">
        <v>4337.4399999999996</v>
      </c>
    </row>
    <row r="16043" spans="1:2" x14ac:dyDescent="0.25">
      <c r="A16043" s="5">
        <v>45195</v>
      </c>
      <c r="B16043">
        <v>4273.53</v>
      </c>
    </row>
    <row r="16044" spans="1:2" x14ac:dyDescent="0.25">
      <c r="A16044" s="5">
        <v>45196</v>
      </c>
      <c r="B16044">
        <v>4274.51</v>
      </c>
    </row>
    <row r="16045" spans="1:2" x14ac:dyDescent="0.25">
      <c r="A16045" s="5">
        <v>45197</v>
      </c>
      <c r="B16045">
        <v>4299.7</v>
      </c>
    </row>
    <row r="16046" spans="1:2" x14ac:dyDescent="0.25">
      <c r="A16046" s="5">
        <v>45198</v>
      </c>
      <c r="B16046">
        <v>4288.05</v>
      </c>
    </row>
    <row r="16047" spans="1:2" x14ac:dyDescent="0.25">
      <c r="A16047" s="5">
        <v>45201</v>
      </c>
      <c r="B16047">
        <v>4288.3900000000003</v>
      </c>
    </row>
    <row r="16048" spans="1:2" x14ac:dyDescent="0.25">
      <c r="A16048" s="5">
        <v>45202</v>
      </c>
      <c r="B16048">
        <v>4229.45</v>
      </c>
    </row>
    <row r="16049" spans="1:2" x14ac:dyDescent="0.25">
      <c r="A16049" s="5">
        <v>45203</v>
      </c>
      <c r="B16049">
        <v>4263.75</v>
      </c>
    </row>
    <row r="16050" spans="1:2" x14ac:dyDescent="0.25">
      <c r="A16050" s="5">
        <v>45204</v>
      </c>
      <c r="B16050">
        <v>4258.1899999999996</v>
      </c>
    </row>
    <row r="16051" spans="1:2" x14ac:dyDescent="0.25">
      <c r="A16051" s="5">
        <v>45205</v>
      </c>
      <c r="B16051">
        <v>4308.5</v>
      </c>
    </row>
    <row r="16052" spans="1:2" x14ac:dyDescent="0.25">
      <c r="A16052" s="5">
        <v>45208</v>
      </c>
      <c r="B16052">
        <v>4335.66</v>
      </c>
    </row>
    <row r="16053" spans="1:2" x14ac:dyDescent="0.25">
      <c r="A16053" s="5">
        <v>45209</v>
      </c>
      <c r="B16053">
        <v>4358.24</v>
      </c>
    </row>
    <row r="16054" spans="1:2" x14ac:dyDescent="0.25">
      <c r="A16054" s="5">
        <v>45210</v>
      </c>
      <c r="B16054">
        <v>4376.95</v>
      </c>
    </row>
    <row r="16055" spans="1:2" x14ac:dyDescent="0.25">
      <c r="A16055" s="5">
        <v>45211</v>
      </c>
      <c r="B16055">
        <v>4349.6099999999997</v>
      </c>
    </row>
    <row r="16056" spans="1:2" x14ac:dyDescent="0.25">
      <c r="A16056" s="5">
        <v>45212</v>
      </c>
      <c r="B16056">
        <v>4327.78</v>
      </c>
    </row>
    <row r="16057" spans="1:2" x14ac:dyDescent="0.25">
      <c r="A16057" s="5">
        <v>45215</v>
      </c>
      <c r="B16057">
        <v>4373.63</v>
      </c>
    </row>
    <row r="16058" spans="1:2" x14ac:dyDescent="0.25">
      <c r="A16058" s="5">
        <v>45216</v>
      </c>
      <c r="B16058">
        <v>4373.2</v>
      </c>
    </row>
    <row r="16059" spans="1:2" x14ac:dyDescent="0.25">
      <c r="A16059" s="5">
        <v>45217</v>
      </c>
      <c r="B16059">
        <v>4314.6000000000004</v>
      </c>
    </row>
    <row r="16060" spans="1:2" x14ac:dyDescent="0.25">
      <c r="A16060" s="5">
        <v>45218</v>
      </c>
      <c r="B16060">
        <v>4278</v>
      </c>
    </row>
    <row r="16061" spans="1:2" x14ac:dyDescent="0.25">
      <c r="A16061" s="5">
        <v>45219</v>
      </c>
      <c r="B16061">
        <v>4224.16</v>
      </c>
    </row>
    <row r="16062" spans="1:2" x14ac:dyDescent="0.25">
      <c r="A16062" s="5">
        <v>45222</v>
      </c>
      <c r="B16062">
        <v>4217.04</v>
      </c>
    </row>
    <row r="16063" spans="1:2" x14ac:dyDescent="0.25">
      <c r="A16063" s="5">
        <v>45223</v>
      </c>
      <c r="B16063">
        <v>4247.68</v>
      </c>
    </row>
    <row r="16064" spans="1:2" x14ac:dyDescent="0.25">
      <c r="A16064" s="5">
        <v>45224</v>
      </c>
      <c r="B16064">
        <v>4186.7700000000004</v>
      </c>
    </row>
    <row r="16065" spans="1:2" x14ac:dyDescent="0.25">
      <c r="A16065" s="5">
        <v>45225</v>
      </c>
      <c r="B16065">
        <v>4137.2299999999996</v>
      </c>
    </row>
    <row r="16066" spans="1:2" x14ac:dyDescent="0.25">
      <c r="A16066" s="5">
        <v>45226</v>
      </c>
      <c r="B16066">
        <v>4117.37</v>
      </c>
    </row>
    <row r="16067" spans="1:2" x14ac:dyDescent="0.25">
      <c r="A16067" s="5">
        <v>45229</v>
      </c>
      <c r="B16067">
        <v>4166.82</v>
      </c>
    </row>
    <row r="16068" spans="1:2" x14ac:dyDescent="0.25">
      <c r="A16068" s="5">
        <v>45230</v>
      </c>
      <c r="B16068">
        <v>4193.8</v>
      </c>
    </row>
    <row r="16069" spans="1:2" x14ac:dyDescent="0.25">
      <c r="A16069" s="5">
        <v>45231</v>
      </c>
      <c r="B16069">
        <v>4237.8599999999997</v>
      </c>
    </row>
    <row r="16070" spans="1:2" x14ac:dyDescent="0.25">
      <c r="A16070" s="5">
        <v>45232</v>
      </c>
      <c r="B16070">
        <v>4317.78</v>
      </c>
    </row>
    <row r="16071" spans="1:2" x14ac:dyDescent="0.25">
      <c r="A16071" s="5">
        <v>45233</v>
      </c>
      <c r="B16071">
        <v>4358.34</v>
      </c>
    </row>
    <row r="16072" spans="1:2" x14ac:dyDescent="0.25">
      <c r="A16072" s="5">
        <v>45236</v>
      </c>
      <c r="B16072">
        <v>4365.9799999999996</v>
      </c>
    </row>
    <row r="16073" spans="1:2" x14ac:dyDescent="0.25">
      <c r="A16073" s="5">
        <v>45237</v>
      </c>
      <c r="B16073">
        <v>4378.38</v>
      </c>
    </row>
    <row r="16074" spans="1:2" x14ac:dyDescent="0.25">
      <c r="A16074" s="5">
        <v>45238</v>
      </c>
      <c r="B16074">
        <v>4382.78</v>
      </c>
    </row>
    <row r="16075" spans="1:2" x14ac:dyDescent="0.25">
      <c r="A16075" s="5">
        <v>45239</v>
      </c>
      <c r="B16075">
        <v>4347.3500000000004</v>
      </c>
    </row>
    <row r="16076" spans="1:2" x14ac:dyDescent="0.25">
      <c r="A16076" s="5">
        <v>45240</v>
      </c>
      <c r="B16076">
        <v>4415.24</v>
      </c>
    </row>
    <row r="16077" spans="1:2" x14ac:dyDescent="0.25">
      <c r="A16077" s="5">
        <v>45243</v>
      </c>
      <c r="B16077">
        <v>4411.55</v>
      </c>
    </row>
    <row r="16078" spans="1:2" x14ac:dyDescent="0.25">
      <c r="A16078" s="5">
        <v>45244</v>
      </c>
      <c r="B16078">
        <v>4495.7</v>
      </c>
    </row>
    <row r="16079" spans="1:2" x14ac:dyDescent="0.25">
      <c r="A16079" s="5">
        <v>45245</v>
      </c>
      <c r="B16079">
        <v>4502.88</v>
      </c>
    </row>
    <row r="16080" spans="1:2" x14ac:dyDescent="0.25">
      <c r="A16080" s="5">
        <v>45246</v>
      </c>
      <c r="B16080">
        <v>4508.24</v>
      </c>
    </row>
    <row r="16081" spans="1:2" x14ac:dyDescent="0.25">
      <c r="A16081" s="5">
        <v>45247</v>
      </c>
      <c r="B16081">
        <v>4514.0200000000004</v>
      </c>
    </row>
    <row r="16082" spans="1:2" x14ac:dyDescent="0.25">
      <c r="A16082" s="5">
        <v>45250</v>
      </c>
      <c r="B16082">
        <v>4547.38</v>
      </c>
    </row>
    <row r="16083" spans="1:2" x14ac:dyDescent="0.25">
      <c r="A16083" s="5">
        <v>45251</v>
      </c>
      <c r="B16083">
        <v>4538.1899999999996</v>
      </c>
    </row>
    <row r="16084" spans="1:2" x14ac:dyDescent="0.25">
      <c r="A16084" s="5">
        <v>45252</v>
      </c>
      <c r="B16084">
        <v>4556.62</v>
      </c>
    </row>
    <row r="16085" spans="1:2" x14ac:dyDescent="0.25">
      <c r="A16085" s="5">
        <v>45254</v>
      </c>
      <c r="B16085">
        <v>4559.34</v>
      </c>
    </row>
    <row r="16086" spans="1:2" x14ac:dyDescent="0.25">
      <c r="A16086" s="5">
        <v>45257</v>
      </c>
      <c r="B16086">
        <v>4550.43</v>
      </c>
    </row>
    <row r="16087" spans="1:2" x14ac:dyDescent="0.25">
      <c r="A16087" s="5">
        <v>45258</v>
      </c>
      <c r="B16087">
        <v>4554.8900000000003</v>
      </c>
    </row>
    <row r="16088" spans="1:2" x14ac:dyDescent="0.25">
      <c r="A16088" s="5">
        <v>45259</v>
      </c>
      <c r="B16088">
        <v>4550.58</v>
      </c>
    </row>
    <row r="16089" spans="1:2" x14ac:dyDescent="0.25">
      <c r="A16089" s="5">
        <v>45260</v>
      </c>
      <c r="B16089">
        <v>4567.8</v>
      </c>
    </row>
    <row r="16090" spans="1:2" x14ac:dyDescent="0.25">
      <c r="A16090" s="5">
        <v>45261</v>
      </c>
      <c r="B16090">
        <v>4594.63</v>
      </c>
    </row>
    <row r="16091" spans="1:2" x14ac:dyDescent="0.25">
      <c r="A16091" s="5">
        <v>45264</v>
      </c>
      <c r="B16091">
        <v>4569.78</v>
      </c>
    </row>
    <row r="16092" spans="1:2" x14ac:dyDescent="0.25">
      <c r="A16092" s="5">
        <v>45265</v>
      </c>
      <c r="B16092">
        <v>4567.18</v>
      </c>
    </row>
    <row r="16093" spans="1:2" x14ac:dyDescent="0.25">
      <c r="A16093" s="5">
        <v>45266</v>
      </c>
      <c r="B16093">
        <v>4549.34</v>
      </c>
    </row>
    <row r="16094" spans="1:2" x14ac:dyDescent="0.25">
      <c r="A16094" s="5">
        <v>45267</v>
      </c>
      <c r="B16094">
        <v>4585.59</v>
      </c>
    </row>
    <row r="16095" spans="1:2" x14ac:dyDescent="0.25">
      <c r="A16095" s="5">
        <v>45268</v>
      </c>
      <c r="B16095">
        <v>4604.37</v>
      </c>
    </row>
    <row r="16096" spans="1:2" x14ac:dyDescent="0.25">
      <c r="A16096" s="5">
        <v>45271</v>
      </c>
      <c r="B16096">
        <v>4622.4399999999996</v>
      </c>
    </row>
    <row r="16097" spans="1:2" x14ac:dyDescent="0.25">
      <c r="A16097" s="5">
        <v>45272</v>
      </c>
      <c r="B16097">
        <v>4643.7</v>
      </c>
    </row>
    <row r="16098" spans="1:2" x14ac:dyDescent="0.25">
      <c r="A16098" s="5">
        <v>45273</v>
      </c>
      <c r="B16098">
        <v>4707.09</v>
      </c>
    </row>
    <row r="16099" spans="1:2" x14ac:dyDescent="0.25">
      <c r="A16099" s="5">
        <v>45274</v>
      </c>
      <c r="B16099">
        <v>4719.55</v>
      </c>
    </row>
    <row r="16100" spans="1:2" x14ac:dyDescent="0.25">
      <c r="A16100" s="5">
        <v>45275</v>
      </c>
      <c r="B16100">
        <v>4719.1899999999996</v>
      </c>
    </row>
    <row r="16101" spans="1:2" x14ac:dyDescent="0.25">
      <c r="A16101" s="5">
        <v>45278</v>
      </c>
      <c r="B16101">
        <v>4740.5600000000004</v>
      </c>
    </row>
    <row r="16102" spans="1:2" x14ac:dyDescent="0.25">
      <c r="A16102" s="5">
        <v>45279</v>
      </c>
      <c r="B16102">
        <v>4768.37</v>
      </c>
    </row>
    <row r="16103" spans="1:2" x14ac:dyDescent="0.25">
      <c r="A16103" s="5">
        <v>45280</v>
      </c>
      <c r="B16103">
        <v>4698.3500000000004</v>
      </c>
    </row>
    <row r="16104" spans="1:2" x14ac:dyDescent="0.25">
      <c r="A16104" s="5">
        <v>45281</v>
      </c>
      <c r="B16104">
        <v>4746.75</v>
      </c>
    </row>
    <row r="16105" spans="1:2" x14ac:dyDescent="0.25">
      <c r="A16105" s="5">
        <v>45282</v>
      </c>
      <c r="B16105">
        <v>4754.63</v>
      </c>
    </row>
    <row r="16106" spans="1:2" x14ac:dyDescent="0.25">
      <c r="A16106" s="5">
        <v>45286</v>
      </c>
      <c r="B16106">
        <v>4774.75</v>
      </c>
    </row>
    <row r="16107" spans="1:2" x14ac:dyDescent="0.25">
      <c r="A16107" s="5">
        <v>45287</v>
      </c>
      <c r="B16107">
        <v>4781.58</v>
      </c>
    </row>
    <row r="16108" spans="1:2" x14ac:dyDescent="0.25">
      <c r="A16108" s="5">
        <v>45288</v>
      </c>
      <c r="B16108">
        <v>4783.3500000000004</v>
      </c>
    </row>
    <row r="16109" spans="1:2" x14ac:dyDescent="0.25">
      <c r="A16109" s="5">
        <v>45289</v>
      </c>
      <c r="B16109">
        <v>4769.83</v>
      </c>
    </row>
    <row r="16110" spans="1:2" x14ac:dyDescent="0.25">
      <c r="A16110" s="5">
        <v>45293</v>
      </c>
      <c r="B16110">
        <v>4742.83</v>
      </c>
    </row>
    <row r="16111" spans="1:2" x14ac:dyDescent="0.25">
      <c r="A16111" s="5">
        <v>45294</v>
      </c>
      <c r="B16111">
        <v>4704.8100000000004</v>
      </c>
    </row>
    <row r="16112" spans="1:2" x14ac:dyDescent="0.25">
      <c r="A16112" s="5">
        <v>45295</v>
      </c>
      <c r="B16112">
        <v>4688.68</v>
      </c>
    </row>
    <row r="16113" spans="1:2" x14ac:dyDescent="0.25">
      <c r="A16113" s="5">
        <v>45296</v>
      </c>
      <c r="B16113">
        <v>4697.24</v>
      </c>
    </row>
    <row r="16114" spans="1:2" x14ac:dyDescent="0.25">
      <c r="A16114" s="5">
        <v>45299</v>
      </c>
      <c r="B16114">
        <v>4763.54</v>
      </c>
    </row>
    <row r="16115" spans="1:2" x14ac:dyDescent="0.25">
      <c r="A16115" s="5">
        <v>45300</v>
      </c>
      <c r="B16115">
        <v>4756.5</v>
      </c>
    </row>
    <row r="16116" spans="1:2" x14ac:dyDescent="0.25">
      <c r="A16116" s="5">
        <v>45301</v>
      </c>
      <c r="B16116">
        <v>4783.45</v>
      </c>
    </row>
    <row r="16117" spans="1:2" x14ac:dyDescent="0.25">
      <c r="A16117" s="5">
        <v>45302</v>
      </c>
      <c r="B16117">
        <v>4780.24</v>
      </c>
    </row>
    <row r="16118" spans="1:2" x14ac:dyDescent="0.25">
      <c r="A16118" s="5">
        <v>45303</v>
      </c>
      <c r="B16118">
        <v>4783.83</v>
      </c>
    </row>
    <row r="16119" spans="1:2" x14ac:dyDescent="0.25">
      <c r="A16119" s="5">
        <v>45307</v>
      </c>
      <c r="B16119">
        <v>4765.9799999999996</v>
      </c>
    </row>
    <row r="16120" spans="1:2" x14ac:dyDescent="0.25">
      <c r="A16120" s="5">
        <v>45308</v>
      </c>
      <c r="B16120">
        <v>4739.21</v>
      </c>
    </row>
    <row r="16121" spans="1:2" x14ac:dyDescent="0.25">
      <c r="A16121" s="5">
        <v>45309</v>
      </c>
      <c r="B16121">
        <v>4780.9399999999996</v>
      </c>
    </row>
    <row r="16122" spans="1:2" x14ac:dyDescent="0.25">
      <c r="A16122" s="5">
        <v>45310</v>
      </c>
      <c r="B16122">
        <v>4839.8100000000004</v>
      </c>
    </row>
    <row r="16123" spans="1:2" x14ac:dyDescent="0.25">
      <c r="A16123" s="5">
        <v>45313</v>
      </c>
      <c r="B16123">
        <v>4850.43</v>
      </c>
    </row>
    <row r="16124" spans="1:2" x14ac:dyDescent="0.25">
      <c r="A16124" s="5">
        <v>45314</v>
      </c>
      <c r="B16124">
        <v>4864.6000000000004</v>
      </c>
    </row>
    <row r="16125" spans="1:2" x14ac:dyDescent="0.25">
      <c r="A16125" s="5">
        <v>45315</v>
      </c>
      <c r="B16125">
        <v>4868.55</v>
      </c>
    </row>
    <row r="16126" spans="1:2" x14ac:dyDescent="0.25">
      <c r="A16126" s="5">
        <v>45316</v>
      </c>
      <c r="B16126">
        <v>4894.16</v>
      </c>
    </row>
    <row r="16127" spans="1:2" x14ac:dyDescent="0.25">
      <c r="A16127" s="5">
        <v>45317</v>
      </c>
      <c r="B16127">
        <v>4890.97</v>
      </c>
    </row>
    <row r="16128" spans="1:2" x14ac:dyDescent="0.25">
      <c r="A16128" s="5">
        <v>45320</v>
      </c>
      <c r="B16128">
        <v>4927.93</v>
      </c>
    </row>
    <row r="16129" spans="1:2" x14ac:dyDescent="0.25">
      <c r="A16129" s="5">
        <v>45321</v>
      </c>
      <c r="B16129">
        <v>4924.97</v>
      </c>
    </row>
    <row r="16130" spans="1:2" x14ac:dyDescent="0.25">
      <c r="A16130" s="5">
        <v>45322</v>
      </c>
      <c r="B16130">
        <v>4845.6499999999996</v>
      </c>
    </row>
    <row r="16131" spans="1:2" x14ac:dyDescent="0.25">
      <c r="A16131" s="5">
        <v>45323</v>
      </c>
      <c r="B16131">
        <v>4906.1899999999996</v>
      </c>
    </row>
    <row r="16132" spans="1:2" x14ac:dyDescent="0.25">
      <c r="A16132" s="5">
        <v>45324</v>
      </c>
      <c r="B16132">
        <v>4958.6099999999997</v>
      </c>
    </row>
    <row r="16133" spans="1:2" x14ac:dyDescent="0.25">
      <c r="A16133" s="5">
        <v>45327</v>
      </c>
      <c r="B16133">
        <v>4942.8100000000004</v>
      </c>
    </row>
    <row r="16134" spans="1:2" x14ac:dyDescent="0.25">
      <c r="A16134" s="5">
        <v>45328</v>
      </c>
      <c r="B16134">
        <v>4954.2299999999996</v>
      </c>
    </row>
    <row r="16135" spans="1:2" x14ac:dyDescent="0.25">
      <c r="A16135" s="5">
        <v>45329</v>
      </c>
      <c r="B16135">
        <v>4995.0600000000004</v>
      </c>
    </row>
    <row r="16136" spans="1:2" x14ac:dyDescent="0.25">
      <c r="A16136" s="5">
        <v>45330</v>
      </c>
      <c r="B16136">
        <v>4997.91</v>
      </c>
    </row>
    <row r="16137" spans="1:2" x14ac:dyDescent="0.25">
      <c r="A16137" s="5">
        <v>45331</v>
      </c>
      <c r="B16137">
        <v>5026.6099999999997</v>
      </c>
    </row>
    <row r="16138" spans="1:2" x14ac:dyDescent="0.25">
      <c r="A16138" s="5">
        <v>45334</v>
      </c>
      <c r="B16138">
        <v>5021.84</v>
      </c>
    </row>
    <row r="16139" spans="1:2" x14ac:dyDescent="0.25">
      <c r="A16139" s="5">
        <v>45335</v>
      </c>
      <c r="B16139">
        <v>4953.17</v>
      </c>
    </row>
    <row r="16140" spans="1:2" x14ac:dyDescent="0.25">
      <c r="A16140" s="5">
        <v>45336</v>
      </c>
      <c r="B16140">
        <v>5000.62</v>
      </c>
    </row>
    <row r="16141" spans="1:2" x14ac:dyDescent="0.25">
      <c r="A16141" s="5">
        <v>45337</v>
      </c>
      <c r="B16141">
        <v>5029.7299999999996</v>
      </c>
    </row>
    <row r="16142" spans="1:2" x14ac:dyDescent="0.25">
      <c r="A16142" s="5">
        <v>45338</v>
      </c>
      <c r="B16142">
        <v>5005.57</v>
      </c>
    </row>
    <row r="16143" spans="1:2" x14ac:dyDescent="0.25">
      <c r="A16143" s="5">
        <v>45342</v>
      </c>
      <c r="B16143">
        <v>4975.51</v>
      </c>
    </row>
    <row r="16144" spans="1:2" x14ac:dyDescent="0.25">
      <c r="A16144" s="5">
        <v>45343</v>
      </c>
      <c r="B16144">
        <v>4981.8</v>
      </c>
    </row>
    <row r="16145" spans="1:2" x14ac:dyDescent="0.25">
      <c r="A16145" s="5">
        <v>45344</v>
      </c>
      <c r="B16145">
        <v>5087.03</v>
      </c>
    </row>
    <row r="16146" spans="1:2" x14ac:dyDescent="0.25">
      <c r="A16146" s="5">
        <v>45345</v>
      </c>
      <c r="B16146">
        <v>5088.8</v>
      </c>
    </row>
    <row r="16147" spans="1:2" x14ac:dyDescent="0.25">
      <c r="A16147" s="5">
        <v>45348</v>
      </c>
      <c r="B16147">
        <v>5069.53</v>
      </c>
    </row>
    <row r="16148" spans="1:2" x14ac:dyDescent="0.25">
      <c r="A16148" s="5">
        <v>45349</v>
      </c>
      <c r="B16148">
        <v>5078.18</v>
      </c>
    </row>
    <row r="16149" spans="1:2" x14ac:dyDescent="0.25">
      <c r="A16149" s="5">
        <v>45350</v>
      </c>
      <c r="B16149">
        <v>5069.76</v>
      </c>
    </row>
    <row r="16150" spans="1:2" x14ac:dyDescent="0.25">
      <c r="A16150" s="5">
        <v>45351</v>
      </c>
      <c r="B16150">
        <v>5096.2700000000004</v>
      </c>
    </row>
    <row r="16151" spans="1:2" x14ac:dyDescent="0.25">
      <c r="A16151" s="5">
        <v>45352</v>
      </c>
      <c r="B16151">
        <v>5137.08</v>
      </c>
    </row>
    <row r="16152" spans="1:2" x14ac:dyDescent="0.25">
      <c r="A16152" s="5">
        <v>45355</v>
      </c>
      <c r="B16152">
        <v>5130.95</v>
      </c>
    </row>
    <row r="16153" spans="1:2" x14ac:dyDescent="0.25">
      <c r="A16153" s="5">
        <v>45356</v>
      </c>
      <c r="B16153">
        <v>5078.6499999999996</v>
      </c>
    </row>
    <row r="16154" spans="1:2" x14ac:dyDescent="0.25">
      <c r="A16154" s="5">
        <v>45357</v>
      </c>
      <c r="B16154">
        <v>5104.76</v>
      </c>
    </row>
    <row r="16155" spans="1:2" x14ac:dyDescent="0.25">
      <c r="A16155" s="5">
        <v>45358</v>
      </c>
      <c r="B16155">
        <v>5157.3599999999997</v>
      </c>
    </row>
    <row r="16156" spans="1:2" x14ac:dyDescent="0.25">
      <c r="A16156" s="5">
        <v>45359</v>
      </c>
      <c r="B16156">
        <v>5123.6899999999996</v>
      </c>
    </row>
    <row r="16157" spans="1:2" x14ac:dyDescent="0.25">
      <c r="A16157" s="5">
        <v>45362</v>
      </c>
      <c r="B16157">
        <v>5117.9399999999996</v>
      </c>
    </row>
    <row r="16158" spans="1:2" x14ac:dyDescent="0.25">
      <c r="A16158" s="5">
        <v>45363</v>
      </c>
      <c r="B16158">
        <v>5175.2700000000004</v>
      </c>
    </row>
    <row r="16159" spans="1:2" x14ac:dyDescent="0.25">
      <c r="A16159" s="5">
        <v>45364</v>
      </c>
      <c r="B16159">
        <v>5165.3100000000004</v>
      </c>
    </row>
    <row r="16160" spans="1:2" x14ac:dyDescent="0.25">
      <c r="A16160" s="5">
        <v>45365</v>
      </c>
      <c r="B16160">
        <v>5150.4799999999996</v>
      </c>
    </row>
    <row r="16161" spans="1:2" x14ac:dyDescent="0.25">
      <c r="A16161" s="5">
        <v>45366</v>
      </c>
      <c r="B16161">
        <v>5117.09</v>
      </c>
    </row>
    <row r="16162" spans="1:2" x14ac:dyDescent="0.25">
      <c r="A16162" s="5">
        <v>45369</v>
      </c>
      <c r="B16162">
        <v>5149.42</v>
      </c>
    </row>
    <row r="16163" spans="1:2" x14ac:dyDescent="0.25">
      <c r="A16163" s="5">
        <v>45370</v>
      </c>
      <c r="B16163">
        <v>5178.51</v>
      </c>
    </row>
    <row r="16164" spans="1:2" x14ac:dyDescent="0.25">
      <c r="A16164" s="5">
        <v>45371</v>
      </c>
      <c r="B16164">
        <v>5224.62</v>
      </c>
    </row>
    <row r="16165" spans="1:2" x14ac:dyDescent="0.25">
      <c r="A16165" s="5">
        <v>45372</v>
      </c>
      <c r="B16165">
        <v>5241.53</v>
      </c>
    </row>
    <row r="16166" spans="1:2" x14ac:dyDescent="0.25">
      <c r="A16166" s="5">
        <v>45373</v>
      </c>
      <c r="B16166">
        <v>5234.18</v>
      </c>
    </row>
    <row r="16167" spans="1:2" x14ac:dyDescent="0.25">
      <c r="A16167" s="5">
        <v>45376</v>
      </c>
      <c r="B16167">
        <v>5218.1899999999996</v>
      </c>
    </row>
    <row r="16168" spans="1:2" x14ac:dyDescent="0.25">
      <c r="A16168" s="5">
        <v>45377</v>
      </c>
      <c r="B16168">
        <v>5203.58</v>
      </c>
    </row>
    <row r="16169" spans="1:2" x14ac:dyDescent="0.25">
      <c r="A16169" s="5">
        <v>45378</v>
      </c>
      <c r="B16169">
        <v>5248.49</v>
      </c>
    </row>
    <row r="16170" spans="1:2" x14ac:dyDescent="0.25">
      <c r="A16170" s="5">
        <v>45379</v>
      </c>
      <c r="B16170">
        <v>5254.35</v>
      </c>
    </row>
    <row r="16171" spans="1:2" x14ac:dyDescent="0.25">
      <c r="A16171" s="5">
        <v>45383</v>
      </c>
      <c r="B16171">
        <v>5243.77</v>
      </c>
    </row>
    <row r="16172" spans="1:2" x14ac:dyDescent="0.25">
      <c r="A16172" s="5">
        <v>45384</v>
      </c>
      <c r="B16172">
        <v>5205.8100000000004</v>
      </c>
    </row>
    <row r="16173" spans="1:2" x14ac:dyDescent="0.25">
      <c r="A16173" s="5">
        <v>45385</v>
      </c>
      <c r="B16173">
        <v>5211.49</v>
      </c>
    </row>
    <row r="16174" spans="1:2" x14ac:dyDescent="0.25">
      <c r="A16174" s="5">
        <v>45386</v>
      </c>
      <c r="B16174">
        <v>5147.21</v>
      </c>
    </row>
    <row r="16175" spans="1:2" x14ac:dyDescent="0.25">
      <c r="A16175" s="5">
        <v>45387</v>
      </c>
      <c r="B16175">
        <v>5204.34</v>
      </c>
    </row>
    <row r="16176" spans="1:2" x14ac:dyDescent="0.25">
      <c r="A16176" s="5">
        <v>45390</v>
      </c>
      <c r="B16176">
        <v>5202.3900000000003</v>
      </c>
    </row>
    <row r="16177" spans="1:2" x14ac:dyDescent="0.25">
      <c r="A16177" s="5">
        <v>45391</v>
      </c>
      <c r="B16177">
        <v>5209.91</v>
      </c>
    </row>
    <row r="16178" spans="1:2" x14ac:dyDescent="0.25">
      <c r="A16178" s="5">
        <v>45392</v>
      </c>
      <c r="B16178">
        <v>5160.6400000000003</v>
      </c>
    </row>
    <row r="16179" spans="1:2" x14ac:dyDescent="0.25">
      <c r="A16179" s="5">
        <v>45393</v>
      </c>
      <c r="B16179">
        <v>5199.0600000000004</v>
      </c>
    </row>
    <row r="16180" spans="1:2" x14ac:dyDescent="0.25">
      <c r="A16180" s="5">
        <v>45394</v>
      </c>
      <c r="B16180">
        <v>5123.41</v>
      </c>
    </row>
    <row r="16181" spans="1:2" x14ac:dyDescent="0.25">
      <c r="A16181" s="5">
        <v>45397</v>
      </c>
      <c r="B16181">
        <v>5061.82</v>
      </c>
    </row>
    <row r="16182" spans="1:2" x14ac:dyDescent="0.25">
      <c r="A16182" s="5">
        <v>45398</v>
      </c>
      <c r="B16182">
        <v>5051.41</v>
      </c>
    </row>
    <row r="16183" spans="1:2" x14ac:dyDescent="0.25">
      <c r="A16183" s="5">
        <v>45399</v>
      </c>
      <c r="B16183">
        <v>5022.21</v>
      </c>
    </row>
    <row r="16184" spans="1:2" x14ac:dyDescent="0.25">
      <c r="A16184" s="5">
        <v>45400</v>
      </c>
      <c r="B16184">
        <v>5011.12</v>
      </c>
    </row>
    <row r="16185" spans="1:2" x14ac:dyDescent="0.25">
      <c r="A16185" s="5">
        <v>45401</v>
      </c>
      <c r="B16185">
        <v>4967.2299999999996</v>
      </c>
    </row>
    <row r="16186" spans="1:2" x14ac:dyDescent="0.25">
      <c r="A16186" s="5">
        <v>45404</v>
      </c>
      <c r="B16186">
        <v>5010.6000000000004</v>
      </c>
    </row>
    <row r="16187" spans="1:2" x14ac:dyDescent="0.25">
      <c r="A16187" s="5">
        <v>45405</v>
      </c>
      <c r="B16187">
        <v>5070.55</v>
      </c>
    </row>
    <row r="16188" spans="1:2" x14ac:dyDescent="0.25">
      <c r="A16188" s="5">
        <v>45406</v>
      </c>
      <c r="B16188">
        <v>5071.63</v>
      </c>
    </row>
    <row r="16189" spans="1:2" x14ac:dyDescent="0.25">
      <c r="A16189" s="5">
        <v>45407</v>
      </c>
      <c r="B16189">
        <v>5048.42</v>
      </c>
    </row>
    <row r="16190" spans="1:2" x14ac:dyDescent="0.25">
      <c r="A16190" s="5">
        <v>45408</v>
      </c>
      <c r="B16190">
        <v>5099.96</v>
      </c>
    </row>
    <row r="16191" spans="1:2" x14ac:dyDescent="0.25">
      <c r="A16191" s="5">
        <v>45411</v>
      </c>
      <c r="B16191">
        <v>5116.17</v>
      </c>
    </row>
    <row r="16192" spans="1:2" x14ac:dyDescent="0.25">
      <c r="A16192" s="5">
        <v>45412</v>
      </c>
      <c r="B16192">
        <v>5035.6899999999996</v>
      </c>
    </row>
    <row r="16193" spans="1:2" x14ac:dyDescent="0.25">
      <c r="A16193" s="5">
        <v>45413</v>
      </c>
      <c r="B16193">
        <v>5018.3900000000003</v>
      </c>
    </row>
    <row r="16194" spans="1:2" x14ac:dyDescent="0.25">
      <c r="A16194" s="5">
        <v>45414</v>
      </c>
      <c r="B16194">
        <v>5064.2</v>
      </c>
    </row>
    <row r="16195" spans="1:2" x14ac:dyDescent="0.25">
      <c r="A16195" s="5">
        <v>45415</v>
      </c>
      <c r="B16195">
        <v>5127.79</v>
      </c>
    </row>
    <row r="16196" spans="1:2" x14ac:dyDescent="0.25">
      <c r="A16196" s="5">
        <v>45418</v>
      </c>
      <c r="B16196">
        <v>5180.74</v>
      </c>
    </row>
    <row r="16197" spans="1:2" x14ac:dyDescent="0.25">
      <c r="A16197" s="5">
        <v>45419</v>
      </c>
      <c r="B16197">
        <v>5187.7</v>
      </c>
    </row>
    <row r="16198" spans="1:2" x14ac:dyDescent="0.25">
      <c r="A16198" s="5">
        <v>45420</v>
      </c>
      <c r="B16198">
        <v>5187.67</v>
      </c>
    </row>
    <row r="16199" spans="1:2" x14ac:dyDescent="0.25">
      <c r="A16199" s="5">
        <v>45421</v>
      </c>
      <c r="B16199">
        <v>5214.08</v>
      </c>
    </row>
    <row r="16200" spans="1:2" x14ac:dyDescent="0.25">
      <c r="A16200" s="5">
        <v>45422</v>
      </c>
      <c r="B16200">
        <v>5222.68</v>
      </c>
    </row>
    <row r="16201" spans="1:2" x14ac:dyDescent="0.25">
      <c r="A16201" s="5">
        <v>45425</v>
      </c>
      <c r="B16201">
        <v>5221.42</v>
      </c>
    </row>
    <row r="16202" spans="1:2" x14ac:dyDescent="0.25">
      <c r="A16202" s="5">
        <v>45426</v>
      </c>
      <c r="B16202">
        <v>5246.68</v>
      </c>
    </row>
    <row r="16203" spans="1:2" x14ac:dyDescent="0.25">
      <c r="A16203" s="5">
        <v>45427</v>
      </c>
      <c r="B16203">
        <v>5308.15</v>
      </c>
    </row>
    <row r="16204" spans="1:2" x14ac:dyDescent="0.25">
      <c r="A16204" s="5">
        <v>45428</v>
      </c>
      <c r="B16204">
        <v>5297.1</v>
      </c>
    </row>
    <row r="16205" spans="1:2" x14ac:dyDescent="0.25">
      <c r="A16205" s="5">
        <v>45429</v>
      </c>
      <c r="B16205">
        <v>5303.27</v>
      </c>
    </row>
    <row r="16206" spans="1:2" x14ac:dyDescent="0.25">
      <c r="A16206" s="5">
        <v>45432</v>
      </c>
      <c r="B16206">
        <v>5308.13</v>
      </c>
    </row>
    <row r="16207" spans="1:2" x14ac:dyDescent="0.25">
      <c r="A16207" s="5">
        <v>45433</v>
      </c>
      <c r="B16207">
        <v>5321.41</v>
      </c>
    </row>
    <row r="16208" spans="1:2" x14ac:dyDescent="0.25">
      <c r="A16208" s="5">
        <v>45434</v>
      </c>
      <c r="B16208">
        <v>5307.01</v>
      </c>
    </row>
    <row r="16209" spans="1:2" x14ac:dyDescent="0.25">
      <c r="A16209" s="5">
        <v>45435</v>
      </c>
      <c r="B16209">
        <v>5267.84</v>
      </c>
    </row>
    <row r="16210" spans="1:2" x14ac:dyDescent="0.25">
      <c r="A16210" s="5">
        <v>45436</v>
      </c>
      <c r="B16210">
        <v>5304.72</v>
      </c>
    </row>
    <row r="16211" spans="1:2" x14ac:dyDescent="0.25">
      <c r="A16211" s="5">
        <v>45440</v>
      </c>
      <c r="B16211">
        <v>5306.04</v>
      </c>
    </row>
    <row r="16212" spans="1:2" x14ac:dyDescent="0.25">
      <c r="A16212" s="5">
        <v>45441</v>
      </c>
      <c r="B16212">
        <v>5266.95</v>
      </c>
    </row>
    <row r="16213" spans="1:2" x14ac:dyDescent="0.25">
      <c r="A16213" s="5">
        <v>45442</v>
      </c>
      <c r="B16213">
        <v>5235.4799999999996</v>
      </c>
    </row>
    <row r="16214" spans="1:2" x14ac:dyDescent="0.25">
      <c r="A16214" s="5">
        <v>45443</v>
      </c>
      <c r="B16214">
        <v>5277.51</v>
      </c>
    </row>
    <row r="16215" spans="1:2" x14ac:dyDescent="0.25">
      <c r="A16215" s="5">
        <v>45446</v>
      </c>
      <c r="B16215">
        <v>5283.4</v>
      </c>
    </row>
    <row r="16216" spans="1:2" x14ac:dyDescent="0.25">
      <c r="A16216" s="5">
        <v>45447</v>
      </c>
      <c r="B16216">
        <v>5291.34</v>
      </c>
    </row>
    <row r="16217" spans="1:2" x14ac:dyDescent="0.25">
      <c r="A16217" s="5">
        <v>45448</v>
      </c>
      <c r="B16217">
        <v>5354.03</v>
      </c>
    </row>
    <row r="16218" spans="1:2" x14ac:dyDescent="0.25">
      <c r="A16218" s="5">
        <v>45449</v>
      </c>
      <c r="B16218">
        <v>5352.96</v>
      </c>
    </row>
    <row r="16219" spans="1:2" x14ac:dyDescent="0.25">
      <c r="A16219" s="5">
        <v>45450</v>
      </c>
      <c r="B16219">
        <v>5346.99</v>
      </c>
    </row>
    <row r="16220" spans="1:2" x14ac:dyDescent="0.25">
      <c r="A16220" s="5">
        <v>45453</v>
      </c>
      <c r="B16220">
        <v>5360.79</v>
      </c>
    </row>
    <row r="16221" spans="1:2" x14ac:dyDescent="0.25">
      <c r="A16221" s="5">
        <v>45454</v>
      </c>
      <c r="B16221">
        <v>5375.32</v>
      </c>
    </row>
    <row r="16222" spans="1:2" x14ac:dyDescent="0.25">
      <c r="A16222" s="5">
        <v>45455</v>
      </c>
      <c r="B16222">
        <v>5421.03</v>
      </c>
    </row>
    <row r="16223" spans="1:2" x14ac:dyDescent="0.25">
      <c r="A16223" s="5">
        <v>45456</v>
      </c>
      <c r="B16223">
        <v>5433.74</v>
      </c>
    </row>
    <row r="16224" spans="1:2" x14ac:dyDescent="0.25">
      <c r="A16224" s="5">
        <v>45457</v>
      </c>
      <c r="B16224">
        <v>5431.6</v>
      </c>
    </row>
    <row r="16225" spans="1:2" x14ac:dyDescent="0.25">
      <c r="A16225" s="5">
        <v>45460</v>
      </c>
      <c r="B16225">
        <v>5473.23</v>
      </c>
    </row>
    <row r="16226" spans="1:2" x14ac:dyDescent="0.25">
      <c r="A16226" s="5">
        <v>45461</v>
      </c>
      <c r="B16226">
        <v>5487.03</v>
      </c>
    </row>
    <row r="16227" spans="1:2" x14ac:dyDescent="0.25">
      <c r="A16227" s="5">
        <v>45463</v>
      </c>
      <c r="B16227">
        <v>5473.17</v>
      </c>
    </row>
    <row r="16228" spans="1:2" x14ac:dyDescent="0.25">
      <c r="A16228" s="5">
        <v>45464</v>
      </c>
      <c r="B16228">
        <v>5464.62</v>
      </c>
    </row>
    <row r="16229" spans="1:2" x14ac:dyDescent="0.25">
      <c r="A16229" s="5">
        <v>45467</v>
      </c>
      <c r="B16229">
        <v>5447.87</v>
      </c>
    </row>
    <row r="16230" spans="1:2" x14ac:dyDescent="0.25">
      <c r="A16230" s="5">
        <v>45468</v>
      </c>
      <c r="B16230">
        <v>5469.3</v>
      </c>
    </row>
    <row r="16231" spans="1:2" x14ac:dyDescent="0.25">
      <c r="A16231" s="5">
        <v>45469</v>
      </c>
      <c r="B16231">
        <v>5477.9</v>
      </c>
    </row>
    <row r="16232" spans="1:2" x14ac:dyDescent="0.25">
      <c r="A16232" s="5">
        <v>45470</v>
      </c>
      <c r="B16232">
        <v>5482.87</v>
      </c>
    </row>
    <row r="16233" spans="1:2" x14ac:dyDescent="0.25">
      <c r="A16233" s="5">
        <v>45471</v>
      </c>
      <c r="B16233">
        <v>5460.48</v>
      </c>
    </row>
    <row r="16234" spans="1:2" x14ac:dyDescent="0.25">
      <c r="A16234" s="5">
        <v>45474</v>
      </c>
      <c r="B16234">
        <v>5475.09</v>
      </c>
    </row>
    <row r="16235" spans="1:2" x14ac:dyDescent="0.25">
      <c r="A16235" s="5">
        <v>45475</v>
      </c>
      <c r="B16235">
        <v>5509.01</v>
      </c>
    </row>
    <row r="16236" spans="1:2" x14ac:dyDescent="0.25">
      <c r="A16236" s="5">
        <v>45476</v>
      </c>
      <c r="B16236">
        <v>5537.02</v>
      </c>
    </row>
    <row r="16237" spans="1:2" x14ac:dyDescent="0.25">
      <c r="A16237" s="5">
        <v>45478</v>
      </c>
      <c r="B16237">
        <v>5567.19</v>
      </c>
    </row>
    <row r="16238" spans="1:2" x14ac:dyDescent="0.25">
      <c r="A16238" s="5">
        <v>45481</v>
      </c>
      <c r="B16238">
        <v>5572.85</v>
      </c>
    </row>
    <row r="16239" spans="1:2" x14ac:dyDescent="0.25">
      <c r="A16239" s="5">
        <v>45482</v>
      </c>
      <c r="B16239">
        <v>5576.98</v>
      </c>
    </row>
    <row r="16240" spans="1:2" x14ac:dyDescent="0.25">
      <c r="A16240" s="5">
        <v>45483</v>
      </c>
      <c r="B16240">
        <v>5633.91</v>
      </c>
    </row>
    <row r="16241" spans="1:2" x14ac:dyDescent="0.25">
      <c r="A16241" s="5">
        <v>45484</v>
      </c>
      <c r="B16241">
        <v>5584.54</v>
      </c>
    </row>
    <row r="16242" spans="1:2" x14ac:dyDescent="0.25">
      <c r="A16242" s="5">
        <v>45485</v>
      </c>
      <c r="B16242">
        <v>5615.35</v>
      </c>
    </row>
    <row r="16243" spans="1:2" x14ac:dyDescent="0.25">
      <c r="A16243" s="5">
        <v>45488</v>
      </c>
      <c r="B16243">
        <v>5631.22</v>
      </c>
    </row>
    <row r="16244" spans="1:2" x14ac:dyDescent="0.25">
      <c r="A16244" s="5">
        <v>45489</v>
      </c>
      <c r="B16244">
        <v>5667.2</v>
      </c>
    </row>
    <row r="16245" spans="1:2" x14ac:dyDescent="0.25">
      <c r="A16245" s="5">
        <v>45490</v>
      </c>
      <c r="B16245">
        <v>5588.27</v>
      </c>
    </row>
    <row r="16246" spans="1:2" x14ac:dyDescent="0.25">
      <c r="A16246" s="5">
        <v>45491</v>
      </c>
      <c r="B16246">
        <v>5544.59</v>
      </c>
    </row>
    <row r="16247" spans="1:2" x14ac:dyDescent="0.25">
      <c r="A16247" s="5">
        <v>45492</v>
      </c>
      <c r="B16247">
        <v>5505</v>
      </c>
    </row>
    <row r="16248" spans="1:2" x14ac:dyDescent="0.25">
      <c r="A16248" s="5">
        <v>45495</v>
      </c>
      <c r="B16248">
        <v>5564.41</v>
      </c>
    </row>
    <row r="16249" spans="1:2" x14ac:dyDescent="0.25">
      <c r="A16249" s="5">
        <v>45496</v>
      </c>
      <c r="B16249">
        <v>5555.74</v>
      </c>
    </row>
    <row r="16250" spans="1:2" x14ac:dyDescent="0.25">
      <c r="A16250" s="5">
        <v>45497</v>
      </c>
      <c r="B16250">
        <v>5427.13</v>
      </c>
    </row>
    <row r="16251" spans="1:2" x14ac:dyDescent="0.25">
      <c r="A16251" s="5">
        <v>45498</v>
      </c>
      <c r="B16251">
        <v>5399.22</v>
      </c>
    </row>
    <row r="16252" spans="1:2" x14ac:dyDescent="0.25">
      <c r="A16252" s="5">
        <v>45499</v>
      </c>
      <c r="B16252">
        <v>5459.1</v>
      </c>
    </row>
    <row r="16253" spans="1:2" x14ac:dyDescent="0.25">
      <c r="A16253" s="5">
        <v>45502</v>
      </c>
      <c r="B16253">
        <v>5463.54</v>
      </c>
    </row>
    <row r="16254" spans="1:2" x14ac:dyDescent="0.25">
      <c r="A16254" s="5">
        <v>45503</v>
      </c>
      <c r="B16254">
        <v>5436.44</v>
      </c>
    </row>
    <row r="16255" spans="1:2" x14ac:dyDescent="0.25">
      <c r="A16255" s="5">
        <v>45504</v>
      </c>
      <c r="B16255">
        <v>5522.3</v>
      </c>
    </row>
    <row r="16256" spans="1:2" x14ac:dyDescent="0.25">
      <c r="A16256" s="5">
        <v>45505</v>
      </c>
      <c r="B16256">
        <v>5446.68</v>
      </c>
    </row>
    <row r="16257" spans="1:2" x14ac:dyDescent="0.25">
      <c r="A16257" s="5">
        <v>45506</v>
      </c>
      <c r="B16257">
        <v>5346.56</v>
      </c>
    </row>
    <row r="16258" spans="1:2" x14ac:dyDescent="0.25">
      <c r="A16258" s="5">
        <v>45509</v>
      </c>
      <c r="B16258">
        <v>5186.33</v>
      </c>
    </row>
    <row r="16259" spans="1:2" x14ac:dyDescent="0.25">
      <c r="A16259" s="5">
        <v>45510</v>
      </c>
      <c r="B16259">
        <v>5240.03</v>
      </c>
    </row>
    <row r="16260" spans="1:2" x14ac:dyDescent="0.25">
      <c r="A16260" s="5">
        <v>45511</v>
      </c>
      <c r="B16260">
        <v>5199.5</v>
      </c>
    </row>
    <row r="16261" spans="1:2" x14ac:dyDescent="0.25">
      <c r="A16261" s="5">
        <v>45512</v>
      </c>
      <c r="B16261">
        <v>5319.31</v>
      </c>
    </row>
    <row r="16262" spans="1:2" x14ac:dyDescent="0.25">
      <c r="A16262" s="5">
        <v>45513</v>
      </c>
      <c r="B16262">
        <v>5344.16</v>
      </c>
    </row>
    <row r="16263" spans="1:2" x14ac:dyDescent="0.25">
      <c r="A16263" s="5">
        <v>45516</v>
      </c>
      <c r="B16263">
        <v>5344.39</v>
      </c>
    </row>
    <row r="16264" spans="1:2" x14ac:dyDescent="0.25">
      <c r="A16264" s="5">
        <v>45517</v>
      </c>
      <c r="B16264">
        <v>5434.43</v>
      </c>
    </row>
    <row r="16265" spans="1:2" x14ac:dyDescent="0.25">
      <c r="A16265" s="5">
        <v>45518</v>
      </c>
      <c r="B16265">
        <v>5455.21</v>
      </c>
    </row>
    <row r="16266" spans="1:2" x14ac:dyDescent="0.25">
      <c r="A16266" s="5">
        <v>45519</v>
      </c>
      <c r="B16266">
        <v>5543.22</v>
      </c>
    </row>
    <row r="16267" spans="1:2" x14ac:dyDescent="0.25">
      <c r="A16267" s="5">
        <v>45520</v>
      </c>
      <c r="B16267">
        <v>5554.25</v>
      </c>
    </row>
    <row r="16268" spans="1:2" x14ac:dyDescent="0.25">
      <c r="A16268" s="5">
        <v>45523</v>
      </c>
      <c r="B16268">
        <v>5608.25</v>
      </c>
    </row>
    <row r="16269" spans="1:2" x14ac:dyDescent="0.25">
      <c r="A16269" s="5">
        <v>45524</v>
      </c>
      <c r="B16269">
        <v>5597.12</v>
      </c>
    </row>
    <row r="16270" spans="1:2" x14ac:dyDescent="0.25">
      <c r="A16270" s="5">
        <v>45525</v>
      </c>
      <c r="B16270">
        <v>5620.85</v>
      </c>
    </row>
    <row r="16271" spans="1:2" x14ac:dyDescent="0.25">
      <c r="A16271" s="5">
        <v>45526</v>
      </c>
      <c r="B16271">
        <v>5570.64</v>
      </c>
    </row>
    <row r="16272" spans="1:2" x14ac:dyDescent="0.25">
      <c r="A16272" s="5">
        <v>45527</v>
      </c>
      <c r="B16272">
        <v>5634.61</v>
      </c>
    </row>
    <row r="16273" spans="1:2" x14ac:dyDescent="0.25">
      <c r="A16273" s="5">
        <v>45530</v>
      </c>
      <c r="B16273">
        <v>5616.84</v>
      </c>
    </row>
    <row r="16274" spans="1:2" x14ac:dyDescent="0.25">
      <c r="A16274" s="5">
        <v>45531</v>
      </c>
      <c r="B16274">
        <v>5625.8</v>
      </c>
    </row>
    <row r="16275" spans="1:2" x14ac:dyDescent="0.25">
      <c r="A16275" s="5">
        <v>45532</v>
      </c>
      <c r="B16275">
        <v>5592.18</v>
      </c>
    </row>
    <row r="16276" spans="1:2" x14ac:dyDescent="0.25">
      <c r="A16276" s="5">
        <v>45533</v>
      </c>
      <c r="B16276">
        <v>5591.96</v>
      </c>
    </row>
    <row r="16277" spans="1:2" x14ac:dyDescent="0.25">
      <c r="A16277" s="5">
        <v>45534</v>
      </c>
      <c r="B16277">
        <v>5648.4</v>
      </c>
    </row>
    <row r="16278" spans="1:2" x14ac:dyDescent="0.25">
      <c r="A16278" s="5">
        <v>45538</v>
      </c>
      <c r="B16278">
        <v>5528.93</v>
      </c>
    </row>
    <row r="16279" spans="1:2" x14ac:dyDescent="0.25">
      <c r="A16279" s="5">
        <v>45539</v>
      </c>
      <c r="B16279">
        <v>5520.07</v>
      </c>
    </row>
    <row r="16280" spans="1:2" x14ac:dyDescent="0.25">
      <c r="A16280" s="5">
        <v>45540</v>
      </c>
      <c r="B16280">
        <v>5503.41</v>
      </c>
    </row>
    <row r="16281" spans="1:2" x14ac:dyDescent="0.25">
      <c r="A16281" s="5">
        <v>45541</v>
      </c>
      <c r="B16281">
        <v>5408.42</v>
      </c>
    </row>
    <row r="16282" spans="1:2" x14ac:dyDescent="0.25">
      <c r="A16282" s="5">
        <v>45544</v>
      </c>
      <c r="B16282">
        <v>5471.05</v>
      </c>
    </row>
    <row r="16283" spans="1:2" x14ac:dyDescent="0.25">
      <c r="A16283" s="5">
        <v>45545</v>
      </c>
      <c r="B16283">
        <v>5495.52</v>
      </c>
    </row>
    <row r="16284" spans="1:2" x14ac:dyDescent="0.25">
      <c r="A16284" s="5">
        <v>45546</v>
      </c>
      <c r="B16284">
        <v>5554.13</v>
      </c>
    </row>
    <row r="16285" spans="1:2" x14ac:dyDescent="0.25">
      <c r="A16285" s="5">
        <v>45547</v>
      </c>
      <c r="B16285">
        <v>5595.76</v>
      </c>
    </row>
    <row r="16286" spans="1:2" x14ac:dyDescent="0.25">
      <c r="A16286" s="5">
        <v>45548</v>
      </c>
      <c r="B16286">
        <v>5626.02</v>
      </c>
    </row>
    <row r="16287" spans="1:2" x14ac:dyDescent="0.25">
      <c r="A16287" s="5">
        <v>45551</v>
      </c>
      <c r="B16287">
        <v>5633.09</v>
      </c>
    </row>
    <row r="16288" spans="1:2" x14ac:dyDescent="0.25">
      <c r="A16288" s="5">
        <v>45552</v>
      </c>
      <c r="B16288">
        <v>5634.58</v>
      </c>
    </row>
    <row r="16289" spans="1:2" x14ac:dyDescent="0.25">
      <c r="A16289" s="5">
        <v>45553</v>
      </c>
      <c r="B16289">
        <v>5618.26</v>
      </c>
    </row>
    <row r="16290" spans="1:2" x14ac:dyDescent="0.25">
      <c r="A16290" s="5">
        <v>45554</v>
      </c>
      <c r="B16290">
        <v>5713.64</v>
      </c>
    </row>
    <row r="16291" spans="1:2" x14ac:dyDescent="0.25">
      <c r="A16291" s="5">
        <v>45555</v>
      </c>
      <c r="B16291">
        <v>5702.55</v>
      </c>
    </row>
    <row r="16292" spans="1:2" x14ac:dyDescent="0.25">
      <c r="A16292" s="5">
        <v>45558</v>
      </c>
      <c r="B16292">
        <v>5718.57</v>
      </c>
    </row>
    <row r="16293" spans="1:2" x14ac:dyDescent="0.25">
      <c r="A16293" s="5">
        <v>45559</v>
      </c>
      <c r="B16293">
        <v>5732.93</v>
      </c>
    </row>
    <row r="16294" spans="1:2" x14ac:dyDescent="0.25">
      <c r="A16294" s="5">
        <v>45560</v>
      </c>
      <c r="B16294">
        <v>5722.26</v>
      </c>
    </row>
    <row r="16295" spans="1:2" x14ac:dyDescent="0.25">
      <c r="A16295" s="5">
        <v>45561</v>
      </c>
      <c r="B16295">
        <v>5745.37</v>
      </c>
    </row>
    <row r="16296" spans="1:2" x14ac:dyDescent="0.25">
      <c r="A16296" s="5">
        <v>45562</v>
      </c>
      <c r="B16296">
        <v>5738.17</v>
      </c>
    </row>
    <row r="16297" spans="1:2" x14ac:dyDescent="0.25">
      <c r="A16297" s="5">
        <v>45565</v>
      </c>
      <c r="B16297">
        <v>5762.48</v>
      </c>
    </row>
    <row r="16298" spans="1:2" x14ac:dyDescent="0.25">
      <c r="A16298" s="5">
        <v>45566</v>
      </c>
      <c r="B16298">
        <v>5708.75</v>
      </c>
    </row>
    <row r="16299" spans="1:2" x14ac:dyDescent="0.25">
      <c r="A16299" s="5">
        <v>45567</v>
      </c>
      <c r="B16299">
        <v>5709.54</v>
      </c>
    </row>
    <row r="16300" spans="1:2" x14ac:dyDescent="0.25">
      <c r="A16300" s="5">
        <v>45568</v>
      </c>
      <c r="B16300">
        <v>5699.94</v>
      </c>
    </row>
    <row r="16301" spans="1:2" x14ac:dyDescent="0.25">
      <c r="A16301" s="5">
        <v>45569</v>
      </c>
      <c r="B16301">
        <v>5751.07</v>
      </c>
    </row>
    <row r="16302" spans="1:2" x14ac:dyDescent="0.25">
      <c r="A16302" s="5">
        <v>45572</v>
      </c>
      <c r="B16302">
        <v>5695.94</v>
      </c>
    </row>
    <row r="16303" spans="1:2" x14ac:dyDescent="0.25">
      <c r="A16303" s="5">
        <v>45573</v>
      </c>
      <c r="B16303">
        <v>5751.13</v>
      </c>
    </row>
    <row r="16304" spans="1:2" x14ac:dyDescent="0.25">
      <c r="A16304" s="5">
        <v>45574</v>
      </c>
      <c r="B16304">
        <v>5792.04</v>
      </c>
    </row>
    <row r="16305" spans="1:2" x14ac:dyDescent="0.25">
      <c r="A16305" s="5">
        <v>45575</v>
      </c>
      <c r="B16305">
        <v>5780.05</v>
      </c>
    </row>
    <row r="16306" spans="1:2" x14ac:dyDescent="0.25">
      <c r="A16306" s="5">
        <v>45576</v>
      </c>
      <c r="B16306">
        <v>5815.03</v>
      </c>
    </row>
    <row r="16307" spans="1:2" x14ac:dyDescent="0.25">
      <c r="A16307" s="5">
        <v>45579</v>
      </c>
      <c r="B16307">
        <v>5859.85</v>
      </c>
    </row>
    <row r="16308" spans="1:2" x14ac:dyDescent="0.25">
      <c r="A16308" s="5">
        <v>45580</v>
      </c>
      <c r="B16308">
        <v>5815.26</v>
      </c>
    </row>
    <row r="16309" spans="1:2" x14ac:dyDescent="0.25">
      <c r="A16309" s="5">
        <v>45581</v>
      </c>
      <c r="B16309">
        <v>5842.47</v>
      </c>
    </row>
    <row r="16310" spans="1:2" x14ac:dyDescent="0.25">
      <c r="A16310" s="5">
        <v>45582</v>
      </c>
      <c r="B16310">
        <v>5841.47</v>
      </c>
    </row>
    <row r="16311" spans="1:2" x14ac:dyDescent="0.25">
      <c r="A16311" s="5">
        <v>45583</v>
      </c>
      <c r="B16311">
        <v>5864.67</v>
      </c>
    </row>
    <row r="16312" spans="1:2" x14ac:dyDescent="0.25">
      <c r="A16312" s="5">
        <v>45586</v>
      </c>
      <c r="B16312">
        <v>5853.98</v>
      </c>
    </row>
    <row r="16313" spans="1:2" x14ac:dyDescent="0.25">
      <c r="A16313" s="5">
        <v>45587</v>
      </c>
      <c r="B16313">
        <v>5851.2</v>
      </c>
    </row>
    <row r="16314" spans="1:2" x14ac:dyDescent="0.25">
      <c r="A16314" s="5">
        <v>45588</v>
      </c>
      <c r="B16314">
        <v>5797.42</v>
      </c>
    </row>
    <row r="16315" spans="1:2" x14ac:dyDescent="0.25">
      <c r="A16315" s="5">
        <v>45589</v>
      </c>
      <c r="B16315">
        <v>5809.86</v>
      </c>
    </row>
    <row r="16316" spans="1:2" x14ac:dyDescent="0.25">
      <c r="A16316" s="5">
        <v>45590</v>
      </c>
      <c r="B16316">
        <v>5808.12</v>
      </c>
    </row>
    <row r="16317" spans="1:2" x14ac:dyDescent="0.25">
      <c r="A16317" s="5">
        <v>45593</v>
      </c>
      <c r="B16317">
        <v>5823.52</v>
      </c>
    </row>
    <row r="16318" spans="1:2" x14ac:dyDescent="0.25">
      <c r="A16318" s="5">
        <v>45594</v>
      </c>
      <c r="B16318">
        <v>5832.92</v>
      </c>
    </row>
    <row r="16319" spans="1:2" x14ac:dyDescent="0.25">
      <c r="A16319" s="5">
        <v>45595</v>
      </c>
      <c r="B16319">
        <v>5813.67</v>
      </c>
    </row>
    <row r="16320" spans="1:2" x14ac:dyDescent="0.25">
      <c r="A16320" s="5">
        <v>45596</v>
      </c>
      <c r="B16320">
        <v>5705.45</v>
      </c>
    </row>
    <row r="16321" spans="1:2" x14ac:dyDescent="0.25">
      <c r="A16321" s="5">
        <v>45597</v>
      </c>
      <c r="B16321">
        <v>5728.8</v>
      </c>
    </row>
    <row r="16322" spans="1:2" x14ac:dyDescent="0.25">
      <c r="A16322" s="5">
        <v>45600</v>
      </c>
      <c r="B16322">
        <v>5712.69</v>
      </c>
    </row>
    <row r="16323" spans="1:2" x14ac:dyDescent="0.25">
      <c r="A16323" s="5">
        <v>45601</v>
      </c>
      <c r="B16323">
        <v>5782.76</v>
      </c>
    </row>
    <row r="16324" spans="1:2" x14ac:dyDescent="0.25">
      <c r="A16324" s="5">
        <v>45602</v>
      </c>
      <c r="B16324">
        <v>5929.04</v>
      </c>
    </row>
    <row r="16325" spans="1:2" x14ac:dyDescent="0.25">
      <c r="A16325" s="5">
        <v>45603</v>
      </c>
      <c r="B16325">
        <v>5973.1</v>
      </c>
    </row>
    <row r="16326" spans="1:2" x14ac:dyDescent="0.25">
      <c r="A16326" s="5">
        <v>45604</v>
      </c>
      <c r="B16326">
        <v>5995.54</v>
      </c>
    </row>
    <row r="16327" spans="1:2" x14ac:dyDescent="0.25">
      <c r="A16327" s="5">
        <v>45607</v>
      </c>
      <c r="B16327">
        <v>6001.35</v>
      </c>
    </row>
    <row r="16328" spans="1:2" x14ac:dyDescent="0.25">
      <c r="A16328" s="5">
        <v>45608</v>
      </c>
      <c r="B16328">
        <v>5983.99</v>
      </c>
    </row>
    <row r="16329" spans="1:2" x14ac:dyDescent="0.25">
      <c r="A16329" s="5">
        <v>45609</v>
      </c>
      <c r="B16329">
        <v>5985.38</v>
      </c>
    </row>
    <row r="16330" spans="1:2" x14ac:dyDescent="0.25">
      <c r="A16330" s="5">
        <v>45610</v>
      </c>
      <c r="B16330">
        <v>5949.17</v>
      </c>
    </row>
    <row r="16331" spans="1:2" x14ac:dyDescent="0.25">
      <c r="A16331" s="5">
        <v>45611</v>
      </c>
      <c r="B16331">
        <v>5870.62</v>
      </c>
    </row>
    <row r="16332" spans="1:2" x14ac:dyDescent="0.25">
      <c r="A16332" s="5">
        <v>45614</v>
      </c>
      <c r="B16332">
        <v>5893.62</v>
      </c>
    </row>
    <row r="16333" spans="1:2" x14ac:dyDescent="0.25">
      <c r="A16333" s="5">
        <v>45615</v>
      </c>
      <c r="B16333">
        <v>5916.98</v>
      </c>
    </row>
    <row r="16334" spans="1:2" x14ac:dyDescent="0.25">
      <c r="A16334" s="5">
        <v>45616</v>
      </c>
      <c r="B16334">
        <v>5917.11</v>
      </c>
    </row>
    <row r="16335" spans="1:2" x14ac:dyDescent="0.25">
      <c r="A16335" s="5">
        <v>45617</v>
      </c>
      <c r="B16335">
        <v>5948.71</v>
      </c>
    </row>
    <row r="16336" spans="1:2" x14ac:dyDescent="0.25">
      <c r="A16336" s="5">
        <v>45618</v>
      </c>
      <c r="B16336">
        <v>5969.34</v>
      </c>
    </row>
    <row r="16337" spans="1:2" x14ac:dyDescent="0.25">
      <c r="A16337" s="5">
        <v>45621</v>
      </c>
      <c r="B16337">
        <v>5987.37</v>
      </c>
    </row>
    <row r="16338" spans="1:2" x14ac:dyDescent="0.25">
      <c r="A16338" s="5">
        <v>45622</v>
      </c>
      <c r="B16338">
        <v>6021.63</v>
      </c>
    </row>
    <row r="16339" spans="1:2" x14ac:dyDescent="0.25">
      <c r="A16339" s="5">
        <v>45623</v>
      </c>
      <c r="B16339">
        <v>5998.74</v>
      </c>
    </row>
    <row r="16340" spans="1:2" x14ac:dyDescent="0.25">
      <c r="A16340" s="5">
        <v>45625</v>
      </c>
      <c r="B16340">
        <v>6032.38</v>
      </c>
    </row>
    <row r="16341" spans="1:2" x14ac:dyDescent="0.25">
      <c r="A16341" s="5">
        <v>45628</v>
      </c>
      <c r="B16341">
        <v>6047.15</v>
      </c>
    </row>
    <row r="16342" spans="1:2" x14ac:dyDescent="0.25">
      <c r="A16342" s="5">
        <v>45629</v>
      </c>
      <c r="B16342">
        <v>6049.88</v>
      </c>
    </row>
    <row r="16343" spans="1:2" x14ac:dyDescent="0.25">
      <c r="A16343" s="5">
        <v>45630</v>
      </c>
      <c r="B16343">
        <v>6086.49</v>
      </c>
    </row>
    <row r="16344" spans="1:2" x14ac:dyDescent="0.25">
      <c r="A16344" s="5">
        <v>45631</v>
      </c>
      <c r="B16344">
        <v>6075.11</v>
      </c>
    </row>
    <row r="16345" spans="1:2" x14ac:dyDescent="0.25">
      <c r="A16345" s="5">
        <v>45632</v>
      </c>
      <c r="B16345">
        <v>6090.27</v>
      </c>
    </row>
    <row r="16346" spans="1:2" x14ac:dyDescent="0.25">
      <c r="A16346" s="5">
        <v>45635</v>
      </c>
      <c r="B16346">
        <v>6052.85</v>
      </c>
    </row>
    <row r="16347" spans="1:2" x14ac:dyDescent="0.25">
      <c r="A16347" s="5">
        <v>45636</v>
      </c>
      <c r="B16347">
        <v>6034.91</v>
      </c>
    </row>
    <row r="16348" spans="1:2" x14ac:dyDescent="0.25">
      <c r="A16348" s="5">
        <v>45637</v>
      </c>
      <c r="B16348">
        <v>6084.19</v>
      </c>
    </row>
    <row r="16349" spans="1:2" x14ac:dyDescent="0.25">
      <c r="A16349" s="5">
        <v>45638</v>
      </c>
      <c r="B16349">
        <v>6051.25</v>
      </c>
    </row>
    <row r="16350" spans="1:2" x14ac:dyDescent="0.25">
      <c r="A16350" s="5">
        <v>45639</v>
      </c>
      <c r="B16350">
        <v>6051.09</v>
      </c>
    </row>
    <row r="16351" spans="1:2" x14ac:dyDescent="0.25">
      <c r="A16351" s="5">
        <v>45642</v>
      </c>
      <c r="B16351">
        <v>6074.08</v>
      </c>
    </row>
    <row r="16352" spans="1:2" x14ac:dyDescent="0.25">
      <c r="A16352" s="5">
        <v>45643</v>
      </c>
      <c r="B16352">
        <v>6050.61</v>
      </c>
    </row>
    <row r="16353" spans="1:2" x14ac:dyDescent="0.25">
      <c r="A16353" s="5">
        <v>45644</v>
      </c>
      <c r="B16353">
        <v>5872.16</v>
      </c>
    </row>
    <row r="16354" spans="1:2" x14ac:dyDescent="0.25">
      <c r="A16354" s="5">
        <v>45645</v>
      </c>
      <c r="B16354">
        <v>5867.08</v>
      </c>
    </row>
    <row r="16355" spans="1:2" x14ac:dyDescent="0.25">
      <c r="A16355" s="5">
        <v>45646</v>
      </c>
      <c r="B16355">
        <v>5930.85</v>
      </c>
    </row>
    <row r="16356" spans="1:2" x14ac:dyDescent="0.25">
      <c r="A16356" s="5">
        <v>45649</v>
      </c>
      <c r="B16356">
        <v>5974.07</v>
      </c>
    </row>
    <row r="16357" spans="1:2" x14ac:dyDescent="0.25">
      <c r="A16357" s="5">
        <v>45650</v>
      </c>
      <c r="B16357">
        <v>6040.04</v>
      </c>
    </row>
    <row r="16358" spans="1:2" x14ac:dyDescent="0.25">
      <c r="A16358" s="5">
        <v>45652</v>
      </c>
      <c r="B16358">
        <v>6037.59</v>
      </c>
    </row>
    <row r="16359" spans="1:2" x14ac:dyDescent="0.25">
      <c r="A16359" s="5">
        <v>45653</v>
      </c>
      <c r="B16359">
        <v>5970.84</v>
      </c>
    </row>
    <row r="16360" spans="1:2" x14ac:dyDescent="0.25">
      <c r="A16360" s="5">
        <v>45656</v>
      </c>
      <c r="B16360">
        <v>5906.94</v>
      </c>
    </row>
    <row r="16361" spans="1:2" x14ac:dyDescent="0.25">
      <c r="A16361" s="5">
        <v>45657</v>
      </c>
      <c r="B16361">
        <v>5881.63</v>
      </c>
    </row>
    <row r="16362" spans="1:2" x14ac:dyDescent="0.25">
      <c r="A16362" s="5">
        <v>45659</v>
      </c>
      <c r="B16362">
        <v>5868.55</v>
      </c>
    </row>
    <row r="16363" spans="1:2" x14ac:dyDescent="0.25">
      <c r="A16363" s="5">
        <v>45660</v>
      </c>
      <c r="B16363">
        <v>5942.47</v>
      </c>
    </row>
    <row r="16364" spans="1:2" x14ac:dyDescent="0.25">
      <c r="A16364" s="5">
        <v>45663</v>
      </c>
      <c r="B16364">
        <v>5975.38</v>
      </c>
    </row>
    <row r="16365" spans="1:2" x14ac:dyDescent="0.25">
      <c r="A16365" s="5">
        <v>45664</v>
      </c>
      <c r="B16365">
        <v>5909.03</v>
      </c>
    </row>
    <row r="16366" spans="1:2" x14ac:dyDescent="0.25">
      <c r="A16366" s="5">
        <v>45665</v>
      </c>
      <c r="B16366">
        <v>5918.25</v>
      </c>
    </row>
    <row r="16367" spans="1:2" x14ac:dyDescent="0.25">
      <c r="A16367" s="5">
        <v>45667</v>
      </c>
      <c r="B16367">
        <v>5827.04</v>
      </c>
    </row>
    <row r="16368" spans="1:2" x14ac:dyDescent="0.25">
      <c r="A16368" s="5">
        <v>45670</v>
      </c>
      <c r="B16368">
        <v>5836.22</v>
      </c>
    </row>
    <row r="16369" spans="1:2" x14ac:dyDescent="0.25">
      <c r="A16369" s="5">
        <v>45671</v>
      </c>
      <c r="B16369">
        <v>5842.91</v>
      </c>
    </row>
    <row r="16370" spans="1:2" x14ac:dyDescent="0.25">
      <c r="A16370" s="5">
        <v>45672</v>
      </c>
      <c r="B16370">
        <v>5949.91</v>
      </c>
    </row>
    <row r="16371" spans="1:2" x14ac:dyDescent="0.25">
      <c r="A16371" s="5">
        <v>45673</v>
      </c>
      <c r="B16371">
        <v>5937.34</v>
      </c>
    </row>
    <row r="16372" spans="1:2" x14ac:dyDescent="0.25">
      <c r="A16372" s="5">
        <v>45674</v>
      </c>
      <c r="B16372">
        <v>5996.66</v>
      </c>
    </row>
    <row r="16373" spans="1:2" x14ac:dyDescent="0.25">
      <c r="A16373" s="5">
        <v>45678</v>
      </c>
      <c r="B16373">
        <v>6049.24</v>
      </c>
    </row>
    <row r="16374" spans="1:2" x14ac:dyDescent="0.25">
      <c r="A16374" s="5">
        <v>45679</v>
      </c>
      <c r="B16374">
        <v>6086.37</v>
      </c>
    </row>
    <row r="16375" spans="1:2" x14ac:dyDescent="0.25">
      <c r="A16375" s="5">
        <v>45680</v>
      </c>
      <c r="B16375">
        <v>6118.71</v>
      </c>
    </row>
    <row r="16376" spans="1:2" x14ac:dyDescent="0.25">
      <c r="A16376" s="5">
        <v>45681</v>
      </c>
      <c r="B16376">
        <v>6101.24</v>
      </c>
    </row>
    <row r="16377" spans="1:2" x14ac:dyDescent="0.25">
      <c r="A16377" s="5">
        <v>45684</v>
      </c>
      <c r="B16377">
        <v>6012.28</v>
      </c>
    </row>
    <row r="16378" spans="1:2" x14ac:dyDescent="0.25">
      <c r="A16378" s="5">
        <v>45685</v>
      </c>
      <c r="B16378">
        <v>6067.7</v>
      </c>
    </row>
    <row r="16379" spans="1:2" x14ac:dyDescent="0.25">
      <c r="A16379" s="5">
        <v>45686</v>
      </c>
      <c r="B16379">
        <v>6039.31</v>
      </c>
    </row>
    <row r="16380" spans="1:2" x14ac:dyDescent="0.25">
      <c r="A16380" s="5">
        <v>45687</v>
      </c>
      <c r="B16380">
        <v>6071.17</v>
      </c>
    </row>
    <row r="16381" spans="1:2" x14ac:dyDescent="0.25">
      <c r="A16381" s="5">
        <v>45688</v>
      </c>
      <c r="B16381">
        <v>6040.53</v>
      </c>
    </row>
    <row r="16382" spans="1:2" x14ac:dyDescent="0.25">
      <c r="A16382" s="5">
        <v>45691</v>
      </c>
      <c r="B16382">
        <v>5994.57</v>
      </c>
    </row>
    <row r="16383" spans="1:2" x14ac:dyDescent="0.25">
      <c r="A16383" s="5">
        <v>45692</v>
      </c>
      <c r="B16383">
        <v>6037.88</v>
      </c>
    </row>
    <row r="16384" spans="1:2" x14ac:dyDescent="0.25">
      <c r="A16384" s="5">
        <v>45693</v>
      </c>
      <c r="B16384">
        <v>6061.48</v>
      </c>
    </row>
    <row r="16385" spans="1:2" x14ac:dyDescent="0.25">
      <c r="A16385" s="5">
        <v>45694</v>
      </c>
      <c r="B16385">
        <v>6083.57</v>
      </c>
    </row>
    <row r="16386" spans="1:2" x14ac:dyDescent="0.25">
      <c r="A16386" s="5">
        <v>45695</v>
      </c>
      <c r="B16386">
        <v>6025.99</v>
      </c>
    </row>
    <row r="16387" spans="1:2" x14ac:dyDescent="0.25">
      <c r="A16387" s="5">
        <v>45698</v>
      </c>
      <c r="B16387">
        <v>6066.44</v>
      </c>
    </row>
    <row r="16388" spans="1:2" x14ac:dyDescent="0.25">
      <c r="A16388" s="5">
        <v>45699</v>
      </c>
      <c r="B16388">
        <v>6068.5</v>
      </c>
    </row>
    <row r="16389" spans="1:2" x14ac:dyDescent="0.25">
      <c r="A16389" s="5">
        <v>45700</v>
      </c>
      <c r="B16389">
        <v>6051.97</v>
      </c>
    </row>
    <row r="16390" spans="1:2" x14ac:dyDescent="0.25">
      <c r="A16390" s="5">
        <v>45701</v>
      </c>
      <c r="B16390">
        <v>6115.07</v>
      </c>
    </row>
    <row r="16391" spans="1:2" x14ac:dyDescent="0.25">
      <c r="A16391" s="5">
        <v>45702</v>
      </c>
      <c r="B16391">
        <v>6114.63</v>
      </c>
    </row>
    <row r="16392" spans="1:2" x14ac:dyDescent="0.25">
      <c r="A16392" s="5">
        <v>45706</v>
      </c>
      <c r="B16392">
        <v>6129.58</v>
      </c>
    </row>
    <row r="16393" spans="1:2" x14ac:dyDescent="0.25">
      <c r="A16393" s="5">
        <v>45707</v>
      </c>
      <c r="B16393">
        <v>6144.15</v>
      </c>
    </row>
    <row r="16394" spans="1:2" x14ac:dyDescent="0.25">
      <c r="A16394" s="5">
        <v>45708</v>
      </c>
      <c r="B16394">
        <v>6117.52</v>
      </c>
    </row>
    <row r="16395" spans="1:2" x14ac:dyDescent="0.25">
      <c r="A16395" s="5">
        <v>45709</v>
      </c>
      <c r="B16395">
        <v>6013.13</v>
      </c>
    </row>
    <row r="16396" spans="1:2" x14ac:dyDescent="0.25">
      <c r="A16396" s="5">
        <v>45712</v>
      </c>
      <c r="B16396">
        <v>5983.25</v>
      </c>
    </row>
    <row r="16397" spans="1:2" x14ac:dyDescent="0.25">
      <c r="A16397" s="5">
        <v>45713</v>
      </c>
      <c r="B16397">
        <v>5955.25</v>
      </c>
    </row>
    <row r="16398" spans="1:2" x14ac:dyDescent="0.25">
      <c r="A16398" s="5">
        <v>45714</v>
      </c>
      <c r="B16398">
        <v>5956.06</v>
      </c>
    </row>
    <row r="16399" spans="1:2" x14ac:dyDescent="0.25">
      <c r="A16399" s="5">
        <v>45715</v>
      </c>
      <c r="B16399">
        <v>5861.57</v>
      </c>
    </row>
    <row r="16400" spans="1:2" x14ac:dyDescent="0.25">
      <c r="A16400" s="5">
        <v>45716</v>
      </c>
      <c r="B16400">
        <v>5954.5</v>
      </c>
    </row>
    <row r="16401" spans="1:2" x14ac:dyDescent="0.25">
      <c r="A16401" s="5">
        <v>45719</v>
      </c>
      <c r="B16401">
        <v>5849.72</v>
      </c>
    </row>
    <row r="16402" spans="1:2" x14ac:dyDescent="0.25">
      <c r="A16402" s="5">
        <v>45720</v>
      </c>
      <c r="B16402">
        <v>5778.15</v>
      </c>
    </row>
    <row r="16403" spans="1:2" x14ac:dyDescent="0.25">
      <c r="A16403" s="5">
        <v>45721</v>
      </c>
      <c r="B16403">
        <v>5842.63</v>
      </c>
    </row>
    <row r="16404" spans="1:2" x14ac:dyDescent="0.25">
      <c r="A16404" s="5">
        <v>45722</v>
      </c>
      <c r="B16404">
        <v>5738.52</v>
      </c>
    </row>
    <row r="16405" spans="1:2" x14ac:dyDescent="0.25">
      <c r="A16405" s="5">
        <v>45723</v>
      </c>
      <c r="B16405">
        <v>5770.2</v>
      </c>
    </row>
    <row r="16406" spans="1:2" x14ac:dyDescent="0.25">
      <c r="A16406" s="5">
        <v>45726</v>
      </c>
      <c r="B16406">
        <v>5614.56</v>
      </c>
    </row>
    <row r="16407" spans="1:2" x14ac:dyDescent="0.25">
      <c r="A16407" s="5">
        <v>45727</v>
      </c>
      <c r="B16407">
        <v>5572.07</v>
      </c>
    </row>
    <row r="16408" spans="1:2" x14ac:dyDescent="0.25">
      <c r="A16408" s="5">
        <v>45728</v>
      </c>
      <c r="B16408">
        <v>5599.3</v>
      </c>
    </row>
    <row r="16409" spans="1:2" x14ac:dyDescent="0.25">
      <c r="A16409" s="5">
        <v>45729</v>
      </c>
      <c r="B16409">
        <v>5521.52</v>
      </c>
    </row>
    <row r="16410" spans="1:2" x14ac:dyDescent="0.25">
      <c r="A16410" s="5">
        <v>45730</v>
      </c>
      <c r="B16410">
        <v>5638.94</v>
      </c>
    </row>
    <row r="16411" spans="1:2" x14ac:dyDescent="0.25">
      <c r="A16411" s="5">
        <v>45733</v>
      </c>
      <c r="B16411">
        <v>5675.12</v>
      </c>
    </row>
    <row r="16412" spans="1:2" x14ac:dyDescent="0.25">
      <c r="A16412" s="5">
        <v>45734</v>
      </c>
      <c r="B16412">
        <v>5614.66</v>
      </c>
    </row>
    <row r="16413" spans="1:2" x14ac:dyDescent="0.25">
      <c r="A16413" s="5">
        <v>45735</v>
      </c>
      <c r="B16413">
        <v>5675.29</v>
      </c>
    </row>
    <row r="16414" spans="1:2" x14ac:dyDescent="0.25">
      <c r="A16414" s="5">
        <v>45736</v>
      </c>
      <c r="B16414">
        <v>5662.89</v>
      </c>
    </row>
    <row r="16415" spans="1:2" x14ac:dyDescent="0.25">
      <c r="A16415" s="5">
        <v>45737</v>
      </c>
      <c r="B16415">
        <v>5667.56</v>
      </c>
    </row>
    <row r="16416" spans="1:2" x14ac:dyDescent="0.25">
      <c r="A16416" s="5">
        <v>45740</v>
      </c>
      <c r="B16416">
        <v>5767.57</v>
      </c>
    </row>
    <row r="16417" spans="1:2" x14ac:dyDescent="0.25">
      <c r="A16417" s="5">
        <v>45741</v>
      </c>
      <c r="B16417">
        <v>5776.65</v>
      </c>
    </row>
    <row r="16418" spans="1:2" x14ac:dyDescent="0.25">
      <c r="A16418" s="5">
        <v>45742</v>
      </c>
      <c r="B16418">
        <v>5712.2</v>
      </c>
    </row>
    <row r="16419" spans="1:2" x14ac:dyDescent="0.25">
      <c r="A16419" s="5">
        <v>45743</v>
      </c>
      <c r="B16419">
        <v>5693.31</v>
      </c>
    </row>
    <row r="16420" spans="1:2" x14ac:dyDescent="0.25">
      <c r="A16420" s="5">
        <v>45744</v>
      </c>
      <c r="B16420">
        <v>5580.94</v>
      </c>
    </row>
    <row r="16421" spans="1:2" x14ac:dyDescent="0.25">
      <c r="A16421" s="5">
        <v>45747</v>
      </c>
      <c r="B16421">
        <v>5611.85</v>
      </c>
    </row>
    <row r="16422" spans="1:2" x14ac:dyDescent="0.25">
      <c r="A16422" s="5">
        <v>45748</v>
      </c>
      <c r="B16422">
        <v>5633.07</v>
      </c>
    </row>
    <row r="16423" spans="1:2" x14ac:dyDescent="0.25">
      <c r="A16423" s="5">
        <v>45749</v>
      </c>
      <c r="B16423">
        <v>5670.97</v>
      </c>
    </row>
    <row r="16424" spans="1:2" x14ac:dyDescent="0.25">
      <c r="A16424" s="5">
        <v>45750</v>
      </c>
      <c r="B16424">
        <v>5396.52</v>
      </c>
    </row>
    <row r="16425" spans="1:2" x14ac:dyDescent="0.25">
      <c r="A16425" s="5">
        <v>45751</v>
      </c>
      <c r="B16425">
        <v>5074.08</v>
      </c>
    </row>
    <row r="16426" spans="1:2" x14ac:dyDescent="0.25">
      <c r="A16426" s="5">
        <v>45754</v>
      </c>
      <c r="B16426">
        <v>5062.25</v>
      </c>
    </row>
    <row r="16427" spans="1:2" x14ac:dyDescent="0.25">
      <c r="A16427" s="5">
        <v>45755</v>
      </c>
      <c r="B16427">
        <v>4982.7700000000004</v>
      </c>
    </row>
    <row r="16428" spans="1:2" x14ac:dyDescent="0.25">
      <c r="A16428" s="5">
        <v>45756</v>
      </c>
      <c r="B16428">
        <v>5456.9</v>
      </c>
    </row>
    <row r="16429" spans="1:2" x14ac:dyDescent="0.25">
      <c r="A16429" s="5">
        <v>45757</v>
      </c>
      <c r="B16429">
        <v>5268.05</v>
      </c>
    </row>
    <row r="16430" spans="1:2" x14ac:dyDescent="0.25">
      <c r="A16430" s="5">
        <v>45758</v>
      </c>
      <c r="B16430">
        <v>5363.36</v>
      </c>
    </row>
    <row r="16431" spans="1:2" x14ac:dyDescent="0.25">
      <c r="A16431" s="5">
        <v>45761</v>
      </c>
      <c r="B16431">
        <v>5405.97</v>
      </c>
    </row>
    <row r="16432" spans="1:2" x14ac:dyDescent="0.25">
      <c r="A16432" s="5">
        <v>45762</v>
      </c>
      <c r="B16432">
        <v>5396.63</v>
      </c>
    </row>
    <row r="16433" spans="1:2" x14ac:dyDescent="0.25">
      <c r="A16433" s="5">
        <v>45763</v>
      </c>
      <c r="B16433">
        <v>5275.7</v>
      </c>
    </row>
    <row r="16434" spans="1:2" x14ac:dyDescent="0.25">
      <c r="A16434" s="5">
        <v>45764</v>
      </c>
      <c r="B16434">
        <v>5282.7</v>
      </c>
    </row>
    <row r="16435" spans="1:2" x14ac:dyDescent="0.25">
      <c r="A16435" s="5">
        <v>45768</v>
      </c>
      <c r="B16435">
        <v>5158.2</v>
      </c>
    </row>
    <row r="16436" spans="1:2" x14ac:dyDescent="0.25">
      <c r="A16436" s="5">
        <v>45769</v>
      </c>
      <c r="B16436">
        <v>5287.76</v>
      </c>
    </row>
    <row r="16437" spans="1:2" x14ac:dyDescent="0.25">
      <c r="A16437" s="5">
        <v>45770</v>
      </c>
      <c r="B16437">
        <v>5375.86</v>
      </c>
    </row>
    <row r="16438" spans="1:2" x14ac:dyDescent="0.25">
      <c r="A16438" s="5">
        <v>45771</v>
      </c>
      <c r="B16438">
        <v>5484.77</v>
      </c>
    </row>
    <row r="16439" spans="1:2" x14ac:dyDescent="0.25">
      <c r="A16439" s="5">
        <v>45772</v>
      </c>
      <c r="B16439">
        <v>5525.21</v>
      </c>
    </row>
    <row r="16440" spans="1:2" x14ac:dyDescent="0.25">
      <c r="A16440" s="5">
        <v>45775</v>
      </c>
      <c r="B16440">
        <v>5528.75</v>
      </c>
    </row>
    <row r="16441" spans="1:2" x14ac:dyDescent="0.25">
      <c r="A16441" s="5">
        <v>45776</v>
      </c>
      <c r="B16441">
        <v>5560.83</v>
      </c>
    </row>
    <row r="16442" spans="1:2" x14ac:dyDescent="0.25">
      <c r="A16442" s="5">
        <v>45777</v>
      </c>
      <c r="B16442">
        <v>5569.06</v>
      </c>
    </row>
    <row r="16443" spans="1:2" x14ac:dyDescent="0.25">
      <c r="A16443" s="5">
        <v>45778</v>
      </c>
      <c r="B16443">
        <v>5604.14</v>
      </c>
    </row>
    <row r="16444" spans="1:2" x14ac:dyDescent="0.25">
      <c r="A16444" s="5">
        <v>45779</v>
      </c>
      <c r="B16444">
        <v>5686.67</v>
      </c>
    </row>
    <row r="16445" spans="1:2" x14ac:dyDescent="0.25">
      <c r="A16445" s="5">
        <v>45782</v>
      </c>
      <c r="B16445">
        <v>5650.38</v>
      </c>
    </row>
    <row r="16446" spans="1:2" x14ac:dyDescent="0.25">
      <c r="A16446" s="5">
        <v>45783</v>
      </c>
      <c r="B16446">
        <v>5606.91</v>
      </c>
    </row>
    <row r="16447" spans="1:2" x14ac:dyDescent="0.25">
      <c r="A16447" s="5">
        <v>45784</v>
      </c>
      <c r="B16447">
        <v>5631.28</v>
      </c>
    </row>
    <row r="16448" spans="1:2" x14ac:dyDescent="0.25">
      <c r="A16448" s="5">
        <v>45785</v>
      </c>
      <c r="B16448">
        <v>5663.94</v>
      </c>
    </row>
    <row r="16449" spans="1:2" x14ac:dyDescent="0.25">
      <c r="A16449" s="5">
        <v>45786</v>
      </c>
      <c r="B16449">
        <v>5659.91</v>
      </c>
    </row>
    <row r="16450" spans="1:2" x14ac:dyDescent="0.25">
      <c r="A16450" s="5">
        <v>45789</v>
      </c>
      <c r="B16450">
        <v>5844.19</v>
      </c>
    </row>
    <row r="16451" spans="1:2" x14ac:dyDescent="0.25">
      <c r="A16451" s="5">
        <v>45790</v>
      </c>
      <c r="B16451">
        <v>5886.55</v>
      </c>
    </row>
    <row r="16452" spans="1:2" x14ac:dyDescent="0.25">
      <c r="A16452" s="5">
        <v>45791</v>
      </c>
      <c r="B16452">
        <v>5892.58</v>
      </c>
    </row>
    <row r="16453" spans="1:2" x14ac:dyDescent="0.25">
      <c r="A16453" s="5">
        <v>45792</v>
      </c>
      <c r="B16453">
        <v>5916.93</v>
      </c>
    </row>
    <row r="16454" spans="1:2" x14ac:dyDescent="0.25">
      <c r="A16454" s="5">
        <v>45793</v>
      </c>
      <c r="B16454">
        <v>5958.38</v>
      </c>
    </row>
    <row r="16455" spans="1:2" x14ac:dyDescent="0.25">
      <c r="A16455" s="5">
        <v>45796</v>
      </c>
      <c r="B16455">
        <v>5963.6</v>
      </c>
    </row>
    <row r="16456" spans="1:2" x14ac:dyDescent="0.25">
      <c r="A16456" s="5">
        <v>45797</v>
      </c>
      <c r="B16456">
        <v>5940.46</v>
      </c>
    </row>
    <row r="16457" spans="1:2" x14ac:dyDescent="0.25">
      <c r="A16457" s="5">
        <v>45798</v>
      </c>
      <c r="B16457">
        <v>5844.61</v>
      </c>
    </row>
    <row r="16458" spans="1:2" x14ac:dyDescent="0.25">
      <c r="A16458" s="5">
        <v>45799</v>
      </c>
      <c r="B16458">
        <v>5842.01</v>
      </c>
    </row>
    <row r="16459" spans="1:2" x14ac:dyDescent="0.25">
      <c r="A16459" s="5">
        <v>45800</v>
      </c>
      <c r="B16459">
        <v>5802.82</v>
      </c>
    </row>
    <row r="16460" spans="1:2" x14ac:dyDescent="0.25">
      <c r="A16460" s="5">
        <v>45804</v>
      </c>
      <c r="B16460">
        <v>5921.54</v>
      </c>
    </row>
    <row r="16461" spans="1:2" x14ac:dyDescent="0.25">
      <c r="A16461" s="5">
        <v>45805</v>
      </c>
      <c r="B16461">
        <v>5888.55</v>
      </c>
    </row>
    <row r="16462" spans="1:2" x14ac:dyDescent="0.25">
      <c r="A16462" s="5">
        <v>45806</v>
      </c>
      <c r="B16462">
        <v>5912.17</v>
      </c>
    </row>
    <row r="16463" spans="1:2" x14ac:dyDescent="0.25">
      <c r="A16463" s="5">
        <v>45807</v>
      </c>
      <c r="B16463">
        <v>5911.69</v>
      </c>
    </row>
    <row r="16464" spans="1:2" x14ac:dyDescent="0.25">
      <c r="A16464" s="5">
        <v>45810</v>
      </c>
      <c r="B16464">
        <v>5935.94</v>
      </c>
    </row>
    <row r="16465" spans="1:2" x14ac:dyDescent="0.25">
      <c r="A16465" s="5">
        <v>45811</v>
      </c>
      <c r="B16465">
        <v>5970.37</v>
      </c>
    </row>
    <row r="16466" spans="1:2" x14ac:dyDescent="0.25">
      <c r="A16466" s="5">
        <v>45812</v>
      </c>
      <c r="B16466">
        <v>5970.81</v>
      </c>
    </row>
    <row r="16467" spans="1:2" x14ac:dyDescent="0.25">
      <c r="A16467" s="5">
        <v>45813</v>
      </c>
      <c r="B16467">
        <v>5939.3</v>
      </c>
    </row>
    <row r="16468" spans="1:2" x14ac:dyDescent="0.25">
      <c r="A16468" s="5">
        <v>45814</v>
      </c>
      <c r="B16468">
        <v>6000.36</v>
      </c>
    </row>
    <row r="16469" spans="1:2" x14ac:dyDescent="0.25">
      <c r="A16469" s="5">
        <v>45817</v>
      </c>
      <c r="B16469">
        <v>6005.88</v>
      </c>
    </row>
    <row r="16470" spans="1:2" x14ac:dyDescent="0.25">
      <c r="A16470" s="5">
        <v>45818</v>
      </c>
      <c r="B16470">
        <v>6038.81</v>
      </c>
    </row>
    <row r="16471" spans="1:2" x14ac:dyDescent="0.25">
      <c r="A16471" s="5">
        <v>45819</v>
      </c>
      <c r="B16471">
        <v>6022.24</v>
      </c>
    </row>
    <row r="16472" spans="1:2" x14ac:dyDescent="0.25">
      <c r="A16472" s="5">
        <v>45820</v>
      </c>
      <c r="B16472">
        <v>6045.26</v>
      </c>
    </row>
    <row r="16473" spans="1:2" x14ac:dyDescent="0.25">
      <c r="A16473" s="5">
        <v>45821</v>
      </c>
      <c r="B16473">
        <v>5976.97</v>
      </c>
    </row>
    <row r="16474" spans="1:2" x14ac:dyDescent="0.25">
      <c r="A16474" s="5">
        <v>45824</v>
      </c>
      <c r="B16474">
        <v>6033.11</v>
      </c>
    </row>
    <row r="16475" spans="1:2" x14ac:dyDescent="0.25">
      <c r="A16475" s="5">
        <v>45825</v>
      </c>
      <c r="B16475">
        <v>5982.72</v>
      </c>
    </row>
    <row r="16476" spans="1:2" x14ac:dyDescent="0.25">
      <c r="A16476" s="5">
        <v>45826</v>
      </c>
      <c r="B16476">
        <v>5980.87</v>
      </c>
    </row>
    <row r="16477" spans="1:2" x14ac:dyDescent="0.25">
      <c r="A16477" s="5">
        <v>45828</v>
      </c>
      <c r="B16477">
        <v>5967.84</v>
      </c>
    </row>
    <row r="16478" spans="1:2" x14ac:dyDescent="0.25">
      <c r="A16478" s="5">
        <v>45831</v>
      </c>
      <c r="B16478">
        <v>6025.17</v>
      </c>
    </row>
    <row r="16479" spans="1:2" x14ac:dyDescent="0.25">
      <c r="A16479" s="5">
        <v>45832</v>
      </c>
      <c r="B16479">
        <v>6092.18</v>
      </c>
    </row>
    <row r="16480" spans="1:2" x14ac:dyDescent="0.25">
      <c r="A16480" s="5">
        <v>45833</v>
      </c>
      <c r="B16480">
        <v>6092.16</v>
      </c>
    </row>
    <row r="16481" spans="1:2" x14ac:dyDescent="0.25">
      <c r="A16481" s="5">
        <v>45834</v>
      </c>
      <c r="B16481">
        <v>6141.02</v>
      </c>
    </row>
    <row r="16482" spans="1:2" x14ac:dyDescent="0.25">
      <c r="A16482" s="5">
        <v>45835</v>
      </c>
      <c r="B16482">
        <v>6173.07</v>
      </c>
    </row>
    <row r="16483" spans="1:2" x14ac:dyDescent="0.25">
      <c r="A16483" s="5">
        <v>45838</v>
      </c>
      <c r="B16483">
        <v>6204.95</v>
      </c>
    </row>
    <row r="16484" spans="1:2" x14ac:dyDescent="0.25">
      <c r="A16484" s="5">
        <v>45839</v>
      </c>
      <c r="B16484">
        <v>6198.01</v>
      </c>
    </row>
    <row r="16485" spans="1:2" x14ac:dyDescent="0.25">
      <c r="A16485" s="5">
        <v>45840</v>
      </c>
      <c r="B16485">
        <v>6227.42</v>
      </c>
    </row>
    <row r="16486" spans="1:2" x14ac:dyDescent="0.25">
      <c r="A16486" s="5">
        <v>45841</v>
      </c>
      <c r="B16486">
        <v>6279.35</v>
      </c>
    </row>
    <row r="16487" spans="1:2" x14ac:dyDescent="0.25">
      <c r="A16487" s="5">
        <v>45845</v>
      </c>
      <c r="B16487">
        <v>6229.98</v>
      </c>
    </row>
    <row r="16488" spans="1:2" x14ac:dyDescent="0.25">
      <c r="A16488" s="5">
        <v>45846</v>
      </c>
      <c r="B16488">
        <v>6225.52</v>
      </c>
    </row>
    <row r="16489" spans="1:2" x14ac:dyDescent="0.25">
      <c r="A16489" s="5">
        <v>45847</v>
      </c>
      <c r="B16489">
        <v>6263.26</v>
      </c>
    </row>
    <row r="16490" spans="1:2" x14ac:dyDescent="0.25">
      <c r="A16490" s="5">
        <v>45848</v>
      </c>
      <c r="B16490">
        <v>6280.46</v>
      </c>
    </row>
    <row r="16491" spans="1:2" x14ac:dyDescent="0.25">
      <c r="A16491" s="5">
        <v>45849</v>
      </c>
      <c r="B16491">
        <v>6259.75</v>
      </c>
    </row>
    <row r="16492" spans="1:2" x14ac:dyDescent="0.25">
      <c r="A16492" s="5">
        <v>45852</v>
      </c>
      <c r="B16492">
        <v>6268.56</v>
      </c>
    </row>
    <row r="16493" spans="1:2" x14ac:dyDescent="0.25">
      <c r="A16493" s="5">
        <v>45853</v>
      </c>
      <c r="B16493">
        <v>6243.76</v>
      </c>
    </row>
    <row r="16494" spans="1:2" x14ac:dyDescent="0.25">
      <c r="A16494" s="5">
        <v>45854</v>
      </c>
      <c r="B16494">
        <v>6263.7</v>
      </c>
    </row>
    <row r="16495" spans="1:2" x14ac:dyDescent="0.25">
      <c r="A16495" s="5">
        <v>45855</v>
      </c>
      <c r="B16495">
        <v>6297.36</v>
      </c>
    </row>
    <row r="16496" spans="1:2" x14ac:dyDescent="0.25">
      <c r="A16496" s="5">
        <v>45856</v>
      </c>
      <c r="B16496">
        <v>6296.79</v>
      </c>
    </row>
    <row r="16497" spans="1:2" x14ac:dyDescent="0.25">
      <c r="A16497" s="5">
        <v>45859</v>
      </c>
      <c r="B16497">
        <v>6305.6</v>
      </c>
    </row>
    <row r="16498" spans="1:2" x14ac:dyDescent="0.25">
      <c r="A16498" s="5">
        <v>45860</v>
      </c>
      <c r="B16498">
        <v>6309.62</v>
      </c>
    </row>
    <row r="16499" spans="1:2" x14ac:dyDescent="0.25">
      <c r="A16499" s="5">
        <v>45861</v>
      </c>
      <c r="B16499">
        <v>6358.91</v>
      </c>
    </row>
    <row r="16500" spans="1:2" x14ac:dyDescent="0.25">
      <c r="A16500" s="5">
        <v>45862</v>
      </c>
      <c r="B16500">
        <v>6363.35</v>
      </c>
    </row>
    <row r="16501" spans="1:2" x14ac:dyDescent="0.25">
      <c r="A16501" s="5">
        <v>45863</v>
      </c>
      <c r="B16501">
        <v>6388.64</v>
      </c>
    </row>
    <row r="16502" spans="1:2" x14ac:dyDescent="0.25">
      <c r="A16502" s="5">
        <v>45866</v>
      </c>
      <c r="B16502">
        <v>6389.77</v>
      </c>
    </row>
    <row r="16503" spans="1:2" x14ac:dyDescent="0.25">
      <c r="A16503" s="5">
        <v>45867</v>
      </c>
      <c r="B16503">
        <v>6370.86</v>
      </c>
    </row>
    <row r="16504" spans="1:2" x14ac:dyDescent="0.25">
      <c r="A16504" s="5">
        <v>45868</v>
      </c>
      <c r="B16504">
        <v>6362.9</v>
      </c>
    </row>
    <row r="16505" spans="1:2" x14ac:dyDescent="0.25">
      <c r="A16505" s="5">
        <v>45869</v>
      </c>
      <c r="B16505">
        <v>6339.39</v>
      </c>
    </row>
    <row r="16506" spans="1:2" x14ac:dyDescent="0.25">
      <c r="A16506" s="5">
        <v>45870</v>
      </c>
      <c r="B16506">
        <v>6238.01</v>
      </c>
    </row>
    <row r="16507" spans="1:2" x14ac:dyDescent="0.25">
      <c r="A16507" s="5">
        <v>45873</v>
      </c>
      <c r="B16507">
        <v>6329.94</v>
      </c>
    </row>
    <row r="16508" spans="1:2" x14ac:dyDescent="0.25">
      <c r="A16508" s="5">
        <v>45874</v>
      </c>
      <c r="B16508">
        <v>6299.19</v>
      </c>
    </row>
    <row r="16509" spans="1:2" x14ac:dyDescent="0.25">
      <c r="A16509" s="5">
        <v>45875</v>
      </c>
      <c r="B16509">
        <v>6345.06</v>
      </c>
    </row>
    <row r="16510" spans="1:2" x14ac:dyDescent="0.25">
      <c r="A16510" s="5">
        <v>45876</v>
      </c>
      <c r="B16510">
        <v>6340</v>
      </c>
    </row>
    <row r="16511" spans="1:2" x14ac:dyDescent="0.25">
      <c r="A16511" s="5">
        <v>45877</v>
      </c>
      <c r="B16511">
        <v>6389.45</v>
      </c>
    </row>
    <row r="16512" spans="1:2" x14ac:dyDescent="0.25">
      <c r="A16512" s="5">
        <v>45880</v>
      </c>
      <c r="B16512">
        <v>6373.45</v>
      </c>
    </row>
    <row r="16513" spans="1:2" x14ac:dyDescent="0.25">
      <c r="A16513" s="5">
        <v>45881</v>
      </c>
      <c r="B16513">
        <v>6445.76</v>
      </c>
    </row>
    <row r="16514" spans="1:2" x14ac:dyDescent="0.25">
      <c r="A16514" s="5">
        <v>45882</v>
      </c>
      <c r="B16514">
        <v>6466.58</v>
      </c>
    </row>
    <row r="16515" spans="1:2" x14ac:dyDescent="0.25">
      <c r="A16515" s="5">
        <v>45883</v>
      </c>
      <c r="B16515">
        <v>6468.54</v>
      </c>
    </row>
    <row r="16516" spans="1:2" x14ac:dyDescent="0.25">
      <c r="A16516" s="5">
        <v>45884</v>
      </c>
      <c r="B16516">
        <v>6449.8</v>
      </c>
    </row>
    <row r="16517" spans="1:2" x14ac:dyDescent="0.25">
      <c r="A16517" s="5">
        <v>45887</v>
      </c>
      <c r="B16517">
        <v>6449.15</v>
      </c>
    </row>
    <row r="16518" spans="1:2" x14ac:dyDescent="0.25">
      <c r="A16518" s="5">
        <v>45888</v>
      </c>
      <c r="B16518">
        <v>6411.37</v>
      </c>
    </row>
    <row r="16519" spans="1:2" x14ac:dyDescent="0.25">
      <c r="A16519" s="5">
        <v>45889</v>
      </c>
      <c r="B16519">
        <v>6395.78</v>
      </c>
    </row>
    <row r="16520" spans="1:2" x14ac:dyDescent="0.25">
      <c r="A16520" s="5">
        <v>45890</v>
      </c>
      <c r="B16520">
        <v>6370.17</v>
      </c>
    </row>
    <row r="16521" spans="1:2" x14ac:dyDescent="0.25">
      <c r="A16521" s="5">
        <v>45891</v>
      </c>
      <c r="B16521">
        <v>6466.91</v>
      </c>
    </row>
    <row r="16522" spans="1:2" x14ac:dyDescent="0.25">
      <c r="A16522" s="5">
        <v>45894</v>
      </c>
      <c r="B16522">
        <v>6439.32</v>
      </c>
    </row>
    <row r="16523" spans="1:2" x14ac:dyDescent="0.25">
      <c r="A16523" s="5">
        <v>45895</v>
      </c>
      <c r="B16523">
        <v>6465.94</v>
      </c>
    </row>
    <row r="16524" spans="1:2" x14ac:dyDescent="0.25">
      <c r="A16524" s="5">
        <v>45896</v>
      </c>
      <c r="B16524">
        <v>6481.4</v>
      </c>
    </row>
    <row r="16525" spans="1:2" x14ac:dyDescent="0.25">
      <c r="A16525" s="5">
        <v>45897</v>
      </c>
      <c r="B16525">
        <v>6501.86</v>
      </c>
    </row>
    <row r="16526" spans="1:2" x14ac:dyDescent="0.25">
      <c r="A16526" s="5">
        <v>45898</v>
      </c>
      <c r="B16526">
        <v>6460.26</v>
      </c>
    </row>
    <row r="16527" spans="1:2" x14ac:dyDescent="0.25">
      <c r="A16527" s="5">
        <v>45902</v>
      </c>
      <c r="B16527">
        <v>6415.54</v>
      </c>
    </row>
    <row r="16528" spans="1:2" x14ac:dyDescent="0.25">
      <c r="A16528" s="5">
        <v>45903</v>
      </c>
      <c r="B16528">
        <v>6448.26</v>
      </c>
    </row>
    <row r="16529" spans="1:2" x14ac:dyDescent="0.25">
      <c r="A16529" s="5">
        <v>45904</v>
      </c>
      <c r="B16529">
        <v>6502.08</v>
      </c>
    </row>
    <row r="16530" spans="1:2" x14ac:dyDescent="0.25">
      <c r="A16530" s="5">
        <v>45905</v>
      </c>
      <c r="B16530">
        <v>6481.5</v>
      </c>
    </row>
    <row r="16531" spans="1:2" x14ac:dyDescent="0.25">
      <c r="A16531" s="5">
        <v>45908</v>
      </c>
      <c r="B16531">
        <v>6495.15</v>
      </c>
    </row>
    <row r="16532" spans="1:2" x14ac:dyDescent="0.25">
      <c r="A16532" s="5">
        <v>45909</v>
      </c>
      <c r="B16532">
        <v>6512.61</v>
      </c>
    </row>
    <row r="16533" spans="1:2" x14ac:dyDescent="0.25">
      <c r="A16533" s="5">
        <v>45910</v>
      </c>
      <c r="B16533">
        <v>6532.04</v>
      </c>
    </row>
    <row r="16534" spans="1:2" x14ac:dyDescent="0.25">
      <c r="A16534" s="5">
        <v>45911</v>
      </c>
      <c r="B16534">
        <v>6587.47</v>
      </c>
    </row>
    <row r="16535" spans="1:2" x14ac:dyDescent="0.25">
      <c r="A16535" s="5">
        <v>45912</v>
      </c>
      <c r="B16535">
        <v>6584.29</v>
      </c>
    </row>
    <row r="16536" spans="1:2" x14ac:dyDescent="0.25">
      <c r="A16536" s="5">
        <v>45915</v>
      </c>
      <c r="B16536">
        <v>6615.28</v>
      </c>
    </row>
    <row r="16537" spans="1:2" x14ac:dyDescent="0.25">
      <c r="A16537" s="5">
        <v>45916</v>
      </c>
      <c r="B16537">
        <v>6606.76</v>
      </c>
    </row>
    <row r="16538" spans="1:2" x14ac:dyDescent="0.25">
      <c r="A16538" s="5">
        <v>45917</v>
      </c>
      <c r="B16538">
        <v>6600.35</v>
      </c>
    </row>
    <row r="16539" spans="1:2" x14ac:dyDescent="0.25">
      <c r="A16539" s="5">
        <v>45918</v>
      </c>
      <c r="B16539">
        <v>6631.96</v>
      </c>
    </row>
    <row r="16540" spans="1:2" x14ac:dyDescent="0.25">
      <c r="A16540" s="5">
        <v>45919</v>
      </c>
      <c r="B16540">
        <v>6664.36</v>
      </c>
    </row>
    <row r="16541" spans="1:2" x14ac:dyDescent="0.25">
      <c r="A16541" s="5">
        <v>45922</v>
      </c>
      <c r="B16541">
        <v>6693.75</v>
      </c>
    </row>
    <row r="16542" spans="1:2" x14ac:dyDescent="0.25">
      <c r="A16542" s="5">
        <v>45923</v>
      </c>
      <c r="B16542">
        <v>6656.92</v>
      </c>
    </row>
    <row r="16543" spans="1:2" x14ac:dyDescent="0.25">
      <c r="A16543" s="5">
        <v>45924</v>
      </c>
      <c r="B16543">
        <v>6637.97</v>
      </c>
    </row>
    <row r="16544" spans="1:2" x14ac:dyDescent="0.25">
      <c r="A16544" s="5">
        <v>45925</v>
      </c>
      <c r="B16544">
        <v>6604.72</v>
      </c>
    </row>
    <row r="16545" spans="1:2" x14ac:dyDescent="0.25">
      <c r="A16545" s="5">
        <v>45926</v>
      </c>
      <c r="B16545">
        <v>6643.7</v>
      </c>
    </row>
    <row r="16546" spans="1:2" x14ac:dyDescent="0.25">
      <c r="A16546" s="5">
        <v>45929</v>
      </c>
      <c r="B16546">
        <v>6661.21</v>
      </c>
    </row>
    <row r="16547" spans="1:2" x14ac:dyDescent="0.25">
      <c r="A16547" s="5">
        <v>45930</v>
      </c>
      <c r="B16547">
        <v>6688.46</v>
      </c>
    </row>
    <row r="16548" spans="1:2" x14ac:dyDescent="0.25">
      <c r="A16548" s="5">
        <v>45931</v>
      </c>
      <c r="B16548">
        <v>6711.2</v>
      </c>
    </row>
    <row r="16549" spans="1:2" x14ac:dyDescent="0.25">
      <c r="A16549" s="5">
        <v>45932</v>
      </c>
      <c r="B16549">
        <v>6715.35</v>
      </c>
    </row>
    <row r="16550" spans="1:2" x14ac:dyDescent="0.25">
      <c r="A16550" s="5">
        <v>45933</v>
      </c>
      <c r="B16550">
        <v>6715.79</v>
      </c>
    </row>
    <row r="16551" spans="1:2" x14ac:dyDescent="0.25">
      <c r="A16551" s="5">
        <v>45936</v>
      </c>
      <c r="B16551">
        <v>6740.28</v>
      </c>
    </row>
    <row r="16552" spans="1:2" x14ac:dyDescent="0.25">
      <c r="A16552" s="5">
        <v>45937</v>
      </c>
      <c r="B16552">
        <v>6714.59</v>
      </c>
    </row>
    <row r="16553" spans="1:2" x14ac:dyDescent="0.25">
      <c r="A16553" s="5">
        <v>45938</v>
      </c>
      <c r="B16553">
        <v>6753.72</v>
      </c>
    </row>
    <row r="16554" spans="1:2" x14ac:dyDescent="0.25">
      <c r="A16554" s="5">
        <v>45939</v>
      </c>
      <c r="B16554">
        <v>6735.11</v>
      </c>
    </row>
    <row r="16555" spans="1:2" x14ac:dyDescent="0.25">
      <c r="A16555" s="5">
        <v>45940</v>
      </c>
      <c r="B16555">
        <v>6552.51</v>
      </c>
    </row>
    <row r="16556" spans="1:2" x14ac:dyDescent="0.25">
      <c r="A16556" s="5">
        <v>45943</v>
      </c>
      <c r="B16556">
        <v>6654.72</v>
      </c>
    </row>
    <row r="16557" spans="1:2" x14ac:dyDescent="0.25">
      <c r="A16557" s="5">
        <v>45944</v>
      </c>
      <c r="B16557">
        <v>6644.31</v>
      </c>
    </row>
    <row r="16558" spans="1:2" x14ac:dyDescent="0.25">
      <c r="A16558" s="5">
        <v>45945</v>
      </c>
      <c r="B16558">
        <v>6671.06</v>
      </c>
    </row>
    <row r="16559" spans="1:2" x14ac:dyDescent="0.25">
      <c r="A16559" s="5">
        <v>45946</v>
      </c>
      <c r="B16559">
        <v>6629.07</v>
      </c>
    </row>
    <row r="16560" spans="1:2" x14ac:dyDescent="0.25">
      <c r="A16560" s="5">
        <v>45947</v>
      </c>
      <c r="B16560">
        <v>6664.01</v>
      </c>
    </row>
    <row r="16561" spans="1:2" x14ac:dyDescent="0.25">
      <c r="A16561" s="5">
        <v>45950</v>
      </c>
      <c r="B16561">
        <v>6735.13</v>
      </c>
    </row>
    <row r="16562" spans="1:2" x14ac:dyDescent="0.25">
      <c r="A16562" s="5">
        <v>45951</v>
      </c>
      <c r="B16562">
        <v>6735.35</v>
      </c>
    </row>
    <row r="16563" spans="1:2" x14ac:dyDescent="0.25">
      <c r="A16563" s="5">
        <v>45952</v>
      </c>
      <c r="B16563">
        <v>6699.4</v>
      </c>
    </row>
    <row r="16564" spans="1:2" x14ac:dyDescent="0.25">
      <c r="A16564" s="5">
        <v>45953</v>
      </c>
      <c r="B16564">
        <v>6738.44</v>
      </c>
    </row>
    <row r="16565" spans="1:2" x14ac:dyDescent="0.25">
      <c r="A16565" s="5">
        <v>45954</v>
      </c>
      <c r="B16565">
        <v>6791.69</v>
      </c>
    </row>
    <row r="16566" spans="1:2" x14ac:dyDescent="0.25">
      <c r="A16566" s="5">
        <v>45957</v>
      </c>
      <c r="B16566">
        <v>6875.16</v>
      </c>
    </row>
    <row r="16567" spans="1:2" x14ac:dyDescent="0.25">
      <c r="A16567" s="5">
        <v>45958</v>
      </c>
      <c r="B16567">
        <v>6890.89</v>
      </c>
    </row>
    <row r="16568" spans="1:2" x14ac:dyDescent="0.25">
      <c r="A16568" s="5">
        <v>45959</v>
      </c>
      <c r="B16568">
        <v>6890.59</v>
      </c>
    </row>
    <row r="16569" spans="1:2" x14ac:dyDescent="0.25">
      <c r="A16569" s="5">
        <v>45960</v>
      </c>
      <c r="B16569">
        <v>6822.34</v>
      </c>
    </row>
    <row r="16570" spans="1:2" x14ac:dyDescent="0.25">
      <c r="A16570" s="5">
        <v>45961</v>
      </c>
      <c r="B16570">
        <v>6840.2</v>
      </c>
    </row>
    <row r="16571" spans="1:2" x14ac:dyDescent="0.25">
      <c r="A16571" s="5">
        <v>45964</v>
      </c>
      <c r="B16571">
        <v>6851.97</v>
      </c>
    </row>
    <row r="16572" spans="1:2" x14ac:dyDescent="0.25">
      <c r="A16572" s="5">
        <v>45965</v>
      </c>
      <c r="B16572">
        <v>6771.55</v>
      </c>
    </row>
    <row r="16573" spans="1:2" x14ac:dyDescent="0.25">
      <c r="A16573" s="5">
        <v>45966</v>
      </c>
      <c r="B16573">
        <v>6796.29</v>
      </c>
    </row>
    <row r="16574" spans="1:2" x14ac:dyDescent="0.25">
      <c r="A16574" s="5">
        <v>45967</v>
      </c>
      <c r="B16574">
        <v>6720.32</v>
      </c>
    </row>
    <row r="16575" spans="1:2" x14ac:dyDescent="0.25">
      <c r="A16575" s="5">
        <v>45968</v>
      </c>
      <c r="B16575">
        <v>6728.8</v>
      </c>
    </row>
    <row r="16576" spans="1:2" x14ac:dyDescent="0.25">
      <c r="A16576" s="5">
        <v>45971</v>
      </c>
      <c r="B16576">
        <v>6832.43</v>
      </c>
    </row>
    <row r="16577" spans="1:2" x14ac:dyDescent="0.25">
      <c r="A16577" s="5">
        <v>45972</v>
      </c>
      <c r="B16577">
        <v>6846.61</v>
      </c>
    </row>
    <row r="16578" spans="1:2" x14ac:dyDescent="0.25">
      <c r="A16578" s="5">
        <v>45973</v>
      </c>
      <c r="B16578">
        <v>6850.92</v>
      </c>
    </row>
    <row r="16579" spans="1:2" x14ac:dyDescent="0.25">
      <c r="A16579" s="5">
        <v>45974</v>
      </c>
      <c r="B16579">
        <v>6737.49</v>
      </c>
    </row>
    <row r="16580" spans="1:2" x14ac:dyDescent="0.25">
      <c r="A16580" s="5">
        <v>45975</v>
      </c>
      <c r="B16580">
        <v>6734.11</v>
      </c>
    </row>
    <row r="16581" spans="1:2" x14ac:dyDescent="0.25">
      <c r="A16581" s="5">
        <v>45978</v>
      </c>
      <c r="B16581">
        <v>6672.41</v>
      </c>
    </row>
    <row r="16582" spans="1:2" x14ac:dyDescent="0.25">
      <c r="A16582" s="5">
        <v>45979</v>
      </c>
      <c r="B16582">
        <v>6617.32</v>
      </c>
    </row>
    <row r="16583" spans="1:2" x14ac:dyDescent="0.25">
      <c r="A16583" s="5">
        <v>45980</v>
      </c>
      <c r="B16583">
        <v>6642.16</v>
      </c>
    </row>
    <row r="16584" spans="1:2" x14ac:dyDescent="0.25">
      <c r="A16584" s="5">
        <v>45981</v>
      </c>
      <c r="B16584">
        <v>6538.76</v>
      </c>
    </row>
    <row r="16585" spans="1:2" x14ac:dyDescent="0.25">
      <c r="A16585" s="5">
        <v>45982</v>
      </c>
      <c r="B16585">
        <v>6602.99</v>
      </c>
    </row>
    <row r="16586" spans="1:2" x14ac:dyDescent="0.25">
      <c r="A16586" s="5">
        <v>45985</v>
      </c>
      <c r="B16586">
        <v>6705.12</v>
      </c>
    </row>
    <row r="16587" spans="1:2" x14ac:dyDescent="0.25">
      <c r="A16587" s="5">
        <v>45986</v>
      </c>
      <c r="B16587">
        <v>6765.88</v>
      </c>
    </row>
    <row r="16588" spans="1:2" x14ac:dyDescent="0.25">
      <c r="A16588" s="5">
        <v>45987</v>
      </c>
      <c r="B16588">
        <v>6812.61</v>
      </c>
    </row>
    <row r="16589" spans="1:2" x14ac:dyDescent="0.25">
      <c r="A16589" s="5">
        <v>45989</v>
      </c>
      <c r="B16589">
        <v>6849.09</v>
      </c>
    </row>
    <row r="16590" spans="1:2" x14ac:dyDescent="0.25">
      <c r="A16590" s="5">
        <v>45992</v>
      </c>
      <c r="B16590">
        <v>6812.63</v>
      </c>
    </row>
    <row r="16591" spans="1:2" x14ac:dyDescent="0.25">
      <c r="A16591" s="5">
        <v>45993</v>
      </c>
      <c r="B16591">
        <v>6829.37</v>
      </c>
    </row>
    <row r="16592" spans="1:2" x14ac:dyDescent="0.25">
      <c r="A16592" s="5">
        <v>45994</v>
      </c>
      <c r="B16592">
        <v>6849.72</v>
      </c>
    </row>
    <row r="16593" spans="1:2" x14ac:dyDescent="0.25">
      <c r="A16593" s="5">
        <v>45995</v>
      </c>
      <c r="B16593">
        <v>6857.12</v>
      </c>
    </row>
    <row r="16594" spans="1:2" x14ac:dyDescent="0.25">
      <c r="A16594" s="5">
        <v>45996</v>
      </c>
      <c r="B16594">
        <v>6870.4</v>
      </c>
    </row>
    <row r="16595" spans="1:2" x14ac:dyDescent="0.25">
      <c r="A16595" s="5">
        <v>45999</v>
      </c>
      <c r="B16595">
        <v>6846.51</v>
      </c>
    </row>
    <row r="16596" spans="1:2" x14ac:dyDescent="0.25">
      <c r="A16596" s="5">
        <v>46000</v>
      </c>
      <c r="B16596">
        <v>6840.51</v>
      </c>
    </row>
    <row r="16597" spans="1:2" x14ac:dyDescent="0.25">
      <c r="A16597" s="5">
        <v>46001</v>
      </c>
      <c r="B16597">
        <v>6886.68</v>
      </c>
    </row>
    <row r="16598" spans="1:2" x14ac:dyDescent="0.25">
      <c r="A16598" s="5">
        <v>46002</v>
      </c>
      <c r="B16598">
        <v>6901</v>
      </c>
    </row>
    <row r="16599" spans="1:2" x14ac:dyDescent="0.25">
      <c r="A16599" s="5">
        <v>46003</v>
      </c>
      <c r="B16599">
        <v>6827.41</v>
      </c>
    </row>
    <row r="16600" spans="1:2" x14ac:dyDescent="0.25">
      <c r="A16600" s="5">
        <v>46006</v>
      </c>
      <c r="B16600">
        <v>6816.51</v>
      </c>
    </row>
    <row r="16601" spans="1:2" x14ac:dyDescent="0.25">
      <c r="A16601" s="5">
        <v>46007</v>
      </c>
      <c r="B16601">
        <v>6800.26</v>
      </c>
    </row>
    <row r="16602" spans="1:2" x14ac:dyDescent="0.25">
      <c r="A16602" s="5">
        <v>46008</v>
      </c>
      <c r="B16602">
        <v>6721.43</v>
      </c>
    </row>
    <row r="16603" spans="1:2" x14ac:dyDescent="0.25">
      <c r="A16603" s="5">
        <v>46009</v>
      </c>
      <c r="B16603">
        <v>6774.76</v>
      </c>
    </row>
    <row r="16604" spans="1:2" x14ac:dyDescent="0.25">
      <c r="A16604" s="5">
        <v>46010</v>
      </c>
      <c r="B16604">
        <v>6834.5</v>
      </c>
    </row>
    <row r="16605" spans="1:2" x14ac:dyDescent="0.25">
      <c r="A16605" s="5">
        <v>46013</v>
      </c>
      <c r="B16605">
        <v>6878.49</v>
      </c>
    </row>
    <row r="16606" spans="1:2" x14ac:dyDescent="0.25">
      <c r="A16606" s="5">
        <v>46014</v>
      </c>
      <c r="B16606">
        <v>6909.79</v>
      </c>
    </row>
    <row r="16607" spans="1:2" x14ac:dyDescent="0.25">
      <c r="A16607" s="5">
        <v>46015</v>
      </c>
      <c r="B16607">
        <v>6932.05</v>
      </c>
    </row>
    <row r="16608" spans="1:2" x14ac:dyDescent="0.25">
      <c r="A16608" s="5">
        <v>46017</v>
      </c>
      <c r="B16608">
        <v>6929.94</v>
      </c>
    </row>
    <row r="16609" spans="1:2" x14ac:dyDescent="0.25">
      <c r="A16609" s="5">
        <v>46020</v>
      </c>
      <c r="B16609">
        <v>6905.74</v>
      </c>
    </row>
    <row r="16610" spans="1:2" x14ac:dyDescent="0.25">
      <c r="A16610" s="5">
        <v>46021</v>
      </c>
      <c r="B16610">
        <v>6896.24</v>
      </c>
    </row>
    <row r="16611" spans="1:2" x14ac:dyDescent="0.25">
      <c r="A16611" s="5">
        <v>46022</v>
      </c>
      <c r="B16611">
        <v>6845.5</v>
      </c>
    </row>
    <row r="16612" spans="1:2" x14ac:dyDescent="0.25">
      <c r="A16612" s="5">
        <v>46024</v>
      </c>
      <c r="B16612">
        <v>6858.47</v>
      </c>
    </row>
    <row r="16613" spans="1:2" x14ac:dyDescent="0.25">
      <c r="A16613" s="5">
        <v>46027</v>
      </c>
      <c r="B16613">
        <v>6902.05</v>
      </c>
    </row>
    <row r="16614" spans="1:2" x14ac:dyDescent="0.25">
      <c r="A16614" s="5">
        <v>46028</v>
      </c>
      <c r="B16614">
        <v>6944.82</v>
      </c>
    </row>
    <row r="16615" spans="1:2" x14ac:dyDescent="0.25">
      <c r="A16615" s="5">
        <v>46029</v>
      </c>
      <c r="B16615">
        <v>6920.93</v>
      </c>
    </row>
    <row r="16616" spans="1:2" x14ac:dyDescent="0.25">
      <c r="A16616" s="5">
        <v>46030</v>
      </c>
      <c r="B16616">
        <v>6921.46</v>
      </c>
    </row>
    <row r="16617" spans="1:2" x14ac:dyDescent="0.25">
      <c r="A16617" s="5">
        <v>46031</v>
      </c>
      <c r="B16617">
        <v>6966.28</v>
      </c>
    </row>
    <row r="16618" spans="1:2" x14ac:dyDescent="0.25">
      <c r="A16618" s="5">
        <v>46034</v>
      </c>
      <c r="B16618">
        <v>6977.27</v>
      </c>
    </row>
    <row r="16619" spans="1:2" x14ac:dyDescent="0.25">
      <c r="A16619" s="5">
        <v>46035</v>
      </c>
      <c r="B16619">
        <v>6963.74</v>
      </c>
    </row>
    <row r="16620" spans="1:2" x14ac:dyDescent="0.25">
      <c r="A16620" s="5">
        <v>46036</v>
      </c>
      <c r="B16620">
        <v>6926.6</v>
      </c>
    </row>
    <row r="16621" spans="1:2" x14ac:dyDescent="0.25">
      <c r="A16621" s="5">
        <v>46037</v>
      </c>
      <c r="B16621">
        <v>6944.47</v>
      </c>
    </row>
    <row r="16622" spans="1:2" x14ac:dyDescent="0.25">
      <c r="A16622" s="5">
        <v>46038</v>
      </c>
      <c r="B16622">
        <v>6940.01</v>
      </c>
    </row>
    <row r="16623" spans="1:2" x14ac:dyDescent="0.25">
      <c r="A16623" s="5">
        <v>46042</v>
      </c>
      <c r="B16623">
        <v>6796.86</v>
      </c>
    </row>
    <row r="16624" spans="1:2" x14ac:dyDescent="0.25">
      <c r="A16624" s="5">
        <v>46043</v>
      </c>
      <c r="B16624">
        <v>6875.62</v>
      </c>
    </row>
    <row r="16625" spans="1:2" x14ac:dyDescent="0.25">
      <c r="A16625" s="5">
        <v>46044</v>
      </c>
      <c r="B16625">
        <v>6913.35</v>
      </c>
    </row>
    <row r="16626" spans="1:2" x14ac:dyDescent="0.25">
      <c r="A16626" s="5">
        <v>46045</v>
      </c>
      <c r="B16626">
        <v>6915.61</v>
      </c>
    </row>
    <row r="16627" spans="1:2" x14ac:dyDescent="0.25">
      <c r="A16627" s="5">
        <v>46048</v>
      </c>
      <c r="B16627">
        <v>6950.23</v>
      </c>
    </row>
    <row r="16628" spans="1:2" x14ac:dyDescent="0.25">
      <c r="A16628" s="5">
        <v>46049</v>
      </c>
      <c r="B16628">
        <v>6978.6</v>
      </c>
    </row>
    <row r="16629" spans="1:2" x14ac:dyDescent="0.25">
      <c r="A16629" s="5">
        <v>46050</v>
      </c>
      <c r="B16629">
        <v>6978.03</v>
      </c>
    </row>
    <row r="16630" spans="1:2" x14ac:dyDescent="0.25">
      <c r="A16630" s="5">
        <v>46051</v>
      </c>
      <c r="B16630">
        <v>6969.01</v>
      </c>
    </row>
    <row r="16631" spans="1:2" x14ac:dyDescent="0.25">
      <c r="A16631" s="5">
        <v>46052</v>
      </c>
      <c r="B16631">
        <v>6939.03</v>
      </c>
    </row>
    <row r="16632" spans="1:2" x14ac:dyDescent="0.25">
      <c r="A16632" s="5">
        <v>46055</v>
      </c>
      <c r="B16632">
        <v>6976.44</v>
      </c>
    </row>
    <row r="16633" spans="1:2" x14ac:dyDescent="0.25">
      <c r="A16633" s="5">
        <v>46056</v>
      </c>
      <c r="B16633">
        <v>6917.81</v>
      </c>
    </row>
    <row r="16634" spans="1:2" x14ac:dyDescent="0.25">
      <c r="A16634" s="5">
        <v>46057</v>
      </c>
      <c r="B16634">
        <v>6882.72</v>
      </c>
    </row>
    <row r="16635" spans="1:2" x14ac:dyDescent="0.25">
      <c r="A16635" s="5">
        <v>46058</v>
      </c>
      <c r="B16635">
        <v>6798.4</v>
      </c>
    </row>
    <row r="16636" spans="1:2" x14ac:dyDescent="0.25">
      <c r="A16636" s="5">
        <v>46059</v>
      </c>
      <c r="B16636">
        <v>6932.3</v>
      </c>
    </row>
    <row r="16637" spans="1:2" x14ac:dyDescent="0.25">
      <c r="A16637" s="5">
        <v>46062</v>
      </c>
      <c r="B16637">
        <v>6964.82</v>
      </c>
    </row>
    <row r="16638" spans="1:2" x14ac:dyDescent="0.25">
      <c r="A16638" s="5">
        <v>46063</v>
      </c>
      <c r="B16638">
        <v>6941.81</v>
      </c>
    </row>
    <row r="16639" spans="1:2" x14ac:dyDescent="0.25">
      <c r="A16639" s="5">
        <v>46064</v>
      </c>
      <c r="B16639">
        <v>6941.47</v>
      </c>
    </row>
    <row r="16640" spans="1:2" x14ac:dyDescent="0.25">
      <c r="A16640" s="5">
        <v>46065</v>
      </c>
      <c r="B16640">
        <v>6832.76</v>
      </c>
    </row>
    <row r="16641" spans="1:2" x14ac:dyDescent="0.25">
      <c r="A16641" s="5">
        <v>46066</v>
      </c>
      <c r="B16641">
        <v>6836.17</v>
      </c>
    </row>
    <row r="16642" spans="1:2" x14ac:dyDescent="0.25">
      <c r="A16642" s="5">
        <v>46070</v>
      </c>
      <c r="B16642">
        <v>6843.22</v>
      </c>
    </row>
    <row r="16643" spans="1:2" x14ac:dyDescent="0.25">
      <c r="A16643" s="5">
        <v>46071</v>
      </c>
      <c r="B16643">
        <v>6881.31</v>
      </c>
    </row>
    <row r="16644" spans="1:2" x14ac:dyDescent="0.25">
      <c r="A16644" s="5">
        <v>46072</v>
      </c>
      <c r="B16644">
        <v>6861.89</v>
      </c>
    </row>
    <row r="16645" spans="1:2" x14ac:dyDescent="0.25">
      <c r="A16645" s="5">
        <v>46073</v>
      </c>
      <c r="B16645">
        <v>6909.51</v>
      </c>
    </row>
    <row r="16646" spans="1:2" x14ac:dyDescent="0.25">
      <c r="A16646" s="5">
        <v>46076</v>
      </c>
      <c r="B16646">
        <v>6837.75</v>
      </c>
    </row>
    <row r="16647" spans="1:2" x14ac:dyDescent="0.25">
      <c r="A16647" s="5">
        <v>46077</v>
      </c>
      <c r="B16647">
        <v>6890.07</v>
      </c>
    </row>
    <row r="16648" spans="1:2" x14ac:dyDescent="0.25">
      <c r="A16648" s="5">
        <v>46078</v>
      </c>
      <c r="B16648">
        <v>6946.13</v>
      </c>
    </row>
    <row r="16649" spans="1:2" x14ac:dyDescent="0.25">
      <c r="A16649" s="5">
        <v>46079</v>
      </c>
      <c r="B16649">
        <v>6908.86</v>
      </c>
    </row>
    <row r="16650" spans="1:2" x14ac:dyDescent="0.25">
      <c r="A16650" s="5">
        <v>46080</v>
      </c>
      <c r="B16650">
        <v>6878.88</v>
      </c>
    </row>
    <row r="16651" spans="1:2" x14ac:dyDescent="0.25">
      <c r="A16651" s="5">
        <v>46083</v>
      </c>
      <c r="B16651">
        <v>6881.62</v>
      </c>
    </row>
    <row r="16652" spans="1:2" x14ac:dyDescent="0.25">
      <c r="A16652" s="5">
        <v>46084</v>
      </c>
      <c r="B16652">
        <v>6816.63</v>
      </c>
    </row>
    <row r="16653" spans="1:2" x14ac:dyDescent="0.25">
      <c r="A16653" s="5">
        <v>46085</v>
      </c>
      <c r="B16653">
        <v>6869.5</v>
      </c>
    </row>
    <row r="16654" spans="1:2" x14ac:dyDescent="0.25">
      <c r="A16654" s="5">
        <v>46086</v>
      </c>
      <c r="B16654">
        <v>6830.71</v>
      </c>
    </row>
    <row r="16655" spans="1:2" x14ac:dyDescent="0.25">
      <c r="A16655" s="5">
        <v>46087</v>
      </c>
      <c r="B16655">
        <v>6740.02</v>
      </c>
    </row>
    <row r="16656" spans="1:2" x14ac:dyDescent="0.25">
      <c r="A16656" s="5">
        <v>46090</v>
      </c>
      <c r="B16656">
        <v>6795.99</v>
      </c>
    </row>
    <row r="16657" spans="1:2" x14ac:dyDescent="0.25">
      <c r="A16657" s="5">
        <v>46091</v>
      </c>
      <c r="B16657">
        <v>6781.48</v>
      </c>
    </row>
    <row r="16658" spans="1:2" x14ac:dyDescent="0.25">
      <c r="A16658" s="5">
        <v>46092</v>
      </c>
      <c r="B16658">
        <v>6775.8</v>
      </c>
    </row>
    <row r="16659" spans="1:2" x14ac:dyDescent="0.25">
      <c r="A16659" s="5">
        <v>46093</v>
      </c>
      <c r="B16659">
        <v>6672.62</v>
      </c>
    </row>
    <row r="16660" spans="1:2" x14ac:dyDescent="0.25">
      <c r="A16660" s="5">
        <v>46094</v>
      </c>
      <c r="B16660">
        <v>6632.19</v>
      </c>
    </row>
    <row r="16661" spans="1:2" x14ac:dyDescent="0.25">
      <c r="A16661" s="5">
        <v>46097</v>
      </c>
      <c r="B16661">
        <v>6699.38</v>
      </c>
    </row>
    <row r="16662" spans="1:2" x14ac:dyDescent="0.25">
      <c r="A16662" s="5">
        <v>46098</v>
      </c>
      <c r="B16662">
        <v>6716.09</v>
      </c>
    </row>
    <row r="16663" spans="1:2" x14ac:dyDescent="0.25">
      <c r="A16663" s="5">
        <v>46099</v>
      </c>
      <c r="B16663">
        <v>6624.7</v>
      </c>
    </row>
    <row r="16664" spans="1:2" x14ac:dyDescent="0.25">
      <c r="A16664" s="5">
        <v>46100</v>
      </c>
      <c r="B16664">
        <v>6606.49</v>
      </c>
    </row>
    <row r="16665" spans="1:2" x14ac:dyDescent="0.25">
      <c r="A16665" s="5">
        <v>46101</v>
      </c>
      <c r="B16665">
        <v>6506.48</v>
      </c>
    </row>
    <row r="16666" spans="1:2" x14ac:dyDescent="0.25">
      <c r="A16666" s="5">
        <v>46104</v>
      </c>
      <c r="B16666">
        <v>6581</v>
      </c>
    </row>
    <row r="16667" spans="1:2" x14ac:dyDescent="0.25">
      <c r="A16667" s="5">
        <v>46105</v>
      </c>
      <c r="B16667">
        <v>6556.37</v>
      </c>
    </row>
    <row r="16668" spans="1:2" x14ac:dyDescent="0.25">
      <c r="A16668" s="5">
        <v>46106</v>
      </c>
      <c r="B16668">
        <v>6591.9</v>
      </c>
    </row>
    <row r="16669" spans="1:2" x14ac:dyDescent="0.25">
      <c r="A16669" s="5">
        <v>46107</v>
      </c>
      <c r="B16669">
        <v>6477.16</v>
      </c>
    </row>
    <row r="16670" spans="1:2" x14ac:dyDescent="0.25">
      <c r="A16670" s="5">
        <v>46108</v>
      </c>
      <c r="B16670">
        <v>6368.85</v>
      </c>
    </row>
    <row r="16671" spans="1:2" x14ac:dyDescent="0.25">
      <c r="A16671" s="5">
        <v>46111</v>
      </c>
      <c r="B16671">
        <v>6343.72</v>
      </c>
    </row>
    <row r="16672" spans="1:2" x14ac:dyDescent="0.25">
      <c r="A16672" s="5">
        <v>46112</v>
      </c>
      <c r="B16672">
        <v>6528.52</v>
      </c>
    </row>
    <row r="16673" spans="1:2" x14ac:dyDescent="0.25">
      <c r="A16673" s="5">
        <v>46113</v>
      </c>
      <c r="B16673">
        <v>6575.32</v>
      </c>
    </row>
    <row r="16674" spans="1:2" x14ac:dyDescent="0.25">
      <c r="A16674" s="5">
        <v>46114</v>
      </c>
      <c r="B16674">
        <v>6582.69</v>
      </c>
    </row>
    <row r="16675" spans="1:2" x14ac:dyDescent="0.25">
      <c r="A16675" s="5">
        <v>46118</v>
      </c>
      <c r="B16675">
        <v>6611.83</v>
      </c>
    </row>
    <row r="16676" spans="1:2" x14ac:dyDescent="0.25">
      <c r="A16676" s="5">
        <v>46119</v>
      </c>
      <c r="B16676">
        <v>6616.85</v>
      </c>
    </row>
    <row r="16677" spans="1:2" x14ac:dyDescent="0.25">
      <c r="A16677" s="5">
        <v>46120</v>
      </c>
      <c r="B16677">
        <v>6782.81</v>
      </c>
    </row>
    <row r="16678" spans="1:2" x14ac:dyDescent="0.25">
      <c r="A16678" s="5">
        <v>46121</v>
      </c>
      <c r="B16678">
        <v>6824.66</v>
      </c>
    </row>
    <row r="16679" spans="1:2" x14ac:dyDescent="0.25">
      <c r="A16679" s="5">
        <v>46122</v>
      </c>
      <c r="B16679">
        <v>6816.89</v>
      </c>
    </row>
    <row r="16680" spans="1:2" x14ac:dyDescent="0.25">
      <c r="A16680" s="5">
        <v>46125</v>
      </c>
      <c r="B16680">
        <v>6886.24</v>
      </c>
    </row>
    <row r="16681" spans="1:2" x14ac:dyDescent="0.25">
      <c r="A16681" s="5">
        <v>46126</v>
      </c>
      <c r="B16681">
        <v>6967.38</v>
      </c>
    </row>
    <row r="16682" spans="1:2" x14ac:dyDescent="0.25">
      <c r="A16682" s="5">
        <v>46127</v>
      </c>
      <c r="B16682">
        <v>7022.95</v>
      </c>
    </row>
    <row r="16683" spans="1:2" x14ac:dyDescent="0.25">
      <c r="A16683" s="5">
        <v>46128</v>
      </c>
      <c r="B16683">
        <v>7041.28</v>
      </c>
    </row>
    <row r="16684" spans="1:2" x14ac:dyDescent="0.25">
      <c r="A16684" s="5">
        <v>46129</v>
      </c>
      <c r="B16684">
        <v>7126.06</v>
      </c>
    </row>
    <row r="16685" spans="1:2" x14ac:dyDescent="0.25">
      <c r="A16685" s="5">
        <v>46132</v>
      </c>
      <c r="B16685">
        <v>7109.14</v>
      </c>
    </row>
    <row r="16686" spans="1:2" x14ac:dyDescent="0.25">
      <c r="A16686" s="5">
        <v>46133</v>
      </c>
      <c r="B16686">
        <v>7064.01</v>
      </c>
    </row>
    <row r="16687" spans="1:2" x14ac:dyDescent="0.25">
      <c r="A16687" s="5">
        <v>46134</v>
      </c>
      <c r="B16687">
        <v>7137.9</v>
      </c>
    </row>
    <row r="16688" spans="1:2" x14ac:dyDescent="0.25">
      <c r="A16688" s="5">
        <v>46135</v>
      </c>
      <c r="B16688">
        <v>7108.4</v>
      </c>
    </row>
    <row r="16689" spans="1:2" x14ac:dyDescent="0.25">
      <c r="A16689" s="5">
        <v>46136</v>
      </c>
      <c r="B16689">
        <v>7165.08</v>
      </c>
    </row>
    <row r="16690" spans="1:2" x14ac:dyDescent="0.25">
      <c r="A16690" s="5">
        <v>46139</v>
      </c>
      <c r="B16690">
        <v>7173.91</v>
      </c>
    </row>
    <row r="16691" spans="1:2" x14ac:dyDescent="0.25">
      <c r="A16691" s="5">
        <v>46140</v>
      </c>
      <c r="B16691">
        <v>7138.8</v>
      </c>
    </row>
    <row r="16692" spans="1:2" x14ac:dyDescent="0.25">
      <c r="A16692" s="5">
        <v>46141</v>
      </c>
      <c r="B16692">
        <v>7135.95</v>
      </c>
    </row>
    <row r="16693" spans="1:2" x14ac:dyDescent="0.25">
      <c r="A16693" s="5">
        <v>46142</v>
      </c>
      <c r="B16693">
        <v>7209.01</v>
      </c>
    </row>
    <row r="16694" spans="1:2" x14ac:dyDescent="0.25">
      <c r="A16694" s="5">
        <v>46143</v>
      </c>
      <c r="B16694">
        <v>7230.12</v>
      </c>
    </row>
    <row r="16695" spans="1:2" x14ac:dyDescent="0.25">
      <c r="A16695" s="5">
        <v>46146</v>
      </c>
      <c r="B16695">
        <v>7200.75</v>
      </c>
    </row>
    <row r="16696" spans="1:2" x14ac:dyDescent="0.25">
      <c r="A16696" s="5">
        <v>46147</v>
      </c>
      <c r="B16696">
        <v>7259.22</v>
      </c>
    </row>
    <row r="16697" spans="1:2" x14ac:dyDescent="0.25">
      <c r="A16697" s="5">
        <v>46148</v>
      </c>
      <c r="B16697">
        <v>7365.12</v>
      </c>
    </row>
    <row r="16698" spans="1:2" x14ac:dyDescent="0.25">
      <c r="A16698" s="5">
        <v>46149</v>
      </c>
      <c r="B16698">
        <v>7337.11</v>
      </c>
    </row>
    <row r="16699" spans="1:2" x14ac:dyDescent="0.25">
      <c r="A16699" s="5">
        <v>46150</v>
      </c>
      <c r="B16699">
        <v>7398.93</v>
      </c>
    </row>
    <row r="16700" spans="1:2" x14ac:dyDescent="0.25">
      <c r="A16700" s="5">
        <v>46153</v>
      </c>
      <c r="B16700">
        <v>7412.84</v>
      </c>
    </row>
    <row r="16701" spans="1:2" x14ac:dyDescent="0.25">
      <c r="A16701" s="5">
        <v>46154</v>
      </c>
      <c r="B16701">
        <v>7400.96</v>
      </c>
    </row>
    <row r="16702" spans="1:2" x14ac:dyDescent="0.25">
      <c r="A16702" s="5">
        <v>46155</v>
      </c>
      <c r="B16702">
        <v>7444.25</v>
      </c>
    </row>
    <row r="16703" spans="1:2" x14ac:dyDescent="0.25">
      <c r="A16703" s="5">
        <v>46156</v>
      </c>
      <c r="B16703">
        <v>7501.24</v>
      </c>
    </row>
    <row r="16704" spans="1:2" x14ac:dyDescent="0.25">
      <c r="A16704" s="5">
        <v>46157</v>
      </c>
      <c r="B16704">
        <v>7408.5</v>
      </c>
    </row>
    <row r="16705" spans="1:2" x14ac:dyDescent="0.25">
      <c r="A16705" s="5">
        <v>46160</v>
      </c>
      <c r="B16705">
        <v>7403.05</v>
      </c>
    </row>
    <row r="16706" spans="1:2" x14ac:dyDescent="0.25">
      <c r="A16706" s="5">
        <v>46161</v>
      </c>
      <c r="B16706">
        <v>7353.61</v>
      </c>
    </row>
    <row r="16707" spans="1:2" x14ac:dyDescent="0.25">
      <c r="A16707" s="5">
        <v>46162</v>
      </c>
      <c r="B16707">
        <v>7432.97</v>
      </c>
    </row>
    <row r="16708" spans="1:2" x14ac:dyDescent="0.25">
      <c r="A16708" s="5">
        <v>46163</v>
      </c>
      <c r="B16708">
        <v>7445.72</v>
      </c>
    </row>
    <row r="16709" spans="1:2" x14ac:dyDescent="0.25">
      <c r="A16709" s="5">
        <v>46164</v>
      </c>
      <c r="B16709">
        <v>7473.47</v>
      </c>
    </row>
    <row r="16710" spans="1:2" x14ac:dyDescent="0.25">
      <c r="A16710" s="5">
        <v>46168</v>
      </c>
      <c r="B16710">
        <v>7519.12</v>
      </c>
    </row>
    <row r="16711" spans="1:2" x14ac:dyDescent="0.25">
      <c r="A16711" s="5">
        <v>46169</v>
      </c>
      <c r="B16711">
        <v>7520.36</v>
      </c>
    </row>
    <row r="16712" spans="1:2" x14ac:dyDescent="0.25">
      <c r="A16712" s="5">
        <v>46170</v>
      </c>
      <c r="B16712">
        <v>7563.63</v>
      </c>
    </row>
    <row r="16713" spans="1:2" x14ac:dyDescent="0.25">
      <c r="A16713" s="5">
        <v>46171</v>
      </c>
      <c r="B16713">
        <v>7580.06</v>
      </c>
    </row>
    <row r="16714" spans="1:2" x14ac:dyDescent="0.25">
      <c r="A16714" s="5">
        <v>46174</v>
      </c>
      <c r="B16714">
        <v>7599.96</v>
      </c>
    </row>
    <row r="16715" spans="1:2" x14ac:dyDescent="0.25">
      <c r="A16715" s="5">
        <v>46175</v>
      </c>
      <c r="B16715">
        <v>7609.78</v>
      </c>
    </row>
    <row r="16716" spans="1:2" x14ac:dyDescent="0.25">
      <c r="A16716" s="5">
        <v>46176</v>
      </c>
      <c r="B16716">
        <v>7553.68</v>
      </c>
    </row>
    <row r="16717" spans="1:2" x14ac:dyDescent="0.25">
      <c r="A16717" s="5">
        <v>46177</v>
      </c>
      <c r="B16717">
        <v>7584.31</v>
      </c>
    </row>
    <row r="16718" spans="1:2" x14ac:dyDescent="0.25">
      <c r="A16718" s="5">
        <v>46178</v>
      </c>
      <c r="B16718">
        <v>7383.74</v>
      </c>
    </row>
    <row r="16719" spans="1:2" x14ac:dyDescent="0.25">
      <c r="A16719" s="5">
        <v>46181</v>
      </c>
      <c r="B16719">
        <v>7405.73</v>
      </c>
    </row>
    <row r="16720" spans="1:2" x14ac:dyDescent="0.25">
      <c r="A16720" s="5">
        <v>46182</v>
      </c>
      <c r="B16720">
        <v>7386.65</v>
      </c>
    </row>
    <row r="16721" spans="1:2" x14ac:dyDescent="0.25">
      <c r="A16721" s="5">
        <v>46183</v>
      </c>
      <c r="B16721">
        <v>7266.99</v>
      </c>
    </row>
    <row r="16722" spans="1:2" x14ac:dyDescent="0.25">
      <c r="A16722" s="5">
        <v>46184</v>
      </c>
      <c r="B16722">
        <v>7394.3</v>
      </c>
    </row>
    <row r="16723" spans="1:2" x14ac:dyDescent="0.25">
      <c r="A16723" s="5">
        <v>46185</v>
      </c>
      <c r="B16723">
        <v>7431.46</v>
      </c>
    </row>
    <row r="16724" spans="1:2" x14ac:dyDescent="0.25">
      <c r="A16724" s="5">
        <v>46188</v>
      </c>
      <c r="B16724">
        <v>7554.29</v>
      </c>
    </row>
    <row r="16725" spans="1:2" x14ac:dyDescent="0.25">
      <c r="A16725" s="5">
        <v>46189</v>
      </c>
      <c r="B16725">
        <v>7511.35</v>
      </c>
    </row>
    <row r="16726" spans="1:2" x14ac:dyDescent="0.25">
      <c r="A16726" s="5">
        <v>46190</v>
      </c>
      <c r="B16726">
        <v>7420.1</v>
      </c>
    </row>
    <row r="16727" spans="1:2" x14ac:dyDescent="0.25">
      <c r="A16727" s="5">
        <v>46191</v>
      </c>
      <c r="B16727">
        <v>7500.58</v>
      </c>
    </row>
    <row r="16728" spans="1:2" x14ac:dyDescent="0.25">
      <c r="A16728" s="5">
        <v>46195</v>
      </c>
      <c r="B16728">
        <v>7472.79</v>
      </c>
    </row>
    <row r="16729" spans="1:2" x14ac:dyDescent="0.25">
      <c r="A16729" s="5">
        <v>46196</v>
      </c>
      <c r="B16729">
        <v>7365.46</v>
      </c>
    </row>
    <row r="16730" spans="1:2" x14ac:dyDescent="0.25">
      <c r="A16730" s="5">
        <v>46197</v>
      </c>
      <c r="B16730">
        <v>7358.22</v>
      </c>
    </row>
    <row r="16731" spans="1:2" x14ac:dyDescent="0.25">
      <c r="A16731" s="5">
        <v>46198</v>
      </c>
      <c r="B16731">
        <v>7357.49</v>
      </c>
    </row>
    <row r="16732" spans="1:2" x14ac:dyDescent="0.25">
      <c r="A16732" s="5">
        <v>46199</v>
      </c>
      <c r="B16732">
        <v>7354.02</v>
      </c>
    </row>
    <row r="16733" spans="1:2" x14ac:dyDescent="0.25">
      <c r="A16733" s="5">
        <v>46202</v>
      </c>
      <c r="B16733">
        <v>7440.43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Customer Margin Balances</vt:lpstr>
      <vt:lpstr>SP500_Projection</vt:lpstr>
      <vt:lpstr>R-Sq</vt:lpstr>
      <vt:lpstr>USM2(NS)</vt:lpstr>
      <vt:lpstr>MMF</vt:lpstr>
      <vt:lpstr>SP500</vt:lpstr>
    </vt:vector>
  </TitlesOfParts>
  <Company>Microsoft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reynoldt</dc:creator>
  <cp:lastModifiedBy>Walter LAM</cp:lastModifiedBy>
  <dcterms:created xsi:type="dcterms:W3CDTF">2026-06-12T19:27:42Z</dcterms:created>
  <dcterms:modified xsi:type="dcterms:W3CDTF">2026-06-30T09:00:42Z</dcterms:modified>
</cp:coreProperties>
</file>